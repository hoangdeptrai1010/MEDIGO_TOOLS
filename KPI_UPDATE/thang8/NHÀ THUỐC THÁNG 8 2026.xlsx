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kpi dược sĩ" sheetId="2" r:id="rId6"/>
    <sheet state="visible" name="kpi nhà thuốc" sheetId="3" r:id="rId7"/>
    <sheet state="visible" name="Dự án T8" sheetId="4" r:id="rId8"/>
    <sheet state="visible" name="Hot Bill HN" sheetId="5" r:id="rId9"/>
  </sheets>
  <definedNames>
    <definedName hidden="1" localSheetId="1" name="_xlnm._FilterDatabase">'kpi dược sĩ'!$A$2:$AE$55</definedName>
    <definedName hidden="1" localSheetId="3" name="_xlnm._FilterDatabase">'Dự án T8'!$A$2:$M$55</definedName>
    <definedName hidden="1" localSheetId="4" name="_xlnm._FilterDatabase">'Hot Bill HN'!$A$1:$H$37</definedName>
  </definedNames>
  <calcPr/>
</workbook>
</file>

<file path=xl/sharedStrings.xml><?xml version="1.0" encoding="utf-8"?>
<sst xmlns="http://schemas.openxmlformats.org/spreadsheetml/2006/main" count="694" uniqueCount="203">
  <si>
    <t>Nhà thuốc</t>
  </si>
  <si>
    <t>Dữ liệu cập nhật đến ngày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</si>
  <si>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</si>
  <si>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</si>
  <si>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</si>
  <si>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</si>
  <si>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</si>
  <si>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</si>
  <si>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</si>
  <si>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Mức hoành thành KPI doanh thu/ngày</t>
  </si>
  <si>
    <t>Hàng Bông</t>
  </si>
  <si>
    <t>Nguyễn Mạnh Tuấn</t>
  </si>
  <si>
    <t>Cửa hàng trưởng</t>
  </si>
  <si>
    <t>Nhân viên</t>
  </si>
  <si>
    <t>Chức danh</t>
  </si>
  <si>
    <t>CK + Combo + NY3/ngày</t>
  </si>
  <si>
    <t>Vũ Thanh Hằng</t>
  </si>
  <si>
    <t>NY3</t>
  </si>
  <si>
    <t>Chiết khấu</t>
  </si>
  <si>
    <t>Combo Liều</t>
  </si>
  <si>
    <t>Chiết khấu/ngày</t>
  </si>
  <si>
    <t>Combo Liều/ngày</t>
  </si>
  <si>
    <t>Thưởng dự án</t>
  </si>
  <si>
    <t>Thưởng thêm</t>
  </si>
  <si>
    <t>Thưởng dự án Hot Bill HN</t>
  </si>
  <si>
    <t>Total dự án</t>
  </si>
  <si>
    <t>Đinh Thị Khánh Ly</t>
  </si>
  <si>
    <t>Đinh Thị Lan Anh</t>
  </si>
  <si>
    <t>Lê Bình</t>
  </si>
  <si>
    <t>Hoàng Lâm Gia Bảo</t>
  </si>
  <si>
    <t>Hồ Thị Minh Hòa</t>
  </si>
  <si>
    <t>Lê Thị Xuyến</t>
  </si>
  <si>
    <t>Nguyễn Thị Huyền Trang</t>
  </si>
  <si>
    <t>KPI doanh thu (tháng)</t>
  </si>
  <si>
    <t>Phạm Nguyễn Ngọc Quý</t>
  </si>
  <si>
    <t>Doanh thu thực tế (tháng)</t>
  </si>
  <si>
    <t>BC</t>
  </si>
  <si>
    <t>Đinh Hoài Bảo</t>
  </si>
  <si>
    <t>Doanh thu thực tế (ngày)</t>
  </si>
  <si>
    <t>Minh Châu</t>
  </si>
  <si>
    <t>Nguyễn Ngọc Thùy</t>
  </si>
  <si>
    <t>Tỷ lệ đạt KPIs</t>
  </si>
  <si>
    <t>Thưởng CHT</t>
  </si>
  <si>
    <t>Phan Công Vũ Tài</t>
  </si>
  <si>
    <t>KPIs mức 1</t>
  </si>
  <si>
    <t>Thái Thùy Linh</t>
  </si>
  <si>
    <t>KPIs hàng điểm mức 1</t>
  </si>
  <si>
    <t>KPIs mức 1/tháng</t>
  </si>
  <si>
    <t>KPIs mức 1/ngày</t>
  </si>
  <si>
    <t>Trịnh Thị Phượng</t>
  </si>
  <si>
    <t>KPIs mức 2</t>
  </si>
  <si>
    <t>Đoàn Quốc Tâm</t>
  </si>
  <si>
    <t>KPIs hàng điểm mức 2</t>
  </si>
  <si>
    <t>KPIs mức 2/tháng</t>
  </si>
  <si>
    <t>Nam Hòa</t>
  </si>
  <si>
    <t>KPIs mức 2/ngày</t>
  </si>
  <si>
    <t>Bùi Thị Thanh Thủy</t>
  </si>
  <si>
    <t>KPIs mức 3</t>
  </si>
  <si>
    <t>Dương Thị Huỳnh Như</t>
  </si>
  <si>
    <t>KPIs hàng điểm mức 3</t>
  </si>
  <si>
    <t>KPIs mức 3/tháng</t>
  </si>
  <si>
    <t>KPIs mức 3/ngày</t>
  </si>
  <si>
    <t>Doanh thu hàng điểm</t>
  </si>
  <si>
    <t>Hàng điểm/ Doanh thu tổng</t>
  </si>
  <si>
    <t>Xét Đạt KPI</t>
  </si>
  <si>
    <t>Nguyễn Trí Nghĩa</t>
  </si>
  <si>
    <t>Tbbill off</t>
  </si>
  <si>
    <t>Tbbill onl</t>
  </si>
  <si>
    <t>Thanh Thảo</t>
  </si>
  <si>
    <t>Trung bình Bill</t>
  </si>
  <si>
    <t>Nguyễn Trần Ngọc Phương</t>
  </si>
  <si>
    <t>Trần Thị Ánh Nguyệt</t>
  </si>
  <si>
    <t>Trường Sa</t>
  </si>
  <si>
    <t>KPI trung bình bill</t>
  </si>
  <si>
    <t>Đỗ Thị Kim Tiến</t>
  </si>
  <si>
    <t>Trung bình bill</t>
  </si>
  <si>
    <t>KPI doanh thu CK+Combo+NY3/ngày</t>
  </si>
  <si>
    <t>KPI Doanh thu/ngày (100%)</t>
  </si>
  <si>
    <t>Doanh thu thực/ngày</t>
  </si>
  <si>
    <t>Nguyễn Chí Thanh</t>
  </si>
  <si>
    <t>Lê Thị Quỳnh Trâm</t>
  </si>
  <si>
    <t>% Hoàn thành KPI</t>
  </si>
  <si>
    <t>Nguyễn Thị Hồng Hạnh</t>
  </si>
  <si>
    <t>Thưởng KPI</t>
  </si>
  <si>
    <t>Hệ số * Dự án</t>
  </si>
  <si>
    <t>Thưởng Dự án</t>
  </si>
  <si>
    <t>Thưởng Dự án + KPI + HH</t>
  </si>
  <si>
    <t>Trần Hoàng Khánh</t>
  </si>
  <si>
    <t>KPIs Doanh thu/ngày</t>
  </si>
  <si>
    <t>KPIs Doanh thu/tháng</t>
  </si>
  <si>
    <t>Đỗ Thị Phương Thảo</t>
  </si>
  <si>
    <t>Trung bình bill off</t>
  </si>
  <si>
    <t>Trung bình bill onl</t>
  </si>
  <si>
    <t>Nguyễn Thị Thập</t>
  </si>
  <si>
    <t>Cao Trọng Nhân</t>
  </si>
  <si>
    <t>Cù Thị Tường Vy</t>
  </si>
  <si>
    <t>CHT</t>
  </si>
  <si>
    <t>Triệu Thị Ngọc Lý</t>
  </si>
  <si>
    <t>Trần Thành Đạt</t>
  </si>
  <si>
    <t>Nguyễn Văn Quá</t>
  </si>
  <si>
    <t>Hồ Ngọc Lý</t>
  </si>
  <si>
    <t>Nguyễn Thị Hương Giang</t>
  </si>
  <si>
    <t>Nguyễn Thị Thu Huyền</t>
  </si>
  <si>
    <t>Võ Ngọc Giàu Sang</t>
  </si>
  <si>
    <t>Rạch Bùng Binh</t>
  </si>
  <si>
    <t>Huỳnh Thị Huệ Hiền</t>
  </si>
  <si>
    <t>Nguyễn Thị Phúc Lộc</t>
  </si>
  <si>
    <t>Ngô Thị Ngọc Thủy</t>
  </si>
  <si>
    <t>Phạm Nguyễn Ngọc Quyền Trân</t>
  </si>
  <si>
    <t>Medigo</t>
  </si>
  <si>
    <t>Nguyễn Ngọc Anh Thư</t>
  </si>
  <si>
    <t>Ngô Trần Tuyết Vy</t>
  </si>
  <si>
    <t>Trần Thị Kim Khánh</t>
  </si>
  <si>
    <t>Đường Láng</t>
  </si>
  <si>
    <t>Hứa Thị Kim Thoa</t>
  </si>
  <si>
    <t>Ngô Thị Thanh Thắm</t>
  </si>
  <si>
    <t>Đỗ Quang Đẩu</t>
  </si>
  <si>
    <t>Lê Thị Soạn</t>
  </si>
  <si>
    <t>Nguyễn Thị Mai Duyên</t>
  </si>
  <si>
    <t>Nguyễn Thị Tâm</t>
  </si>
  <si>
    <t>Trần Ngọc Dung</t>
  </si>
  <si>
    <t>DSTV</t>
  </si>
  <si>
    <t>Hoàng Thanh Thủy</t>
  </si>
  <si>
    <t>Lê Thị Huyền Trân</t>
  </si>
  <si>
    <t>Phạm Thị Nghĩa Hương</t>
  </si>
  <si>
    <t>Trần Thiên Phát</t>
  </si>
  <si>
    <t>Vũ Ngọc Thanh Thảo</t>
  </si>
  <si>
    <t>DSXC</t>
  </si>
  <si>
    <t>DSBC</t>
  </si>
  <si>
    <t>Lý Thục Mi</t>
  </si>
  <si>
    <t>DSCD</t>
  </si>
  <si>
    <t>Mã hóa đơn</t>
  </si>
  <si>
    <t>Thời gian</t>
  </si>
  <si>
    <t>Chi nhánh</t>
  </si>
  <si>
    <t>Tên Dược Sĩ</t>
  </si>
  <si>
    <t>Số lượng SP CK</t>
  </si>
  <si>
    <t>Doanh thu nhóm CK+CKHN</t>
  </si>
  <si>
    <t>Tiền Thưởng (VNĐ)</t>
  </si>
  <si>
    <t>Chi tiết sản phẩm</t>
  </si>
  <si>
    <t>HD1202368</t>
  </si>
  <si>
    <t>CK Sodmex plus cream (h/15g) (SL: 1, TT: 135,000đ) | CK Advance white glutathion viên uống trắng sáng da lustrel laboratoires (h/60v) (SL: 1, TT: 1,080,000đ)</t>
  </si>
  <si>
    <t>HD1202300</t>
  </si>
  <si>
    <t>CK Radis noir artichaut bio fleurance nature (h/30v) (SL: 1, TT: 416,000đ) | CKHN Chai xịt bạc ghimas powder spray (c/125ml) (SL: 1, TT: 695,000đ)</t>
  </si>
  <si>
    <t>HD1202162.01</t>
  </si>
  <si>
    <t>CKHN Manukan (h/16v) (SL: 1, TT: 170,000đ) | CK Probioboost confort gastrique fleurance nature (h/15v) (SL: 1, TT: 416,000đ) | CK Azinc Vitalite arkopharma (h60v) (SL: 1, TT: 419,000đ)</t>
  </si>
  <si>
    <t>HD1199893</t>
  </si>
  <si>
    <t>CK All in one vitality viên uống chống oxy hóa sante + (h/60v) (SL: 1, TT: 669,000đ) | CK Radis noir artichaut bio fleurance nature (h/30v) (SL: 1, TT: 416,000đ) | CKHN Chai xịt bạc ghimas powder spray (c/125ml) (SL: 1, TT: 695,000đ)</t>
  </si>
  <si>
    <t>HD1198775</t>
  </si>
  <si>
    <t>CKHN Nước mắt nhân tạo hyafresh vitamin (h/13ml) (SL: 10, TT: 1,200,000đ)</t>
  </si>
  <si>
    <t>HD1198657</t>
  </si>
  <si>
    <t>CK Arkofluides Detoxifiant Hepatiqua Arkopharma(h/20o) (SL: 1, TT: 742,000đ) | CK Probioboost confort gastrique fleurance nature (h/15v) (SL: 1, TT: 416,000đ)</t>
  </si>
  <si>
    <t>HD1197473</t>
  </si>
  <si>
    <t>CK Advance white glutathion viên uống trắng sáng da lustrel laboratoires (h/60v) (SL: 1, TT: 1,080,000đ)</t>
  </si>
  <si>
    <t>HD1197291</t>
  </si>
  <si>
    <t>CK Probioboost confort gastrique fleurance nature (h/15v) (SL: 2, TT: 832,000đ) | CK Radis noir artichaut bio fleurance nature (h/30v) (SL: 1, TT: 416,000đ)</t>
  </si>
  <si>
    <t>HD1195232</t>
  </si>
  <si>
    <t>CK Omega 3 viên uống bổ sung omega 3 arkopharma (h/60v) (SL: 1, TT: 377,000đ) | CK Mental energie eurho vital (h/15v) (SL: 1, TT: 210,000đ) | CK Probioboost confort gastrique fleurance nature (h/15v) (SL: 1, TT: 416,000đ)</t>
  </si>
  <si>
    <t>HD1195211</t>
  </si>
  <si>
    <t>CK Nutri hair zinc viên uống giúp chống rụng tóc bremedie (h/60v) (SL: 2, TT: 1,192,000đ)</t>
  </si>
  <si>
    <t>HD1195210</t>
  </si>
  <si>
    <t>HD1195207</t>
  </si>
  <si>
    <t>CKHN Mason Natural Daily Multiple Vitamins with Minerals (h/60v) (SL: 1, TT: 620,000đ) | CK Eisen + jod + folsaure (h/30v) (SL: 2, TT: 624,000đ) | CK Calcium 600 eurho vital (h/30v) (SL: 2, TT: 684,000đ)</t>
  </si>
  <si>
    <t>HD1195201</t>
  </si>
  <si>
    <t>HD1195200</t>
  </si>
  <si>
    <t>HD1195197</t>
  </si>
  <si>
    <t>HD1195195</t>
  </si>
  <si>
    <t>CK Nutri hair zinc viên uống giúp chống rụng tóc bremedie (h/60v) (SL: 6, TT: 3,576,000đ)</t>
  </si>
  <si>
    <t>HD1193819</t>
  </si>
  <si>
    <t>HD1192974</t>
  </si>
  <si>
    <t>CKHN An phế healthway usa pharma (h/125ml) (SL: 1, TT: 100,000đ) | CKHN Manukan (h/16v) (SL: 2, TT: 340,000đ) | CKHN Mason Natural Daily Multiple Vitamins with Minerals (h/60v) (SL: 1, TT: 620,000đ)</t>
  </si>
  <si>
    <t>HD1192937</t>
  </si>
  <si>
    <t>CKHN Gel bôi nanobac silver (h/20ml) (SL: 1, TT: 100,000đ) | CK Omega 3 viên uống bổ sung omega 3 arkopharma (h/60v) (SL: 1, TT: 377,000đ) | CKHN Mason Natural Daily Multiple Vitamins with Minerals (h/60v) (SL: 1, TT: 620,000đ)</t>
  </si>
  <si>
    <t>HD1190587</t>
  </si>
  <si>
    <t>CK A-z multivitamin plus Q10 &amp; lutein eurho vital (h/30v) (SL: 1, TT: 391,000đ) | CK Radis noir artichaut bio fleurance nature (h/30v) (SL: 2, TT: 832,000đ)</t>
  </si>
  <si>
    <t>HD1190430</t>
  </si>
  <si>
    <t>CK Dermosoft decalact (h/20gr) (SL: 2, TT: 280,000đ) | CK Arkofluides Detoxifiant Hepatiqua Arkopharma(h/20o) (SL: 1, TT: 742,000đ)</t>
  </si>
  <si>
    <t>HD1189412.01</t>
  </si>
  <si>
    <t>CK Advance white glutathion viên uống trắng sáng da lustrel laboratoires (h/60v) (SL: 1, TT: 1,080,000đ) | CKHN Kem dưỡng ẩm Dermaryl Bioderma (h/50gr) (SL: 1, TT: 160,000đ)</t>
  </si>
  <si>
    <t>HD1188700</t>
  </si>
  <si>
    <t>CK Ozzotin sleep expert livial (h/10v) (SL: 2, TT: 264,000đ) | CK Probioboost confort gastrique fleurance nature (h/15v) (SL: 1, TT: 457,600đ) | CKHN Manukan (h/16v) (SL: 1, TT: 187,000đ) | CKHN Metazolin đức minh (h/15ml) (SL: 2, TT: 121,000đ)</t>
  </si>
  <si>
    <t>HD1187084</t>
  </si>
  <si>
    <t>CK Probioboost confort gastrique fleurance nature (h/15v) (SL: 1, TT: 416,000đ) | CKHN Chai xịt bạc ghimas powder spray (c/125ml) (SL: 1, TT: 695,000đ)</t>
  </si>
  <si>
    <t>HD1186887</t>
  </si>
  <si>
    <t>HD1185947</t>
  </si>
  <si>
    <t>CK Arkofluides Detoxifiant Hepatiqua Arkopharma(h/20o) (SL: 3, TT: 2,226,000đ)</t>
  </si>
  <si>
    <t>HD1184723</t>
  </si>
  <si>
    <t>CK Azinc Vitalite arkopharma (h60v) (SL: 1, TT: 419,000đ) | CKHN Chai xịt bạc ghimas powder spray (c/125ml) (SL: 1, TT: 695,000đ)</t>
  </si>
  <si>
    <t>HD1184536</t>
  </si>
  <si>
    <t>HD1184270</t>
  </si>
  <si>
    <t>CK Probioboost confort gastrique fleurance nature (h/15v) (SL: 2, TT: 832,000đ) | CK Bọt vệ sinh ladycare classic (h/190ml) (SL: 1, TT: 179,000đ)</t>
  </si>
  <si>
    <t>HD1184166</t>
  </si>
  <si>
    <t>CK Que thử thai nk quick test ngọc khánh (h/1q) (SL: 3, TT: 66,000đ) | CK Calcium 600 eurho vital (h/30v) (SL: 3, TT: 1,026,000đ)</t>
  </si>
  <si>
    <t>HD1183259</t>
  </si>
  <si>
    <t>CK Omega 3 viên uống bổ sung omega 3 arkopharma (h/60v) (SL: 1, TT: 377,000đ) | CK Probioboost confort gastrique fleurance nature (h/15v) (SL: 2, TT: 832,000đ)</t>
  </si>
  <si>
    <t>HD1182823</t>
  </si>
  <si>
    <t>CK Maca #2 organic femina nature's supplements (h/60v) (SL: 1, TT: 660,000đ) | CK Maca #6 old truths nature's supplements (h/60v) (SL: 1, TT: 660,000đ)</t>
  </si>
  <si>
    <t>Q.CHT</t>
  </si>
  <si>
    <t>DSCD (TV)</t>
  </si>
  <si>
    <t>DSHV</t>
  </si>
  <si>
    <t>DSXC (TV)</t>
  </si>
  <si>
    <t>Bùi Thị Bích Trâm</t>
  </si>
  <si>
    <t>Trần Thị Phương Thùy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</si>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</sst>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&quot;/&quot;mm&quot;/&quot;yyyy"/>
    <numFmt numFmtId="166" formatCode="0.#"/>
    <numFmt numFmtId="167" formatCode="d/m/yyyy"/>
    <numFmt numFmtId="168" formatCode="#,##0.0"/>
    <numFmt numFmtId="169" formatCode="#,##0.00000"/>
    <numFmt numFmtId="170" formatCode="yyyy\-mm\-dd\ hh:mm:ss"/>
  </numFmts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b/>
      <sz val="12.0"/>
      <color rgb="FFFF0000"/>
      <name val="Times New Roman"/>
    </font>
    <font>
      <b/>
      <sz val="11.0"/>
      <color rgb="FFFF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sz val="11.0"/>
      <color rgb="FFFF0000"/>
      <name val="Times New Roman"/>
    </font>
    <font>
      <b/>
      <sz val="12.0"/>
      <color rgb="FF000000"/>
      <name val="Times New Roman"/>
    </font>
    <font>
      <sz val="11.0"/>
      <color theme="1"/>
      <name val="Times New Roman"/>
    </font>
    <font/>
    <font>
      <sz val="11.0"/>
      <color rgb="FF000000"/>
      <name val="Times New Roman"/>
    </font>
    <font>
      <sz val="12.0"/>
      <color rgb="FFFF0000"/>
      <name val="Times New Roman"/>
    </font>
    <font>
      <b/>
      <sz val="13.0"/>
      <color rgb="FFFF0000"/>
      <name val="Times New Roman"/>
    </font>
    <font>
      <b/>
      <sz val="10.0"/>
      <color theme="1"/>
      <name val="Quattrocento Sans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1" fillId="2" fontId="4" numFmtId="165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1" fillId="2" fontId="7" numFmtId="0" xfId="0" applyBorder="1" applyFill="1" applyFont="1"/>
    <xf borderId="0" fillId="0" fontId="5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" fillId="3" fontId="4" numFmtId="3" xfId="0" applyAlignment="1" applyBorder="1" applyFill="1" applyFont="1" applyNumberFormat="1">
      <alignment horizontal="center" vertical="center"/>
    </xf>
    <xf borderId="2" fillId="2" fontId="5" numFmtId="3" xfId="0" applyAlignment="1" applyBorder="1" applyFill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3" fillId="0" fontId="11" numFmtId="0" xfId="0" applyBorder="1" applyFont="1"/>
    <xf borderId="0" fillId="0" fontId="12" numFmtId="3" xfId="0" applyAlignment="1" applyFont="1" applyNumberFormat="1">
      <alignment horizontal="left"/>
    </xf>
    <xf borderId="4" fillId="0" fontId="11" numFmtId="0" xfId="0" applyBorder="1" applyFont="1"/>
    <xf borderId="0" fillId="0" fontId="12" numFmtId="3" xfId="0" applyAlignment="1" applyFont="1" applyNumberFormat="1">
      <alignment horizontal="center"/>
    </xf>
    <xf borderId="0" fillId="0" fontId="13" numFmtId="3" xfId="0" applyAlignment="1" applyFont="1" applyNumberFormat="1">
      <alignment vertical="center"/>
    </xf>
    <xf borderId="0" fillId="0" fontId="12" numFmtId="3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right" vertical="center"/>
    </xf>
    <xf borderId="1" fillId="2" fontId="6" numFmtId="0" xfId="0" applyAlignment="1" applyBorder="1" applyFill="1" applyFont="1">
      <alignment horizontal="center" vertical="center"/>
    </xf>
    <xf borderId="1" fillId="3" fontId="6" numFmtId="3" xfId="0" applyAlignment="1" applyBorder="1" applyFill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2" numFmtId="3" xfId="0" applyAlignment="1" applyBorder="1" applyFill="1" applyFont="1" applyNumberFormat="1">
      <alignment horizontal="center" shrinkToFit="0" vertical="center" wrapText="1"/>
    </xf>
    <xf borderId="1" fillId="5" fontId="10" numFmtId="0" xfId="0" applyAlignment="1" applyBorder="1" applyFill="1" applyFont="1">
      <alignment horizontal="center"/>
    </xf>
    <xf borderId="1" fillId="5" fontId="10" numFmtId="0" xfId="0" applyAlignment="1" applyBorder="1" applyFill="1" applyFont="1">
      <alignment horizontal="left"/>
    </xf>
    <xf borderId="1" fillId="6" fontId="12" numFmtId="3" xfId="0" applyAlignment="1" applyBorder="1" applyFill="1" applyFont="1" applyNumberFormat="1">
      <alignment horizontal="left"/>
    </xf>
    <xf borderId="1" fillId="7" fontId="2" numFmtId="0" xfId="0" applyAlignment="1" applyBorder="1" applyFill="1" applyFont="1">
      <alignment horizontal="center" shrinkToFit="0" vertical="center" wrapText="1"/>
    </xf>
    <xf borderId="1" fillId="6" fontId="10" numFmtId="3" xfId="0" applyAlignment="1" applyBorder="1" applyFill="1" applyFont="1" applyNumberFormat="1">
      <alignment horizontal="left" vertical="center"/>
    </xf>
    <xf borderId="1" fillId="8" fontId="2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0" fillId="0" fontId="10" numFmtId="3" xfId="0" applyAlignment="1" applyFont="1" applyNumberFormat="1">
      <alignment horizontal="left" vertical="center"/>
    </xf>
    <xf borderId="1" fillId="8" fontId="6" numFmtId="0" xfId="0" applyAlignment="1" applyBorder="1" applyFill="1" applyFont="1">
      <alignment horizontal="center" shrinkToFit="0" vertical="center" wrapText="1"/>
    </xf>
    <xf borderId="0" fillId="0" fontId="10" numFmtId="3" xfId="0" applyAlignment="1" applyFont="1" applyNumberForma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0" fillId="0" fontId="10" numFmtId="3" xfId="0" applyAlignment="1" applyFont="1" applyNumberFormat="1">
      <alignment vertical="center"/>
    </xf>
    <xf borderId="0" fillId="0" fontId="8" numFmtId="3" xfId="0" applyAlignment="1" applyFont="1" applyNumberFormat="1">
      <alignment vertical="center"/>
    </xf>
    <xf borderId="1" fillId="11" fontId="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3" xfId="0" applyAlignment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0" numFmtId="3" xfId="0" applyAlignment="1" applyFont="1" applyNumberFormat="1">
      <alignment horizontal="center"/>
    </xf>
    <xf borderId="1" fillId="4" fontId="6" numFmtId="3" xfId="0" applyAlignment="1" applyBorder="1" applyFill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3" fontId="2" numFmtId="9" xfId="0" applyAlignment="1" applyBorder="1" applyFill="1" applyFont="1" applyNumberFormat="1">
      <alignment horizontal="center" shrinkToFit="0" vertical="center" wrapText="1"/>
    </xf>
    <xf borderId="1" fillId="3" fontId="2" numFmtId="3" xfId="0" applyAlignment="1" applyBorder="1" applyFill="1" applyFont="1" applyNumberFormat="1">
      <alignment horizontal="center" shrinkToFit="0" vertical="center" wrapText="1"/>
    </xf>
    <xf borderId="1" fillId="3" fontId="2" numFmtId="166" xfId="0" applyAlignment="1" applyBorder="1" applyFill="1" applyFont="1" applyNumberFormat="1">
      <alignment horizontal="center" shrinkToFit="0" vertical="center" wrapText="1"/>
    </xf>
    <xf borderId="1" fillId="13" fontId="2" numFmtId="9" xfId="0" applyAlignment="1" applyBorder="1" applyFill="1" applyFont="1" applyNumberFormat="1">
      <alignment horizontal="center" shrinkToFit="0" vertical="center" wrapText="1"/>
    </xf>
    <xf borderId="1" fillId="10" fontId="2" numFmtId="3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2" fontId="6" numFmtId="3" xfId="0" applyAlignment="1" applyBorder="1" applyFill="1" applyFont="1" applyNumberFormat="1">
      <alignment horizontal="center" shrinkToFit="0" vertical="center" wrapText="1"/>
    </xf>
    <xf borderId="0" fillId="0" fontId="12" numFmtId="10" xfId="0" applyAlignment="1" applyFont="1" applyNumberFormat="1">
      <alignment horizontal="center" vertical="center"/>
    </xf>
    <xf borderId="1" fillId="6" fontId="10" numFmtId="3" xfId="0" applyAlignment="1" applyBorder="1" applyFill="1" applyFont="1" applyNumberFormat="1">
      <alignment vertical="center"/>
    </xf>
    <xf borderId="0" fillId="0" fontId="10" numFmtId="0" xfId="0" applyFont="1"/>
    <xf borderId="0" fillId="0" fontId="12" numFmtId="9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left" vertical="center"/>
    </xf>
    <xf borderId="1" fillId="6" fontId="12" numFmtId="3" xfId="0" applyAlignment="1" applyBorder="1" applyFill="1" applyFont="1" applyNumberFormat="1">
      <alignment horizontal="left" vertical="center"/>
    </xf>
    <xf borderId="1" fillId="5" fontId="10" numFmtId="3" xfId="0" applyAlignment="1" applyBorder="1" applyFill="1" applyFont="1" applyNumberFormat="1">
      <alignment horizontal="center"/>
    </xf>
    <xf borderId="0" fillId="0" fontId="12" numFmtId="3" xfId="0" applyFont="1" applyNumberFormat="1"/>
    <xf borderId="0" fillId="0" fontId="12" numFmtId="9" xfId="0" applyAlignment="1" applyFont="1" applyNumberFormat="1">
      <alignment horizontal="center"/>
    </xf>
    <xf borderId="1" fillId="4" fontId="10" numFmtId="0" xfId="0" applyAlignment="1" applyBorder="1" applyFill="1" applyFont="1">
      <alignment horizontal="center"/>
    </xf>
    <xf borderId="1" fillId="4" fontId="10" numFmtId="0" xfId="0" applyAlignment="1" applyBorder="1" applyFill="1" applyFont="1">
      <alignment horizontal="left"/>
    </xf>
    <xf borderId="0" fillId="0" fontId="10" numFmtId="0" xfId="0" applyAlignment="1" applyFont="1">
      <alignment horizontal="center" readingOrder="0"/>
    </xf>
    <xf borderId="0" fillId="0" fontId="12" numFmtId="49" xfId="0" applyAlignment="1" applyFont="1" applyNumberFormat="1">
      <alignment horizontal="center"/>
    </xf>
    <xf borderId="1" fillId="3" fontId="12" numFmtId="3" xfId="0" applyAlignment="1" applyBorder="1" applyFill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1" fillId="7" fontId="2" numFmtId="3" xfId="0" applyAlignment="1" applyBorder="1" applyFill="1" applyFont="1" applyNumberFormat="1">
      <alignment horizontal="center" vertical="center"/>
    </xf>
    <xf borderId="1" fillId="8" fontId="2" numFmtId="3" xfId="0" applyAlignment="1" applyBorder="1" applyFill="1" applyFont="1" applyNumberFormat="1">
      <alignment horizontal="center" vertical="center"/>
    </xf>
    <xf borderId="1" fillId="7" fontId="6" numFmtId="10" xfId="0" applyAlignment="1" applyBorder="1" applyFill="1" applyFont="1" applyNumberFormat="1">
      <alignment horizontal="center" vertical="center"/>
    </xf>
    <xf borderId="1" fillId="9" fontId="6" numFmtId="3" xfId="0" applyAlignment="1" applyBorder="1" applyFill="1" applyFont="1" applyNumberFormat="1">
      <alignment horizontal="center" vertical="center"/>
    </xf>
    <xf borderId="1" fillId="4" fontId="6" numFmtId="3" xfId="0" applyAlignment="1" applyBorder="1" applyFill="1" applyFont="1" applyNumberFormat="1">
      <alignment horizontal="center" vertical="center"/>
    </xf>
    <xf borderId="1" fillId="7" fontId="6" numFmtId="3" xfId="0" applyAlignment="1" applyBorder="1" applyFill="1" applyFont="1" applyNumberFormat="1">
      <alignment horizontal="center" vertical="center"/>
    </xf>
    <xf borderId="1" fillId="10" fontId="2" numFmtId="3" xfId="0" applyAlignment="1" applyBorder="1" applyFill="1" applyFont="1" applyNumberFormat="1">
      <alignment horizontal="center" vertical="center"/>
    </xf>
    <xf borderId="1" fillId="8" fontId="6" numFmtId="3" xfId="0" applyAlignment="1" applyBorder="1" applyFill="1" applyFont="1" applyNumberFormat="1">
      <alignment horizontal="center" vertical="center"/>
    </xf>
    <xf borderId="1" fillId="11" fontId="2" numFmtId="3" xfId="0" applyAlignment="1" applyBorder="1" applyFill="1" applyFont="1" applyNumberFormat="1">
      <alignment horizontal="center" vertical="center"/>
    </xf>
    <xf borderId="1" fillId="11" fontId="6" numFmtId="3" xfId="0" applyAlignment="1" applyBorder="1" applyFill="1" applyFont="1" applyNumberFormat="1">
      <alignment horizontal="center" vertical="center"/>
    </xf>
    <xf borderId="1" fillId="12" fontId="2" numFmtId="3" xfId="0" applyAlignment="1" applyBorder="1" applyFill="1" applyFont="1" applyNumberFormat="1">
      <alignment horizontal="center" vertical="center"/>
    </xf>
    <xf borderId="1" fillId="12" fontId="6" numFmtId="3" xfId="0" applyAlignment="1" applyBorder="1" applyFill="1" applyFont="1" applyNumberFormat="1">
      <alignment horizontal="center" vertical="center"/>
    </xf>
    <xf borderId="2" fillId="14" fontId="14" numFmtId="0" xfId="0" applyAlignment="1" applyBorder="1" applyFill="1" applyFont="1">
      <alignment horizontal="center" vertical="center"/>
    </xf>
    <xf borderId="1" fillId="14" fontId="12" numFmtId="0" xfId="0" applyAlignment="1" applyBorder="1" applyFill="1" applyFont="1">
      <alignment vertical="center"/>
    </xf>
    <xf borderId="0" fillId="0" fontId="10" numFmtId="10" xfId="0" applyAlignment="1" applyFont="1" applyNumberFormat="1">
      <alignment horizontal="center" vertical="center"/>
    </xf>
    <xf borderId="0" fillId="0" fontId="12" numFmtId="3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10" xfId="0" applyAlignment="1" applyFont="1" applyNumberFormat="1">
      <alignment vertical="center"/>
    </xf>
    <xf borderId="0" fillId="0" fontId="10" numFmtId="167" xfId="0" applyAlignment="1" applyFont="1" applyNumberFormat="1">
      <alignment horizontal="left" vertical="center"/>
    </xf>
    <xf borderId="0" fillId="0" fontId="10" numFmtId="168" xfId="0" applyAlignment="1" applyFont="1" applyNumberFormat="1">
      <alignment horizontal="left" vertical="center"/>
    </xf>
    <xf borderId="0" fillId="0" fontId="10" numFmtId="10" xfId="0" applyAlignment="1" applyFont="1" applyNumberFormat="1">
      <alignment vertical="center"/>
    </xf>
    <xf borderId="0" fillId="0" fontId="12" numFmtId="169" xfId="0" applyAlignment="1" applyFont="1" applyNumberFormat="1">
      <alignment vertical="center"/>
    </xf>
    <xf borderId="0" fillId="0" fontId="12" numFmtId="4" xfId="0" applyAlignment="1" applyFont="1" applyNumberFormat="1">
      <alignment vertical="center"/>
    </xf>
    <xf borderId="0" fillId="0" fontId="10" numFmtId="9" xfId="0" applyAlignment="1" applyFont="1" applyNumberFormat="1">
      <alignment horizontal="center" vertical="center"/>
    </xf>
    <xf borderId="0" fillId="0" fontId="10" numFmtId="9" xfId="0" applyAlignment="1" applyFont="1" applyNumberFormat="1">
      <alignment vertical="center"/>
    </xf>
    <xf borderId="1" fillId="4" fontId="12" numFmtId="0" xfId="0" applyAlignment="1" applyBorder="1" applyFill="1" applyFont="1">
      <alignment horizontal="center" vertical="center"/>
    </xf>
    <xf borderId="1" fillId="4" fontId="12" numFmtId="0" xfId="0" applyAlignment="1" applyBorder="1" applyFill="1" applyFont="1">
      <alignment horizontal="left"/>
    </xf>
    <xf borderId="1" fillId="4" fontId="12" numFmtId="3" xfId="0" applyAlignment="1" applyBorder="1" applyFill="1" applyFont="1" applyNumberFormat="1">
      <alignment horizontal="left"/>
    </xf>
    <xf borderId="0" fillId="0" fontId="12" numFmtId="0" xfId="0" applyFont="1"/>
    <xf borderId="0" fillId="0" fontId="15" numFmtId="0" xfId="0" applyFont="1"/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5" numFmtId="0" xfId="0" applyAlignment="1" applyFont="1">
      <alignment shrinkToFit="0" wrapText="1"/>
    </xf>
    <xf borderId="0" fillId="0" fontId="17" numFmtId="0" xfId="0" applyFont="1"/>
    <xf borderId="0" fillId="0" fontId="17" numFmtId="170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shrinkToFit="0" wrapText="1"/>
    </xf>
    <xf borderId="0" fillId="0" fontId="18" numFmtId="0" xfId="0" applyFont="1"/>
    <xf borderId="0" fillId="0" fontId="18" numFmtId="170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shrinkToFit="0" wrapText="1"/>
    </xf>
    <xf borderId="1" fillId="14" fontId="12" numFmtId="3" xfId="0" applyAlignment="1" applyBorder="1" applyFill="1" applyFont="1" applyNumberFormat="1">
      <alignment horizontal="left"/>
    </xf>
    <xf borderId="1" fillId="14" fontId="12" numFmtId="3" xfId="0" applyAlignment="1" applyBorder="1" applyFill="1" applyFont="1" applyNumberFormat="1">
      <alignment horizontal="center"/>
    </xf>
    <xf borderId="1" fillId="14" fontId="12" numFmtId="3" xfId="0" applyBorder="1" applyFill="1" applyFont="1" applyNumberFormat="1"/>
    <xf borderId="0" fillId="0" fontId="17" numFmtId="3" xfId="0" applyFont="1" applyNumberFormat="1"/>
    <xf borderId="0" fillId="0" fontId="12" numFmtId="0" xfId="0" applyAlignment="1" applyFont="1">
      <alignment horizontal="center"/>
    </xf>
    <xf borderId="0" fillId="0" fontId="12" numFmtId="10" xfId="0" applyAlignment="1" applyFont="1" applyNumberFormat="1">
      <alignment horizontal="center"/>
    </xf>
    <xf borderId="0" fillId="0" fontId="12" numFmtId="166" xfId="0" applyAlignment="1" applyFont="1" applyNumberFormat="1">
      <alignment horizontal="center"/>
    </xf>
    <xf borderId="0" fillId="0" fontId="10" numFmtId="3" xfId="0" applyFont="1" applyNumberFormat="1"/>
  </cellXfs>
  <cellStyles count="1">
    <cellStyle xfId="0" name="Normal" builtinId="0"/>
  </cellStyles>
  <dxfs count="10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88"/>
    <col customWidth="1" min="3" max="8" width="18.13"/>
    <col customWidth="1" min="9" max="9" width="11.75"/>
    <col customWidth="1" min="10" max="10" width="13.13"/>
    <col customWidth="1" min="11" max="30" width="11.75"/>
  </cols>
  <sheetData>
    <row r="1" ht="27.75" customHeight="1">
      <c r="A1" s="2" t="s">
        <v>0</v>
      </c>
      <c r="B1" s="2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9"/>
      <c r="J1" s="12">
        <v>46265.99998842592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15.75" customHeight="1">
      <c r="A2" s="19" t="s">
        <v>10</v>
      </c>
      <c r="B2" s="21" t="s">
        <v>11</v>
      </c>
      <c r="C2" s="23">
        <v>782.0</v>
      </c>
      <c r="D2" s="23">
        <v>1.40105271E8</v>
      </c>
      <c r="E2" s="23">
        <v>435.0</v>
      </c>
      <c r="F2" s="23">
        <v>7.23754E7</v>
      </c>
      <c r="G2" s="23">
        <v>1217.0</v>
      </c>
      <c r="H2" s="23">
        <v>2.12480671E8</v>
      </c>
      <c r="I2" s="25"/>
      <c r="J2" s="26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ht="15.75" customHeight="1">
      <c r="A3" s="19" t="s">
        <v>10</v>
      </c>
      <c r="B3" s="21" t="s">
        <v>16</v>
      </c>
      <c r="C3" s="23">
        <v>874.0</v>
      </c>
      <c r="D3" s="23">
        <v>2.8496545E8</v>
      </c>
      <c r="E3" s="23">
        <v>204.0</v>
      </c>
      <c r="F3" s="23">
        <v>5.8354497E7</v>
      </c>
      <c r="G3" s="23">
        <v>1078.0</v>
      </c>
      <c r="H3" s="23">
        <v>3.43319947E8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ht="15.75" customHeight="1">
      <c r="A4" s="19" t="s">
        <v>10</v>
      </c>
      <c r="B4" s="21" t="s">
        <v>26</v>
      </c>
      <c r="C4" s="23">
        <v>1076.0</v>
      </c>
      <c r="D4" s="23">
        <v>2.64598985E8</v>
      </c>
      <c r="E4" s="23">
        <v>273.0</v>
      </c>
      <c r="F4" s="23">
        <v>6.1819627E7</v>
      </c>
      <c r="G4" s="23">
        <v>1349.0</v>
      </c>
      <c r="H4" s="23">
        <v>3.26418612E8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ht="15.75" customHeight="1">
      <c r="A5" s="19" t="s">
        <v>10</v>
      </c>
      <c r="B5" s="21" t="s">
        <v>27</v>
      </c>
      <c r="C5" s="23">
        <v>584.0</v>
      </c>
      <c r="D5" s="23">
        <v>1.07357032E8</v>
      </c>
      <c r="E5" s="23">
        <v>134.0</v>
      </c>
      <c r="F5" s="23">
        <v>2.6695101E7</v>
      </c>
      <c r="G5" s="23">
        <v>718.0</v>
      </c>
      <c r="H5" s="23">
        <v>1.34052133E8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ht="15.75" customHeight="1">
      <c r="A6" s="19" t="s">
        <v>28</v>
      </c>
      <c r="B6" s="33" t="s">
        <v>29</v>
      </c>
      <c r="C6" s="23">
        <v>251.0</v>
      </c>
      <c r="D6" s="23">
        <v>2.84899E7</v>
      </c>
      <c r="E6" s="23">
        <v>111.0</v>
      </c>
      <c r="F6" s="23">
        <v>2.40475E7</v>
      </c>
      <c r="G6" s="23">
        <v>362.0</v>
      </c>
      <c r="H6" s="23">
        <v>5.25374E7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15.75" customHeight="1">
      <c r="A7" s="19" t="s">
        <v>28</v>
      </c>
      <c r="B7" s="33" t="s">
        <v>30</v>
      </c>
      <c r="C7" s="23">
        <v>334.0</v>
      </c>
      <c r="D7" s="23">
        <v>3.12823E7</v>
      </c>
      <c r="E7" s="23">
        <v>119.0</v>
      </c>
      <c r="F7" s="23">
        <v>2.433242E7</v>
      </c>
      <c r="G7" s="23">
        <v>453.0</v>
      </c>
      <c r="H7" s="23">
        <v>5.561472E7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15.75" customHeight="1">
      <c r="A8" s="19" t="s">
        <v>28</v>
      </c>
      <c r="B8" s="21" t="s">
        <v>31</v>
      </c>
      <c r="C8" s="23">
        <v>216.0</v>
      </c>
      <c r="D8" s="23">
        <v>1.68212E7</v>
      </c>
      <c r="E8" s="23">
        <v>93.0</v>
      </c>
      <c r="F8" s="23">
        <v>1.18949E7</v>
      </c>
      <c r="G8" s="23">
        <v>309.0</v>
      </c>
      <c r="H8" s="23">
        <v>2.87161E7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ht="15.75" customHeight="1">
      <c r="A9" s="19" t="s">
        <v>28</v>
      </c>
      <c r="B9" s="33" t="s">
        <v>32</v>
      </c>
      <c r="C9" s="23">
        <v>15.0</v>
      </c>
      <c r="D9" s="23">
        <v>1259000.0</v>
      </c>
      <c r="E9" s="23">
        <v>2.0</v>
      </c>
      <c r="F9" s="23">
        <v>555000.0</v>
      </c>
      <c r="G9" s="23">
        <v>17.0</v>
      </c>
      <c r="H9" s="23">
        <v>1814000.0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ht="15.75" customHeight="1">
      <c r="A10" s="19" t="s">
        <v>28</v>
      </c>
      <c r="B10" s="35" t="s">
        <v>34</v>
      </c>
      <c r="C10" s="19">
        <v>10.0</v>
      </c>
      <c r="D10" s="19">
        <v>640500.0</v>
      </c>
      <c r="E10" s="19">
        <v>3.0</v>
      </c>
      <c r="F10" s="19">
        <v>527100.0</v>
      </c>
      <c r="G10" s="19">
        <v>13.0</v>
      </c>
      <c r="H10" s="19">
        <v>1167600.0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15.75" customHeight="1">
      <c r="A11" s="19" t="s">
        <v>28</v>
      </c>
      <c r="B11" s="38" t="s">
        <v>37</v>
      </c>
      <c r="C11" s="19">
        <v>295.0</v>
      </c>
      <c r="D11" s="19">
        <v>2.45092E7</v>
      </c>
      <c r="E11" s="19">
        <v>147.0</v>
      </c>
      <c r="F11" s="19">
        <v>2.222975E7</v>
      </c>
      <c r="G11" s="19">
        <v>442.0</v>
      </c>
      <c r="H11" s="19">
        <v>4.673895E7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15.75" customHeight="1">
      <c r="A12" s="40" t="s">
        <v>39</v>
      </c>
      <c r="B12" s="21" t="s">
        <v>40</v>
      </c>
      <c r="C12" s="23">
        <v>142.0</v>
      </c>
      <c r="D12" s="23">
        <v>1.02038E7</v>
      </c>
      <c r="E12" s="23">
        <v>17.0</v>
      </c>
      <c r="F12" s="23">
        <v>1715850.0</v>
      </c>
      <c r="G12" s="23">
        <v>159.0</v>
      </c>
      <c r="H12" s="23">
        <v>1.191965E7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15.75" customHeight="1">
      <c r="A13" s="40" t="s">
        <v>39</v>
      </c>
      <c r="B13" s="33" t="s">
        <v>43</v>
      </c>
      <c r="C13" s="23">
        <v>1201.0</v>
      </c>
      <c r="D13" s="23">
        <v>9.8186094E7</v>
      </c>
      <c r="E13" s="23">
        <v>164.0</v>
      </c>
      <c r="F13" s="23">
        <v>2.446635E7</v>
      </c>
      <c r="G13" s="23">
        <v>1365.0</v>
      </c>
      <c r="H13" s="23">
        <v>1.22652444E8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15.75" customHeight="1">
      <c r="A14" s="40" t="s">
        <v>39</v>
      </c>
      <c r="B14" s="21" t="s">
        <v>45</v>
      </c>
      <c r="C14" s="23">
        <v>537.0</v>
      </c>
      <c r="D14" s="23">
        <v>4.35399E7</v>
      </c>
      <c r="E14" s="23">
        <v>125.0</v>
      </c>
      <c r="F14" s="23">
        <v>2.271295E7</v>
      </c>
      <c r="G14" s="23">
        <v>662.0</v>
      </c>
      <c r="H14" s="23">
        <v>6.625285E7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ht="15.75" customHeight="1">
      <c r="A15" s="40" t="s">
        <v>39</v>
      </c>
      <c r="B15" s="33" t="s">
        <v>49</v>
      </c>
      <c r="C15" s="23">
        <v>263.0</v>
      </c>
      <c r="D15" s="23">
        <v>2.14669E7</v>
      </c>
      <c r="E15" s="23">
        <v>28.0</v>
      </c>
      <c r="F15" s="23">
        <v>3104300.0</v>
      </c>
      <c r="G15" s="23">
        <v>291.0</v>
      </c>
      <c r="H15" s="23">
        <v>2.45712E7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ht="15.75" customHeight="1">
      <c r="A16" s="40" t="s">
        <v>39</v>
      </c>
      <c r="B16" s="21" t="s">
        <v>51</v>
      </c>
      <c r="C16" s="23">
        <v>769.0</v>
      </c>
      <c r="D16" s="23">
        <v>6.45795E7</v>
      </c>
      <c r="E16" s="23">
        <v>206.0</v>
      </c>
      <c r="F16" s="23">
        <v>3.26295E7</v>
      </c>
      <c r="G16" s="23">
        <v>975.0</v>
      </c>
      <c r="H16" s="23">
        <v>9.7209E7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15.75" customHeight="1">
      <c r="A17" s="40" t="s">
        <v>54</v>
      </c>
      <c r="B17" s="38" t="s">
        <v>56</v>
      </c>
      <c r="C17" s="19">
        <v>268.0</v>
      </c>
      <c r="D17" s="19">
        <v>1.8636328E7</v>
      </c>
      <c r="E17" s="19">
        <v>128.0</v>
      </c>
      <c r="F17" s="19">
        <v>3.071315E7</v>
      </c>
      <c r="G17" s="19">
        <v>396.0</v>
      </c>
      <c r="H17" s="19">
        <v>4.9349478E7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15.75" customHeight="1">
      <c r="A18" s="40" t="s">
        <v>54</v>
      </c>
      <c r="B18" s="38" t="s">
        <v>58</v>
      </c>
      <c r="C18" s="19">
        <v>126.0</v>
      </c>
      <c r="D18" s="19">
        <v>9970700.0</v>
      </c>
      <c r="E18" s="19">
        <v>28.0</v>
      </c>
      <c r="F18" s="19">
        <v>3023700.0</v>
      </c>
      <c r="G18" s="19">
        <v>154.0</v>
      </c>
      <c r="H18" s="19">
        <v>1.29944E7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ht="15.75" customHeight="1">
      <c r="A19" s="40" t="s">
        <v>54</v>
      </c>
      <c r="B19" s="35" t="s">
        <v>32</v>
      </c>
      <c r="C19" s="19">
        <v>254.0</v>
      </c>
      <c r="D19" s="19">
        <v>1.61758E7</v>
      </c>
      <c r="E19" s="19">
        <v>116.0</v>
      </c>
      <c r="F19" s="19">
        <v>2.85791E7</v>
      </c>
      <c r="G19" s="19">
        <v>370.0</v>
      </c>
      <c r="H19" s="19">
        <v>4.47549E7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ht="15.75" customHeight="1">
      <c r="A20" s="40" t="s">
        <v>54</v>
      </c>
      <c r="B20" s="35" t="s">
        <v>65</v>
      </c>
      <c r="C20" s="19">
        <v>33.0</v>
      </c>
      <c r="D20" s="19">
        <v>1708800.0</v>
      </c>
      <c r="E20" s="19">
        <v>7.0</v>
      </c>
      <c r="F20" s="19">
        <v>590000.0</v>
      </c>
      <c r="G20" s="19">
        <v>40.0</v>
      </c>
      <c r="H20" s="19">
        <v>2298800.0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ht="15.75" customHeight="1">
      <c r="A21" s="40" t="s">
        <v>54</v>
      </c>
      <c r="B21" s="35" t="s">
        <v>43</v>
      </c>
      <c r="C21" s="19">
        <v>46.0</v>
      </c>
      <c r="D21" s="19">
        <v>4527000.0</v>
      </c>
      <c r="E21" s="19">
        <v>14.0</v>
      </c>
      <c r="F21" s="19">
        <v>2225800.0</v>
      </c>
      <c r="G21" s="19">
        <v>60.0</v>
      </c>
      <c r="H21" s="19">
        <v>6752800.0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ht="15.75" customHeight="1">
      <c r="A22" s="40" t="s">
        <v>54</v>
      </c>
      <c r="B22" s="38" t="s">
        <v>68</v>
      </c>
      <c r="C22" s="19">
        <v>134.0</v>
      </c>
      <c r="D22" s="19">
        <v>1.00706E7</v>
      </c>
      <c r="E22" s="19">
        <v>9.0</v>
      </c>
      <c r="F22" s="19">
        <v>874600.0</v>
      </c>
      <c r="G22" s="19">
        <v>143.0</v>
      </c>
      <c r="H22" s="19">
        <v>1.09452E7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ht="15.75" customHeight="1">
      <c r="A23" s="40" t="s">
        <v>54</v>
      </c>
      <c r="B23" s="38" t="s">
        <v>71</v>
      </c>
      <c r="C23" s="19">
        <v>637.0</v>
      </c>
      <c r="D23" s="19">
        <v>4.94518E7</v>
      </c>
      <c r="E23" s="19">
        <v>194.0</v>
      </c>
      <c r="F23" s="19">
        <v>3.80831E7</v>
      </c>
      <c r="G23" s="19">
        <v>831.0</v>
      </c>
      <c r="H23" s="19">
        <v>8.75349E7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ht="15.75" customHeight="1">
      <c r="A24" s="40" t="s">
        <v>54</v>
      </c>
      <c r="B24" s="38" t="s">
        <v>74</v>
      </c>
      <c r="C24" s="19">
        <v>120.0</v>
      </c>
      <c r="D24" s="19">
        <v>1.00381E7</v>
      </c>
      <c r="E24" s="19">
        <v>32.0</v>
      </c>
      <c r="F24" s="19">
        <v>5004900.0</v>
      </c>
      <c r="G24" s="19">
        <v>152.0</v>
      </c>
      <c r="H24" s="19">
        <v>1.5043E7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ht="15.75" customHeight="1">
      <c r="A25" s="40" t="s">
        <v>79</v>
      </c>
      <c r="B25" s="38" t="s">
        <v>80</v>
      </c>
      <c r="C25" s="19">
        <v>333.0</v>
      </c>
      <c r="D25" s="19">
        <v>2.92801E7</v>
      </c>
      <c r="E25" s="19">
        <v>223.0</v>
      </c>
      <c r="F25" s="19">
        <v>1.092798E8</v>
      </c>
      <c r="G25" s="19">
        <v>556.0</v>
      </c>
      <c r="H25" s="19">
        <v>1.385599E8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ht="15.75" customHeight="1">
      <c r="A26" s="40" t="s">
        <v>79</v>
      </c>
      <c r="B26" s="38" t="s">
        <v>82</v>
      </c>
      <c r="C26" s="19">
        <v>808.0</v>
      </c>
      <c r="D26" s="19">
        <v>6.65577E7</v>
      </c>
      <c r="E26" s="19">
        <v>109.0</v>
      </c>
      <c r="F26" s="19">
        <v>1.3088805E7</v>
      </c>
      <c r="G26" s="19">
        <v>917.0</v>
      </c>
      <c r="H26" s="19">
        <v>7.9646505E7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ht="15.75" customHeight="1">
      <c r="A27" s="19" t="s">
        <v>79</v>
      </c>
      <c r="B27" s="33" t="s">
        <v>65</v>
      </c>
      <c r="C27" s="23">
        <v>93.0</v>
      </c>
      <c r="D27" s="23">
        <v>4340800.0</v>
      </c>
      <c r="E27" s="23">
        <v>14.0</v>
      </c>
      <c r="F27" s="23">
        <v>1063100.0</v>
      </c>
      <c r="G27" s="23">
        <v>107.0</v>
      </c>
      <c r="H27" s="23">
        <v>5403900.0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ht="15.75" customHeight="1">
      <c r="A28" s="19" t="s">
        <v>79</v>
      </c>
      <c r="B28" s="21" t="s">
        <v>87</v>
      </c>
      <c r="C28" s="23">
        <v>802.0</v>
      </c>
      <c r="D28" s="23">
        <v>5.66759E7</v>
      </c>
      <c r="E28" s="23">
        <v>196.0</v>
      </c>
      <c r="F28" s="23">
        <v>3.138547E7</v>
      </c>
      <c r="G28" s="23">
        <v>998.0</v>
      </c>
      <c r="H28" s="23">
        <v>8.806137E7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ht="15.75" customHeight="1">
      <c r="A29" s="19" t="s">
        <v>79</v>
      </c>
      <c r="B29" s="21" t="s">
        <v>90</v>
      </c>
      <c r="C29" s="23">
        <v>406.0</v>
      </c>
      <c r="D29" s="23">
        <v>4.7424725E7</v>
      </c>
      <c r="E29" s="23">
        <v>244.0</v>
      </c>
      <c r="F29" s="23">
        <v>4.89186E7</v>
      </c>
      <c r="G29" s="23">
        <v>650.0</v>
      </c>
      <c r="H29" s="23">
        <v>9.6343325E7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ht="15.75" customHeight="1">
      <c r="A30" s="19" t="s">
        <v>93</v>
      </c>
      <c r="B30" s="45" t="s">
        <v>94</v>
      </c>
      <c r="C30" s="19">
        <v>665.0</v>
      </c>
      <c r="D30" s="19">
        <v>4.59323E7</v>
      </c>
      <c r="E30" s="19">
        <v>339.0</v>
      </c>
      <c r="F30" s="19">
        <v>6.6350368E7</v>
      </c>
      <c r="G30" s="19">
        <v>1004.0</v>
      </c>
      <c r="H30" s="19">
        <v>1.12282668E8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ht="15.75" customHeight="1">
      <c r="A31" s="19" t="s">
        <v>93</v>
      </c>
      <c r="B31" s="65" t="s">
        <v>95</v>
      </c>
      <c r="C31" s="19">
        <v>10.0</v>
      </c>
      <c r="D31" s="19">
        <v>1098200.0</v>
      </c>
      <c r="E31" s="19">
        <v>14.0</v>
      </c>
      <c r="F31" s="19">
        <v>3604200.0</v>
      </c>
      <c r="G31" s="19">
        <v>24.0</v>
      </c>
      <c r="H31" s="19">
        <v>4702400.0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ht="15.75" customHeight="1">
      <c r="A32" s="19" t="s">
        <v>93</v>
      </c>
      <c r="B32" s="65" t="s">
        <v>29</v>
      </c>
      <c r="C32" s="19">
        <v>48.0</v>
      </c>
      <c r="D32" s="19">
        <v>4655400.0</v>
      </c>
      <c r="E32" s="19">
        <v>48.0</v>
      </c>
      <c r="F32" s="19">
        <v>1.08893E7</v>
      </c>
      <c r="G32" s="19">
        <v>96.0</v>
      </c>
      <c r="H32" s="19">
        <v>1.55447E7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ht="15.75" customHeight="1">
      <c r="A33" s="19" t="s">
        <v>93</v>
      </c>
      <c r="B33" s="65" t="s">
        <v>65</v>
      </c>
      <c r="C33" s="19">
        <v>151.0</v>
      </c>
      <c r="D33" s="19">
        <v>9205400.0</v>
      </c>
      <c r="E33" s="19">
        <v>138.0</v>
      </c>
      <c r="F33" s="19">
        <v>2.3104E7</v>
      </c>
      <c r="G33" s="19">
        <v>289.0</v>
      </c>
      <c r="H33" s="19">
        <v>3.23094E7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ht="15.75" customHeight="1">
      <c r="A34" s="19" t="s">
        <v>93</v>
      </c>
      <c r="B34" s="65" t="s">
        <v>43</v>
      </c>
      <c r="C34" s="19">
        <v>12.0</v>
      </c>
      <c r="D34" s="19">
        <v>728100.0</v>
      </c>
      <c r="E34" s="19">
        <v>16.0</v>
      </c>
      <c r="F34" s="19">
        <v>3100700.0</v>
      </c>
      <c r="G34" s="19">
        <v>28.0</v>
      </c>
      <c r="H34" s="19">
        <v>3828800.0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ht="15.75" customHeight="1">
      <c r="A35" s="40" t="s">
        <v>93</v>
      </c>
      <c r="B35" s="68" t="s">
        <v>97</v>
      </c>
      <c r="C35" s="25">
        <v>420.0</v>
      </c>
      <c r="D35" s="25">
        <v>2.95056E7</v>
      </c>
      <c r="E35" s="25">
        <v>396.0</v>
      </c>
      <c r="F35" s="25">
        <v>1.004927E8</v>
      </c>
      <c r="G35" s="25">
        <v>816.0</v>
      </c>
      <c r="H35" s="25">
        <v>1.299983E8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ht="15.75" customHeight="1">
      <c r="A36" s="40" t="s">
        <v>93</v>
      </c>
      <c r="B36" s="68" t="s">
        <v>98</v>
      </c>
      <c r="C36" s="25">
        <v>682.0</v>
      </c>
      <c r="D36" s="25">
        <v>4.60527E7</v>
      </c>
      <c r="E36" s="25">
        <v>290.0</v>
      </c>
      <c r="F36" s="25">
        <v>5.98972E7</v>
      </c>
      <c r="G36" s="25">
        <v>972.0</v>
      </c>
      <c r="H36" s="25">
        <v>1.059499E8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ht="15.75" customHeight="1">
      <c r="A37" s="40" t="s">
        <v>99</v>
      </c>
      <c r="B37" s="68" t="s">
        <v>100</v>
      </c>
      <c r="C37" s="25">
        <v>804.0</v>
      </c>
      <c r="D37" s="25">
        <v>5.43034E7</v>
      </c>
      <c r="E37" s="25">
        <v>121.0</v>
      </c>
      <c r="F37" s="25">
        <v>1.16554E7</v>
      </c>
      <c r="G37" s="25">
        <v>925.0</v>
      </c>
      <c r="H37" s="25">
        <v>6.59588E7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ht="15.75" customHeight="1">
      <c r="A38" s="40" t="s">
        <v>99</v>
      </c>
      <c r="B38" s="68" t="s">
        <v>101</v>
      </c>
      <c r="C38" s="25">
        <v>766.0</v>
      </c>
      <c r="D38" s="25">
        <v>5.320185E7</v>
      </c>
      <c r="E38" s="25">
        <v>139.0</v>
      </c>
      <c r="F38" s="25">
        <v>2.04404E7</v>
      </c>
      <c r="G38" s="25">
        <v>905.0</v>
      </c>
      <c r="H38" s="25">
        <v>7.364225E7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ht="15.75" customHeight="1">
      <c r="A39" s="40" t="s">
        <v>99</v>
      </c>
      <c r="B39" s="68" t="s">
        <v>102</v>
      </c>
      <c r="C39" s="25">
        <v>992.0</v>
      </c>
      <c r="D39" s="25">
        <v>6.07581E7</v>
      </c>
      <c r="E39" s="25">
        <v>199.0</v>
      </c>
      <c r="F39" s="25">
        <v>2.6937E7</v>
      </c>
      <c r="G39" s="25">
        <v>1191.0</v>
      </c>
      <c r="H39" s="25">
        <v>8.76951E7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ht="15.75" customHeight="1">
      <c r="A40" s="40" t="s">
        <v>99</v>
      </c>
      <c r="B40" s="69" t="s">
        <v>43</v>
      </c>
      <c r="C40" s="25">
        <v>7.0</v>
      </c>
      <c r="D40" s="25">
        <v>918000.0</v>
      </c>
      <c r="E40" s="25">
        <v>1.0</v>
      </c>
      <c r="F40" s="25">
        <v>20000.0</v>
      </c>
      <c r="G40" s="25">
        <v>8.0</v>
      </c>
      <c r="H40" s="25">
        <v>938000.0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ht="15.75" customHeight="1">
      <c r="A41" s="40" t="s">
        <v>99</v>
      </c>
      <c r="B41" s="68" t="s">
        <v>103</v>
      </c>
      <c r="C41" s="25">
        <v>421.0</v>
      </c>
      <c r="D41" s="25">
        <v>2.909035E7</v>
      </c>
      <c r="E41" s="25">
        <v>109.0</v>
      </c>
      <c r="F41" s="25">
        <v>1.839865E7</v>
      </c>
      <c r="G41" s="25">
        <v>530.0</v>
      </c>
      <c r="H41" s="25">
        <v>4.7489E7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ht="15.75" customHeight="1">
      <c r="A42" s="40" t="s">
        <v>104</v>
      </c>
      <c r="B42" s="69" t="s">
        <v>95</v>
      </c>
      <c r="C42" s="25">
        <v>247.0</v>
      </c>
      <c r="D42" s="25">
        <v>2.51633E7</v>
      </c>
      <c r="E42" s="25">
        <v>177.0</v>
      </c>
      <c r="F42" s="25">
        <v>6.8636E7</v>
      </c>
      <c r="G42" s="25">
        <v>424.0</v>
      </c>
      <c r="H42" s="25">
        <v>9.37993E7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ht="15.75" customHeight="1">
      <c r="A43" s="40" t="s">
        <v>104</v>
      </c>
      <c r="B43" s="68" t="s">
        <v>105</v>
      </c>
      <c r="C43" s="25">
        <v>630.0</v>
      </c>
      <c r="D43" s="25">
        <v>5.07761E7</v>
      </c>
      <c r="E43" s="25">
        <v>186.0</v>
      </c>
      <c r="F43" s="25">
        <v>2.33499E7</v>
      </c>
      <c r="G43" s="25">
        <v>816.0</v>
      </c>
      <c r="H43" s="25">
        <v>7.4126E7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ht="15.75" customHeight="1">
      <c r="A44" s="40" t="s">
        <v>104</v>
      </c>
      <c r="B44" s="68" t="s">
        <v>106</v>
      </c>
      <c r="C44" s="25">
        <v>45.0</v>
      </c>
      <c r="D44" s="25">
        <v>2682500.0</v>
      </c>
      <c r="E44" s="25">
        <v>13.0</v>
      </c>
      <c r="F44" s="25">
        <v>1835000.0</v>
      </c>
      <c r="G44" s="25">
        <v>58.0</v>
      </c>
      <c r="H44" s="25">
        <v>4517500.0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ht="15.75" customHeight="1">
      <c r="A45" s="40" t="s">
        <v>104</v>
      </c>
      <c r="B45" s="68" t="s">
        <v>107</v>
      </c>
      <c r="C45" s="25">
        <v>469.0</v>
      </c>
      <c r="D45" s="25">
        <v>3.38603E7</v>
      </c>
      <c r="E45" s="25">
        <v>118.0</v>
      </c>
      <c r="F45" s="25">
        <v>1.6936E7</v>
      </c>
      <c r="G45" s="25">
        <v>587.0</v>
      </c>
      <c r="H45" s="25">
        <v>5.07963E7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ht="15.75" customHeight="1">
      <c r="A46" s="40" t="s">
        <v>104</v>
      </c>
      <c r="B46" s="69" t="s">
        <v>43</v>
      </c>
      <c r="C46" s="25">
        <v>45.0</v>
      </c>
      <c r="D46" s="25">
        <v>3515700.0</v>
      </c>
      <c r="E46" s="25">
        <v>25.0</v>
      </c>
      <c r="F46" s="25">
        <v>5316200.0</v>
      </c>
      <c r="G46" s="25">
        <v>70.0</v>
      </c>
      <c r="H46" s="25">
        <v>8831900.0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ht="15.75" customHeight="1">
      <c r="A47" s="40" t="s">
        <v>104</v>
      </c>
      <c r="B47" s="68" t="s">
        <v>108</v>
      </c>
      <c r="C47" s="25">
        <v>373.0</v>
      </c>
      <c r="D47" s="25">
        <v>3.15733E7</v>
      </c>
      <c r="E47" s="25">
        <v>237.0</v>
      </c>
      <c r="F47" s="25">
        <v>7.5462E7</v>
      </c>
      <c r="G47" s="25">
        <v>610.0</v>
      </c>
      <c r="H47" s="25">
        <v>1.070353E8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ht="15.75" customHeight="1">
      <c r="A48" s="40" t="s">
        <v>72</v>
      </c>
      <c r="B48" s="69" t="s">
        <v>30</v>
      </c>
      <c r="C48" s="25">
        <v>20.0</v>
      </c>
      <c r="D48" s="25">
        <v>1503600.0</v>
      </c>
      <c r="E48" s="25">
        <v>14.0</v>
      </c>
      <c r="F48" s="25">
        <v>2401800.0</v>
      </c>
      <c r="G48" s="25">
        <v>34.0</v>
      </c>
      <c r="H48" s="25">
        <v>3905400.0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ht="15.75" customHeight="1">
      <c r="A49" s="40" t="s">
        <v>72</v>
      </c>
      <c r="B49" s="69" t="s">
        <v>109</v>
      </c>
      <c r="C49" s="25"/>
      <c r="D49" s="25"/>
      <c r="E49" s="25">
        <v>2.0</v>
      </c>
      <c r="F49" s="25">
        <v>773000.0</v>
      </c>
      <c r="G49" s="25">
        <v>2.0</v>
      </c>
      <c r="H49" s="25">
        <v>773000.0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ht="15.75" customHeight="1">
      <c r="A50" s="40" t="s">
        <v>72</v>
      </c>
      <c r="B50" s="45" t="s">
        <v>110</v>
      </c>
      <c r="C50" s="19">
        <v>160.0</v>
      </c>
      <c r="D50" s="19">
        <v>1.0020901E7</v>
      </c>
      <c r="E50" s="19">
        <v>143.0</v>
      </c>
      <c r="F50" s="19">
        <v>1.852895E7</v>
      </c>
      <c r="G50" s="19">
        <v>303.0</v>
      </c>
      <c r="H50" s="19">
        <v>2.8549851E7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ht="15.75" customHeight="1">
      <c r="A51" s="40" t="s">
        <v>72</v>
      </c>
      <c r="B51" s="45" t="s">
        <v>70</v>
      </c>
      <c r="C51" s="19">
        <v>391.0</v>
      </c>
      <c r="D51" s="19">
        <v>2.6034702E7</v>
      </c>
      <c r="E51" s="19">
        <v>237.0</v>
      </c>
      <c r="F51" s="19">
        <v>3.6920401E7</v>
      </c>
      <c r="G51" s="19">
        <v>628.0</v>
      </c>
      <c r="H51" s="19">
        <v>6.2955103E7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ht="15.75" customHeight="1">
      <c r="A52" s="40" t="s">
        <v>72</v>
      </c>
      <c r="B52" s="45" t="s">
        <v>111</v>
      </c>
      <c r="C52" s="19">
        <v>273.0</v>
      </c>
      <c r="D52" s="19">
        <v>1.63604E7</v>
      </c>
      <c r="E52" s="19">
        <v>168.0</v>
      </c>
      <c r="F52" s="19">
        <v>2.80021E7</v>
      </c>
      <c r="G52" s="19">
        <v>441.0</v>
      </c>
      <c r="H52" s="19">
        <v>4.43625E7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ht="15.75" customHeight="1">
      <c r="A53" s="40" t="s">
        <v>72</v>
      </c>
      <c r="B53" s="65" t="s">
        <v>34</v>
      </c>
      <c r="C53" s="19">
        <v>392.0</v>
      </c>
      <c r="D53" s="19">
        <v>2.77282E7</v>
      </c>
      <c r="E53" s="19">
        <v>222.0</v>
      </c>
      <c r="F53" s="19">
        <v>4.358785E7</v>
      </c>
      <c r="G53" s="19">
        <v>614.0</v>
      </c>
      <c r="H53" s="19">
        <v>7.131605E7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ht="15.75" customHeight="1">
      <c r="A54" s="40" t="s">
        <v>72</v>
      </c>
      <c r="B54" s="45" t="s">
        <v>112</v>
      </c>
      <c r="C54" s="19">
        <v>511.0</v>
      </c>
      <c r="D54" s="19">
        <v>4.75298E7</v>
      </c>
      <c r="E54" s="19">
        <v>432.0</v>
      </c>
      <c r="F54" s="19">
        <v>1.173233E8</v>
      </c>
      <c r="G54" s="19">
        <v>943.0</v>
      </c>
      <c r="H54" s="19">
        <v>1.648531E8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ht="15.75" customHeight="1">
      <c r="A55" s="40" t="s">
        <v>72</v>
      </c>
      <c r="B55" s="65" t="s">
        <v>49</v>
      </c>
      <c r="C55" s="19">
        <v>655.0</v>
      </c>
      <c r="D55" s="19">
        <v>5.8374052E7</v>
      </c>
      <c r="E55" s="19">
        <v>180.0</v>
      </c>
      <c r="F55" s="19">
        <v>2.550864E7</v>
      </c>
      <c r="G55" s="19">
        <v>835.0</v>
      </c>
      <c r="H55" s="19">
        <v>8.3882692E7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ht="15.75" customHeight="1">
      <c r="A56" s="40" t="s">
        <v>113</v>
      </c>
      <c r="B56" s="68" t="s">
        <v>114</v>
      </c>
      <c r="C56" s="25">
        <v>140.0</v>
      </c>
      <c r="D56" s="25">
        <v>1.34367E7</v>
      </c>
      <c r="E56" s="25">
        <v>44.0</v>
      </c>
      <c r="F56" s="25">
        <v>1.75803E7</v>
      </c>
      <c r="G56" s="25">
        <v>184.0</v>
      </c>
      <c r="H56" s="25">
        <v>3.1017E7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ht="15.75" customHeight="1">
      <c r="A57" s="40" t="s">
        <v>113</v>
      </c>
      <c r="B57" s="68" t="s">
        <v>117</v>
      </c>
      <c r="C57" s="25">
        <v>841.0</v>
      </c>
      <c r="D57" s="25">
        <v>9.6897085E7</v>
      </c>
      <c r="E57" s="25">
        <v>602.0</v>
      </c>
      <c r="F57" s="25">
        <v>9.573295E7</v>
      </c>
      <c r="G57" s="25">
        <v>1443.0</v>
      </c>
      <c r="H57" s="25">
        <v>1.92630035E8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ht="15.75" customHeight="1">
      <c r="A58" s="40" t="s">
        <v>113</v>
      </c>
      <c r="B58" s="69" t="s">
        <v>109</v>
      </c>
      <c r="C58" s="25"/>
      <c r="D58" s="25"/>
      <c r="E58" s="25">
        <v>1.0</v>
      </c>
      <c r="F58" s="25">
        <v>49000.0</v>
      </c>
      <c r="G58" s="25">
        <v>1.0</v>
      </c>
      <c r="H58" s="25">
        <v>49000.0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ht="15.75" customHeight="1">
      <c r="A59" s="40" t="s">
        <v>113</v>
      </c>
      <c r="B59" s="45" t="s">
        <v>118</v>
      </c>
      <c r="C59" s="19">
        <v>417.0</v>
      </c>
      <c r="D59" s="19">
        <v>5.2907633E7</v>
      </c>
      <c r="E59" s="19">
        <v>519.0</v>
      </c>
      <c r="F59" s="19">
        <v>1.55622967E8</v>
      </c>
      <c r="G59" s="19">
        <v>936.0</v>
      </c>
      <c r="H59" s="19">
        <v>2.085306E8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ht="15.75" customHeight="1">
      <c r="A60" s="40" t="s">
        <v>113</v>
      </c>
      <c r="B60" s="45" t="s">
        <v>119</v>
      </c>
      <c r="C60" s="19">
        <v>663.0</v>
      </c>
      <c r="D60" s="19">
        <v>7.9617694E7</v>
      </c>
      <c r="E60" s="19">
        <v>454.0</v>
      </c>
      <c r="F60" s="19">
        <v>1.09454692E8</v>
      </c>
      <c r="G60" s="19">
        <v>1117.0</v>
      </c>
      <c r="H60" s="19">
        <v>1.89072386E8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ht="15.75" customHeight="1">
      <c r="A61" s="40" t="s">
        <v>113</v>
      </c>
      <c r="B61" s="45" t="s">
        <v>120</v>
      </c>
      <c r="C61" s="19">
        <v>298.0</v>
      </c>
      <c r="D61" s="19">
        <v>3.073028E7</v>
      </c>
      <c r="E61" s="19">
        <v>435.0</v>
      </c>
      <c r="F61" s="19">
        <v>1.342362E8</v>
      </c>
      <c r="G61" s="19">
        <v>733.0</v>
      </c>
      <c r="H61" s="19">
        <v>1.6496648E8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ht="15.75" customHeight="1">
      <c r="A62" s="40" t="s">
        <v>116</v>
      </c>
      <c r="B62" s="65" t="s">
        <v>29</v>
      </c>
      <c r="C62" s="19">
        <v>22.0</v>
      </c>
      <c r="D62" s="19">
        <v>1.10251E7</v>
      </c>
      <c r="E62" s="19">
        <v>3.0</v>
      </c>
      <c r="F62" s="19">
        <v>533000.0</v>
      </c>
      <c r="G62" s="19">
        <v>25.0</v>
      </c>
      <c r="H62" s="19">
        <v>1.15581E7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ht="15.75" customHeight="1">
      <c r="A63" s="40" t="s">
        <v>116</v>
      </c>
      <c r="B63" s="45" t="s">
        <v>122</v>
      </c>
      <c r="C63" s="19">
        <v>643.0</v>
      </c>
      <c r="D63" s="19">
        <v>2.2129384E8</v>
      </c>
      <c r="E63" s="19">
        <v>226.0</v>
      </c>
      <c r="F63" s="19">
        <v>7.0229849E7</v>
      </c>
      <c r="G63" s="19">
        <v>869.0</v>
      </c>
      <c r="H63" s="19">
        <v>2.91523689E8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ht="15.75" customHeight="1">
      <c r="A64" s="40" t="s">
        <v>116</v>
      </c>
      <c r="B64" s="45" t="s">
        <v>123</v>
      </c>
      <c r="C64" s="19">
        <v>728.0</v>
      </c>
      <c r="D64" s="19">
        <v>1.319937E8</v>
      </c>
      <c r="E64" s="19">
        <v>237.0</v>
      </c>
      <c r="F64" s="19">
        <v>4.92786E7</v>
      </c>
      <c r="G64" s="19">
        <v>965.0</v>
      </c>
      <c r="H64" s="19">
        <v>1.812723E8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ht="15.75" customHeight="1">
      <c r="A65" s="40" t="s">
        <v>116</v>
      </c>
      <c r="B65" s="45" t="s">
        <v>115</v>
      </c>
      <c r="C65" s="19">
        <v>440.0</v>
      </c>
      <c r="D65" s="19">
        <v>1.707362E8</v>
      </c>
      <c r="E65" s="19">
        <v>156.0</v>
      </c>
      <c r="F65" s="19">
        <v>3.5774901E7</v>
      </c>
      <c r="G65" s="19">
        <v>596.0</v>
      </c>
      <c r="H65" s="19">
        <v>2.06511101E8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ht="15.75" customHeight="1">
      <c r="A66" s="40" t="s">
        <v>116</v>
      </c>
      <c r="B66" s="68" t="s">
        <v>124</v>
      </c>
      <c r="C66" s="25">
        <v>553.0</v>
      </c>
      <c r="D66" s="25">
        <v>1.098651E8</v>
      </c>
      <c r="E66" s="25">
        <v>145.0</v>
      </c>
      <c r="F66" s="25">
        <v>2.13405E7</v>
      </c>
      <c r="G66" s="25">
        <v>698.0</v>
      </c>
      <c r="H66" s="25">
        <v>1.312056E8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ht="15.75" customHeight="1">
      <c r="A67" s="40" t="s">
        <v>116</v>
      </c>
      <c r="B67" s="68" t="s">
        <v>125</v>
      </c>
      <c r="C67" s="25">
        <v>558.0</v>
      </c>
      <c r="D67" s="25">
        <v>1.2449857E8</v>
      </c>
      <c r="E67" s="25">
        <v>138.0</v>
      </c>
      <c r="F67" s="25">
        <v>1.78353E7</v>
      </c>
      <c r="G67" s="25">
        <v>696.0</v>
      </c>
      <c r="H67" s="25">
        <v>1.4233387E8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ht="15.75" customHeight="1">
      <c r="A68" s="40"/>
      <c r="B68" s="6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ht="15.75" customHeight="1">
      <c r="A69" s="40"/>
      <c r="B69" s="68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ht="15.75" customHeight="1">
      <c r="A70" s="40"/>
      <c r="B70" s="6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ht="15.75" customHeight="1">
      <c r="A71" s="40"/>
      <c r="B71" s="45"/>
      <c r="C71" s="19"/>
      <c r="D71" s="19"/>
      <c r="E71" s="19"/>
      <c r="F71" s="19"/>
      <c r="G71" s="19"/>
      <c r="H71" s="19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ht="15.75" customHeight="1">
      <c r="A72" s="19"/>
      <c r="B72" s="45"/>
      <c r="C72" s="19"/>
      <c r="D72" s="19"/>
      <c r="E72" s="19"/>
      <c r="F72" s="19"/>
      <c r="G72" s="19"/>
      <c r="H72" s="19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ht="15.75" customHeight="1">
      <c r="A73" s="19"/>
      <c r="B73" s="68"/>
      <c r="C73" s="25"/>
      <c r="D73" s="25"/>
      <c r="E73" s="25"/>
      <c r="F73" s="25"/>
      <c r="G73" s="25"/>
      <c r="H73" s="19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ht="15.75" customHeight="1">
      <c r="A74" s="19"/>
      <c r="B74" s="68"/>
      <c r="C74" s="25"/>
      <c r="D74" s="25"/>
      <c r="E74" s="25"/>
      <c r="F74" s="25"/>
      <c r="G74" s="25"/>
      <c r="H74" s="19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ht="15.75" customHeight="1">
      <c r="A75" s="19"/>
      <c r="B75" s="68"/>
      <c r="C75" s="25"/>
      <c r="D75" s="25"/>
      <c r="E75" s="25"/>
      <c r="F75" s="25"/>
      <c r="G75" s="25"/>
      <c r="H75" s="19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ht="15.75" customHeight="1">
      <c r="A76" s="19"/>
      <c r="B76" s="68"/>
      <c r="C76" s="25"/>
      <c r="D76" s="25"/>
      <c r="E76" s="25"/>
      <c r="F76" s="25"/>
      <c r="G76" s="25"/>
      <c r="H76" s="19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ht="15.75" customHeight="1">
      <c r="A77" s="19"/>
      <c r="B77" s="45"/>
      <c r="C77" s="19"/>
      <c r="D77" s="19"/>
      <c r="E77" s="19"/>
      <c r="F77" s="19"/>
      <c r="G77" s="19"/>
      <c r="H77" s="19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ht="15.75" customHeight="1">
      <c r="A78" s="19"/>
      <c r="B78" s="45"/>
      <c r="C78" s="19"/>
      <c r="D78" s="19"/>
      <c r="E78" s="19"/>
      <c r="F78" s="19"/>
      <c r="G78" s="19"/>
      <c r="H78" s="19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ht="15.75" customHeight="1">
      <c r="A79" s="19"/>
      <c r="B79" s="45"/>
      <c r="C79" s="19"/>
      <c r="D79" s="19"/>
      <c r="E79" s="19"/>
      <c r="F79" s="19"/>
      <c r="G79" s="19"/>
      <c r="H79" s="19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ht="15.75" customHeight="1">
      <c r="A80" s="19"/>
      <c r="B80" s="45"/>
      <c r="C80" s="19"/>
      <c r="D80" s="19"/>
      <c r="E80" s="19"/>
      <c r="F80" s="19"/>
      <c r="G80" s="19"/>
      <c r="H80" s="19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ht="15.75" customHeight="1">
      <c r="A81" s="19"/>
      <c r="B81" s="6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ht="15.75" customHeight="1">
      <c r="A82" s="19"/>
      <c r="B82" s="6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ht="15.75" customHeight="1">
      <c r="A83" s="19"/>
      <c r="B83" s="6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ht="15.75" customHeight="1">
      <c r="A84" s="19"/>
      <c r="B84" s="6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ht="15.75" customHeight="1">
      <c r="A85" s="19"/>
      <c r="B85" s="68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ht="15.75" customHeight="1">
      <c r="A86" s="19"/>
      <c r="B86" s="68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ht="15.75" customHeight="1">
      <c r="A87" s="19"/>
      <c r="B87" s="45"/>
      <c r="C87" s="19"/>
      <c r="D87" s="19"/>
      <c r="E87" s="19"/>
      <c r="F87" s="19"/>
      <c r="G87" s="19"/>
      <c r="H87" s="19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ht="15.75" customHeight="1">
      <c r="A88" s="19"/>
      <c r="B88" s="45"/>
      <c r="C88" s="19"/>
      <c r="D88" s="19"/>
      <c r="E88" s="19"/>
      <c r="F88" s="19"/>
      <c r="G88" s="19"/>
      <c r="H88" s="19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ht="15.75" customHeight="1">
      <c r="A89" s="19"/>
      <c r="B89" s="53"/>
      <c r="C89" s="19"/>
      <c r="D89" s="19"/>
      <c r="E89" s="19"/>
      <c r="F89" s="19"/>
      <c r="G89" s="19"/>
      <c r="H89" s="19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ht="15.75" customHeight="1">
      <c r="A90" s="19"/>
      <c r="B90" s="68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ht="15.75" customHeight="1">
      <c r="A91" s="19"/>
      <c r="B91" s="68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ht="15.75" customHeight="1">
      <c r="A92" s="19"/>
      <c r="B92" s="68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ht="15.75" customHeight="1">
      <c r="A93" s="19"/>
      <c r="B93" s="68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ht="15.75" customHeight="1">
      <c r="A94" s="19"/>
      <c r="B94" s="68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ht="15.75" customHeight="1">
      <c r="A95" s="19"/>
      <c r="B95" s="68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ht="15.75" customHeight="1">
      <c r="A96" s="19"/>
      <c r="B96" s="38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ht="15.75" customHeight="1">
      <c r="A97" s="19"/>
      <c r="B97" s="68"/>
      <c r="C97" s="25"/>
      <c r="D97" s="25"/>
      <c r="E97" s="78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ht="15.75" customHeight="1">
      <c r="A98" s="19"/>
      <c r="B98" s="68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ht="15.75" customHeight="1">
      <c r="A99" s="19"/>
      <c r="B99" s="68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ht="15.75" customHeight="1">
      <c r="A100" s="19"/>
      <c r="B100" s="68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ht="15.75" customHeight="1">
      <c r="A101" s="19"/>
      <c r="B101" s="68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ht="15.75" customHeight="1">
      <c r="A102" s="19"/>
      <c r="B102" s="68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ht="15.75" customHeight="1">
      <c r="A103" s="19"/>
      <c r="B103" s="68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ht="15.75" customHeight="1">
      <c r="A104" s="19"/>
      <c r="B104" s="68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ht="15.75" customHeight="1">
      <c r="A105" s="19"/>
      <c r="B105" s="68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ht="15.75" customHeight="1">
      <c r="A106" s="19"/>
      <c r="B106" s="68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ht="15.75" customHeight="1">
      <c r="A107" s="19"/>
      <c r="B107" s="68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ht="15.75" customHeight="1">
      <c r="A108" s="19"/>
      <c r="B108" s="68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ht="15.75" customHeight="1">
      <c r="A109" s="19"/>
      <c r="B109" s="68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ht="15.75" customHeight="1">
      <c r="A110" s="19"/>
      <c r="B110" s="6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ht="15.75" customHeight="1">
      <c r="A111" s="19"/>
      <c r="B111" s="68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ht="15.75" customHeight="1">
      <c r="A112" s="19"/>
      <c r="B112" s="68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ht="15.75" customHeight="1">
      <c r="A113" s="19"/>
      <c r="B113" s="79"/>
      <c r="C113" s="25"/>
      <c r="D113" s="25"/>
      <c r="E113" s="25"/>
      <c r="F113" s="25"/>
      <c r="G113" s="25"/>
      <c r="H113" s="25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</row>
    <row r="114" ht="15.75" customHeight="1">
      <c r="A114" s="80"/>
      <c r="B114" s="79"/>
      <c r="C114" s="25"/>
      <c r="D114" s="25"/>
      <c r="E114" s="25"/>
      <c r="F114" s="25"/>
      <c r="G114" s="25"/>
      <c r="H114" s="25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</row>
    <row r="115" ht="15.75" customHeight="1">
      <c r="A115" s="80"/>
      <c r="B115" s="79"/>
      <c r="C115" s="25"/>
      <c r="D115" s="25"/>
      <c r="E115" s="25"/>
      <c r="F115" s="25"/>
      <c r="G115" s="25"/>
      <c r="H115" s="25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</row>
    <row r="116" ht="15.75" customHeight="1">
      <c r="A116" s="80"/>
      <c r="B116" s="79"/>
      <c r="C116" s="25"/>
      <c r="D116" s="25"/>
      <c r="E116" s="25"/>
      <c r="F116" s="25"/>
      <c r="G116" s="25"/>
      <c r="H116" s="25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</row>
    <row r="117" ht="15.75" customHeight="1">
      <c r="A117" s="80"/>
      <c r="B117" s="79"/>
      <c r="C117" s="25"/>
      <c r="D117" s="25"/>
      <c r="E117" s="25"/>
      <c r="F117" s="25"/>
      <c r="G117" s="25"/>
      <c r="H117" s="25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</row>
    <row r="118" ht="15.75" customHeight="1">
      <c r="A118" s="80"/>
      <c r="B118" s="79"/>
      <c r="C118" s="25"/>
      <c r="D118" s="25"/>
      <c r="E118" s="25"/>
      <c r="F118" s="25"/>
      <c r="G118" s="25"/>
      <c r="H118" s="25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</row>
    <row r="119" ht="15.75" customHeight="1">
      <c r="A119" s="80"/>
      <c r="B119" s="79"/>
      <c r="C119" s="25"/>
      <c r="D119" s="25"/>
      <c r="E119" s="25"/>
      <c r="F119" s="25"/>
      <c r="G119" s="25"/>
      <c r="H119" s="25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</row>
    <row r="120" ht="15.75" customHeight="1">
      <c r="A120" s="80"/>
      <c r="B120" s="79"/>
      <c r="C120" s="25"/>
      <c r="D120" s="25"/>
      <c r="E120" s="25"/>
      <c r="F120" s="25"/>
      <c r="G120" s="25"/>
      <c r="H120" s="25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</row>
    <row r="121" ht="15.75" customHeight="1">
      <c r="A121" s="80"/>
      <c r="B121" s="79"/>
      <c r="C121" s="25"/>
      <c r="D121" s="25"/>
      <c r="E121" s="25"/>
      <c r="F121" s="25"/>
      <c r="G121" s="25"/>
      <c r="H121" s="25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</row>
    <row r="122" ht="15.75" customHeight="1">
      <c r="A122" s="80"/>
      <c r="B122" s="79"/>
      <c r="C122" s="25"/>
      <c r="D122" s="25"/>
      <c r="E122" s="25"/>
      <c r="F122" s="25"/>
      <c r="G122" s="25"/>
      <c r="H122" s="25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</row>
    <row r="123" ht="15.75" customHeight="1">
      <c r="A123" s="80"/>
      <c r="B123" s="79"/>
      <c r="C123" s="25"/>
      <c r="D123" s="25"/>
      <c r="E123" s="25"/>
      <c r="F123" s="25"/>
      <c r="G123" s="25"/>
      <c r="H123" s="25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</row>
    <row r="124" ht="15.75" customHeight="1">
      <c r="A124" s="80"/>
      <c r="B124" s="79"/>
      <c r="C124" s="25"/>
      <c r="D124" s="25"/>
      <c r="E124" s="25"/>
      <c r="F124" s="25"/>
      <c r="G124" s="25"/>
      <c r="H124" s="25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</row>
    <row r="125" ht="15.75" customHeight="1">
      <c r="A125" s="80"/>
      <c r="B125" s="79"/>
      <c r="C125" s="25"/>
      <c r="D125" s="25"/>
      <c r="E125" s="25"/>
      <c r="F125" s="25"/>
      <c r="G125" s="25"/>
      <c r="H125" s="25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</row>
    <row r="126" ht="15.75" customHeight="1">
      <c r="A126" s="80"/>
      <c r="B126" s="79"/>
      <c r="C126" s="25"/>
      <c r="D126" s="25"/>
      <c r="E126" s="25"/>
      <c r="F126" s="25"/>
      <c r="G126" s="25"/>
      <c r="H126" s="25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</row>
    <row r="127" ht="15.75" customHeight="1">
      <c r="A127" s="80"/>
      <c r="B127" s="79"/>
      <c r="C127" s="25"/>
      <c r="D127" s="25"/>
      <c r="E127" s="25"/>
      <c r="F127" s="25"/>
      <c r="G127" s="25"/>
      <c r="H127" s="25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</row>
    <row r="128" ht="15.75" customHeight="1">
      <c r="A128" s="80"/>
      <c r="B128" s="79"/>
      <c r="C128" s="25"/>
      <c r="D128" s="25"/>
      <c r="E128" s="25"/>
      <c r="F128" s="25"/>
      <c r="G128" s="25"/>
      <c r="H128" s="25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</row>
    <row r="129" ht="15.75" customHeight="1">
      <c r="A129" s="80"/>
      <c r="B129" s="79"/>
      <c r="C129" s="25"/>
      <c r="D129" s="25"/>
      <c r="E129" s="25"/>
      <c r="F129" s="25"/>
      <c r="G129" s="25"/>
      <c r="H129" s="25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</row>
    <row r="130" ht="15.75" customHeight="1">
      <c r="A130" s="80"/>
      <c r="B130" s="79"/>
      <c r="C130" s="25"/>
      <c r="D130" s="25"/>
      <c r="E130" s="25"/>
      <c r="F130" s="19"/>
      <c r="G130" s="25"/>
      <c r="H130" s="25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</row>
    <row r="131" ht="15.75" customHeight="1">
      <c r="A131" s="80"/>
      <c r="B131" s="79"/>
      <c r="C131" s="25"/>
      <c r="D131" s="25"/>
      <c r="E131" s="25"/>
      <c r="F131" s="19"/>
      <c r="G131" s="25"/>
      <c r="H131" s="25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</row>
    <row r="132" ht="15.75" customHeight="1">
      <c r="A132" s="80"/>
      <c r="B132" s="79"/>
      <c r="C132" s="25"/>
      <c r="D132" s="25"/>
      <c r="E132" s="25"/>
      <c r="F132" s="19"/>
      <c r="G132" s="25"/>
      <c r="H132" s="25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</row>
    <row r="133" ht="15.75" customHeight="1">
      <c r="A133" s="80"/>
      <c r="B133" s="79"/>
      <c r="C133" s="25"/>
      <c r="D133" s="25"/>
      <c r="E133" s="25"/>
      <c r="F133" s="19"/>
      <c r="G133" s="25"/>
      <c r="H133" s="25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</row>
    <row r="134" ht="15.75" customHeight="1">
      <c r="A134" s="80"/>
      <c r="B134" s="79"/>
      <c r="C134" s="25"/>
      <c r="D134" s="25"/>
      <c r="E134" s="25"/>
      <c r="F134" s="19"/>
      <c r="G134" s="25"/>
      <c r="H134" s="25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</row>
    <row r="135" ht="15.75" customHeight="1">
      <c r="A135" s="80"/>
      <c r="B135" s="79"/>
      <c r="C135" s="25"/>
      <c r="D135" s="25"/>
      <c r="E135" s="25"/>
      <c r="F135" s="25"/>
      <c r="G135" s="25"/>
      <c r="H135" s="25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</row>
    <row r="136" ht="15.75" customHeight="1">
      <c r="A136" s="80"/>
      <c r="B136" s="79"/>
      <c r="C136" s="25"/>
      <c r="D136" s="25"/>
      <c r="E136" s="25"/>
      <c r="F136" s="25"/>
      <c r="G136" s="25"/>
      <c r="H136" s="25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</row>
    <row r="137" ht="15.75" customHeight="1">
      <c r="A137" s="80"/>
      <c r="B137" s="79"/>
      <c r="C137" s="25"/>
      <c r="D137" s="25"/>
      <c r="E137" s="25"/>
      <c r="F137" s="25"/>
      <c r="G137" s="25"/>
      <c r="H137" s="25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</row>
    <row r="138" ht="15.75" customHeight="1">
      <c r="A138" s="80"/>
      <c r="B138" s="79"/>
      <c r="C138" s="25"/>
      <c r="D138" s="25"/>
      <c r="E138" s="25"/>
      <c r="F138" s="25"/>
      <c r="G138" s="25"/>
      <c r="H138" s="25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</row>
    <row r="139" ht="15.75" customHeight="1">
      <c r="A139" s="80"/>
      <c r="B139" s="79"/>
      <c r="C139" s="25"/>
      <c r="D139" s="25"/>
      <c r="E139" s="25"/>
      <c r="F139" s="25"/>
      <c r="G139" s="25"/>
      <c r="H139" s="25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</row>
    <row r="140" ht="15.75" customHeight="1">
      <c r="A140" s="80"/>
      <c r="B140" s="52"/>
      <c r="C140" s="25"/>
      <c r="D140" s="25"/>
      <c r="E140" s="25"/>
      <c r="F140" s="25"/>
      <c r="G140" s="25"/>
      <c r="H140" s="25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</row>
    <row r="141" ht="15.75" customHeight="1">
      <c r="A141" s="80"/>
      <c r="B141" s="52"/>
      <c r="C141" s="25"/>
      <c r="D141" s="25"/>
      <c r="E141" s="25"/>
      <c r="F141" s="25"/>
      <c r="G141" s="25"/>
      <c r="H141" s="25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</row>
    <row r="142" ht="15.75" customHeight="1">
      <c r="A142" s="80"/>
      <c r="B142" s="52"/>
      <c r="C142" s="25"/>
      <c r="D142" s="25"/>
      <c r="E142" s="25"/>
      <c r="F142" s="25"/>
      <c r="G142" s="25"/>
      <c r="H142" s="25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</row>
    <row r="143" ht="15.75" customHeight="1">
      <c r="A143" s="80"/>
      <c r="B143" s="52"/>
      <c r="C143" s="25"/>
      <c r="D143" s="25"/>
      <c r="E143" s="25"/>
      <c r="F143" s="25"/>
      <c r="G143" s="25"/>
      <c r="H143" s="25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</row>
    <row r="144" ht="15.75" customHeight="1">
      <c r="A144" s="80"/>
      <c r="B144" s="52"/>
      <c r="C144" s="25"/>
      <c r="D144" s="25"/>
      <c r="E144" s="25"/>
      <c r="F144" s="25"/>
      <c r="G144" s="25"/>
      <c r="H144" s="25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</row>
    <row r="145" ht="15.75" customHeight="1">
      <c r="A145" s="80"/>
      <c r="B145" s="52"/>
      <c r="C145" s="25"/>
      <c r="D145" s="25"/>
      <c r="E145" s="25"/>
      <c r="F145" s="25"/>
      <c r="G145" s="25"/>
      <c r="H145" s="25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</row>
    <row r="146" ht="15.75" customHeight="1">
      <c r="A146" s="80"/>
      <c r="B146" s="52"/>
      <c r="C146" s="25"/>
      <c r="D146" s="25"/>
      <c r="E146" s="25"/>
      <c r="F146" s="25"/>
      <c r="G146" s="25"/>
      <c r="H146" s="25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</row>
    <row r="147" ht="15.75" customHeight="1">
      <c r="A147" s="80"/>
      <c r="B147" s="52"/>
      <c r="C147" s="25"/>
      <c r="D147" s="25"/>
      <c r="E147" s="25"/>
      <c r="F147" s="25"/>
      <c r="G147" s="25"/>
      <c r="H147" s="25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</row>
    <row r="148" ht="15.75" customHeight="1">
      <c r="A148" s="80"/>
      <c r="B148" s="52"/>
      <c r="C148" s="25"/>
      <c r="D148" s="25"/>
      <c r="E148" s="25"/>
      <c r="F148" s="25"/>
      <c r="G148" s="25"/>
      <c r="H148" s="25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</row>
    <row r="149" ht="15.75" customHeight="1">
      <c r="A149" s="80"/>
      <c r="B149" s="52"/>
      <c r="C149" s="25"/>
      <c r="D149" s="25"/>
      <c r="E149" s="25"/>
      <c r="F149" s="25"/>
      <c r="G149" s="25"/>
      <c r="H149" s="25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</row>
    <row r="150" ht="15.75" customHeight="1">
      <c r="A150" s="80"/>
      <c r="B150" s="52"/>
      <c r="C150" s="25"/>
      <c r="D150" s="25"/>
      <c r="E150" s="25"/>
      <c r="F150" s="25"/>
      <c r="G150" s="25"/>
      <c r="H150" s="25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</row>
    <row r="151" ht="15.75" customHeight="1">
      <c r="A151" s="80"/>
      <c r="B151" s="52"/>
      <c r="C151" s="25"/>
      <c r="D151" s="25"/>
      <c r="E151" s="25"/>
      <c r="F151" s="25"/>
      <c r="G151" s="25"/>
      <c r="H151" s="25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</row>
    <row r="152" ht="15.75" customHeight="1">
      <c r="A152" s="80"/>
      <c r="B152" s="52"/>
      <c r="C152" s="25"/>
      <c r="D152" s="25"/>
      <c r="E152" s="25"/>
      <c r="F152" s="25"/>
      <c r="G152" s="25"/>
      <c r="H152" s="25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</row>
    <row r="153" ht="15.75" customHeight="1">
      <c r="A153" s="80"/>
      <c r="B153" s="52"/>
      <c r="C153" s="25"/>
      <c r="D153" s="25"/>
      <c r="E153" s="25"/>
      <c r="F153" s="25"/>
      <c r="G153" s="25"/>
      <c r="H153" s="25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</row>
    <row r="154" ht="15.75" customHeight="1">
      <c r="A154" s="80"/>
      <c r="B154" s="52"/>
      <c r="C154" s="25"/>
      <c r="D154" s="25"/>
      <c r="E154" s="25"/>
      <c r="F154" s="25"/>
      <c r="G154" s="25"/>
      <c r="H154" s="25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</row>
    <row r="155" ht="15.75" customHeight="1">
      <c r="A155" s="80"/>
      <c r="B155" s="52"/>
      <c r="C155" s="25"/>
      <c r="D155" s="25"/>
      <c r="E155" s="25"/>
      <c r="F155" s="25"/>
      <c r="G155" s="25"/>
      <c r="H155" s="25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</row>
    <row r="156" ht="15.75" customHeight="1">
      <c r="A156" s="80"/>
      <c r="B156" s="52"/>
      <c r="C156" s="25"/>
      <c r="D156" s="25"/>
      <c r="E156" s="25"/>
      <c r="F156" s="25"/>
      <c r="G156" s="25"/>
      <c r="H156" s="25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</row>
    <row r="157" ht="15.75" customHeight="1">
      <c r="A157" s="80"/>
      <c r="B157" s="52"/>
      <c r="C157" s="25"/>
      <c r="D157" s="25"/>
      <c r="E157" s="25"/>
      <c r="F157" s="25"/>
      <c r="G157" s="25"/>
      <c r="H157" s="25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</row>
    <row r="158" ht="15.75" customHeight="1">
      <c r="A158" s="80"/>
      <c r="B158" s="52"/>
      <c r="C158" s="25"/>
      <c r="D158" s="25"/>
      <c r="E158" s="25"/>
      <c r="F158" s="25"/>
      <c r="G158" s="25"/>
      <c r="H158" s="25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</row>
    <row r="159" ht="15.75" customHeight="1">
      <c r="A159" s="80"/>
      <c r="B159" s="52"/>
      <c r="C159" s="25"/>
      <c r="D159" s="25"/>
      <c r="E159" s="25"/>
      <c r="F159" s="25"/>
      <c r="G159" s="25"/>
      <c r="H159" s="25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</row>
    <row r="160" ht="15.75" customHeight="1">
      <c r="A160" s="80"/>
      <c r="B160" s="52"/>
      <c r="C160" s="25"/>
      <c r="D160" s="25"/>
      <c r="E160" s="25"/>
      <c r="F160" s="25"/>
      <c r="G160" s="25"/>
      <c r="H160" s="25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</row>
    <row r="161" ht="15.75" customHeight="1">
      <c r="A161" s="80"/>
      <c r="B161" s="52"/>
      <c r="C161" s="25"/>
      <c r="D161" s="25"/>
      <c r="E161" s="25"/>
      <c r="F161" s="25"/>
      <c r="G161" s="25"/>
      <c r="H161" s="25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</row>
    <row r="162" ht="15.75" customHeight="1">
      <c r="A162" s="80"/>
      <c r="B162" s="52"/>
      <c r="C162" s="25"/>
      <c r="D162" s="25"/>
      <c r="E162" s="25"/>
      <c r="F162" s="25"/>
      <c r="G162" s="25"/>
      <c r="H162" s="25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</row>
    <row r="163" ht="15.75" customHeight="1">
      <c r="A163" s="80"/>
      <c r="B163" s="52"/>
      <c r="C163" s="25"/>
      <c r="D163" s="25"/>
      <c r="E163" s="25"/>
      <c r="F163" s="25"/>
      <c r="G163" s="25"/>
      <c r="H163" s="25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</row>
    <row r="164" ht="15.75" customHeight="1">
      <c r="A164" s="80"/>
      <c r="B164" s="52"/>
      <c r="C164" s="25"/>
      <c r="D164" s="25"/>
      <c r="E164" s="25"/>
      <c r="F164" s="25"/>
      <c r="G164" s="25"/>
      <c r="H164" s="25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</row>
    <row r="165" ht="15.75" customHeight="1">
      <c r="A165" s="80"/>
      <c r="B165" s="52"/>
      <c r="C165" s="25"/>
      <c r="D165" s="25"/>
      <c r="E165" s="25"/>
      <c r="F165" s="25"/>
      <c r="G165" s="25"/>
      <c r="H165" s="25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</row>
    <row r="166" ht="15.75" customHeight="1">
      <c r="A166" s="80"/>
      <c r="B166" s="52"/>
      <c r="C166" s="25"/>
      <c r="D166" s="25"/>
      <c r="E166" s="25"/>
      <c r="F166" s="25"/>
      <c r="G166" s="25"/>
      <c r="H166" s="25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</row>
    <row r="167" ht="15.75" customHeight="1">
      <c r="A167" s="80"/>
      <c r="B167" s="52"/>
      <c r="C167" s="25"/>
      <c r="D167" s="25"/>
      <c r="E167" s="25"/>
      <c r="F167" s="25"/>
      <c r="G167" s="25"/>
      <c r="H167" s="25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</row>
    <row r="168" ht="15.75" customHeight="1">
      <c r="A168" s="80"/>
      <c r="B168" s="52"/>
      <c r="C168" s="25"/>
      <c r="D168" s="25"/>
      <c r="E168" s="25"/>
      <c r="F168" s="25"/>
      <c r="G168" s="25"/>
      <c r="H168" s="25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</row>
    <row r="169" ht="15.75" customHeight="1">
      <c r="A169" s="80"/>
      <c r="B169" s="52"/>
      <c r="C169" s="25"/>
      <c r="D169" s="25"/>
      <c r="E169" s="25"/>
      <c r="F169" s="25"/>
      <c r="G169" s="25"/>
      <c r="H169" s="25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</row>
    <row r="170" ht="15.75" customHeight="1">
      <c r="A170" s="80"/>
      <c r="B170" s="52"/>
      <c r="C170" s="25"/>
      <c r="D170" s="25"/>
      <c r="E170" s="25"/>
      <c r="F170" s="25"/>
      <c r="G170" s="25"/>
      <c r="H170" s="25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</row>
    <row r="171" ht="15.75" customHeight="1">
      <c r="A171" s="80"/>
      <c r="B171" s="52"/>
      <c r="C171" s="25"/>
      <c r="D171" s="25"/>
      <c r="E171" s="25"/>
      <c r="F171" s="25"/>
      <c r="G171" s="25"/>
      <c r="H171" s="25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</row>
    <row r="172" ht="15.75" customHeight="1">
      <c r="A172" s="80"/>
      <c r="B172" s="52"/>
      <c r="C172" s="25"/>
      <c r="D172" s="25"/>
      <c r="E172" s="25"/>
      <c r="F172" s="25"/>
      <c r="G172" s="25"/>
      <c r="H172" s="25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</row>
    <row r="173" ht="15.75" customHeight="1">
      <c r="A173" s="80"/>
      <c r="B173" s="52"/>
      <c r="C173" s="25"/>
      <c r="D173" s="25"/>
      <c r="E173" s="25"/>
      <c r="F173" s="25"/>
      <c r="G173" s="25"/>
      <c r="H173" s="25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</row>
    <row r="174" ht="15.75" customHeight="1">
      <c r="A174" s="80"/>
      <c r="B174" s="52"/>
      <c r="C174" s="25"/>
      <c r="D174" s="25"/>
      <c r="E174" s="25"/>
      <c r="F174" s="25"/>
      <c r="G174" s="25"/>
      <c r="H174" s="25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</row>
    <row r="175" ht="15.75" customHeight="1">
      <c r="A175" s="80"/>
      <c r="B175" s="52"/>
      <c r="C175" s="25"/>
      <c r="D175" s="25"/>
      <c r="E175" s="25"/>
      <c r="F175" s="25"/>
      <c r="G175" s="25"/>
      <c r="H175" s="25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</row>
    <row r="176" ht="15.75" customHeight="1">
      <c r="A176" s="80"/>
      <c r="B176" s="52"/>
      <c r="C176" s="25"/>
      <c r="D176" s="25"/>
      <c r="E176" s="25"/>
      <c r="F176" s="25"/>
      <c r="G176" s="25"/>
      <c r="H176" s="25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</row>
    <row r="177" ht="15.75" customHeight="1">
      <c r="A177" s="80"/>
      <c r="B177" s="52"/>
      <c r="C177" s="25"/>
      <c r="D177" s="25"/>
      <c r="E177" s="25"/>
      <c r="F177" s="25"/>
      <c r="G177" s="25"/>
      <c r="H177" s="25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</row>
    <row r="178" ht="15.75" customHeight="1">
      <c r="A178" s="80"/>
      <c r="B178" s="52"/>
      <c r="C178" s="25"/>
      <c r="D178" s="25"/>
      <c r="E178" s="25"/>
      <c r="F178" s="25"/>
      <c r="G178" s="25"/>
      <c r="H178" s="25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</row>
    <row r="179" ht="15.75" customHeight="1">
      <c r="A179" s="80"/>
      <c r="B179" s="52"/>
      <c r="C179" s="25"/>
      <c r="D179" s="25"/>
      <c r="E179" s="25"/>
      <c r="F179" s="25"/>
      <c r="G179" s="25"/>
      <c r="H179" s="25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</row>
    <row r="180" ht="15.75" customHeight="1">
      <c r="A180" s="80"/>
      <c r="B180" s="52"/>
      <c r="C180" s="25"/>
      <c r="D180" s="25"/>
      <c r="E180" s="25"/>
      <c r="F180" s="25"/>
      <c r="G180" s="25"/>
      <c r="H180" s="25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</row>
    <row r="181" ht="15.75" customHeight="1">
      <c r="A181" s="80"/>
      <c r="B181" s="52"/>
      <c r="C181" s="25"/>
      <c r="D181" s="25"/>
      <c r="E181" s="25"/>
      <c r="F181" s="25"/>
      <c r="G181" s="25"/>
      <c r="H181" s="25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</row>
    <row r="182" ht="15.75" customHeight="1">
      <c r="A182" s="80"/>
      <c r="B182" s="52"/>
      <c r="C182" s="25"/>
      <c r="D182" s="25"/>
      <c r="E182" s="25"/>
      <c r="F182" s="25"/>
      <c r="G182" s="25"/>
      <c r="H182" s="25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</row>
    <row r="183" ht="15.75" customHeight="1">
      <c r="A183" s="80"/>
      <c r="B183" s="52"/>
      <c r="C183" s="25"/>
      <c r="D183" s="25"/>
      <c r="E183" s="25"/>
      <c r="F183" s="25"/>
      <c r="G183" s="25"/>
      <c r="H183" s="25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</row>
    <row r="184" ht="15.75" customHeight="1">
      <c r="A184" s="80"/>
      <c r="B184" s="52"/>
      <c r="C184" s="25"/>
      <c r="D184" s="25"/>
      <c r="E184" s="25"/>
      <c r="F184" s="25"/>
      <c r="G184" s="25"/>
      <c r="H184" s="25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</row>
    <row r="185" ht="15.75" customHeight="1">
      <c r="A185" s="80"/>
      <c r="B185" s="52"/>
      <c r="C185" s="25"/>
      <c r="D185" s="25"/>
      <c r="E185" s="25"/>
      <c r="F185" s="25"/>
      <c r="G185" s="25"/>
      <c r="H185" s="25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</row>
    <row r="186" ht="15.75" customHeight="1">
      <c r="A186" s="80"/>
      <c r="B186" s="52"/>
      <c r="C186" s="25"/>
      <c r="D186" s="25"/>
      <c r="E186" s="25"/>
      <c r="F186" s="25"/>
      <c r="G186" s="25"/>
      <c r="H186" s="25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</row>
    <row r="187" ht="15.75" customHeight="1">
      <c r="A187" s="80"/>
      <c r="B187" s="52"/>
      <c r="C187" s="25"/>
      <c r="D187" s="25"/>
      <c r="E187" s="25"/>
      <c r="F187" s="25"/>
      <c r="G187" s="25"/>
      <c r="H187" s="25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</row>
    <row r="188" ht="15.75" customHeight="1">
      <c r="A188" s="80"/>
      <c r="B188" s="52"/>
      <c r="C188" s="25"/>
      <c r="D188" s="25"/>
      <c r="E188" s="25"/>
      <c r="F188" s="25"/>
      <c r="G188" s="25"/>
      <c r="H188" s="25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</row>
    <row r="189" ht="15.75" customHeight="1">
      <c r="A189" s="80"/>
      <c r="B189" s="52"/>
      <c r="C189" s="25"/>
      <c r="D189" s="25"/>
      <c r="E189" s="25"/>
      <c r="F189" s="25"/>
      <c r="G189" s="25"/>
      <c r="H189" s="25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</row>
    <row r="190" ht="15.75" customHeight="1">
      <c r="A190" s="80"/>
      <c r="B190" s="52"/>
      <c r="C190" s="25"/>
      <c r="D190" s="25"/>
      <c r="E190" s="25"/>
      <c r="F190" s="25"/>
      <c r="G190" s="25"/>
      <c r="H190" s="25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</row>
    <row r="191" ht="15.75" customHeight="1">
      <c r="A191" s="80"/>
      <c r="B191" s="52"/>
      <c r="C191" s="25"/>
      <c r="D191" s="25"/>
      <c r="E191" s="25"/>
      <c r="F191" s="25"/>
      <c r="G191" s="25"/>
      <c r="H191" s="25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</row>
    <row r="192" ht="15.75" customHeight="1">
      <c r="A192" s="80"/>
      <c r="B192" s="52"/>
      <c r="C192" s="25"/>
      <c r="D192" s="25"/>
      <c r="E192" s="25"/>
      <c r="F192" s="25"/>
      <c r="G192" s="25"/>
      <c r="H192" s="25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</row>
    <row r="193" ht="15.75" customHeight="1">
      <c r="A193" s="80"/>
      <c r="B193" s="52"/>
      <c r="C193" s="25"/>
      <c r="D193" s="25"/>
      <c r="E193" s="25"/>
      <c r="F193" s="25"/>
      <c r="G193" s="25"/>
      <c r="H193" s="25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</row>
    <row r="194" ht="15.75" customHeight="1">
      <c r="A194" s="80"/>
      <c r="B194" s="52"/>
      <c r="C194" s="25"/>
      <c r="D194" s="25"/>
      <c r="E194" s="25"/>
      <c r="F194" s="25"/>
      <c r="G194" s="25"/>
      <c r="H194" s="25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</row>
    <row r="195" ht="15.75" customHeight="1">
      <c r="A195" s="80"/>
      <c r="B195" s="52"/>
      <c r="C195" s="25"/>
      <c r="D195" s="25"/>
      <c r="E195" s="25"/>
      <c r="F195" s="25"/>
      <c r="G195" s="25"/>
      <c r="H195" s="25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</row>
    <row r="196" ht="15.75" customHeight="1">
      <c r="A196" s="80"/>
      <c r="B196" s="52"/>
      <c r="C196" s="25"/>
      <c r="D196" s="25"/>
      <c r="E196" s="25"/>
      <c r="F196" s="25"/>
      <c r="G196" s="25"/>
      <c r="H196" s="25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</row>
    <row r="197" ht="15.75" customHeight="1">
      <c r="A197" s="80"/>
      <c r="B197" s="52"/>
      <c r="C197" s="25"/>
      <c r="D197" s="25"/>
      <c r="E197" s="25"/>
      <c r="F197" s="25"/>
      <c r="G197" s="25"/>
      <c r="H197" s="25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</row>
    <row r="198" ht="15.75" customHeight="1">
      <c r="A198" s="80"/>
      <c r="B198" s="52"/>
      <c r="C198" s="25"/>
      <c r="D198" s="25"/>
      <c r="E198" s="25"/>
      <c r="F198" s="25"/>
      <c r="G198" s="25"/>
      <c r="H198" s="25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</row>
    <row r="199" ht="15.75" customHeight="1">
      <c r="A199" s="80"/>
      <c r="B199" s="52"/>
      <c r="C199" s="25"/>
      <c r="D199" s="25"/>
      <c r="E199" s="25"/>
      <c r="F199" s="25"/>
      <c r="G199" s="25"/>
      <c r="H199" s="25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</row>
    <row r="200" ht="15.75" customHeight="1">
      <c r="A200" s="80"/>
      <c r="B200" s="52"/>
      <c r="C200" s="25"/>
      <c r="D200" s="25"/>
      <c r="E200" s="25"/>
      <c r="F200" s="25"/>
      <c r="G200" s="25"/>
      <c r="H200" s="25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</row>
    <row r="201" ht="15.75" customHeight="1">
      <c r="A201" s="80"/>
      <c r="B201" s="52"/>
      <c r="C201" s="25"/>
      <c r="D201" s="25"/>
      <c r="E201" s="25"/>
      <c r="F201" s="25"/>
      <c r="G201" s="25"/>
      <c r="H201" s="25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</row>
    <row r="202" ht="15.75" customHeight="1">
      <c r="A202" s="80"/>
      <c r="B202" s="52"/>
      <c r="C202" s="25"/>
      <c r="D202" s="25"/>
      <c r="E202" s="25"/>
      <c r="F202" s="25"/>
      <c r="G202" s="25"/>
      <c r="H202" s="25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</row>
    <row r="203" ht="15.75" customHeight="1">
      <c r="A203" s="80"/>
      <c r="B203" s="52"/>
      <c r="C203" s="25"/>
      <c r="D203" s="25"/>
      <c r="E203" s="25"/>
      <c r="F203" s="25"/>
      <c r="G203" s="25"/>
      <c r="H203" s="25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</row>
    <row r="204" ht="15.75" customHeight="1">
      <c r="A204" s="80"/>
      <c r="B204" s="52"/>
      <c r="C204" s="25"/>
      <c r="D204" s="25"/>
      <c r="E204" s="25"/>
      <c r="F204" s="25"/>
      <c r="G204" s="25"/>
      <c r="H204" s="25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</row>
    <row r="205" ht="15.75" customHeight="1">
      <c r="A205" s="80"/>
      <c r="B205" s="52"/>
      <c r="C205" s="25"/>
      <c r="D205" s="25"/>
      <c r="E205" s="25"/>
      <c r="F205" s="25"/>
      <c r="G205" s="25"/>
      <c r="H205" s="25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</row>
    <row r="206" ht="15.75" customHeight="1">
      <c r="A206" s="80"/>
      <c r="B206" s="52"/>
      <c r="C206" s="25"/>
      <c r="D206" s="25"/>
      <c r="E206" s="25"/>
      <c r="F206" s="25"/>
      <c r="G206" s="25"/>
      <c r="H206" s="25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</row>
    <row r="207" ht="15.75" customHeight="1">
      <c r="A207" s="80"/>
      <c r="B207" s="52"/>
      <c r="C207" s="25"/>
      <c r="D207" s="25"/>
      <c r="E207" s="25"/>
      <c r="F207" s="25"/>
      <c r="G207" s="25"/>
      <c r="H207" s="25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</row>
    <row r="208" ht="15.75" customHeight="1">
      <c r="A208" s="80"/>
      <c r="B208" s="52"/>
      <c r="C208" s="25"/>
      <c r="D208" s="25"/>
      <c r="E208" s="25"/>
      <c r="F208" s="25"/>
      <c r="G208" s="25"/>
      <c r="H208" s="25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</row>
    <row r="209" ht="15.75" customHeight="1">
      <c r="A209" s="80"/>
      <c r="B209" s="52"/>
      <c r="C209" s="25"/>
      <c r="D209" s="25"/>
      <c r="E209" s="25"/>
      <c r="F209" s="25"/>
      <c r="G209" s="25"/>
      <c r="H209" s="25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</row>
    <row r="210" ht="15.75" customHeight="1">
      <c r="A210" s="80"/>
      <c r="B210" s="52"/>
      <c r="C210" s="25"/>
      <c r="D210" s="25"/>
      <c r="E210" s="25"/>
      <c r="F210" s="25"/>
      <c r="G210" s="25"/>
      <c r="H210" s="25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</row>
    <row r="211" ht="15.75" customHeight="1">
      <c r="A211" s="80"/>
      <c r="B211" s="52"/>
      <c r="C211" s="25"/>
      <c r="D211" s="25"/>
      <c r="E211" s="25"/>
      <c r="F211" s="25"/>
      <c r="G211" s="25"/>
      <c r="H211" s="25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</row>
    <row r="212" ht="15.75" customHeight="1">
      <c r="A212" s="80"/>
      <c r="B212" s="52"/>
      <c r="C212" s="25"/>
      <c r="D212" s="25"/>
      <c r="E212" s="25"/>
      <c r="F212" s="25"/>
      <c r="G212" s="25"/>
      <c r="H212" s="25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</row>
    <row r="213" ht="15.75" customHeight="1">
      <c r="A213" s="80"/>
      <c r="B213" s="52"/>
      <c r="C213" s="25"/>
      <c r="D213" s="25"/>
      <c r="E213" s="25"/>
      <c r="F213" s="25"/>
      <c r="G213" s="25"/>
      <c r="H213" s="25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</row>
    <row r="214" ht="15.75" customHeight="1">
      <c r="A214" s="80"/>
      <c r="B214" s="52"/>
      <c r="C214" s="25"/>
      <c r="D214" s="25"/>
      <c r="E214" s="25"/>
      <c r="F214" s="25"/>
      <c r="G214" s="25"/>
      <c r="H214" s="25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</row>
    <row r="215" ht="15.75" customHeight="1">
      <c r="A215" s="80"/>
      <c r="B215" s="52"/>
      <c r="C215" s="25"/>
      <c r="D215" s="25"/>
      <c r="E215" s="25"/>
      <c r="F215" s="25"/>
      <c r="G215" s="25"/>
      <c r="H215" s="25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</row>
    <row r="216" ht="15.75" customHeight="1">
      <c r="A216" s="80"/>
      <c r="B216" s="52"/>
      <c r="C216" s="25"/>
      <c r="D216" s="25"/>
      <c r="E216" s="25"/>
      <c r="F216" s="25"/>
      <c r="G216" s="25"/>
      <c r="H216" s="25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</row>
    <row r="217" ht="15.75" customHeight="1">
      <c r="A217" s="80"/>
      <c r="B217" s="52"/>
      <c r="C217" s="25"/>
      <c r="D217" s="25"/>
      <c r="E217" s="25"/>
      <c r="F217" s="25"/>
      <c r="G217" s="25"/>
      <c r="H217" s="25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</row>
    <row r="218" ht="15.75" customHeight="1">
      <c r="A218" s="80"/>
      <c r="B218" s="52"/>
      <c r="C218" s="25"/>
      <c r="D218" s="25"/>
      <c r="E218" s="25"/>
      <c r="F218" s="25"/>
      <c r="G218" s="25"/>
      <c r="H218" s="25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</row>
    <row r="219" ht="15.75" customHeight="1">
      <c r="A219" s="80"/>
      <c r="B219" s="52"/>
      <c r="C219" s="25"/>
      <c r="D219" s="25"/>
      <c r="E219" s="25"/>
      <c r="F219" s="25"/>
      <c r="G219" s="25"/>
      <c r="H219" s="25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</row>
    <row r="220" ht="15.75" customHeight="1">
      <c r="A220" s="80"/>
      <c r="B220" s="52"/>
      <c r="C220" s="25"/>
      <c r="D220" s="25"/>
      <c r="E220" s="25"/>
      <c r="F220" s="25"/>
      <c r="G220" s="25"/>
      <c r="H220" s="25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</row>
    <row r="221" ht="15.75" customHeight="1">
      <c r="A221" s="80"/>
      <c r="B221" s="52"/>
      <c r="C221" s="25"/>
      <c r="D221" s="25"/>
      <c r="E221" s="25"/>
      <c r="F221" s="25"/>
      <c r="G221" s="25"/>
      <c r="H221" s="25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</row>
    <row r="222" ht="15.75" customHeight="1">
      <c r="A222" s="80"/>
      <c r="B222" s="52"/>
      <c r="C222" s="25"/>
      <c r="D222" s="25"/>
      <c r="E222" s="25"/>
      <c r="F222" s="25"/>
      <c r="G222" s="25"/>
      <c r="H222" s="25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</row>
    <row r="223" ht="15.75" customHeight="1">
      <c r="A223" s="80"/>
      <c r="B223" s="52"/>
      <c r="C223" s="25"/>
      <c r="D223" s="25"/>
      <c r="E223" s="25"/>
      <c r="F223" s="25"/>
      <c r="G223" s="25"/>
      <c r="H223" s="25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</row>
    <row r="224" ht="15.75" customHeight="1">
      <c r="A224" s="80"/>
      <c r="B224" s="52"/>
      <c r="C224" s="25"/>
      <c r="D224" s="25"/>
      <c r="E224" s="25"/>
      <c r="F224" s="25"/>
      <c r="G224" s="25"/>
      <c r="H224" s="25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</row>
    <row r="225" ht="15.75" customHeight="1">
      <c r="A225" s="80"/>
      <c r="B225" s="52"/>
      <c r="C225" s="25"/>
      <c r="D225" s="25"/>
      <c r="E225" s="25"/>
      <c r="F225" s="25"/>
      <c r="G225" s="25"/>
      <c r="H225" s="25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</row>
    <row r="226" ht="15.75" customHeight="1">
      <c r="A226" s="80"/>
      <c r="B226" s="52"/>
      <c r="C226" s="25"/>
      <c r="D226" s="25"/>
      <c r="E226" s="25"/>
      <c r="F226" s="25"/>
      <c r="G226" s="25"/>
      <c r="H226" s="25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</row>
    <row r="227" ht="15.75" customHeight="1">
      <c r="A227" s="80"/>
      <c r="B227" s="52"/>
      <c r="C227" s="25"/>
      <c r="D227" s="25"/>
      <c r="E227" s="25"/>
      <c r="F227" s="25"/>
      <c r="G227" s="25"/>
      <c r="H227" s="25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</row>
    <row r="228" ht="15.75" customHeight="1">
      <c r="A228" s="80"/>
      <c r="B228" s="52"/>
      <c r="C228" s="25"/>
      <c r="D228" s="25"/>
      <c r="E228" s="25"/>
      <c r="F228" s="25"/>
      <c r="G228" s="25"/>
      <c r="H228" s="25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</row>
    <row r="229" ht="15.75" customHeight="1">
      <c r="A229" s="80"/>
      <c r="B229" s="52"/>
      <c r="C229" s="25"/>
      <c r="D229" s="25"/>
      <c r="E229" s="25"/>
      <c r="F229" s="25"/>
      <c r="G229" s="25"/>
      <c r="H229" s="25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</row>
    <row r="230" ht="15.75" customHeight="1">
      <c r="A230" s="80"/>
      <c r="B230" s="52"/>
      <c r="C230" s="25"/>
      <c r="D230" s="25"/>
      <c r="E230" s="25"/>
      <c r="F230" s="25"/>
      <c r="G230" s="25"/>
      <c r="H230" s="25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</row>
    <row r="231" ht="15.75" customHeight="1">
      <c r="A231" s="80"/>
      <c r="B231" s="52"/>
      <c r="C231" s="25"/>
      <c r="D231" s="25"/>
      <c r="E231" s="25"/>
      <c r="F231" s="25"/>
      <c r="G231" s="25"/>
      <c r="H231" s="25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</row>
    <row r="232" ht="15.75" customHeight="1">
      <c r="A232" s="80"/>
      <c r="B232" s="52"/>
      <c r="C232" s="25"/>
      <c r="D232" s="25"/>
      <c r="E232" s="25"/>
      <c r="F232" s="25"/>
      <c r="G232" s="25"/>
      <c r="H232" s="25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</row>
    <row r="233" ht="15.75" customHeight="1">
      <c r="A233" s="80"/>
      <c r="B233" s="52"/>
      <c r="C233" s="25"/>
      <c r="D233" s="25"/>
      <c r="E233" s="25"/>
      <c r="F233" s="25"/>
      <c r="G233" s="25"/>
      <c r="H233" s="25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</row>
    <row r="234" ht="15.75" customHeight="1">
      <c r="A234" s="80"/>
      <c r="B234" s="52"/>
      <c r="C234" s="25"/>
      <c r="D234" s="25"/>
      <c r="E234" s="25"/>
      <c r="F234" s="25"/>
      <c r="G234" s="25"/>
      <c r="H234" s="25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</row>
    <row r="235" ht="15.75" customHeight="1">
      <c r="A235" s="80"/>
      <c r="B235" s="52"/>
      <c r="C235" s="25"/>
      <c r="D235" s="25"/>
      <c r="E235" s="25"/>
      <c r="F235" s="25"/>
      <c r="G235" s="25"/>
      <c r="H235" s="25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</row>
    <row r="236" ht="15.75" customHeight="1">
      <c r="A236" s="80"/>
      <c r="B236" s="52"/>
      <c r="C236" s="25"/>
      <c r="D236" s="25"/>
      <c r="E236" s="25"/>
      <c r="F236" s="25"/>
      <c r="G236" s="25"/>
      <c r="H236" s="25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</row>
    <row r="237" ht="15.75" customHeight="1">
      <c r="A237" s="80"/>
      <c r="B237" s="52"/>
      <c r="C237" s="25"/>
      <c r="D237" s="25"/>
      <c r="E237" s="25"/>
      <c r="F237" s="25"/>
      <c r="G237" s="25"/>
      <c r="H237" s="25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</row>
    <row r="238" ht="15.75" customHeight="1">
      <c r="A238" s="80"/>
      <c r="B238" s="52"/>
      <c r="C238" s="25"/>
      <c r="D238" s="25"/>
      <c r="E238" s="25"/>
      <c r="F238" s="25"/>
      <c r="G238" s="25"/>
      <c r="H238" s="25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</row>
    <row r="239" ht="15.75" customHeight="1">
      <c r="A239" s="80"/>
      <c r="B239" s="52"/>
      <c r="C239" s="25"/>
      <c r="D239" s="25"/>
      <c r="E239" s="25"/>
      <c r="F239" s="25"/>
      <c r="G239" s="25"/>
      <c r="H239" s="25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</row>
    <row r="240" ht="15.75" customHeight="1">
      <c r="A240" s="80"/>
      <c r="B240" s="52"/>
      <c r="C240" s="25"/>
      <c r="D240" s="25"/>
      <c r="E240" s="25"/>
      <c r="F240" s="25"/>
      <c r="G240" s="25"/>
      <c r="H240" s="25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</row>
    <row r="241" ht="15.75" customHeight="1">
      <c r="A241" s="80"/>
      <c r="B241" s="52"/>
      <c r="C241" s="25"/>
      <c r="D241" s="25"/>
      <c r="E241" s="25"/>
      <c r="F241" s="25"/>
      <c r="G241" s="25"/>
      <c r="H241" s="25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</row>
    <row r="242" ht="15.75" customHeight="1">
      <c r="A242" s="80"/>
      <c r="B242" s="52"/>
      <c r="C242" s="25"/>
      <c r="D242" s="25"/>
      <c r="E242" s="25"/>
      <c r="F242" s="25"/>
      <c r="G242" s="25"/>
      <c r="H242" s="25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</row>
    <row r="243" ht="15.75" customHeight="1">
      <c r="A243" s="80"/>
      <c r="B243" s="52"/>
      <c r="C243" s="25"/>
      <c r="D243" s="25"/>
      <c r="E243" s="25"/>
      <c r="F243" s="25"/>
      <c r="G243" s="25"/>
      <c r="H243" s="25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</row>
    <row r="244" ht="15.75" customHeight="1">
      <c r="A244" s="80"/>
      <c r="B244" s="52"/>
      <c r="C244" s="25"/>
      <c r="D244" s="25"/>
      <c r="E244" s="25"/>
      <c r="F244" s="25"/>
      <c r="G244" s="25"/>
      <c r="H244" s="25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</row>
    <row r="245" ht="15.75" customHeight="1">
      <c r="A245" s="80"/>
      <c r="B245" s="52"/>
      <c r="C245" s="25"/>
      <c r="D245" s="25"/>
      <c r="E245" s="25"/>
      <c r="F245" s="25"/>
      <c r="G245" s="25"/>
      <c r="H245" s="25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</row>
    <row r="246" ht="15.75" customHeight="1">
      <c r="A246" s="80"/>
      <c r="B246" s="52"/>
      <c r="C246" s="25"/>
      <c r="D246" s="25"/>
      <c r="E246" s="25"/>
      <c r="F246" s="25"/>
      <c r="G246" s="25"/>
      <c r="H246" s="25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</row>
    <row r="247" ht="15.75" customHeight="1">
      <c r="A247" s="80"/>
      <c r="B247" s="52"/>
      <c r="C247" s="25"/>
      <c r="D247" s="25"/>
      <c r="E247" s="25"/>
      <c r="F247" s="25"/>
      <c r="G247" s="25"/>
      <c r="H247" s="25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</row>
    <row r="248" ht="15.75" customHeight="1">
      <c r="A248" s="80"/>
      <c r="B248" s="52"/>
      <c r="C248" s="25"/>
      <c r="D248" s="25"/>
      <c r="E248" s="25"/>
      <c r="F248" s="25"/>
      <c r="G248" s="25"/>
      <c r="H248" s="25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</row>
    <row r="249" ht="15.75" customHeight="1">
      <c r="A249" s="80"/>
      <c r="B249" s="52"/>
      <c r="C249" s="25"/>
      <c r="D249" s="25"/>
      <c r="E249" s="25"/>
      <c r="F249" s="25"/>
      <c r="G249" s="25"/>
      <c r="H249" s="25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</row>
    <row r="250" ht="15.75" customHeight="1">
      <c r="A250" s="80"/>
      <c r="B250" s="52"/>
      <c r="C250" s="25"/>
      <c r="D250" s="25"/>
      <c r="E250" s="25"/>
      <c r="F250" s="25"/>
      <c r="G250" s="25"/>
      <c r="H250" s="25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</row>
    <row r="251" ht="15.75" customHeight="1">
      <c r="A251" s="80"/>
      <c r="B251" s="52"/>
      <c r="C251" s="25"/>
      <c r="D251" s="25"/>
      <c r="E251" s="25"/>
      <c r="F251" s="25"/>
      <c r="G251" s="25"/>
      <c r="H251" s="25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</row>
    <row r="252" ht="15.75" customHeight="1">
      <c r="A252" s="80"/>
      <c r="B252" s="52"/>
      <c r="C252" s="25"/>
      <c r="D252" s="25"/>
      <c r="E252" s="25"/>
      <c r="F252" s="25"/>
      <c r="G252" s="25"/>
      <c r="H252" s="25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</row>
    <row r="253" ht="15.75" customHeight="1">
      <c r="A253" s="80"/>
      <c r="B253" s="52"/>
      <c r="C253" s="25"/>
      <c r="D253" s="25"/>
      <c r="E253" s="25"/>
      <c r="F253" s="25"/>
      <c r="G253" s="25"/>
      <c r="H253" s="25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</row>
    <row r="254" ht="15.75" customHeight="1">
      <c r="A254" s="80"/>
      <c r="B254" s="52"/>
      <c r="C254" s="25"/>
      <c r="D254" s="25"/>
      <c r="E254" s="25"/>
      <c r="F254" s="25"/>
      <c r="G254" s="25"/>
      <c r="H254" s="25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</row>
    <row r="255" ht="15.75" customHeight="1">
      <c r="A255" s="80"/>
      <c r="B255" s="52"/>
      <c r="C255" s="25"/>
      <c r="D255" s="25"/>
      <c r="E255" s="25"/>
      <c r="F255" s="25"/>
      <c r="G255" s="25"/>
      <c r="H255" s="25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</row>
    <row r="256" ht="15.75" customHeight="1">
      <c r="A256" s="80"/>
      <c r="B256" s="52"/>
      <c r="C256" s="25"/>
      <c r="D256" s="25"/>
      <c r="E256" s="25"/>
      <c r="F256" s="25"/>
      <c r="G256" s="25"/>
      <c r="H256" s="25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</row>
    <row r="257" ht="15.75" customHeight="1">
      <c r="A257" s="80"/>
      <c r="B257" s="52"/>
      <c r="C257" s="25"/>
      <c r="D257" s="25"/>
      <c r="E257" s="25"/>
      <c r="F257" s="25"/>
      <c r="G257" s="25"/>
      <c r="H257" s="25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</row>
    <row r="258" ht="15.75" customHeight="1">
      <c r="A258" s="80"/>
      <c r="B258" s="52"/>
      <c r="C258" s="25"/>
      <c r="D258" s="25"/>
      <c r="E258" s="25"/>
      <c r="F258" s="25"/>
      <c r="G258" s="25"/>
      <c r="H258" s="25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</row>
    <row r="259" ht="15.75" customHeight="1">
      <c r="A259" s="80"/>
      <c r="B259" s="52"/>
      <c r="C259" s="25"/>
      <c r="D259" s="25"/>
      <c r="E259" s="25"/>
      <c r="F259" s="25"/>
      <c r="G259" s="25"/>
      <c r="H259" s="25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</row>
    <row r="260" ht="15.75" customHeight="1">
      <c r="A260" s="80"/>
      <c r="B260" s="52"/>
      <c r="C260" s="25"/>
      <c r="D260" s="25"/>
      <c r="E260" s="25"/>
      <c r="F260" s="25"/>
      <c r="G260" s="25"/>
      <c r="H260" s="25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</row>
    <row r="261" ht="15.75" customHeight="1">
      <c r="A261" s="80"/>
      <c r="B261" s="52"/>
      <c r="C261" s="25"/>
      <c r="D261" s="25"/>
      <c r="E261" s="25"/>
      <c r="F261" s="25"/>
      <c r="G261" s="25"/>
      <c r="H261" s="25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</row>
    <row r="262" ht="15.75" customHeight="1">
      <c r="A262" s="80"/>
      <c r="B262" s="52"/>
      <c r="C262" s="25"/>
      <c r="D262" s="25"/>
      <c r="E262" s="25"/>
      <c r="F262" s="25"/>
      <c r="G262" s="25"/>
      <c r="H262" s="25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</row>
    <row r="263" ht="15.75" customHeight="1">
      <c r="A263" s="80"/>
      <c r="B263" s="52"/>
      <c r="C263" s="25"/>
      <c r="D263" s="25"/>
      <c r="E263" s="25"/>
      <c r="F263" s="25"/>
      <c r="G263" s="25"/>
      <c r="H263" s="25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</row>
    <row r="264" ht="15.75" customHeight="1">
      <c r="A264" s="78"/>
      <c r="B264" s="79"/>
      <c r="C264" s="25"/>
      <c r="D264" s="25"/>
      <c r="E264" s="25"/>
      <c r="F264" s="25"/>
      <c r="G264" s="25"/>
      <c r="H264" s="25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</row>
    <row r="265" ht="15.75" customHeight="1">
      <c r="A265" s="78"/>
      <c r="B265" s="79"/>
      <c r="C265" s="25"/>
      <c r="D265" s="25"/>
      <c r="E265" s="25"/>
      <c r="F265" s="25"/>
      <c r="G265" s="25"/>
      <c r="H265" s="25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</row>
    <row r="266" ht="15.75" customHeight="1">
      <c r="A266" s="78"/>
      <c r="B266" s="79"/>
      <c r="C266" s="25"/>
      <c r="D266" s="25"/>
      <c r="E266" s="25"/>
      <c r="F266" s="25"/>
      <c r="G266" s="25"/>
      <c r="H266" s="25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</row>
    <row r="267" ht="15.75" customHeight="1">
      <c r="A267" s="78"/>
      <c r="B267" s="79"/>
      <c r="C267" s="25"/>
      <c r="D267" s="25"/>
      <c r="E267" s="25"/>
      <c r="F267" s="25"/>
      <c r="G267" s="25"/>
      <c r="H267" s="25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02">
    <cfRule type="expression" dxfId="0" priority="1">
      <formula>COUNTIF($B$2:$B$102, B2) &gt; 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5.63"/>
    <col customWidth="1" min="2" max="2" width="25.0"/>
    <col customWidth="1" min="3" max="3" width="19.0"/>
    <col customWidth="1" hidden="1" min="4" max="4" width="14.5"/>
    <col customWidth="1" min="5" max="5" width="14.5"/>
    <col customWidth="1" min="6" max="6" width="18.63"/>
    <col customWidth="1" min="7" max="7" width="15.0"/>
    <col customWidth="1" min="8" max="8" width="19.75"/>
    <col customWidth="1" min="9" max="9" width="14.5"/>
    <col customWidth="1" min="10" max="10" width="11.75"/>
    <col customWidth="1" min="11" max="11" width="11.25"/>
    <col customWidth="1" min="12" max="12" width="10.75"/>
    <col customWidth="1" min="13" max="13" width="11.25"/>
    <col customWidth="1" min="14" max="14" width="15.13"/>
    <col customWidth="1" min="15" max="20" width="10.75"/>
    <col customWidth="1" min="21" max="22" width="15.63"/>
    <col customWidth="1" min="29" max="31" width="12.63"/>
  </cols>
  <sheetData>
    <row r="1" ht="19.5" customHeight="1">
      <c r="A1" s="4" t="s">
        <v>1</v>
      </c>
      <c r="C1" s="6">
        <v>46265.0</v>
      </c>
      <c r="D1" s="7"/>
      <c r="E1" s="7"/>
      <c r="F1" s="7"/>
      <c r="G1" s="7"/>
      <c r="H1" s="7"/>
      <c r="I1" s="7"/>
      <c r="J1" s="10"/>
      <c r="K1" s="7"/>
      <c r="L1" s="7"/>
      <c r="M1" s="7"/>
      <c r="N1" s="14"/>
      <c r="O1" s="18" t="s">
        <v>9</v>
      </c>
      <c r="P1" s="20"/>
      <c r="Q1" s="22"/>
      <c r="R1" s="18" t="s">
        <v>9</v>
      </c>
      <c r="S1" s="20"/>
      <c r="T1" s="22"/>
      <c r="U1" s="14"/>
      <c r="V1" s="14"/>
      <c r="W1" s="45"/>
      <c r="X1" s="46"/>
      <c r="Y1" s="46"/>
      <c r="Z1" s="46"/>
      <c r="AA1" s="46"/>
      <c r="AB1" s="46"/>
      <c r="AC1" s="48"/>
      <c r="AD1" s="49"/>
      <c r="AE1" s="7"/>
      <c r="AF1" s="46"/>
      <c r="AG1" s="46"/>
      <c r="AH1" s="46"/>
      <c r="AI1" s="46"/>
      <c r="AJ1" s="46"/>
      <c r="AK1" s="46"/>
      <c r="AL1" s="46"/>
    </row>
    <row r="2" ht="30.75" customHeight="1">
      <c r="A2" s="27" t="s">
        <v>0</v>
      </c>
      <c r="B2" s="27" t="s">
        <v>13</v>
      </c>
      <c r="C2" s="27" t="s">
        <v>14</v>
      </c>
      <c r="D2" s="55" t="s">
        <v>73</v>
      </c>
      <c r="E2" s="55" t="s">
        <v>75</v>
      </c>
      <c r="F2" s="55" t="s">
        <v>76</v>
      </c>
      <c r="G2" s="55" t="s">
        <v>15</v>
      </c>
      <c r="H2" s="55" t="s">
        <v>77</v>
      </c>
      <c r="I2" s="56" t="s">
        <v>78</v>
      </c>
      <c r="J2" s="57" t="s">
        <v>81</v>
      </c>
      <c r="K2" s="58" t="s">
        <v>83</v>
      </c>
      <c r="L2" s="59" t="s">
        <v>84</v>
      </c>
      <c r="M2" s="58" t="s">
        <v>85</v>
      </c>
      <c r="N2" s="58" t="s">
        <v>86</v>
      </c>
      <c r="O2" s="60">
        <v>0.8</v>
      </c>
      <c r="P2" s="60">
        <v>0.9</v>
      </c>
      <c r="Q2" s="60">
        <v>1.0</v>
      </c>
      <c r="R2" s="60">
        <v>0.8</v>
      </c>
      <c r="S2" s="60">
        <v>0.9</v>
      </c>
      <c r="T2" s="60">
        <v>1.0</v>
      </c>
      <c r="U2" s="61" t="s">
        <v>88</v>
      </c>
      <c r="V2" s="61" t="s">
        <v>89</v>
      </c>
      <c r="W2" s="62" t="s">
        <v>3</v>
      </c>
      <c r="X2" s="63" t="s">
        <v>4</v>
      </c>
      <c r="Y2" s="63" t="s">
        <v>91</v>
      </c>
      <c r="Z2" s="29" t="s">
        <v>5</v>
      </c>
      <c r="AA2" s="28" t="s">
        <v>6</v>
      </c>
      <c r="AB2" s="28" t="s">
        <v>92</v>
      </c>
      <c r="AC2" s="43" t="s">
        <v>7</v>
      </c>
      <c r="AD2" s="55" t="s">
        <v>8</v>
      </c>
      <c r="AE2" s="55" t="s">
        <v>69</v>
      </c>
      <c r="AF2" s="30"/>
      <c r="AG2" s="30"/>
      <c r="AH2" s="30"/>
      <c r="AI2" s="30"/>
      <c r="AJ2" s="30"/>
      <c r="AK2" s="30"/>
      <c r="AL2" s="30"/>
    </row>
    <row r="3" ht="13.5" customHeight="1">
      <c r="A3" s="37" t="s">
        <v>10</v>
      </c>
      <c r="B3" s="66" t="s">
        <v>27</v>
      </c>
      <c r="C3" s="37" t="s">
        <v>96</v>
      </c>
      <c r="D3" s="23">
        <v>150000.0</v>
      </c>
      <c r="E3" s="23">
        <f t="shared" ref="E3:E57" si="3">AE3</f>
        <v>186702.1351</v>
      </c>
      <c r="F3" s="23">
        <f t="array" ref="F3">IFERROR(
  ROUND(
    _xludf.LET(
      nt,$A3,
      nv,$B3,
      songay,DAY(EOMONTH($C$1,0)),
      doanhthungay,$I3,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" s="23">
        <f>IFERROR(SUMIF('Dự án T8'!$B:$B, $B3, 'Dự án T8'!$D:$D), 0)</f>
        <v>2314111.161</v>
      </c>
      <c r="H3" s="23">
        <f t="shared" ref="H3:H57" si="4">Q3</f>
        <v>8800000</v>
      </c>
      <c r="I3" s="23">
        <f t="shared" ref="I3:I57" si="5">(AD3/DAY($C$1))</f>
        <v>4324262.355</v>
      </c>
      <c r="J3" s="72">
        <f t="array" ref="J3">_xlfn.XLOOKUP(B3,'kpi nhà thuốc'!A:A,'kpi nhà thuốc'!F:F,(AD3/DAY($C$1))/U3)</f>
        <v>0.8002136717</v>
      </c>
      <c r="K3" s="23">
        <f t="array" ref="K3">IFERROR(
    _xlfn.XLOOKUP(B6, 'kpi nhà thuốc'!A:A, 'kpi nhà thuốc'!G:G),
    IF(
        AND(OR(C6="DSXC", C6="DSCD", C6="DSBC", C6="DSTV"), G6&gt;=F6),
        AD6 * IFS(
            AND(I6&gt;=T6, E6&gt;=D6), 1.5%,
            I6&gt;=T6, 1.3%,
            AND(I6&gt;=S6, E6&gt;=D6), 1.3%,
            I6&gt;=S6, 1.1%,
            AND(I6&gt;=R6, E6&gt;=D6), 1.2%,
            I6&gt;=R6, 1%,
            TRUE, 0
        ),
        0
    )
)
</f>
        <v>4243441.956</v>
      </c>
      <c r="L3" s="76">
        <f t="shared" ref="L3:L57" si="6">IF(C3="DSTV","", IF(J3&lt;0.6, 0.8, 1))</f>
        <v>1</v>
      </c>
      <c r="M3" s="23">
        <f>IFERROR(SUMIF('Dự án T8'!$B:$B, $B3, 'Dự án T8'!$M:$M)*$L3, 0)</f>
        <v>600000</v>
      </c>
      <c r="N3" s="77">
        <f t="shared" ref="N3:N57" si="7">N(K3)+M3</f>
        <v>4843441.956</v>
      </c>
      <c r="O3" s="23">
        <f t="shared" ref="O3:Q3" si="1">CEILING(R3,100000)</f>
        <v>7000000</v>
      </c>
      <c r="P3" s="23">
        <f t="shared" si="1"/>
        <v>7900000</v>
      </c>
      <c r="Q3" s="23">
        <f t="shared" si="1"/>
        <v>8800000</v>
      </c>
      <c r="R3" s="23">
        <f t="shared" ref="R3:R57" si="9">U3*$R$2</f>
        <v>6967741.935</v>
      </c>
      <c r="S3" s="23">
        <f t="shared" ref="S3:S57" si="10">U3*$S$2</f>
        <v>7838709.677</v>
      </c>
      <c r="T3" s="23">
        <f t="shared" ref="T3:T57" si="11">U3*$T$2</f>
        <v>8709677.419</v>
      </c>
      <c r="U3" s="23">
        <f t="shared" ref="U3:U57" si="12">V3/DAY($C$1)</f>
        <v>8709677.419</v>
      </c>
      <c r="V3" s="23">
        <v>2.7E8</v>
      </c>
      <c r="W3" s="54">
        <f>IFERROR(SUMIFS(data!$C:$C, data!$A:$A, $A3, data!$B:$B, $B3), 0)</f>
        <v>584</v>
      </c>
      <c r="X3" s="23">
        <f>IFERROR(SUMIF(data!$B:$B, $B3, data!$D:$D), 0)</f>
        <v>107357032</v>
      </c>
      <c r="Y3" s="23">
        <f t="shared" ref="Y3:Y55" si="13">IF(W3&gt;0,X3/W3,0)</f>
        <v>183830.5342</v>
      </c>
      <c r="Z3" s="23">
        <f>IFERROR(SUMIFS(data!$E:$E, data!$A:$A, $A3, data!$B:$B, $B3), 0)</f>
        <v>134</v>
      </c>
      <c r="AA3" s="23">
        <f>IFERROR(SUMIF(data!$B:$B, $B3, data!$F:$F), 0)</f>
        <v>26695101</v>
      </c>
      <c r="AB3" s="23">
        <f t="shared" ref="AB3:AB55" si="14">IF(Z3&gt;0,AA3/Z3,0)</f>
        <v>199217.1716</v>
      </c>
      <c r="AC3" s="23">
        <f t="shared" ref="AC3:AD3" si="2">W3+Z3</f>
        <v>718</v>
      </c>
      <c r="AD3" s="23">
        <f t="shared" si="2"/>
        <v>134052133</v>
      </c>
      <c r="AE3" s="23">
        <f t="shared" ref="AE3:AE55" si="16">IF(AC3&gt;0,AD3/AC3,0)</f>
        <v>186702.1351</v>
      </c>
      <c r="AF3" s="71"/>
      <c r="AG3" s="71"/>
      <c r="AH3" s="71"/>
      <c r="AI3" s="71"/>
      <c r="AJ3" s="71"/>
      <c r="AK3" s="71"/>
      <c r="AL3" s="71"/>
    </row>
    <row r="4" ht="13.5" customHeight="1">
      <c r="A4" s="37" t="s">
        <v>10</v>
      </c>
      <c r="B4" s="66" t="s">
        <v>16</v>
      </c>
      <c r="C4" s="37" t="s">
        <v>127</v>
      </c>
      <c r="D4" s="23">
        <v>245000.0</v>
      </c>
      <c r="E4" s="23">
        <f t="shared" si="3"/>
        <v>318478.615</v>
      </c>
      <c r="F4" s="23">
        <f t="array" ref="F4">IFERROR(
  ROUND(
    _xludf.LET(
      nt,$A4,
      nv,$B4,
      songay,DAY(EOMONTH($C$1,0)),
      doanhthungay,$I4,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" s="23">
        <f>IFERROR(SUMIF('Dự án T8'!$B:$B, $B4, 'Dự án T8'!$D:$D), 0)</f>
        <v>4156945.355</v>
      </c>
      <c r="H4" s="23">
        <f t="shared" si="4"/>
        <v>11300000</v>
      </c>
      <c r="I4" s="23">
        <f t="shared" si="5"/>
        <v>11074837</v>
      </c>
      <c r="J4" s="72">
        <f t="array" ref="J4">_xlfn.XLOOKUP(B4,'kpi nhà thuốc'!A:A,'kpi nhà thuốc'!F:F,(AD4/DAY($C$1))/U4)</f>
        <v>0.9809141343</v>
      </c>
      <c r="K4" s="23">
        <f t="array" ref="K4">_xlfn.XLOOKUP(
    B4,
    'kpi nhà thuốc'!A:A,
    'kpi nhà thuốc'!G:G,
    IF(
        AND(
            OR(C4="DSXC",C4="DSCD"),
            G4&gt;=F4),IF(AND(I4&gt;=T4,E4&gt;=D4),AD4*1.5%,IF(AND(I4&gt;=T4,E4&lt;D4),AD4*1.3%,IF(AND(I4&gt;=S4,E4&gt;=D4),AD4*1.3%,IF(AND(I4&gt;=S4,E4&lt;D4),AD4*1.1%,IF(AND(I4&gt;=R4,E4&gt;=D4),AD4*1.2%,IF(AND(I4&gt;=R4,E4&lt;D4),AD4*1%,"")))))),""
    )
)</f>
        <v>4463159.311</v>
      </c>
      <c r="L4" s="76">
        <f t="shared" si="6"/>
        <v>1</v>
      </c>
      <c r="M4" s="23">
        <f>IFERROR(SUMIF('Dự án T8'!$B:$B, $B4, 'Dự án T8'!$M:$M)*$L4, 0)</f>
        <v>1800000</v>
      </c>
      <c r="N4" s="77">
        <f t="shared" si="7"/>
        <v>6263159.311</v>
      </c>
      <c r="O4" s="23">
        <f t="shared" ref="O4:Q4" si="8">CEILING(R4,100000)</f>
        <v>9100000</v>
      </c>
      <c r="P4" s="23">
        <f t="shared" si="8"/>
        <v>10200000</v>
      </c>
      <c r="Q4" s="23">
        <f t="shared" si="8"/>
        <v>11300000</v>
      </c>
      <c r="R4" s="23">
        <f t="shared" si="9"/>
        <v>9032258.065</v>
      </c>
      <c r="S4" s="23">
        <f t="shared" si="10"/>
        <v>10161290.32</v>
      </c>
      <c r="T4" s="23">
        <f t="shared" si="11"/>
        <v>11290322.58</v>
      </c>
      <c r="U4" s="23">
        <f t="shared" si="12"/>
        <v>11290322.58</v>
      </c>
      <c r="V4" s="23">
        <v>3.5E8</v>
      </c>
      <c r="W4" s="54">
        <f>IFERROR(SUMIFS(data!$C:$C, data!$A:$A, $A4, data!$B:$B, $B4), 0)</f>
        <v>874</v>
      </c>
      <c r="X4" s="23">
        <f>IFERROR(SUMIF(data!$B:$B, $B4, data!$D:$D), 0)</f>
        <v>284965450</v>
      </c>
      <c r="Y4" s="23">
        <f t="shared" si="13"/>
        <v>326047.4256</v>
      </c>
      <c r="Z4" s="23">
        <f>IFERROR(SUMIFS(data!$E:$E, data!$A:$A, $A4, data!$B:$B, $B4), 0)</f>
        <v>204</v>
      </c>
      <c r="AA4" s="23">
        <f>IFERROR(SUMIF(data!$B:$B, $B4, data!$F:$F), 0)</f>
        <v>58354497</v>
      </c>
      <c r="AB4" s="23">
        <f t="shared" si="14"/>
        <v>286051.4559</v>
      </c>
      <c r="AC4" s="23">
        <f t="shared" ref="AC4:AD4" si="15">W4+Z4</f>
        <v>1078</v>
      </c>
      <c r="AD4" s="23">
        <f t="shared" si="15"/>
        <v>343319947</v>
      </c>
      <c r="AE4" s="23">
        <f t="shared" si="16"/>
        <v>318478.615</v>
      </c>
      <c r="AF4" s="71"/>
      <c r="AG4" s="71"/>
      <c r="AH4" s="71"/>
      <c r="AI4" s="71"/>
      <c r="AJ4" s="71"/>
      <c r="AK4" s="71"/>
      <c r="AL4" s="71"/>
    </row>
    <row r="5" ht="13.5" customHeight="1">
      <c r="A5" s="37" t="s">
        <v>10</v>
      </c>
      <c r="B5" s="66" t="s">
        <v>11</v>
      </c>
      <c r="C5" s="37" t="s">
        <v>130</v>
      </c>
      <c r="D5" s="23">
        <v>250000.0</v>
      </c>
      <c r="E5" s="23">
        <f t="shared" si="3"/>
        <v>174593.8135</v>
      </c>
      <c r="F5" s="23">
        <f t="array" ref="F5">IFERROR(
  ROUND(
    _xludf.LET(
      nt,$A5,
      nv,$B5,
      songay,DAY(EOMONTH($C$1,0)),
      doanhthungay,$I5,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" s="23">
        <f>IFERROR(SUMIF('Dự án T8'!$B:$B, $B5, 'Dự án T8'!$D:$D), 0)</f>
        <v>1913966.968</v>
      </c>
      <c r="H5" s="23">
        <f t="shared" si="4"/>
        <v>9700000</v>
      </c>
      <c r="I5" s="23">
        <f t="shared" si="5"/>
        <v>6854215.194</v>
      </c>
      <c r="J5" s="72">
        <f t="array" ref="J5">_xlfn.XLOOKUP(B5,'kpi nhà thuốc'!A:A,'kpi nhà thuốc'!F:F,(AD5/DAY($C$1))/U5)</f>
        <v>0.7082689033</v>
      </c>
      <c r="K5" s="23" t="str">
        <f t="array" ref="K5">_xlfn.XLOOKUP(
    B5,
    'kpi nhà thuốc'!A:A,
    'kpi nhà thuốc'!G:G,
    IF(
        AND(
            OR(C5="DSXC",C5="DSCD"),
            G5&gt;=F5),IF(AND(I5&gt;=T5,E5&gt;=D5),AD5*1.5%,IF(AND(I5&gt;=T5,E5&lt;D5),AD5*1.3%,IF(AND(I5&gt;=S5,E5&gt;=D5),AD5*1.3%,IF(AND(I5&gt;=S5,E5&lt;D5),AD5*1.1%,IF(AND(I5&gt;=R5,E5&gt;=D5),AD5*1.2%,IF(AND(I5&gt;=R5,E5&lt;D5),AD5*1%,"")))))),""
    )
)</f>
        <v/>
      </c>
      <c r="L5" s="76">
        <f t="shared" si="6"/>
        <v>1</v>
      </c>
      <c r="M5" s="23">
        <f>IFERROR(SUMIF('Dự án T8'!$B:$B, $B5, 'Dự án T8'!$M:$M)*$L5, 0)</f>
        <v>100000</v>
      </c>
      <c r="N5" s="77">
        <f t="shared" si="7"/>
        <v>100000</v>
      </c>
      <c r="O5" s="23">
        <f t="shared" ref="O5:Q5" si="17">CEILING(R5,100000)</f>
        <v>7800000</v>
      </c>
      <c r="P5" s="23">
        <f t="shared" si="17"/>
        <v>8800000</v>
      </c>
      <c r="Q5" s="23">
        <f t="shared" si="17"/>
        <v>9700000</v>
      </c>
      <c r="R5" s="23">
        <f t="shared" si="9"/>
        <v>7741935.484</v>
      </c>
      <c r="S5" s="23">
        <f t="shared" si="10"/>
        <v>8709677.419</v>
      </c>
      <c r="T5" s="23">
        <f t="shared" si="11"/>
        <v>9677419.355</v>
      </c>
      <c r="U5" s="23">
        <f t="shared" si="12"/>
        <v>9677419.355</v>
      </c>
      <c r="V5" s="23">
        <v>3.0E8</v>
      </c>
      <c r="W5" s="54">
        <f>IFERROR(SUMIFS(data!$C:$C, data!$A:$A, $A5, data!$B:$B, $B5), 0)</f>
        <v>782</v>
      </c>
      <c r="X5" s="23">
        <f>IFERROR(SUMIF(data!$B:$B, $B5, data!$D:$D), 0)</f>
        <v>140105271</v>
      </c>
      <c r="Y5" s="23">
        <f t="shared" si="13"/>
        <v>179162.7506</v>
      </c>
      <c r="Z5" s="23">
        <f>IFERROR(SUMIFS(data!$E:$E, data!$A:$A, $A5, data!$B:$B, $B5), 0)</f>
        <v>435</v>
      </c>
      <c r="AA5" s="23">
        <f>IFERROR(SUMIF(data!$B:$B, $B5, data!$F:$F), 0)</f>
        <v>72375400</v>
      </c>
      <c r="AB5" s="23">
        <f t="shared" si="14"/>
        <v>166380.2299</v>
      </c>
      <c r="AC5" s="23">
        <f t="shared" ref="AC5:AD5" si="18">W5+Z5</f>
        <v>1217</v>
      </c>
      <c r="AD5" s="23">
        <f t="shared" si="18"/>
        <v>212480671</v>
      </c>
      <c r="AE5" s="23">
        <f t="shared" si="16"/>
        <v>174593.8135</v>
      </c>
      <c r="AF5" s="71"/>
      <c r="AG5" s="71"/>
      <c r="AH5" s="71"/>
      <c r="AI5" s="71"/>
      <c r="AJ5" s="71"/>
      <c r="AK5" s="71"/>
      <c r="AL5" s="71"/>
    </row>
    <row r="6" ht="13.5" customHeight="1">
      <c r="A6" s="37" t="s">
        <v>10</v>
      </c>
      <c r="B6" s="66" t="s">
        <v>26</v>
      </c>
      <c r="C6" s="37" t="s">
        <v>127</v>
      </c>
      <c r="D6" s="23">
        <v>204000.0</v>
      </c>
      <c r="E6" s="23">
        <f t="shared" si="3"/>
        <v>241970.8021</v>
      </c>
      <c r="F6" s="23">
        <f t="array" ref="F6">IFERROR(
  ROUND(
    _xludf.LET(
      nt,$A6,
      nv,$B6,
      songay,DAY(EOMONTH($C$1,0)),
      doanhthungay,$I6,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6" s="23">
        <f>IFERROR(SUMIF('Dự án T8'!$B:$B, $B6, 'Dự án T8'!$D:$D), 0)</f>
        <v>3533822.903</v>
      </c>
      <c r="H6" s="23">
        <f t="shared" si="4"/>
        <v>11300000</v>
      </c>
      <c r="I6" s="23">
        <f t="shared" si="5"/>
        <v>10529632.65</v>
      </c>
      <c r="J6" s="72">
        <f t="array" ref="J6">_xlfn.XLOOKUP(B6,'kpi nhà thuốc'!A:A,'kpi nhà thuốc'!F:F,(AD6/DAY($C$1))/U6)</f>
        <v>0.9326246057</v>
      </c>
      <c r="K6" s="23" t="str">
        <f>ARRAY_CONSTRAIN(ARRAYFORMULA(_xlfn.XLOOKUP(
    B6,
    'kpi nhà thuốc'!A:A,K40
    'kpi nhà thuốc'!G:G,
    IF(
        AND(
            OR(C6="DSXC",C6="DSCD"),
            G6&gt;=F6),IF(AND(I6&gt;=T6,E6&gt;=D6),AD6*1.5%,IF(AND(I6&gt;=T6,E6&lt;D6),AD6*1.3%,IF(AND(I6&gt;=S6,E6&gt;=D6),AD6*1.3%,IF(AND(I6&gt;=S6,E6&lt;D6),AD6*1.1%,IF(AND(I6&gt;=R6,E6&gt;=D6),AD6*1.2%,IF(AND(I6&gt;=R6,E6&lt;D6),AD6*1%,"")))))),""
    )
)), 1, 1)</f>
        <v>#ERROR!</v>
      </c>
      <c r="L6" s="76">
        <f t="shared" si="6"/>
        <v>1</v>
      </c>
      <c r="M6" s="23">
        <f>IFERROR(SUMIF('Dự án T8'!$B:$B, $B6, 'Dự án T8'!$M:$M)*$L6, 0)</f>
        <v>650000</v>
      </c>
      <c r="N6" s="77" t="str">
        <f t="shared" si="7"/>
        <v>#ERROR!</v>
      </c>
      <c r="O6" s="23">
        <f t="shared" ref="O6:Q6" si="19">CEILING(R6,100000)</f>
        <v>9100000</v>
      </c>
      <c r="P6" s="23">
        <f t="shared" si="19"/>
        <v>10200000</v>
      </c>
      <c r="Q6" s="23">
        <f t="shared" si="19"/>
        <v>11300000</v>
      </c>
      <c r="R6" s="23">
        <f t="shared" si="9"/>
        <v>9032258.065</v>
      </c>
      <c r="S6" s="23">
        <f t="shared" si="10"/>
        <v>10161290.32</v>
      </c>
      <c r="T6" s="23">
        <f t="shared" si="11"/>
        <v>11290322.58</v>
      </c>
      <c r="U6" s="23">
        <f t="shared" si="12"/>
        <v>11290322.58</v>
      </c>
      <c r="V6" s="23">
        <v>3.5E8</v>
      </c>
      <c r="W6" s="54">
        <f>IFERROR(SUMIFS(data!$C:$C, data!$A:$A, $A6, data!$B:$B, $B6), 0)</f>
        <v>1076</v>
      </c>
      <c r="X6" s="23">
        <f>IFERROR(SUMIF(data!$B:$B, $B6, data!$D:$D), 0)</f>
        <v>264598985</v>
      </c>
      <c r="Y6" s="23">
        <f t="shared" si="13"/>
        <v>245909.8374</v>
      </c>
      <c r="Z6" s="23">
        <f>IFERROR(SUMIFS(data!$E:$E, data!$A:$A, $A6, data!$B:$B, $B6), 0)</f>
        <v>273</v>
      </c>
      <c r="AA6" s="23">
        <f>IFERROR(SUMIF(data!$B:$B, $B6, data!$F:$F), 0)</f>
        <v>61819627</v>
      </c>
      <c r="AB6" s="23">
        <f t="shared" si="14"/>
        <v>226445.5201</v>
      </c>
      <c r="AC6" s="23">
        <f t="shared" ref="AC6:AD6" si="20">W6+Z6</f>
        <v>1349</v>
      </c>
      <c r="AD6" s="23">
        <f t="shared" si="20"/>
        <v>326418612</v>
      </c>
      <c r="AE6" s="23">
        <f t="shared" si="16"/>
        <v>241970.8021</v>
      </c>
      <c r="AF6" s="71"/>
      <c r="AG6" s="71"/>
      <c r="AH6" s="71"/>
      <c r="AI6" s="71"/>
      <c r="AJ6" s="71"/>
      <c r="AK6" s="71"/>
      <c r="AL6" s="71"/>
    </row>
    <row r="7" ht="13.5" customHeight="1">
      <c r="A7" s="37" t="s">
        <v>113</v>
      </c>
      <c r="B7" s="66" t="s">
        <v>114</v>
      </c>
      <c r="C7" s="37" t="s">
        <v>96</v>
      </c>
      <c r="D7" s="23">
        <v>150000.0</v>
      </c>
      <c r="E7" s="23">
        <f t="shared" si="3"/>
        <v>168570.6522</v>
      </c>
      <c r="F7" s="23">
        <f t="array" ref="F7">IFERROR(
  ROUND(
    _xludf.LET(
      nt,$A7,
      nv,$B7,
      songay,DAY(EOMONTH($C$1,0)),
      doanhthungay,$I7,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7" s="23">
        <f>IFERROR(SUMIF('Dự án T8'!$B:$B, $B7, 'Dự án T8'!$D:$D), 0)</f>
        <v>240027.5484</v>
      </c>
      <c r="H7" s="23">
        <f t="shared" si="4"/>
        <v>3900000</v>
      </c>
      <c r="I7" s="23">
        <f t="shared" si="5"/>
        <v>1000548.387</v>
      </c>
      <c r="J7" s="72">
        <f t="array" ref="J7">_xlfn.XLOOKUP(B7,'kpi nhà thuốc'!A:A,'kpi nhà thuốc'!F:F,(AD7/DAY($C$1))/U7)</f>
        <v>0.8023117357</v>
      </c>
      <c r="K7" s="23">
        <f t="array" ref="K7">_xlfn.XLOOKUP(
    B7,
    'kpi nhà thuốc'!A:A,
    'kpi nhà thuốc'!G:G,
    IF(
        AND(
            OR(C7="DSXC",C7="DSCD"),
            G7&gt;=F7),IF(AND(I7&gt;=T7,E7&gt;=D7),AD7*1.5%,IF(AND(I7&gt;=T7,E7&lt;D7),AD7*1.3%,IF(AND(I7&gt;=S7,E7&gt;=D7),AD7*1.3%,IF(AND(I7&gt;=S7,E7&lt;D7),AD7*1.1%,IF(AND(I7&gt;=R7,E7&gt;=D7),AD7*1.2%,IF(AND(I7&gt;=R7,E7&lt;D7),AD7*1%,"")))))),""
    )
)</f>
        <v>2751929.254</v>
      </c>
      <c r="L7" s="76">
        <f t="shared" si="6"/>
        <v>1</v>
      </c>
      <c r="M7" s="23">
        <f>IFERROR(SUMIF('Dự án T8'!$B:$B, $B7, 'Dự án T8'!$M:$M)*$L7, 0)</f>
        <v>0</v>
      </c>
      <c r="N7" s="77">
        <f t="shared" si="7"/>
        <v>2751929.254</v>
      </c>
      <c r="O7" s="23">
        <f t="shared" ref="O7:Q7" si="21">CEILING(R7,100000)</f>
        <v>3100000</v>
      </c>
      <c r="P7" s="23">
        <f t="shared" si="21"/>
        <v>3500000</v>
      </c>
      <c r="Q7" s="23">
        <f t="shared" si="21"/>
        <v>3900000</v>
      </c>
      <c r="R7" s="23">
        <f t="shared" si="9"/>
        <v>3096774.194</v>
      </c>
      <c r="S7" s="23">
        <f t="shared" si="10"/>
        <v>3483870.968</v>
      </c>
      <c r="T7" s="23">
        <f t="shared" si="11"/>
        <v>3870967.742</v>
      </c>
      <c r="U7" s="23">
        <f t="shared" si="12"/>
        <v>3870967.742</v>
      </c>
      <c r="V7" s="23">
        <v>1.2E8</v>
      </c>
      <c r="W7" s="54">
        <f>IFERROR(SUMIFS(data!$C:$C, data!$A:$A, $A7, data!$B:$B, $B7), 0)</f>
        <v>140</v>
      </c>
      <c r="X7" s="23">
        <f>IFERROR(SUMIF(data!$B:$B, $B7, data!$D:$D), 0)</f>
        <v>13436700</v>
      </c>
      <c r="Y7" s="23">
        <f t="shared" si="13"/>
        <v>95976.42857</v>
      </c>
      <c r="Z7" s="23">
        <f>IFERROR(SUMIFS(data!$E:$E, data!$A:$A, $A7, data!$B:$B, $B7), 0)</f>
        <v>44</v>
      </c>
      <c r="AA7" s="23">
        <f>IFERROR(SUMIF(data!$B:$B, $B7, data!$F:$F), 0)</f>
        <v>17580300</v>
      </c>
      <c r="AB7" s="23">
        <f t="shared" si="14"/>
        <v>399552.2727</v>
      </c>
      <c r="AC7" s="23">
        <f t="shared" ref="AC7:AD7" si="22">W7+Z7</f>
        <v>184</v>
      </c>
      <c r="AD7" s="23">
        <f t="shared" si="22"/>
        <v>31017000</v>
      </c>
      <c r="AE7" s="23">
        <f t="shared" si="16"/>
        <v>168570.6522</v>
      </c>
      <c r="AF7" s="71"/>
      <c r="AG7" s="71"/>
      <c r="AH7" s="71"/>
      <c r="AI7" s="71"/>
      <c r="AJ7" s="71"/>
      <c r="AK7" s="71"/>
      <c r="AL7" s="71"/>
    </row>
    <row r="8" ht="13.5" customHeight="1">
      <c r="A8" s="37" t="s">
        <v>113</v>
      </c>
      <c r="B8" s="66" t="s">
        <v>117</v>
      </c>
      <c r="C8" s="37" t="s">
        <v>130</v>
      </c>
      <c r="D8" s="23">
        <v>183000.0</v>
      </c>
      <c r="E8" s="23">
        <f t="shared" si="3"/>
        <v>133492.7477</v>
      </c>
      <c r="F8" s="23">
        <f t="array" ref="F8">IFERROR(
  ROUND(
    _xludf.LET(
      nt,$A8,
      nv,$B8,
      songay,DAY(EOMONTH($C$1,0)),
      doanhthungay,$I8,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8" s="23">
        <f>IFERROR(SUMIF('Dự án T8'!$B:$B, $B8, 'Dự án T8'!$D:$D), 0)</f>
        <v>3249223.323</v>
      </c>
      <c r="H8" s="23">
        <f t="shared" si="4"/>
        <v>7500000</v>
      </c>
      <c r="I8" s="23">
        <f t="shared" si="5"/>
        <v>6213872.097</v>
      </c>
      <c r="J8" s="72">
        <f t="array" ref="J8">_xlfn.XLOOKUP(B8,'kpi nhà thuốc'!A:A,'kpi nhà thuốc'!F:F,(AD8/DAY($C$1))/U8)</f>
        <v>0.8375218913</v>
      </c>
      <c r="K8" s="23">
        <f t="array" ref="K8">_xlfn.XLOOKUP(
    B8,
    'kpi nhà thuốc'!A:A,
    'kpi nhà thuốc'!G:G,
    IF(
        AND(
            OR(C8="DSXC",C8="DSCD"),
            G8&gt;=F8),IF(AND(I8&gt;=T8,E8&gt;=D8),AD8*1.5%,IF(AND(I8&gt;=T8,E8&lt;D8),AD8*1.3%,IF(AND(I8&gt;=S8,E8&gt;=D8),AD8*1.3%,IF(AND(I8&gt;=S8,E8&lt;D8),AD8*1.1%,IF(AND(I8&gt;=R8,E8&gt;=D8),AD8*1.2%,IF(AND(I8&gt;=R8,E8&lt;D8),AD8*1%,"")))))),""
    )
)</f>
        <v>1926300.35</v>
      </c>
      <c r="L8" s="76">
        <f t="shared" si="6"/>
        <v>1</v>
      </c>
      <c r="M8" s="23">
        <f>IFERROR(SUMIF('Dự án T8'!$B:$B, $B8, 'Dự án T8'!$M:$M)*$L8, 0)</f>
        <v>1650000</v>
      </c>
      <c r="N8" s="77">
        <f t="shared" si="7"/>
        <v>3576300.35</v>
      </c>
      <c r="O8" s="23">
        <f t="shared" ref="O8:Q8" si="23">CEILING(R8,100000)</f>
        <v>6000000</v>
      </c>
      <c r="P8" s="23">
        <f t="shared" si="23"/>
        <v>6700000</v>
      </c>
      <c r="Q8" s="23">
        <f t="shared" si="23"/>
        <v>7500000</v>
      </c>
      <c r="R8" s="23">
        <f t="shared" si="9"/>
        <v>5935483.871</v>
      </c>
      <c r="S8" s="23">
        <f t="shared" si="10"/>
        <v>6677419.355</v>
      </c>
      <c r="T8" s="23">
        <f t="shared" si="11"/>
        <v>7419354.839</v>
      </c>
      <c r="U8" s="23">
        <f t="shared" si="12"/>
        <v>7419354.839</v>
      </c>
      <c r="V8" s="23">
        <v>2.3E8</v>
      </c>
      <c r="W8" s="54">
        <f>IFERROR(SUMIFS(data!$C:$C, data!$A:$A, $A8, data!$B:$B, $B8), 0)</f>
        <v>841</v>
      </c>
      <c r="X8" s="23">
        <f>IFERROR(SUMIF(data!$B:$B, $B8, data!$D:$D), 0)</f>
        <v>96897085</v>
      </c>
      <c r="Y8" s="23">
        <f t="shared" si="13"/>
        <v>115216.5101</v>
      </c>
      <c r="Z8" s="23">
        <f>IFERROR(SUMIFS(data!$E:$E, data!$A:$A, $A8, data!$B:$B, $B8), 0)</f>
        <v>602</v>
      </c>
      <c r="AA8" s="23">
        <f>IFERROR(SUMIF(data!$B:$B, $B8, data!$F:$F), 0)</f>
        <v>95732950</v>
      </c>
      <c r="AB8" s="23">
        <f t="shared" si="14"/>
        <v>159024.8339</v>
      </c>
      <c r="AC8" s="23">
        <f t="shared" ref="AC8:AD8" si="24">W8+Z8</f>
        <v>1443</v>
      </c>
      <c r="AD8" s="23">
        <f t="shared" si="24"/>
        <v>192630035</v>
      </c>
      <c r="AE8" s="23">
        <f t="shared" si="16"/>
        <v>133492.7477</v>
      </c>
      <c r="AF8" s="71"/>
      <c r="AG8" s="71"/>
      <c r="AH8" s="71"/>
      <c r="AI8" s="71"/>
      <c r="AJ8" s="71"/>
      <c r="AK8" s="71"/>
      <c r="AL8" s="71"/>
    </row>
    <row r="9" ht="13.5" customHeight="1">
      <c r="A9" s="37" t="s">
        <v>113</v>
      </c>
      <c r="B9" s="66" t="s">
        <v>119</v>
      </c>
      <c r="C9" s="37" t="s">
        <v>127</v>
      </c>
      <c r="D9" s="23">
        <v>178000.0</v>
      </c>
      <c r="E9" s="23">
        <f t="shared" si="3"/>
        <v>169268.0269</v>
      </c>
      <c r="F9" s="23">
        <f t="array" ref="F9">IFERROR(
  ROUND(
    _xludf.LET(
      nt,$A9,
      nv,$B9,
      songay,DAY(EOMONTH($C$1,0)),
      doanhthungay,$I9,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9" s="23">
        <f>IFERROR(SUMIF('Dự án T8'!$B:$B, $B9, 'Dự án T8'!$D:$D), 0)</f>
        <v>2992485.323</v>
      </c>
      <c r="H9" s="23">
        <f t="shared" si="4"/>
        <v>6500000</v>
      </c>
      <c r="I9" s="23">
        <f t="shared" si="5"/>
        <v>6099109.226</v>
      </c>
      <c r="J9" s="72">
        <f t="array" ref="J9">_xlfn.XLOOKUP(B9,'kpi nhà thuốc'!A:A,'kpi nhà thuốc'!F:F,(AD9/DAY($C$1))/U9)</f>
        <v>0.94536193</v>
      </c>
      <c r="K9" s="23">
        <f t="array" ref="K9">_xlfn.XLOOKUP(
    B9,
    'kpi nhà thuốc'!A:A,
    'kpi nhà thuốc'!G:G,
    IF(
        AND(
            OR(C9="DSXC",C9="DSCD"),
            G9&gt;=F9),IF(AND(I9&gt;=T9,E9&gt;=D9),AD9*1.5%,IF(AND(I9&gt;=T9,E9&lt;D9),AD9*1.3%,IF(AND(I9&gt;=S9,E9&gt;=D9),AD9*1.3%,IF(AND(I9&gt;=S9,E9&lt;D9),AD9*1.1%,IF(AND(I9&gt;=R9,E9&gt;=D9),AD9*1.2%,IF(AND(I9&gt;=R9,E9&lt;D9),AD9*1%,"")))))),""
    )
)</f>
        <v>2079796.246</v>
      </c>
      <c r="L9" s="76">
        <f t="shared" si="6"/>
        <v>1</v>
      </c>
      <c r="M9" s="23">
        <f>IFERROR(SUMIF('Dự án T8'!$B:$B, $B9, 'Dự án T8'!$M:$M)*$L9, 0)</f>
        <v>1050000</v>
      </c>
      <c r="N9" s="77">
        <f t="shared" si="7"/>
        <v>3129796.246</v>
      </c>
      <c r="O9" s="23">
        <f t="shared" ref="O9:Q9" si="25">CEILING(R9,100000)</f>
        <v>5200000</v>
      </c>
      <c r="P9" s="23">
        <f t="shared" si="25"/>
        <v>5900000</v>
      </c>
      <c r="Q9" s="23">
        <f t="shared" si="25"/>
        <v>6500000</v>
      </c>
      <c r="R9" s="23">
        <f t="shared" si="9"/>
        <v>5161290.323</v>
      </c>
      <c r="S9" s="23">
        <f t="shared" si="10"/>
        <v>5806451.613</v>
      </c>
      <c r="T9" s="23">
        <f t="shared" si="11"/>
        <v>6451612.903</v>
      </c>
      <c r="U9" s="23">
        <f t="shared" si="12"/>
        <v>6451612.903</v>
      </c>
      <c r="V9" s="23">
        <v>2.0E8</v>
      </c>
      <c r="W9" s="54">
        <f>IFERROR(SUMIFS(data!$C:$C, data!$A:$A, $A9, data!$B:$B, $B9), 0)</f>
        <v>663</v>
      </c>
      <c r="X9" s="23">
        <f>IFERROR(SUMIF(data!$B:$B, $B9, data!$D:$D), 0)</f>
        <v>79617694</v>
      </c>
      <c r="Y9" s="23">
        <f t="shared" si="13"/>
        <v>120087.0196</v>
      </c>
      <c r="Z9" s="23">
        <f>IFERROR(SUMIFS(data!$E:$E, data!$A:$A, $A9, data!$B:$B, $B9), 0)</f>
        <v>454</v>
      </c>
      <c r="AA9" s="23">
        <f>IFERROR(SUMIF(data!$B:$B, $B9, data!$F:$F), 0)</f>
        <v>109454692</v>
      </c>
      <c r="AB9" s="23">
        <f t="shared" si="14"/>
        <v>241089.63</v>
      </c>
      <c r="AC9" s="23">
        <f t="shared" ref="AC9:AD9" si="26">W9+Z9</f>
        <v>1117</v>
      </c>
      <c r="AD9" s="23">
        <f t="shared" si="26"/>
        <v>189072386</v>
      </c>
      <c r="AE9" s="23">
        <f t="shared" si="16"/>
        <v>169268.0269</v>
      </c>
      <c r="AF9" s="71"/>
      <c r="AG9" s="71"/>
      <c r="AH9" s="71"/>
      <c r="AI9" s="71"/>
      <c r="AJ9" s="71"/>
      <c r="AK9" s="71"/>
      <c r="AL9" s="71"/>
    </row>
    <row r="10" ht="14.25" customHeight="1">
      <c r="A10" s="37" t="s">
        <v>113</v>
      </c>
      <c r="B10" s="66" t="s">
        <v>118</v>
      </c>
      <c r="C10" s="37" t="s">
        <v>127</v>
      </c>
      <c r="D10" s="23">
        <v>241000.0</v>
      </c>
      <c r="E10" s="23">
        <f t="shared" si="3"/>
        <v>222789.1026</v>
      </c>
      <c r="F10" s="23">
        <f t="array" ref="F10">IFERROR(
  ROUND(
    _xludf.LET(
      nt,$A10,
      nv,$B10,
      songay,DAY(EOMONTH($C$1,0)),
      doanhthungay,$I10,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0" s="23">
        <f>IFERROR(SUMIF('Dự án T8'!$B:$B, $B10, 'Dự án T8'!$D:$D), 0)</f>
        <v>2869824.387</v>
      </c>
      <c r="H10" s="23">
        <f t="shared" si="4"/>
        <v>7500000</v>
      </c>
      <c r="I10" s="23">
        <f t="shared" si="5"/>
        <v>6726793.548</v>
      </c>
      <c r="J10" s="72">
        <f t="array" ref="J10">_xlfn.XLOOKUP(B10,'kpi nhà thuốc'!A:A,'kpi nhà thuốc'!F:F,(AD10/DAY($C$1))/U10)</f>
        <v>0.9066547826</v>
      </c>
      <c r="K10" s="23">
        <f t="array" ref="K10">_xlfn.XLOOKUP(
    B10,
    'kpi nhà thuốc'!A:A,
    'kpi nhà thuốc'!G:G,
    IF(
        AND(
            OR(C10="DSXC",C10="DSCD"),
            G10&gt;=F10),IF(AND(I10&gt;=T10,E10&gt;=D10),AD10*1.5%,IF(AND(I10&gt;=T10,E10&lt;D10),AD10*1.3%,IF(AND(I10&gt;=S10,E10&gt;=D10),AD10*1.3%,IF(AND(I10&gt;=S10,E10&lt;D10),AD10*1.1%,IF(AND(I10&gt;=R10,E10&gt;=D10),AD10*1.2%,IF(AND(I10&gt;=R10,E10&lt;D10),AD10*1%,"")))))),""
    )
)</f>
        <v>2293836.6</v>
      </c>
      <c r="L10" s="76">
        <f t="shared" si="6"/>
        <v>1</v>
      </c>
      <c r="M10" s="23">
        <f>IFERROR(SUMIF('Dự án T8'!$B:$B, $B10, 'Dự án T8'!$M:$M)*$L10, 0)</f>
        <v>1350000</v>
      </c>
      <c r="N10" s="77">
        <f t="shared" si="7"/>
        <v>3643836.6</v>
      </c>
      <c r="O10" s="23">
        <f t="shared" ref="O10:Q10" si="27">CEILING(R10,100000)</f>
        <v>6000000</v>
      </c>
      <c r="P10" s="23">
        <f t="shared" si="27"/>
        <v>6700000</v>
      </c>
      <c r="Q10" s="23">
        <f t="shared" si="27"/>
        <v>7500000</v>
      </c>
      <c r="R10" s="23">
        <f t="shared" si="9"/>
        <v>5935483.871</v>
      </c>
      <c r="S10" s="23">
        <f t="shared" si="10"/>
        <v>6677419.355</v>
      </c>
      <c r="T10" s="23">
        <f t="shared" si="11"/>
        <v>7419354.839</v>
      </c>
      <c r="U10" s="23">
        <f t="shared" si="12"/>
        <v>7419354.839</v>
      </c>
      <c r="V10" s="23">
        <v>2.3E8</v>
      </c>
      <c r="W10" s="54">
        <f>IFERROR(SUMIFS(data!$C:$C, data!$A:$A, $A10, data!$B:$B, $B10), 0)</f>
        <v>417</v>
      </c>
      <c r="X10" s="23">
        <f>IFERROR(SUMIF(data!$B:$B, $B10, data!$D:$D), 0)</f>
        <v>52907633</v>
      </c>
      <c r="Y10" s="23">
        <f t="shared" si="13"/>
        <v>126876.8177</v>
      </c>
      <c r="Z10" s="23">
        <f>IFERROR(SUMIFS(data!$E:$E, data!$A:$A, $A10, data!$B:$B, $B10), 0)</f>
        <v>519</v>
      </c>
      <c r="AA10" s="23">
        <f>IFERROR(SUMIF(data!$B:$B, $B10, data!$F:$F), 0)</f>
        <v>155622967</v>
      </c>
      <c r="AB10" s="23">
        <f t="shared" si="14"/>
        <v>299851.5742</v>
      </c>
      <c r="AC10" s="23">
        <f t="shared" ref="AC10:AD10" si="28">W10+Z10</f>
        <v>936</v>
      </c>
      <c r="AD10" s="23">
        <f t="shared" si="28"/>
        <v>208530600</v>
      </c>
      <c r="AE10" s="23">
        <f t="shared" si="16"/>
        <v>222789.1026</v>
      </c>
      <c r="AF10" s="71"/>
      <c r="AG10" s="71"/>
      <c r="AH10" s="71"/>
      <c r="AI10" s="71"/>
      <c r="AJ10" s="71"/>
      <c r="AK10" s="71"/>
      <c r="AL10" s="71"/>
    </row>
    <row r="11" ht="14.25" customHeight="1">
      <c r="A11" s="37" t="s">
        <v>113</v>
      </c>
      <c r="B11" s="66" t="s">
        <v>120</v>
      </c>
      <c r="C11" s="37" t="s">
        <v>127</v>
      </c>
      <c r="D11" s="23">
        <v>150000.0</v>
      </c>
      <c r="E11" s="23">
        <f t="shared" si="3"/>
        <v>225056.5894</v>
      </c>
      <c r="F11" s="23">
        <f t="array" ref="F11">IFERROR(
  ROUND(
    _xludf.LET(
      nt,$A11,
      nv,$B11,
      songay,DAY(EOMONTH($C$1,0)),
      doanhthungay,$I11,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1" s="23">
        <f>IFERROR(SUMIF('Dự án T8'!$B:$B, $B11, 'Dự án T8'!$D:$D), 0)</f>
        <v>773680.5484</v>
      </c>
      <c r="H11" s="23">
        <f t="shared" si="4"/>
        <v>6500000</v>
      </c>
      <c r="I11" s="23">
        <f t="shared" si="5"/>
        <v>5321499.355</v>
      </c>
      <c r="J11" s="72">
        <f t="array" ref="J11">_xlfn.XLOOKUP(B11,'kpi nhà thuốc'!A:A,'kpi nhà thuốc'!F:F,(AD11/DAY($C$1))/U11)</f>
        <v>0.8248324</v>
      </c>
      <c r="K11" s="23">
        <f t="array" ref="K11">_xlfn.XLOOKUP(
    B11,
    'kpi nhà thuốc'!A:A,
    'kpi nhà thuốc'!G:G,
    IF(
        AND(
            OR(C11="DSXC",C11="DSCD"),
            G11&gt;=F11),IF(AND(I11&gt;=T11,E11&gt;=D11),AD11*1.5%,IF(AND(I11&gt;=T11,E11&lt;D11),AD11*1.3%,IF(AND(I11&gt;=S11,E11&gt;=D11),AD11*1.3%,IF(AND(I11&gt;=S11,E11&lt;D11),AD11*1.1%,IF(AND(I11&gt;=R11,E11&gt;=D11),AD11*1.2%,IF(AND(I11&gt;=R11,E11&lt;D11),AD11*1%,"")))))),""
    )
)</f>
        <v>1979597.76</v>
      </c>
      <c r="L11" s="76">
        <f t="shared" si="6"/>
        <v>1</v>
      </c>
      <c r="M11" s="23">
        <f>IFERROR(SUMIF('Dự án T8'!$B:$B, $B11, 'Dự án T8'!$M:$M)*$L11, 0)</f>
        <v>0</v>
      </c>
      <c r="N11" s="77">
        <f t="shared" si="7"/>
        <v>1979597.76</v>
      </c>
      <c r="O11" s="23">
        <f t="shared" ref="O11:Q11" si="29">CEILING(R11,100000)</f>
        <v>5200000</v>
      </c>
      <c r="P11" s="23">
        <f t="shared" si="29"/>
        <v>5900000</v>
      </c>
      <c r="Q11" s="23">
        <f t="shared" si="29"/>
        <v>6500000</v>
      </c>
      <c r="R11" s="23">
        <f t="shared" si="9"/>
        <v>5161290.323</v>
      </c>
      <c r="S11" s="23">
        <f t="shared" si="10"/>
        <v>5806451.613</v>
      </c>
      <c r="T11" s="23">
        <f t="shared" si="11"/>
        <v>6451612.903</v>
      </c>
      <c r="U11" s="23">
        <f t="shared" si="12"/>
        <v>6451612.903</v>
      </c>
      <c r="V11" s="23">
        <v>2.0E8</v>
      </c>
      <c r="W11" s="54">
        <f>IFERROR(SUMIFS(data!$C:$C, data!$A:$A, $A11, data!$B:$B, $B11), 0)</f>
        <v>298</v>
      </c>
      <c r="X11" s="23">
        <f>IFERROR(SUMIF(data!$B:$B, $B11, data!$D:$D), 0)</f>
        <v>30730280</v>
      </c>
      <c r="Y11" s="23">
        <f t="shared" si="13"/>
        <v>103121.745</v>
      </c>
      <c r="Z11" s="23">
        <f>IFERROR(SUMIFS(data!$E:$E, data!$A:$A, $A11, data!$B:$B, $B11), 0)</f>
        <v>435</v>
      </c>
      <c r="AA11" s="23">
        <f>IFERROR(SUMIF(data!$B:$B, $B11, data!$F:$F), 0)</f>
        <v>134236200</v>
      </c>
      <c r="AB11" s="23">
        <f t="shared" si="14"/>
        <v>308588.9655</v>
      </c>
      <c r="AC11" s="23">
        <f t="shared" ref="AC11:AD11" si="30">W11+Z11</f>
        <v>733</v>
      </c>
      <c r="AD11" s="23">
        <f t="shared" si="30"/>
        <v>164966480</v>
      </c>
      <c r="AE11" s="23">
        <f t="shared" si="16"/>
        <v>225056.5894</v>
      </c>
      <c r="AF11" s="71"/>
      <c r="AG11" s="71"/>
      <c r="AH11" s="71"/>
      <c r="AI11" s="71"/>
      <c r="AJ11" s="71"/>
      <c r="AK11" s="71"/>
      <c r="AL11" s="71"/>
    </row>
    <row r="12" ht="14.25" customHeight="1">
      <c r="A12" s="37" t="s">
        <v>72</v>
      </c>
      <c r="B12" s="66" t="s">
        <v>70</v>
      </c>
      <c r="C12" s="37" t="s">
        <v>196</v>
      </c>
      <c r="D12" s="23">
        <v>150000.0</v>
      </c>
      <c r="E12" s="23">
        <f t="shared" si="3"/>
        <v>100246.9793</v>
      </c>
      <c r="F12" s="23">
        <f t="array" ref="F12">IFERROR(
  ROUND(
    _xludf.LET(
      nt,$A12,
      nv,$B12,
      songay,DAY(EOMONTH($C$1,0)),
      doanhthungay,$I12,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2" s="23">
        <f>IFERROR(SUMIF('Dự án T8'!$B:$B, $B12, 'Dự án T8'!$D:$D), 0)</f>
        <v>783980</v>
      </c>
      <c r="H12" s="23">
        <f t="shared" si="4"/>
        <v>3600000</v>
      </c>
      <c r="I12" s="23">
        <f t="shared" si="5"/>
        <v>2030809.774</v>
      </c>
      <c r="J12" s="72">
        <f t="array" ref="J12">_xlfn.XLOOKUP(B12,'kpi nhà thuốc'!A:A,'kpi nhà thuốc'!F:F,(AD12/DAY($C$1))/U12)</f>
        <v>0.7196839</v>
      </c>
      <c r="K12" s="23">
        <f t="array" ref="K12">_xlfn.XLOOKUP(
    B12,
    'kpi nhà thuốc'!A:A,
    'kpi nhà thuốc'!G:G,
    IF(
        AND(
            OR(C12="DSXC",C12="DSCD"),
            G12&gt;=F12),IF(AND(I12&gt;=T12,E12&gt;=D12),AD12*1.5%,IF(AND(I12&gt;=T12,E12&lt;D12),AD12*1.3%,IF(AND(I12&gt;=S12,E12&gt;=D12),AD12*1.3%,IF(AND(I12&gt;=S12,E12&lt;D12),AD12*1.1%,IF(AND(I12&gt;=R12,E12&gt;=D12),AD12*1.2%,IF(AND(I12&gt;=R12,E12&lt;D12),AD12*1%,"")))))),""
    )
)</f>
        <v>0</v>
      </c>
      <c r="L12" s="76">
        <f t="shared" si="6"/>
        <v>1</v>
      </c>
      <c r="M12" s="23">
        <f>IFERROR(SUMIF('Dự án T8'!$B:$B, $B12, 'Dự án T8'!$M:$M)*$L12, 0)</f>
        <v>0</v>
      </c>
      <c r="N12" s="77">
        <f t="shared" si="7"/>
        <v>0</v>
      </c>
      <c r="O12" s="23">
        <f t="shared" ref="O12:Q12" si="31">CEILING(R12,100000)</f>
        <v>2900000</v>
      </c>
      <c r="P12" s="23">
        <f t="shared" si="31"/>
        <v>3200000</v>
      </c>
      <c r="Q12" s="23">
        <f t="shared" si="31"/>
        <v>3600000</v>
      </c>
      <c r="R12" s="23">
        <f t="shared" si="9"/>
        <v>2838709.677</v>
      </c>
      <c r="S12" s="23">
        <f t="shared" si="10"/>
        <v>3193548.387</v>
      </c>
      <c r="T12" s="23">
        <f t="shared" si="11"/>
        <v>3548387.097</v>
      </c>
      <c r="U12" s="23">
        <f t="shared" si="12"/>
        <v>3548387.097</v>
      </c>
      <c r="V12" s="23">
        <v>1.1E8</v>
      </c>
      <c r="W12" s="54">
        <f>IFERROR(SUMIFS(data!$C:$C, data!$A:$A, $A12, data!$B:$B, $B12), 0)</f>
        <v>391</v>
      </c>
      <c r="X12" s="23">
        <f>IFERROR(SUMIF(data!$B:$B, $B12, data!$D:$D), 0)</f>
        <v>26034702</v>
      </c>
      <c r="Y12" s="23">
        <f t="shared" si="13"/>
        <v>66584.9156</v>
      </c>
      <c r="Z12" s="23">
        <f>IFERROR(SUMIFS(data!$E:$E, data!$A:$A, $A12, data!$B:$B, $B12), 0)</f>
        <v>237</v>
      </c>
      <c r="AA12" s="23">
        <f>IFERROR(SUMIF(data!$B:$B, $B12, data!$F:$F), 0)</f>
        <v>36920401</v>
      </c>
      <c r="AB12" s="23">
        <f t="shared" si="14"/>
        <v>155782.2827</v>
      </c>
      <c r="AC12" s="23">
        <f t="shared" ref="AC12:AD12" si="32">W12+Z12</f>
        <v>628</v>
      </c>
      <c r="AD12" s="23">
        <f t="shared" si="32"/>
        <v>62955103</v>
      </c>
      <c r="AE12" s="23">
        <f t="shared" si="16"/>
        <v>100246.9793</v>
      </c>
      <c r="AF12" s="71"/>
      <c r="AG12" s="71"/>
      <c r="AH12" s="71"/>
      <c r="AI12" s="71"/>
      <c r="AJ12" s="71"/>
      <c r="AK12" s="71"/>
      <c r="AL12" s="71"/>
    </row>
    <row r="13" ht="13.5" customHeight="1">
      <c r="A13" s="37" t="s">
        <v>72</v>
      </c>
      <c r="B13" s="66" t="s">
        <v>34</v>
      </c>
      <c r="C13" s="37" t="s">
        <v>127</v>
      </c>
      <c r="D13" s="23">
        <v>175000.0</v>
      </c>
      <c r="E13" s="23">
        <f t="shared" si="3"/>
        <v>118051.5472</v>
      </c>
      <c r="F13" s="23">
        <f t="array" ref="F13">IFERROR(
  ROUND(
    _xludf.LET(
      nt,$A13,
      nv,$B13,
      songay,DAY(EOMONTH($C$1,0)),
      doanhthungay,$I13,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3" s="23">
        <f>IFERROR(SUMIF('Dự án T8'!$B:$B, $B13, 'Dự án T8'!$D:$D), 0)</f>
        <v>905201.2903</v>
      </c>
      <c r="H13" s="23">
        <f t="shared" si="4"/>
        <v>3800000</v>
      </c>
      <c r="I13" s="23">
        <f t="shared" si="5"/>
        <v>2338182.258</v>
      </c>
      <c r="J13" s="72">
        <f t="array" ref="J13">_xlfn.XLOOKUP(B13,'kpi nhà thuốc'!A:A,'kpi nhà thuốc'!F:F,(AD13/DAY($C$1))/U13)</f>
        <v>0.6302926087</v>
      </c>
      <c r="K13" s="23" t="str">
        <f t="array" ref="K13">_xlfn.XLOOKUP(
    B13,
    'kpi nhà thuốc'!A:A,
    'kpi nhà thuốc'!G:G,
    IF(
        AND(
            OR(C13="DSXC",C13="DSCD"),
            G13&gt;=F13),IF(AND(I13&gt;=T13,E13&gt;=D13),AD13*1.5%,IF(AND(I13&gt;=T13,E13&lt;D13),AD13*1.3%,IF(AND(I13&gt;=S13,E13&gt;=D13),AD13*1.3%,IF(AND(I13&gt;=S13,E13&lt;D13),AD13*1.1%,IF(AND(I13&gt;=R13,E13&gt;=D13),AD13*1.2%,IF(AND(I13&gt;=R13,E13&lt;D13),AD13*1%,"")))))),""
    )
)</f>
        <v/>
      </c>
      <c r="L13" s="76">
        <f t="shared" si="6"/>
        <v>1</v>
      </c>
      <c r="M13" s="23">
        <f>IFERROR(SUMIF('Dự án T8'!$B:$B, $B13, 'Dự án T8'!$M:$M)*$L13, 0)</f>
        <v>0</v>
      </c>
      <c r="N13" s="77">
        <f t="shared" si="7"/>
        <v>0</v>
      </c>
      <c r="O13" s="23">
        <f t="shared" ref="O13:Q13" si="33">CEILING(R13,100000)</f>
        <v>3000000</v>
      </c>
      <c r="P13" s="23">
        <f t="shared" si="33"/>
        <v>3400000</v>
      </c>
      <c r="Q13" s="23">
        <f t="shared" si="33"/>
        <v>3800000</v>
      </c>
      <c r="R13" s="23">
        <f t="shared" si="9"/>
        <v>2967741.935</v>
      </c>
      <c r="S13" s="23">
        <f t="shared" si="10"/>
        <v>3338709.677</v>
      </c>
      <c r="T13" s="23">
        <f t="shared" si="11"/>
        <v>3709677.419</v>
      </c>
      <c r="U13" s="23">
        <f t="shared" si="12"/>
        <v>3709677.419</v>
      </c>
      <c r="V13" s="23">
        <v>1.15E8</v>
      </c>
      <c r="W13" s="54">
        <f>IFERROR(SUMIFS(data!$C:$C, data!$A:$A, $A13, data!$B:$B, $B13), 0)</f>
        <v>392</v>
      </c>
      <c r="X13" s="23">
        <f>IFERROR(SUMIF(data!$B:$B, $B13, data!$D:$D), 0)</f>
        <v>28368700</v>
      </c>
      <c r="Y13" s="23">
        <f t="shared" si="13"/>
        <v>72369.13265</v>
      </c>
      <c r="Z13" s="23">
        <f>IFERROR(SUMIFS(data!$E:$E, data!$A:$A, $A13, data!$B:$B, $B13), 0)</f>
        <v>222</v>
      </c>
      <c r="AA13" s="23">
        <f>IFERROR(SUMIF(data!$B:$B, $B13, data!$F:$F), 0)</f>
        <v>44114950</v>
      </c>
      <c r="AB13" s="23">
        <f t="shared" si="14"/>
        <v>198715.991</v>
      </c>
      <c r="AC13" s="23">
        <f t="shared" ref="AC13:AD13" si="34">W13+Z13</f>
        <v>614</v>
      </c>
      <c r="AD13" s="23">
        <f t="shared" si="34"/>
        <v>72483650</v>
      </c>
      <c r="AE13" s="23">
        <f t="shared" si="16"/>
        <v>118051.5472</v>
      </c>
      <c r="AF13" s="71"/>
      <c r="AG13" s="71"/>
      <c r="AH13" s="71"/>
      <c r="AI13" s="71"/>
      <c r="AJ13" s="71"/>
      <c r="AK13" s="71"/>
      <c r="AL13" s="71"/>
    </row>
    <row r="14" ht="13.5" customHeight="1">
      <c r="A14" s="37" t="s">
        <v>72</v>
      </c>
      <c r="B14" s="66" t="s">
        <v>110</v>
      </c>
      <c r="C14" s="37" t="s">
        <v>197</v>
      </c>
      <c r="D14" s="23">
        <v>150000.0</v>
      </c>
      <c r="E14" s="23">
        <f t="shared" si="3"/>
        <v>94223.93069</v>
      </c>
      <c r="F14" s="23">
        <f t="array" ref="F14">IFERROR(
  ROUND(
    _xludf.LET(
      nt,$A14,
      nv,$B14,
      songay,DAY(EOMONTH($C$1,0)),
      doanhthungay,$I14,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4" s="23">
        <f>IFERROR(SUMIF('Dự án T8'!$B:$B, $B14, 'Dự án T8'!$D:$D), 0)</f>
        <v>438028.871</v>
      </c>
      <c r="H14" s="23">
        <f t="shared" si="4"/>
        <v>3100000</v>
      </c>
      <c r="I14" s="23">
        <f t="shared" si="5"/>
        <v>920962.9355</v>
      </c>
      <c r="J14" s="72">
        <f t="array" ref="J14">_xlfn.XLOOKUP(B14,'kpi nhà thuốc'!A:A,'kpi nhà thuốc'!F:F,(AD14/DAY($C$1))/U14)</f>
        <v>0.3005247474</v>
      </c>
      <c r="K14" s="23" t="str">
        <f t="array" ref="K14">_xlfn.XLOOKUP(
    B14,
    'kpi nhà thuốc'!A:A,
    'kpi nhà thuốc'!G:G,
    IF(
        AND(
            OR(C14="DSXC",C14="DSCD"),
            G14&gt;=F14),IF(AND(I14&gt;=T14,E14&gt;=D14),AD14*1.5%,IF(AND(I14&gt;=T14,E14&lt;D14),AD14*1.3%,IF(AND(I14&gt;=S14,E14&gt;=D14),AD14*1.3%,IF(AND(I14&gt;=S14,E14&lt;D14),AD14*1.1%,IF(AND(I14&gt;=R14,E14&gt;=D14),AD14*1.2%,IF(AND(I14&gt;=R14,E14&lt;D14),AD14*1%,"")))))),""
    )
)</f>
        <v/>
      </c>
      <c r="L14" s="76">
        <f t="shared" si="6"/>
        <v>0.8</v>
      </c>
      <c r="M14" s="23">
        <f>IFERROR(SUMIF('Dự án T8'!$B:$B, $B14, 'Dự án T8'!$M:$M)*$L14, 0)</f>
        <v>0</v>
      </c>
      <c r="N14" s="77">
        <f t="shared" si="7"/>
        <v>0</v>
      </c>
      <c r="O14" s="23">
        <f t="shared" ref="O14:Q14" si="35">CEILING(R14,100000)</f>
        <v>2500000</v>
      </c>
      <c r="P14" s="23">
        <f t="shared" si="35"/>
        <v>2800000</v>
      </c>
      <c r="Q14" s="23">
        <f t="shared" si="35"/>
        <v>3100000</v>
      </c>
      <c r="R14" s="23">
        <f t="shared" si="9"/>
        <v>2451612.903</v>
      </c>
      <c r="S14" s="23">
        <f t="shared" si="10"/>
        <v>2758064.516</v>
      </c>
      <c r="T14" s="23">
        <f t="shared" si="11"/>
        <v>3064516.129</v>
      </c>
      <c r="U14" s="23">
        <f t="shared" si="12"/>
        <v>3064516.129</v>
      </c>
      <c r="V14" s="23">
        <v>9.5E7</v>
      </c>
      <c r="W14" s="54">
        <f>IFERROR(SUMIFS(data!$C:$C, data!$A:$A, $A14, data!$B:$B, $B14), 0)</f>
        <v>160</v>
      </c>
      <c r="X14" s="23">
        <f>IFERROR(SUMIF(data!$B:$B, $B14, data!$D:$D), 0)</f>
        <v>10020901</v>
      </c>
      <c r="Y14" s="23">
        <f t="shared" si="13"/>
        <v>62630.63125</v>
      </c>
      <c r="Z14" s="23">
        <f>IFERROR(SUMIFS(data!$E:$E, data!$A:$A, $A14, data!$B:$B, $B14), 0)</f>
        <v>143</v>
      </c>
      <c r="AA14" s="23">
        <f>IFERROR(SUMIF(data!$B:$B, $B14, data!$F:$F), 0)</f>
        <v>18528950</v>
      </c>
      <c r="AB14" s="23">
        <f t="shared" si="14"/>
        <v>129573.0769</v>
      </c>
      <c r="AC14" s="23">
        <f t="shared" ref="AC14:AD14" si="36">W14+Z14</f>
        <v>303</v>
      </c>
      <c r="AD14" s="23">
        <f t="shared" si="36"/>
        <v>28549851</v>
      </c>
      <c r="AE14" s="23">
        <f t="shared" si="16"/>
        <v>94223.93069</v>
      </c>
      <c r="AF14" s="71"/>
      <c r="AG14" s="71"/>
      <c r="AH14" s="71"/>
      <c r="AI14" s="71"/>
      <c r="AJ14" s="71"/>
      <c r="AK14" s="71"/>
      <c r="AL14" s="71"/>
    </row>
    <row r="15" ht="13.5" customHeight="1">
      <c r="A15" s="37" t="s">
        <v>72</v>
      </c>
      <c r="B15" s="66" t="s">
        <v>112</v>
      </c>
      <c r="C15" s="37" t="s">
        <v>127</v>
      </c>
      <c r="D15" s="23">
        <v>112000.0</v>
      </c>
      <c r="E15" s="23">
        <f t="shared" si="3"/>
        <v>174817.7094</v>
      </c>
      <c r="F15" s="23">
        <f t="array" ref="F15">IFERROR(
  ROUND(
    _xludf.LET(
      nt,$A15,
      nv,$B15,
      songay,DAY(EOMONTH($C$1,0)),
      doanhthungay,$I15,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5" s="23">
        <f>IFERROR(SUMIF('Dự án T8'!$B:$B, $B15, 'Dự án T8'!$D:$D), 0)</f>
        <v>1995953.323</v>
      </c>
      <c r="H15" s="23">
        <f t="shared" si="4"/>
        <v>3800000</v>
      </c>
      <c r="I15" s="23">
        <f t="shared" si="5"/>
        <v>5317841.935</v>
      </c>
      <c r="J15" s="72">
        <f t="array" ref="J15">_xlfn.XLOOKUP(B15,'kpi nhà thuốc'!A:A,'kpi nhà thuốc'!F:F,(AD15/DAY($C$1))/U15)</f>
        <v>1.433505217</v>
      </c>
      <c r="K15" s="23">
        <f t="array" ref="K15">_xlfn.XLOOKUP(
    B15,
    'kpi nhà thuốc'!A:A,
    'kpi nhà thuốc'!G:G,
    IF(
        AND(
            OR(C15="DSXC",C15="DSCD"),
            G15&gt;=F15),IF(AND(I15&gt;=T15,E15&gt;=D15),AD15*1.5%,IF(AND(I15&gt;=T15,E15&lt;D15),AD15*1.3%,IF(AND(I15&gt;=S15,E15&gt;=D15),AD15*1.3%,IF(AND(I15&gt;=S15,E15&lt;D15),AD15*1.1%,IF(AND(I15&gt;=R15,E15&gt;=D15),AD15*1.2%,IF(AND(I15&gt;=R15,E15&lt;D15),AD15*1%,"")))))),""
    )
)</f>
        <v>2472796.5</v>
      </c>
      <c r="L15" s="76">
        <f t="shared" si="6"/>
        <v>1</v>
      </c>
      <c r="M15" s="23">
        <f>IFERROR(SUMIF('Dự án T8'!$B:$B, $B15, 'Dự án T8'!$M:$M)*$L15, 0)</f>
        <v>2800000</v>
      </c>
      <c r="N15" s="77">
        <f t="shared" si="7"/>
        <v>5272796.5</v>
      </c>
      <c r="O15" s="23">
        <f t="shared" ref="O15:Q15" si="37">CEILING(R15,100000)</f>
        <v>3000000</v>
      </c>
      <c r="P15" s="23">
        <f t="shared" si="37"/>
        <v>3400000</v>
      </c>
      <c r="Q15" s="23">
        <f t="shared" si="37"/>
        <v>3800000</v>
      </c>
      <c r="R15" s="23">
        <f t="shared" si="9"/>
        <v>2967741.935</v>
      </c>
      <c r="S15" s="23">
        <f t="shared" si="10"/>
        <v>3338709.677</v>
      </c>
      <c r="T15" s="23">
        <f t="shared" si="11"/>
        <v>3709677.419</v>
      </c>
      <c r="U15" s="23">
        <f t="shared" si="12"/>
        <v>3709677.419</v>
      </c>
      <c r="V15" s="23">
        <v>1.15E8</v>
      </c>
      <c r="W15" s="54">
        <f>IFERROR(SUMIFS(data!$C:$C, data!$A:$A, $A15, data!$B:$B, $B15), 0)</f>
        <v>511</v>
      </c>
      <c r="X15" s="23">
        <f>IFERROR(SUMIF(data!$B:$B, $B15, data!$D:$D), 0)</f>
        <v>47529800</v>
      </c>
      <c r="Y15" s="23">
        <f t="shared" si="13"/>
        <v>93013.30724</v>
      </c>
      <c r="Z15" s="23">
        <f>IFERROR(SUMIFS(data!$E:$E, data!$A:$A, $A15, data!$B:$B, $B15), 0)</f>
        <v>432</v>
      </c>
      <c r="AA15" s="23">
        <f>IFERROR(SUMIF(data!$B:$B, $B15, data!$F:$F), 0)</f>
        <v>117323300</v>
      </c>
      <c r="AB15" s="23">
        <f t="shared" si="14"/>
        <v>271581.713</v>
      </c>
      <c r="AC15" s="23">
        <f t="shared" ref="AC15:AD15" si="38">W15+Z15</f>
        <v>943</v>
      </c>
      <c r="AD15" s="23">
        <f t="shared" si="38"/>
        <v>164853100</v>
      </c>
      <c r="AE15" s="23">
        <f t="shared" si="16"/>
        <v>174817.7094</v>
      </c>
      <c r="AF15" s="71"/>
      <c r="AG15" s="71"/>
      <c r="AH15" s="71"/>
      <c r="AI15" s="71"/>
      <c r="AJ15" s="71"/>
      <c r="AK15" s="71"/>
      <c r="AL15" s="71"/>
    </row>
    <row r="16" ht="13.5" customHeight="1">
      <c r="A16" s="37" t="s">
        <v>72</v>
      </c>
      <c r="B16" s="66" t="s">
        <v>111</v>
      </c>
      <c r="C16" s="37" t="s">
        <v>127</v>
      </c>
      <c r="D16" s="23">
        <v>130000.0</v>
      </c>
      <c r="E16" s="23">
        <f t="shared" si="3"/>
        <v>100595.2381</v>
      </c>
      <c r="F16" s="23">
        <f t="array" ref="F16">IFERROR(
  ROUND(
    _xludf.LET(
      nt,$A16,
      nv,$B16,
      songay,DAY(EOMONTH($C$1,0)),
      doanhthungay,$I16,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6" s="23">
        <f>IFERROR(SUMIF('Dự án T8'!$B:$B, $B16, 'Dự án T8'!$D:$D), 0)</f>
        <v>624747.5806</v>
      </c>
      <c r="H16" s="23">
        <f t="shared" si="4"/>
        <v>3300000</v>
      </c>
      <c r="I16" s="23">
        <f t="shared" si="5"/>
        <v>1431048.387</v>
      </c>
      <c r="J16" s="72">
        <f t="array" ref="J16">_xlfn.XLOOKUP(B16,'kpi nhà thuốc'!A:A,'kpi nhà thuốc'!F:F,(AD16/DAY($C$1))/U16)</f>
        <v>0.443625</v>
      </c>
      <c r="K16" s="23" t="str">
        <f t="array" ref="K16">_xlfn.XLOOKUP(
    B16,
    'kpi nhà thuốc'!A:A,
    'kpi nhà thuốc'!G:G,
    IF(
        AND(
            OR(C16="DSXC",C16="DSCD"),
            G16&gt;=F16),IF(AND(I16&gt;=T16,E16&gt;=D16),AD16*1.5%,IF(AND(I16&gt;=T16,E16&lt;D16),AD16*1.3%,IF(AND(I16&gt;=S16,E16&gt;=D16),AD16*1.3%,IF(AND(I16&gt;=S16,E16&lt;D16),AD16*1.1%,IF(AND(I16&gt;=R16,E16&gt;=D16),AD16*1.2%,IF(AND(I16&gt;=R16,E16&lt;D16),AD16*1%,"")))))),""
    )
)</f>
        <v/>
      </c>
      <c r="L16" s="76">
        <f t="shared" si="6"/>
        <v>0.8</v>
      </c>
      <c r="M16" s="23">
        <f>IFERROR(SUMIF('Dự án T8'!$B:$B, $B16, 'Dự án T8'!$M:$M)*$L16, 0)</f>
        <v>0</v>
      </c>
      <c r="N16" s="77">
        <f t="shared" si="7"/>
        <v>0</v>
      </c>
      <c r="O16" s="23">
        <f t="shared" ref="O16:Q16" si="39">CEILING(R16,100000)</f>
        <v>2600000</v>
      </c>
      <c r="P16" s="23">
        <f t="shared" si="39"/>
        <v>3000000</v>
      </c>
      <c r="Q16" s="23">
        <f t="shared" si="39"/>
        <v>3300000</v>
      </c>
      <c r="R16" s="23">
        <f t="shared" si="9"/>
        <v>2580645.161</v>
      </c>
      <c r="S16" s="23">
        <f t="shared" si="10"/>
        <v>2903225.806</v>
      </c>
      <c r="T16" s="23">
        <f t="shared" si="11"/>
        <v>3225806.452</v>
      </c>
      <c r="U16" s="23">
        <f t="shared" si="12"/>
        <v>3225806.452</v>
      </c>
      <c r="V16" s="23">
        <v>1.0E8</v>
      </c>
      <c r="W16" s="54">
        <f>IFERROR(SUMIFS(data!$C:$C, data!$A:$A, $A16, data!$B:$B, $B16), 0)</f>
        <v>273</v>
      </c>
      <c r="X16" s="23">
        <f>IFERROR(SUMIF(data!$B:$B, $B16, data!$D:$D), 0)</f>
        <v>16360400</v>
      </c>
      <c r="Y16" s="23">
        <f t="shared" si="13"/>
        <v>59928.20513</v>
      </c>
      <c r="Z16" s="23">
        <f>IFERROR(SUMIFS(data!$E:$E, data!$A:$A, $A16, data!$B:$B, $B16), 0)</f>
        <v>168</v>
      </c>
      <c r="AA16" s="23">
        <f>IFERROR(SUMIF(data!$B:$B, $B16, data!$F:$F), 0)</f>
        <v>28002100</v>
      </c>
      <c r="AB16" s="23">
        <f t="shared" si="14"/>
        <v>166679.1667</v>
      </c>
      <c r="AC16" s="23">
        <f t="shared" ref="AC16:AD16" si="40">W16+Z16</f>
        <v>441</v>
      </c>
      <c r="AD16" s="23">
        <f t="shared" si="40"/>
        <v>44362500</v>
      </c>
      <c r="AE16" s="23">
        <f t="shared" si="16"/>
        <v>100595.2381</v>
      </c>
      <c r="AF16" s="71"/>
      <c r="AG16" s="71"/>
      <c r="AH16" s="71"/>
      <c r="AI16" s="71"/>
      <c r="AJ16" s="71"/>
      <c r="AK16" s="71"/>
      <c r="AL16" s="71"/>
    </row>
    <row r="17" ht="13.5" customHeight="1">
      <c r="A17" s="37" t="s">
        <v>116</v>
      </c>
      <c r="B17" s="66" t="s">
        <v>124</v>
      </c>
      <c r="C17" s="37" t="s">
        <v>130</v>
      </c>
      <c r="D17" s="23">
        <v>232000.0</v>
      </c>
      <c r="E17" s="23">
        <f t="shared" si="3"/>
        <v>187973.639</v>
      </c>
      <c r="F17" s="23">
        <f t="array" ref="F17">IFERROR(
  ROUND(
    _xludf.LET(
      nt,$A17,
      nv,$B17,
      songay,DAY(EOMONTH($C$1,0)),
      doanhthungay,$I17,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7" s="23">
        <f>IFERROR(SUMIF('Dự án T8'!$B:$B, $B17, 'Dự án T8'!$D:$D), 0)</f>
        <v>367421.6129</v>
      </c>
      <c r="H17" s="23">
        <f t="shared" si="4"/>
        <v>6500000</v>
      </c>
      <c r="I17" s="23">
        <f t="shared" si="5"/>
        <v>4232438.71</v>
      </c>
      <c r="J17" s="72">
        <f t="array" ref="J17">_xlfn.XLOOKUP(B17,'kpi nhà thuốc'!A:A,'kpi nhà thuốc'!F:F,(AD17/DAY($C$1))/U17)</f>
        <v>0.656028</v>
      </c>
      <c r="K17" s="23" t="str">
        <f t="array" ref="K17">_xlfn.XLOOKUP(
    B17,
    'kpi nhà thuốc'!A:A,
    'kpi nhà thuốc'!G:G,
    IF(
        AND(
            OR(C17="DSXC",C17="DSCD"),
            G17&gt;=F17),IF(AND(I17&gt;=T17,E17&gt;=D17),AD17*1.5%,IF(AND(I17&gt;=T17,E17&lt;D17),AD17*1.3%,IF(AND(I17&gt;=S17,E17&gt;=D17),AD17*1.3%,IF(AND(I17&gt;=S17,E17&lt;D17),AD17*1.1%,IF(AND(I17&gt;=R17,E17&gt;=D17),AD17*1.2%,IF(AND(I17&gt;=R17,E17&lt;D17),AD17*1%,"")))))),""
    )
)</f>
        <v/>
      </c>
      <c r="L17" s="76">
        <f t="shared" si="6"/>
        <v>1</v>
      </c>
      <c r="M17" s="23">
        <f>IFERROR(SUMIF('Dự án T8'!$B:$B, $B17, 'Dự án T8'!$M:$M)*$L17, 0)</f>
        <v>0</v>
      </c>
      <c r="N17" s="77">
        <f t="shared" si="7"/>
        <v>0</v>
      </c>
      <c r="O17" s="23">
        <f t="shared" ref="O17:Q17" si="41">CEILING(R17,100000)</f>
        <v>5200000</v>
      </c>
      <c r="P17" s="23">
        <f t="shared" si="41"/>
        <v>5900000</v>
      </c>
      <c r="Q17" s="23">
        <f t="shared" si="41"/>
        <v>6500000</v>
      </c>
      <c r="R17" s="23">
        <f t="shared" si="9"/>
        <v>5161290.323</v>
      </c>
      <c r="S17" s="23">
        <f t="shared" si="10"/>
        <v>5806451.613</v>
      </c>
      <c r="T17" s="23">
        <f t="shared" si="11"/>
        <v>6451612.903</v>
      </c>
      <c r="U17" s="23">
        <f t="shared" si="12"/>
        <v>6451612.903</v>
      </c>
      <c r="V17" s="23">
        <v>2.0E8</v>
      </c>
      <c r="W17" s="54">
        <f>IFERROR(SUMIFS(data!$C:$C, data!$A:$A, $A17, data!$B:$B, $B17), 0)</f>
        <v>553</v>
      </c>
      <c r="X17" s="23">
        <f>IFERROR(SUMIF(data!$B:$B, $B17, data!$D:$D), 0)</f>
        <v>109865100</v>
      </c>
      <c r="Y17" s="23">
        <f t="shared" si="13"/>
        <v>198671.0669</v>
      </c>
      <c r="Z17" s="23">
        <f>IFERROR(SUMIFS(data!$E:$E, data!$A:$A, $A17, data!$B:$B, $B17), 0)</f>
        <v>145</v>
      </c>
      <c r="AA17" s="23">
        <f>IFERROR(SUMIF(data!$B:$B, $B17, data!$F:$F), 0)</f>
        <v>21340500</v>
      </c>
      <c r="AB17" s="23">
        <f t="shared" si="14"/>
        <v>147175.8621</v>
      </c>
      <c r="AC17" s="23">
        <f t="shared" ref="AC17:AD17" si="42">W17+Z17</f>
        <v>698</v>
      </c>
      <c r="AD17" s="23">
        <f t="shared" si="42"/>
        <v>131205600</v>
      </c>
      <c r="AE17" s="23">
        <f t="shared" si="16"/>
        <v>187973.639</v>
      </c>
      <c r="AF17" s="71"/>
      <c r="AG17" s="71"/>
      <c r="AH17" s="71"/>
      <c r="AI17" s="71"/>
      <c r="AJ17" s="71"/>
      <c r="AK17" s="71"/>
      <c r="AL17" s="71"/>
    </row>
    <row r="18" ht="13.5" customHeight="1">
      <c r="A18" s="37" t="s">
        <v>116</v>
      </c>
      <c r="B18" s="66" t="s">
        <v>125</v>
      </c>
      <c r="C18" s="37" t="s">
        <v>130</v>
      </c>
      <c r="D18" s="23">
        <v>132000.0</v>
      </c>
      <c r="E18" s="23">
        <f t="shared" si="3"/>
        <v>204502.6868</v>
      </c>
      <c r="F18" s="23">
        <f t="array" ref="F18">IFERROR(
  ROUND(
    _xludf.LET(
      nt,$A18,
      nv,$B18,
      songay,DAY(EOMONTH($C$1,0)),
      doanhthungay,$I18,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8" s="23">
        <f>IFERROR(SUMIF('Dự án T8'!$B:$B, $B18, 'Dự án T8'!$D:$D), 0)</f>
        <v>495122.8387</v>
      </c>
      <c r="H18" s="23">
        <f t="shared" si="4"/>
        <v>6500000</v>
      </c>
      <c r="I18" s="23">
        <f t="shared" si="5"/>
        <v>4591415.161</v>
      </c>
      <c r="J18" s="72">
        <f t="array" ref="J18">_xlfn.XLOOKUP(B18,'kpi nhà thuốc'!A:A,'kpi nhà thuốc'!F:F,(AD18/DAY($C$1))/U18)</f>
        <v>0.71166935</v>
      </c>
      <c r="K18" s="23" t="str">
        <f t="array" ref="K18">_xlfn.XLOOKUP(
    B18,
    'kpi nhà thuốc'!A:A,
    'kpi nhà thuốc'!G:G,
    IF(
        AND(
            OR(C18="DSXC",C18="DSCD"),
            G18&gt;=F18),IF(AND(I18&gt;=T18,E18&gt;=D18),AD18*1.5%,IF(AND(I18&gt;=T18,E18&lt;D18),AD18*1.3%,IF(AND(I18&gt;=S18,E18&gt;=D18),AD18*1.3%,IF(AND(I18&gt;=S18,E18&lt;D18),AD18*1.1%,IF(AND(I18&gt;=R18,E18&gt;=D18),AD18*1.2%,IF(AND(I18&gt;=R18,E18&lt;D18),AD18*1%,"")))))),""
    )
)</f>
        <v/>
      </c>
      <c r="L18" s="76">
        <f t="shared" si="6"/>
        <v>1</v>
      </c>
      <c r="M18" s="23">
        <f>IFERROR(SUMIF('Dự án T8'!$B:$B, $B18, 'Dự án T8'!$M:$M)*$L18, 0)</f>
        <v>0</v>
      </c>
      <c r="N18" s="77">
        <f t="shared" si="7"/>
        <v>0</v>
      </c>
      <c r="O18" s="23">
        <f t="shared" ref="O18:Q18" si="43">CEILING(R18,100000)</f>
        <v>5200000</v>
      </c>
      <c r="P18" s="23">
        <f t="shared" si="43"/>
        <v>5900000</v>
      </c>
      <c r="Q18" s="23">
        <f t="shared" si="43"/>
        <v>6500000</v>
      </c>
      <c r="R18" s="23">
        <f t="shared" si="9"/>
        <v>5161290.323</v>
      </c>
      <c r="S18" s="23">
        <f t="shared" si="10"/>
        <v>5806451.613</v>
      </c>
      <c r="T18" s="23">
        <f t="shared" si="11"/>
        <v>6451612.903</v>
      </c>
      <c r="U18" s="23">
        <f t="shared" si="12"/>
        <v>6451612.903</v>
      </c>
      <c r="V18" s="23">
        <v>2.0E8</v>
      </c>
      <c r="W18" s="54">
        <f>IFERROR(SUMIFS(data!$C:$C, data!$A:$A, $A18, data!$B:$B, $B18), 0)</f>
        <v>558</v>
      </c>
      <c r="X18" s="23">
        <f>IFERROR(SUMIF(data!$B:$B, $B18, data!$D:$D), 0)</f>
        <v>124498570</v>
      </c>
      <c r="Y18" s="23">
        <f t="shared" si="13"/>
        <v>223115.7168</v>
      </c>
      <c r="Z18" s="23">
        <f>IFERROR(SUMIFS(data!$E:$E, data!$A:$A, $A18, data!$B:$B, $B18), 0)</f>
        <v>138</v>
      </c>
      <c r="AA18" s="23">
        <f>IFERROR(SUMIF(data!$B:$B, $B18, data!$F:$F), 0)</f>
        <v>17835300</v>
      </c>
      <c r="AB18" s="23">
        <f t="shared" si="14"/>
        <v>129241.3043</v>
      </c>
      <c r="AC18" s="23">
        <f t="shared" ref="AC18:AD18" si="44">W18+Z18</f>
        <v>696</v>
      </c>
      <c r="AD18" s="23">
        <f t="shared" si="44"/>
        <v>142333870</v>
      </c>
      <c r="AE18" s="23">
        <f t="shared" si="16"/>
        <v>204502.6868</v>
      </c>
      <c r="AF18" s="71"/>
      <c r="AG18" s="71"/>
      <c r="AH18" s="71"/>
      <c r="AI18" s="71"/>
      <c r="AJ18" s="71"/>
      <c r="AK18" s="71"/>
      <c r="AL18" s="71"/>
    </row>
    <row r="19" ht="13.5" customHeight="1">
      <c r="A19" s="37" t="s">
        <v>116</v>
      </c>
      <c r="B19" s="66" t="s">
        <v>115</v>
      </c>
      <c r="C19" s="37" t="s">
        <v>96</v>
      </c>
      <c r="D19" s="23">
        <v>159000.0</v>
      </c>
      <c r="E19" s="23">
        <f t="shared" si="3"/>
        <v>346495.1359</v>
      </c>
      <c r="F19" s="23">
        <f t="array" ref="F19">IFERROR(
  ROUND(
    _xludf.LET(
      nt,$A19,
      nv,$B19,
      songay,DAY(EOMONTH($C$1,0)),
      doanhthungay,$I19,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9" s="23">
        <f>IFERROR(SUMIF('Dự án T8'!$B:$B, $B19, 'Dự án T8'!$D:$D), 0)</f>
        <v>289685.5806</v>
      </c>
      <c r="H19" s="23">
        <f t="shared" si="4"/>
        <v>7800000</v>
      </c>
      <c r="I19" s="23">
        <f t="shared" si="5"/>
        <v>6661648.419</v>
      </c>
      <c r="J19" s="72">
        <f t="array" ref="J19">_xlfn.XLOOKUP(B19,'kpi nhà thuốc'!A:A,'kpi nhà thuốc'!F:F,(AD19/DAY($C$1))/U19)</f>
        <v>0.8767315091</v>
      </c>
      <c r="K19" s="23">
        <f t="array" ref="K19">_xlfn.XLOOKUP(
    B19,
    'kpi nhà thuốc'!A:A,
    'kpi nhà thuốc'!G:G,
    IF(
        AND(
            OR(C19="DSXC",C19="DSCD"),
            G19&gt;=F19),IF(AND(I19&gt;=T19,E19&gt;=D19),AD19*1.5%,IF(AND(I19&gt;=T19,E19&lt;D19),AD19*1.3%,IF(AND(I19&gt;=S19,E19&gt;=D19),AD19*1.3%,IF(AND(I19&gt;=S19,E19&lt;D19),AD19*1.1%,IF(AND(I19&gt;=R19,E19&gt;=D19),AD19*1.2%,IF(AND(I19&gt;=R19,E19&lt;D19),AD19*1%,"")))))),""
    )
)</f>
        <v>0</v>
      </c>
      <c r="L19" s="76">
        <f t="shared" si="6"/>
        <v>1</v>
      </c>
      <c r="M19" s="23">
        <f>IFERROR(SUMIF('Dự án T8'!$B:$B, $B19, 'Dự án T8'!$M:$M)*$L19, 0)</f>
        <v>0</v>
      </c>
      <c r="N19" s="77">
        <f t="shared" si="7"/>
        <v>0</v>
      </c>
      <c r="O19" s="23">
        <f t="shared" ref="O19:Q19" si="45">CEILING(R19,100000)</f>
        <v>6200000</v>
      </c>
      <c r="P19" s="23">
        <f t="shared" si="45"/>
        <v>7000000</v>
      </c>
      <c r="Q19" s="23">
        <f t="shared" si="45"/>
        <v>7800000</v>
      </c>
      <c r="R19" s="23">
        <f t="shared" si="9"/>
        <v>6193548.387</v>
      </c>
      <c r="S19" s="23">
        <f t="shared" si="10"/>
        <v>6967741.935</v>
      </c>
      <c r="T19" s="23">
        <f t="shared" si="11"/>
        <v>7741935.484</v>
      </c>
      <c r="U19" s="23">
        <f t="shared" si="12"/>
        <v>7741935.484</v>
      </c>
      <c r="V19" s="23">
        <v>2.4E8</v>
      </c>
      <c r="W19" s="54">
        <f>IFERROR(SUMIFS(data!$C:$C, data!$A:$A, $A19, data!$B:$B, $B19), 0)</f>
        <v>440</v>
      </c>
      <c r="X19" s="23">
        <f>IFERROR(SUMIF(data!$B:$B, $B19, data!$D:$D), 0)</f>
        <v>170736200</v>
      </c>
      <c r="Y19" s="23">
        <f t="shared" si="13"/>
        <v>388036.8182</v>
      </c>
      <c r="Z19" s="23">
        <f>IFERROR(SUMIFS(data!$E:$E, data!$A:$A, $A19, data!$B:$B, $B19), 0)</f>
        <v>156</v>
      </c>
      <c r="AA19" s="23">
        <f>IFERROR(SUMIF(data!$B:$B, $B19, data!$F:$F), 0)</f>
        <v>35774901</v>
      </c>
      <c r="AB19" s="23">
        <f t="shared" si="14"/>
        <v>229326.2885</v>
      </c>
      <c r="AC19" s="23">
        <f t="shared" ref="AC19:AD19" si="46">W19+Z19</f>
        <v>596</v>
      </c>
      <c r="AD19" s="23">
        <f t="shared" si="46"/>
        <v>206511101</v>
      </c>
      <c r="AE19" s="23">
        <f t="shared" si="16"/>
        <v>346495.1359</v>
      </c>
      <c r="AF19" s="71"/>
      <c r="AG19" s="71"/>
      <c r="AH19" s="71"/>
      <c r="AI19" s="71"/>
      <c r="AJ19" s="71"/>
      <c r="AK19" s="71"/>
      <c r="AL19" s="71"/>
    </row>
    <row r="20" ht="13.5" customHeight="1">
      <c r="A20" s="37" t="s">
        <v>116</v>
      </c>
      <c r="B20" s="66" t="s">
        <v>122</v>
      </c>
      <c r="C20" s="37" t="s">
        <v>127</v>
      </c>
      <c r="D20" s="23">
        <v>207000.0</v>
      </c>
      <c r="E20" s="23">
        <f t="shared" si="3"/>
        <v>335470.298</v>
      </c>
      <c r="F20" s="23">
        <f t="array" ref="F20">IFERROR(
  ROUND(
    _xludf.LET(
      nt,$A20,
      nv,$B20,
      songay,DAY(EOMONTH($C$1,0)),
      doanhthungay,$I20,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0" s="23">
        <f>IFERROR(SUMIF('Dự án T8'!$B:$B, $B20, 'Dự án T8'!$D:$D), 0)</f>
        <v>888176.5484</v>
      </c>
      <c r="H20" s="23">
        <f t="shared" si="4"/>
        <v>7500000</v>
      </c>
      <c r="I20" s="23">
        <f t="shared" si="5"/>
        <v>9403989.968</v>
      </c>
      <c r="J20" s="72">
        <f t="array" ref="J20">_xlfn.XLOOKUP(B20,'kpi nhà thuốc'!A:A,'kpi nhà thuốc'!F:F,(AD20/DAY($C$1))/U20)</f>
        <v>1.2674943</v>
      </c>
      <c r="K20" s="23">
        <f t="array" ref="K20">_xlfn.XLOOKUP(
    B20,
    'kpi nhà thuốc'!A:A,
    'kpi nhà thuốc'!G:G,
    IF(
        AND(
            OR(C20="DSXC",C20="DSCD"),
            G20&gt;=F20),IF(AND(I20&gt;=T20,E20&gt;=D20),AD20*1.5%,IF(AND(I20&gt;=T20,E20&lt;D20),AD20*1.3%,IF(AND(I20&gt;=S20,E20&gt;=D20),AD20*1.3%,IF(AND(I20&gt;=S20,E20&lt;D20),AD20*1.1%,IF(AND(I20&gt;=R20,E20&gt;=D20),AD20*1.2%,IF(AND(I20&gt;=R20,E20&lt;D20),AD20*1%,"")))))),""
    )
)</f>
        <v>4372855.335</v>
      </c>
      <c r="L20" s="76">
        <f t="shared" si="6"/>
        <v>1</v>
      </c>
      <c r="M20" s="23">
        <f>IFERROR(SUMIF('Dự án T8'!$B:$B, $B20, 'Dự án T8'!$M:$M)*$L20, 0)</f>
        <v>0</v>
      </c>
      <c r="N20" s="77">
        <f t="shared" si="7"/>
        <v>4372855.335</v>
      </c>
      <c r="O20" s="23">
        <f t="shared" ref="O20:Q20" si="47">CEILING(R20,100000)</f>
        <v>6000000</v>
      </c>
      <c r="P20" s="23">
        <f t="shared" si="47"/>
        <v>6700000</v>
      </c>
      <c r="Q20" s="23">
        <f t="shared" si="47"/>
        <v>7500000</v>
      </c>
      <c r="R20" s="23">
        <f t="shared" si="9"/>
        <v>5935483.871</v>
      </c>
      <c r="S20" s="23">
        <f t="shared" si="10"/>
        <v>6677419.355</v>
      </c>
      <c r="T20" s="23">
        <f t="shared" si="11"/>
        <v>7419354.839</v>
      </c>
      <c r="U20" s="23">
        <f t="shared" si="12"/>
        <v>7419354.839</v>
      </c>
      <c r="V20" s="23">
        <v>2.3E8</v>
      </c>
      <c r="W20" s="54">
        <f>IFERROR(SUMIFS(data!$C:$C, data!$A:$A, $A20, data!$B:$B, $B20), 0)</f>
        <v>643</v>
      </c>
      <c r="X20" s="23">
        <f>IFERROR(SUMIF(data!$B:$B, $B20, data!$D:$D), 0)</f>
        <v>221293840</v>
      </c>
      <c r="Y20" s="23">
        <f t="shared" si="13"/>
        <v>344158.3826</v>
      </c>
      <c r="Z20" s="23">
        <f>IFERROR(SUMIFS(data!$E:$E, data!$A:$A, $A20, data!$B:$B, $B20), 0)</f>
        <v>226</v>
      </c>
      <c r="AA20" s="23">
        <f>IFERROR(SUMIF(data!$B:$B, $B20, data!$F:$F), 0)</f>
        <v>70229849</v>
      </c>
      <c r="AB20" s="23">
        <f t="shared" si="14"/>
        <v>310751.5442</v>
      </c>
      <c r="AC20" s="23">
        <f t="shared" ref="AC20:AD20" si="48">W20+Z20</f>
        <v>869</v>
      </c>
      <c r="AD20" s="23">
        <f t="shared" si="48"/>
        <v>291523689</v>
      </c>
      <c r="AE20" s="23">
        <f t="shared" si="16"/>
        <v>335470.298</v>
      </c>
      <c r="AF20" s="71"/>
      <c r="AG20" s="71"/>
      <c r="AH20" s="71"/>
      <c r="AI20" s="71"/>
      <c r="AJ20" s="71"/>
      <c r="AK20" s="71"/>
      <c r="AL20" s="71"/>
    </row>
    <row r="21" ht="13.5" customHeight="1">
      <c r="A21" s="37" t="s">
        <v>116</v>
      </c>
      <c r="B21" s="66" t="s">
        <v>123</v>
      </c>
      <c r="C21" s="37" t="s">
        <v>127</v>
      </c>
      <c r="D21" s="23">
        <v>250000.0</v>
      </c>
      <c r="E21" s="23">
        <f t="shared" si="3"/>
        <v>187846.943</v>
      </c>
      <c r="F21" s="23">
        <f t="array" ref="F21">IFERROR(
  ROUND(
    _xludf.LET(
      nt,$A21,
      nv,$B21,
      songay,DAY(EOMONTH($C$1,0)),
      doanhthungay,$I21,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1" s="23">
        <f>IFERROR(SUMIF('Dự án T8'!$B:$B, $B21, 'Dự án T8'!$D:$D), 0)</f>
        <v>569838.0968</v>
      </c>
      <c r="H21" s="23">
        <f t="shared" si="4"/>
        <v>7500000</v>
      </c>
      <c r="I21" s="23">
        <f t="shared" si="5"/>
        <v>5847493.548</v>
      </c>
      <c r="J21" s="72">
        <f t="array" ref="J21">_xlfn.XLOOKUP(B21,'kpi nhà thuốc'!A:A,'kpi nhà thuốc'!F:F,(AD21/DAY($C$1))/U21)</f>
        <v>0.7881404348</v>
      </c>
      <c r="K21" s="23" t="str">
        <f t="array" ref="K21">_xlfn.XLOOKUP(
    B21,
    'kpi nhà thuốc'!A:A,
    'kpi nhà thuốc'!G:G,
    IF(
        AND(
            OR(C21="DSXC",C21="DSCD"),
            G21&gt;=F21),IF(AND(I21&gt;=T21,E21&gt;=D21),AD21*1.5%,IF(AND(I21&gt;=T21,E21&lt;D21),AD21*1.3%,IF(AND(I21&gt;=S21,E21&gt;=D21),AD21*1.3%,IF(AND(I21&gt;=S21,E21&lt;D21),AD21*1.1%,IF(AND(I21&gt;=R21,E21&gt;=D21),AD21*1.2%,IF(AND(I21&gt;=R21,E21&lt;D21),AD21*1%,"")))))),""
    )
)</f>
        <v/>
      </c>
      <c r="L21" s="76">
        <f t="shared" si="6"/>
        <v>1</v>
      </c>
      <c r="M21" s="23">
        <f>IFERROR(SUMIF('Dự án T8'!$B:$B, $B21, 'Dự án T8'!$M:$M)*$L21, 0)</f>
        <v>0</v>
      </c>
      <c r="N21" s="77">
        <f t="shared" si="7"/>
        <v>0</v>
      </c>
      <c r="O21" s="23">
        <f t="shared" ref="O21:Q21" si="49">CEILING(R21,100000)</f>
        <v>6000000</v>
      </c>
      <c r="P21" s="23">
        <f t="shared" si="49"/>
        <v>6700000</v>
      </c>
      <c r="Q21" s="23">
        <f t="shared" si="49"/>
        <v>7500000</v>
      </c>
      <c r="R21" s="23">
        <f t="shared" si="9"/>
        <v>5935483.871</v>
      </c>
      <c r="S21" s="23">
        <f t="shared" si="10"/>
        <v>6677419.355</v>
      </c>
      <c r="T21" s="23">
        <f t="shared" si="11"/>
        <v>7419354.839</v>
      </c>
      <c r="U21" s="23">
        <f t="shared" si="12"/>
        <v>7419354.839</v>
      </c>
      <c r="V21" s="23">
        <v>2.3E8</v>
      </c>
      <c r="W21" s="54">
        <f>IFERROR(SUMIFS(data!$C:$C, data!$A:$A, $A21, data!$B:$B, $B21), 0)</f>
        <v>728</v>
      </c>
      <c r="X21" s="23">
        <f>IFERROR(SUMIF(data!$B:$B, $B21, data!$D:$D), 0)</f>
        <v>131993700</v>
      </c>
      <c r="Y21" s="23">
        <f t="shared" si="13"/>
        <v>181310.0275</v>
      </c>
      <c r="Z21" s="23">
        <f>IFERROR(SUMIFS(data!$E:$E, data!$A:$A, $A21, data!$B:$B, $B21), 0)</f>
        <v>237</v>
      </c>
      <c r="AA21" s="23">
        <f>IFERROR(SUMIF(data!$B:$B, $B21, data!$F:$F), 0)</f>
        <v>49278600</v>
      </c>
      <c r="AB21" s="23">
        <f t="shared" si="14"/>
        <v>207926.5823</v>
      </c>
      <c r="AC21" s="23">
        <f t="shared" ref="AC21:AD21" si="50">W21+Z21</f>
        <v>965</v>
      </c>
      <c r="AD21" s="23">
        <f t="shared" si="50"/>
        <v>181272300</v>
      </c>
      <c r="AE21" s="23">
        <f t="shared" si="16"/>
        <v>187846.943</v>
      </c>
      <c r="AF21" s="71"/>
      <c r="AG21" s="71"/>
      <c r="AH21" s="71"/>
      <c r="AI21" s="71"/>
      <c r="AJ21" s="71"/>
      <c r="AK21" s="71"/>
      <c r="AL21" s="71"/>
    </row>
    <row r="22" ht="13.5" customHeight="1">
      <c r="A22" s="37" t="s">
        <v>39</v>
      </c>
      <c r="B22" s="66" t="s">
        <v>45</v>
      </c>
      <c r="C22" s="37" t="s">
        <v>96</v>
      </c>
      <c r="D22" s="23">
        <v>112000.0</v>
      </c>
      <c r="E22" s="23">
        <f t="shared" si="3"/>
        <v>100079.8338</v>
      </c>
      <c r="F22" s="23">
        <f t="array" ref="F22">IFERROR(
  ROUND(
    _xludf.LET(
      nt,$A22,
      nv,$B22,
      songay,DAY(EOMONTH($C$1,0)),
      doanhthungay,$I22,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2" s="23">
        <f>IFERROR(SUMIF('Dự án T8'!$B:$B, $B22, 'Dự án T8'!$D:$D), 0)</f>
        <v>807276.9355</v>
      </c>
      <c r="H22" s="23">
        <f t="shared" si="4"/>
        <v>3900000</v>
      </c>
      <c r="I22" s="23">
        <f t="shared" si="5"/>
        <v>2137188.71</v>
      </c>
      <c r="J22" s="72">
        <f t="array" ref="J22">_xlfn.XLOOKUP(B22,'kpi nhà thuốc'!A:A,'kpi nhà thuốc'!F:F,(AD22/DAY($C$1))/U22)</f>
        <v>0.7013155304</v>
      </c>
      <c r="K22" s="23">
        <f t="array" ref="K22">_xlfn.XLOOKUP(
    B22,
    'kpi nhà thuốc'!A:A,
    'kpi nhà thuốc'!G:G,
    IF(
        AND(
            OR(C22="DSXC",C22="DSCD"),
            G22&gt;=F22),IF(AND(I22&gt;=T22,E22&gt;=D22),AD22*1.5%,IF(AND(I22&gt;=T22,E22&lt;D22),AD22*1.3%,IF(AND(I22&gt;=S22,E22&gt;=D22),AD22*1.3%,IF(AND(I22&gt;=S22,E22&lt;D22),AD22*1.1%,IF(AND(I22&gt;=R22,E22&gt;=D22),AD22*1.2%,IF(AND(I22&gt;=R22,E22&lt;D22),AD22*1%,"")))))),""
    )
)</f>
        <v>0</v>
      </c>
      <c r="L22" s="76">
        <f t="shared" si="6"/>
        <v>1</v>
      </c>
      <c r="M22" s="23">
        <f>IFERROR(SUMIF('Dự án T8'!$B:$B, $B22, 'Dự án T8'!$M:$M)*$L22, 0)</f>
        <v>0</v>
      </c>
      <c r="N22" s="77">
        <f t="shared" si="7"/>
        <v>0</v>
      </c>
      <c r="O22" s="23">
        <f t="shared" ref="O22:Q22" si="51">CEILING(R22,100000)</f>
        <v>3100000</v>
      </c>
      <c r="P22" s="23">
        <f t="shared" si="51"/>
        <v>3500000</v>
      </c>
      <c r="Q22" s="23">
        <f t="shared" si="51"/>
        <v>3900000</v>
      </c>
      <c r="R22" s="23">
        <f t="shared" si="9"/>
        <v>3096774.194</v>
      </c>
      <c r="S22" s="23">
        <f t="shared" si="10"/>
        <v>3483870.968</v>
      </c>
      <c r="T22" s="23">
        <f t="shared" si="11"/>
        <v>3870967.742</v>
      </c>
      <c r="U22" s="23">
        <f t="shared" si="12"/>
        <v>3870967.742</v>
      </c>
      <c r="V22" s="23">
        <v>1.2E8</v>
      </c>
      <c r="W22" s="54">
        <f>IFERROR(SUMIFS(data!$C:$C, data!$A:$A, $A22, data!$B:$B, $B22), 0)</f>
        <v>537</v>
      </c>
      <c r="X22" s="23">
        <f>IFERROR(SUMIF(data!$B:$B, $B22, data!$D:$D), 0)</f>
        <v>43539900</v>
      </c>
      <c r="Y22" s="23">
        <f t="shared" si="13"/>
        <v>81079.88827</v>
      </c>
      <c r="Z22" s="23">
        <f>IFERROR(SUMIFS(data!$E:$E, data!$A:$A, $A22, data!$B:$B, $B22), 0)</f>
        <v>125</v>
      </c>
      <c r="AA22" s="23">
        <f>IFERROR(SUMIF(data!$B:$B, $B22, data!$F:$F), 0)</f>
        <v>22712950</v>
      </c>
      <c r="AB22" s="23">
        <f t="shared" si="14"/>
        <v>181703.6</v>
      </c>
      <c r="AC22" s="23">
        <f t="shared" ref="AC22:AD22" si="52">W22+Z22</f>
        <v>662</v>
      </c>
      <c r="AD22" s="23">
        <f t="shared" si="52"/>
        <v>66252850</v>
      </c>
      <c r="AE22" s="23">
        <f t="shared" si="16"/>
        <v>100079.8338</v>
      </c>
      <c r="AF22" s="71"/>
      <c r="AG22" s="71"/>
      <c r="AH22" s="71"/>
      <c r="AI22" s="71"/>
      <c r="AJ22" s="71"/>
      <c r="AK22" s="71"/>
      <c r="AL22" s="71"/>
    </row>
    <row r="23" ht="13.5" customHeight="1">
      <c r="A23" s="37" t="s">
        <v>39</v>
      </c>
      <c r="B23" s="66" t="s">
        <v>51</v>
      </c>
      <c r="C23" s="37" t="s">
        <v>127</v>
      </c>
      <c r="D23" s="23">
        <v>103000.0</v>
      </c>
      <c r="E23" s="23">
        <f t="shared" si="3"/>
        <v>99701.53846</v>
      </c>
      <c r="F23" s="23">
        <f t="array" ref="F23">IFERROR(
  ROUND(
    _xludf.LET(
      nt,$A23,
      nv,$B23,
      songay,DAY(EOMONTH($C$1,0)),
      doanhthungay,$I23,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3" s="23">
        <f>IFERROR(SUMIF('Dự án T8'!$B:$B, $B23, 'Dự án T8'!$D:$D), 0)</f>
        <v>1140684.839</v>
      </c>
      <c r="H23" s="23">
        <f t="shared" si="4"/>
        <v>3900000</v>
      </c>
      <c r="I23" s="23">
        <f t="shared" si="5"/>
        <v>3135774.194</v>
      </c>
      <c r="J23" s="72">
        <f t="array" ref="J23">_xlfn.XLOOKUP(B23,'kpi nhà thuốc'!A:A,'kpi nhà thuốc'!F:F,(AD23/DAY($C$1))/U23)</f>
        <v>0.810075</v>
      </c>
      <c r="K23" s="23">
        <f t="array" ref="K23">_xlfn.XLOOKUP(
    B23,
    'kpi nhà thuốc'!A:A,
    'kpi nhà thuốc'!G:G,
    IF(
        AND(
            OR(C23="DSXC",C23="DSCD"),
            G23&gt;=F23),IF(AND(I23&gt;=T23,E23&gt;=D23),AD23*1.5%,IF(AND(I23&gt;=T23,E23&lt;D23),AD23*1.3%,IF(AND(I23&gt;=S23,E23&gt;=D23),AD23*1.3%,IF(AND(I23&gt;=S23,E23&lt;D23),AD23*1.1%,IF(AND(I23&gt;=R23,E23&gt;=D23),AD23*1.2%,IF(AND(I23&gt;=R23,E23&lt;D23),AD23*1%,"")))))),""
    )
)</f>
        <v>972090</v>
      </c>
      <c r="L23" s="76">
        <f t="shared" si="6"/>
        <v>1</v>
      </c>
      <c r="M23" s="23">
        <f>IFERROR(SUMIF('Dự án T8'!$B:$B, $B23, 'Dự án T8'!$M:$M)*$L23, 0)</f>
        <v>1000000</v>
      </c>
      <c r="N23" s="77">
        <f t="shared" si="7"/>
        <v>1972090</v>
      </c>
      <c r="O23" s="23">
        <f t="shared" ref="O23:Q23" si="53">CEILING(R23,100000)</f>
        <v>3100000</v>
      </c>
      <c r="P23" s="23">
        <f t="shared" si="53"/>
        <v>3500000</v>
      </c>
      <c r="Q23" s="23">
        <f t="shared" si="53"/>
        <v>3900000</v>
      </c>
      <c r="R23" s="23">
        <f t="shared" si="9"/>
        <v>3096774.194</v>
      </c>
      <c r="S23" s="23">
        <f t="shared" si="10"/>
        <v>3483870.968</v>
      </c>
      <c r="T23" s="23">
        <f t="shared" si="11"/>
        <v>3870967.742</v>
      </c>
      <c r="U23" s="23">
        <f t="shared" si="12"/>
        <v>3870967.742</v>
      </c>
      <c r="V23" s="23">
        <v>1.2E8</v>
      </c>
      <c r="W23" s="54">
        <f>IFERROR(SUMIFS(data!$C:$C, data!$A:$A, $A23, data!$B:$B, $B23), 0)</f>
        <v>769</v>
      </c>
      <c r="X23" s="23">
        <f>IFERROR(SUMIF(data!$B:$B, $B23, data!$D:$D), 0)</f>
        <v>64579500</v>
      </c>
      <c r="Y23" s="23">
        <f t="shared" si="13"/>
        <v>83978.54356</v>
      </c>
      <c r="Z23" s="23">
        <f>IFERROR(SUMIFS(data!$E:$E, data!$A:$A, $A23, data!$B:$B, $B23), 0)</f>
        <v>206</v>
      </c>
      <c r="AA23" s="23">
        <f>IFERROR(SUMIF(data!$B:$B, $B23, data!$F:$F), 0)</f>
        <v>32629500</v>
      </c>
      <c r="AB23" s="23">
        <f t="shared" si="14"/>
        <v>158395.6311</v>
      </c>
      <c r="AC23" s="23">
        <f t="shared" ref="AC23:AD23" si="54">W23+Z23</f>
        <v>975</v>
      </c>
      <c r="AD23" s="23">
        <f t="shared" si="54"/>
        <v>97209000</v>
      </c>
      <c r="AE23" s="23">
        <f t="shared" si="16"/>
        <v>99701.53846</v>
      </c>
      <c r="AF23" s="71"/>
      <c r="AG23" s="71"/>
      <c r="AH23" s="71"/>
      <c r="AI23" s="71"/>
      <c r="AJ23" s="71"/>
      <c r="AK23" s="71"/>
      <c r="AL23" s="71"/>
    </row>
    <row r="24" ht="13.5" customHeight="1">
      <c r="A24" s="37" t="s">
        <v>39</v>
      </c>
      <c r="B24" s="66" t="s">
        <v>43</v>
      </c>
      <c r="C24" s="37" t="s">
        <v>127</v>
      </c>
      <c r="D24" s="23">
        <v>100000.0</v>
      </c>
      <c r="E24" s="23">
        <f t="shared" si="3"/>
        <v>104764.7941</v>
      </c>
      <c r="F24" s="23">
        <f t="array" ref="F24">IFERROR(
  ROUND(
    _xludf.LET(
      nt,$A24,
      nv,$B24,
      songay,DAY(EOMONTH($C$1,0)),
      doanhthungay,$I24,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4" s="23">
        <f>IFERROR(SUMIF('Dự án T8'!$B:$B, $B24, 'Dự án T8'!$D:$D), 0)</f>
        <v>2494374.806</v>
      </c>
      <c r="H24" s="23">
        <f t="shared" si="4"/>
        <v>3900000</v>
      </c>
      <c r="I24" s="23">
        <f t="shared" si="5"/>
        <v>4613030.452</v>
      </c>
      <c r="J24" s="72">
        <f t="array" ref="J24">_xlfn.XLOOKUP(B24,'kpi nhà thuốc'!A:A,'kpi nhà thuốc'!F:F,(AD24/DAY($C$1))/U24)</f>
        <v>1.191699533</v>
      </c>
      <c r="K24" s="23">
        <f t="array" ref="K24">_xlfn.XLOOKUP(
    B24,
    'kpi nhà thuốc'!A:A,
    'kpi nhà thuốc'!G:G,
    IF(
        AND(
            OR(C24="DSXC",C24="DSCD"),
            G24&gt;=F24),IF(AND(I24&gt;=T24,E24&gt;=D24),AD24*1.5%,IF(AND(I24&gt;=T24,E24&lt;D24),AD24*1.3%,IF(AND(I24&gt;=S24,E24&gt;=D24),AD24*1.3%,IF(AND(I24&gt;=S24,E24&lt;D24),AD24*1.1%,IF(AND(I24&gt;=R24,E24&gt;=D24),AD24*1.2%,IF(AND(I24&gt;=R24,E24&lt;D24),AD24*1%,"")))))),""
    )
)</f>
        <v>2145059.16</v>
      </c>
      <c r="L24" s="76">
        <f t="shared" si="6"/>
        <v>1</v>
      </c>
      <c r="M24" s="23">
        <f>IFERROR(SUMIF('Dự án T8'!$B:$B, $B24, 'Dự án T8'!$M:$M)*$L24, 0)</f>
        <v>4000000</v>
      </c>
      <c r="N24" s="77">
        <f t="shared" si="7"/>
        <v>6145059.16</v>
      </c>
      <c r="O24" s="23">
        <f t="shared" ref="O24:Q24" si="55">CEILING(R24,100000)</f>
        <v>3100000</v>
      </c>
      <c r="P24" s="23">
        <f t="shared" si="55"/>
        <v>3500000</v>
      </c>
      <c r="Q24" s="23">
        <f t="shared" si="55"/>
        <v>3900000</v>
      </c>
      <c r="R24" s="23">
        <f t="shared" si="9"/>
        <v>3096774.194</v>
      </c>
      <c r="S24" s="23">
        <f t="shared" si="10"/>
        <v>3483870.968</v>
      </c>
      <c r="T24" s="23">
        <f t="shared" si="11"/>
        <v>3870967.742</v>
      </c>
      <c r="U24" s="23">
        <f t="shared" si="12"/>
        <v>3870967.742</v>
      </c>
      <c r="V24" s="23">
        <v>1.2E8</v>
      </c>
      <c r="W24" s="54">
        <f>IFERROR(SUMIFS(data!$C:$C, data!$A:$A, $A24, data!$B:$B, $B24), 0)</f>
        <v>1201</v>
      </c>
      <c r="X24" s="23">
        <f>IFERROR(SUMIF(data!$B:$B, $B24, data!$D:$D), 0)</f>
        <v>107874894</v>
      </c>
      <c r="Y24" s="23">
        <f t="shared" si="13"/>
        <v>89820.89425</v>
      </c>
      <c r="Z24" s="23">
        <f>IFERROR(SUMIFS(data!$E:$E, data!$A:$A, $A24, data!$B:$B, $B24), 0)</f>
        <v>164</v>
      </c>
      <c r="AA24" s="23">
        <f>IFERROR(SUMIF(data!$B:$B, $B24, data!$F:$F), 0)</f>
        <v>35129050</v>
      </c>
      <c r="AB24" s="23">
        <f t="shared" si="14"/>
        <v>214201.5244</v>
      </c>
      <c r="AC24" s="23">
        <f t="shared" ref="AC24:AD24" si="56">W24+Z24</f>
        <v>1365</v>
      </c>
      <c r="AD24" s="23">
        <f t="shared" si="56"/>
        <v>143003944</v>
      </c>
      <c r="AE24" s="23">
        <f t="shared" si="16"/>
        <v>104764.7941</v>
      </c>
      <c r="AF24" s="71"/>
      <c r="AG24" s="71"/>
      <c r="AH24" s="71"/>
      <c r="AI24" s="71"/>
      <c r="AJ24" s="71"/>
      <c r="AK24" s="71"/>
      <c r="AL24" s="71"/>
    </row>
    <row r="25" ht="13.5" customHeight="1">
      <c r="A25" s="37" t="s">
        <v>39</v>
      </c>
      <c r="B25" s="66" t="s">
        <v>40</v>
      </c>
      <c r="C25" s="37" t="s">
        <v>198</v>
      </c>
      <c r="D25" s="23">
        <v>100000.0</v>
      </c>
      <c r="E25" s="23">
        <f t="shared" si="3"/>
        <v>74966.3522</v>
      </c>
      <c r="F25" s="23">
        <f t="array" ref="F25">IFERROR(
  ROUND(
    _xludf.LET(
      nt,$A25,
      nv,$B25,
      songay,DAY(EOMONTH($C$1,0)),
      doanhthungay,$I25,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5" s="23">
        <f>IFERROR(SUMIF('Dự án T8'!$B:$B, $B25, 'Dự án T8'!$D:$D), 0)</f>
        <v>168526.1935</v>
      </c>
      <c r="H25" s="23">
        <f t="shared" si="4"/>
        <v>3300000</v>
      </c>
      <c r="I25" s="23">
        <f t="shared" si="5"/>
        <v>384504.8387</v>
      </c>
      <c r="J25" s="72">
        <f t="array" ref="J25">_xlfn.XLOOKUP(B25,'kpi nhà thuốc'!A:A,'kpi nhà thuốc'!F:F,(AD25/DAY($C$1))/U25)</f>
        <v>0.1191965</v>
      </c>
      <c r="K25" s="23" t="str">
        <f t="array" ref="K25">_xlfn.XLOOKUP(
    B25,
    'kpi nhà thuốc'!A:A,
    'kpi nhà thuốc'!G:G,
    IF(
        AND(
            OR(C25="DSXC",C25="DSCD"),
            G25&gt;=F25),IF(AND(I25&gt;=T25,E25&gt;=D25),AD25*1.5%,IF(AND(I25&gt;=T25,E25&lt;D25),AD25*1.3%,IF(AND(I25&gt;=S25,E25&gt;=D25),AD25*1.3%,IF(AND(I25&gt;=S25,E25&lt;D25),AD25*1.1%,IF(AND(I25&gt;=R25,E25&gt;=D25),AD25*1.2%,IF(AND(I25&gt;=R25,E25&lt;D25),AD25*1%,"")))))),""
    )
)</f>
        <v/>
      </c>
      <c r="L25" s="76">
        <f t="shared" si="6"/>
        <v>0.8</v>
      </c>
      <c r="M25" s="23">
        <f>IFERROR(SUMIF('Dự án T8'!$B:$B, $B25, 'Dự án T8'!$M:$M)*$L25, 0)</f>
        <v>0</v>
      </c>
      <c r="N25" s="77">
        <f t="shared" si="7"/>
        <v>0</v>
      </c>
      <c r="O25" s="23">
        <f t="shared" ref="O25:Q25" si="57">CEILING(R25,100000)</f>
        <v>2600000</v>
      </c>
      <c r="P25" s="23">
        <f t="shared" si="57"/>
        <v>3000000</v>
      </c>
      <c r="Q25" s="23">
        <f t="shared" si="57"/>
        <v>3300000</v>
      </c>
      <c r="R25" s="23">
        <f t="shared" si="9"/>
        <v>2580645.161</v>
      </c>
      <c r="S25" s="23">
        <f t="shared" si="10"/>
        <v>2903225.806</v>
      </c>
      <c r="T25" s="23">
        <f t="shared" si="11"/>
        <v>3225806.452</v>
      </c>
      <c r="U25" s="23">
        <f t="shared" si="12"/>
        <v>3225806.452</v>
      </c>
      <c r="V25" s="23">
        <v>1.0E8</v>
      </c>
      <c r="W25" s="54">
        <f>IFERROR(SUMIFS(data!$C:$C, data!$A:$A, $A25, data!$B:$B, $B25), 0)</f>
        <v>142</v>
      </c>
      <c r="X25" s="23">
        <f>IFERROR(SUMIF(data!$B:$B, $B25, data!$D:$D), 0)</f>
        <v>10203800</v>
      </c>
      <c r="Y25" s="23">
        <f t="shared" si="13"/>
        <v>71857.74648</v>
      </c>
      <c r="Z25" s="23">
        <f>IFERROR(SUMIFS(data!$E:$E, data!$A:$A, $A25, data!$B:$B, $B25), 0)</f>
        <v>17</v>
      </c>
      <c r="AA25" s="23">
        <f>IFERROR(SUMIF(data!$B:$B, $B25, data!$F:$F), 0)</f>
        <v>1715850</v>
      </c>
      <c r="AB25" s="23">
        <f t="shared" si="14"/>
        <v>100932.3529</v>
      </c>
      <c r="AC25" s="23">
        <f t="shared" ref="AC25:AD25" si="58">W25+Z25</f>
        <v>159</v>
      </c>
      <c r="AD25" s="23">
        <f t="shared" si="58"/>
        <v>11919650</v>
      </c>
      <c r="AE25" s="23">
        <f t="shared" si="16"/>
        <v>74966.3522</v>
      </c>
      <c r="AF25" s="71"/>
      <c r="AG25" s="71"/>
      <c r="AH25" s="71"/>
      <c r="AI25" s="71"/>
      <c r="AJ25" s="71"/>
      <c r="AK25" s="71"/>
      <c r="AL25" s="71"/>
    </row>
    <row r="26" ht="13.5" customHeight="1">
      <c r="A26" s="37" t="s">
        <v>39</v>
      </c>
      <c r="B26" s="66" t="s">
        <v>49</v>
      </c>
      <c r="C26" s="37" t="s">
        <v>130</v>
      </c>
      <c r="D26" s="23"/>
      <c r="E26" s="23">
        <f t="shared" si="3"/>
        <v>372693.7869</v>
      </c>
      <c r="F26" s="23">
        <f t="array" ref="F26">IFERROR(
  ROUND(
    _xludf.LET(
      nt,$A26,
      nv,$B26,
      songay,DAY(EOMONTH($C$1,0)),
      doanhthungay,$I26,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6" s="23">
        <f>IFERROR(SUMIF('Dự án T8'!$B:$B, $B26, 'Dự án T8'!$D:$D), 0)</f>
        <v>1901524.129</v>
      </c>
      <c r="H26" s="23">
        <f t="shared" si="4"/>
        <v>3800000</v>
      </c>
      <c r="I26" s="23">
        <f t="shared" si="5"/>
        <v>3498512.645</v>
      </c>
      <c r="J26" s="72">
        <f t="array" ref="J26">_xlfn.XLOOKUP(B26,'kpi nhà thuốc'!A:A,'kpi nhà thuốc'!F:F,(AD26/DAY($C$1))/U26)</f>
        <v>0.9430773217</v>
      </c>
      <c r="K26" s="23">
        <f t="array" ref="K26">_xlfn.XLOOKUP(
    B26,
    'kpi nhà thuốc'!A:A,
    'kpi nhà thuốc'!G:G,
    IF(
        AND(
            OR(C26="DSXC",C26="DSCD"),
            G26&gt;=F26),IF(AND(I26&gt;=T26,E26&gt;=D26),AD26*1.5%,IF(AND(I26&gt;=T26,E26&lt;D26),AD26*1.3%,IF(AND(I26&gt;=S26,E26&gt;=D26),AD26*1.3%,IF(AND(I26&gt;=S26,E26&lt;D26),AD26*1.1%,IF(AND(I26&gt;=R26,E26&gt;=D26),AD26*1.2%,IF(AND(I26&gt;=R26,E26&lt;D26),AD26*1%,"")))))),""
    )
)</f>
        <v>1409900.596</v>
      </c>
      <c r="L26" s="76">
        <f t="shared" si="6"/>
        <v>1</v>
      </c>
      <c r="M26" s="23">
        <f>IFERROR(SUMIF('Dự án T8'!$B:$B, $B26, 'Dự án T8'!$M:$M)*$L26, 0)</f>
        <v>2200000</v>
      </c>
      <c r="N26" s="77">
        <f t="shared" si="7"/>
        <v>3609900.596</v>
      </c>
      <c r="O26" s="23">
        <f t="shared" ref="O26:Q26" si="59">CEILING(R26,100000)</f>
        <v>3000000</v>
      </c>
      <c r="P26" s="23">
        <f t="shared" si="59"/>
        <v>3400000</v>
      </c>
      <c r="Q26" s="23">
        <f t="shared" si="59"/>
        <v>3800000</v>
      </c>
      <c r="R26" s="23">
        <f t="shared" si="9"/>
        <v>2967741.935</v>
      </c>
      <c r="S26" s="23">
        <f t="shared" si="10"/>
        <v>3338709.677</v>
      </c>
      <c r="T26" s="23">
        <f t="shared" si="11"/>
        <v>3709677.419</v>
      </c>
      <c r="U26" s="23">
        <f t="shared" si="12"/>
        <v>3709677.419</v>
      </c>
      <c r="V26" s="23">
        <v>1.15E8</v>
      </c>
      <c r="W26" s="54">
        <f>IFERROR(SUMIFS(data!$C:$C, data!$A:$A, $A26, data!$B:$B, $B26), 0)</f>
        <v>263</v>
      </c>
      <c r="X26" s="23">
        <f>IFERROR(SUMIF(data!$B:$B, $B26, data!$D:$D), 0)</f>
        <v>79840952</v>
      </c>
      <c r="Y26" s="23">
        <f t="shared" si="13"/>
        <v>303577.7643</v>
      </c>
      <c r="Z26" s="23">
        <f>IFERROR(SUMIFS(data!$E:$E, data!$A:$A, $A26, data!$B:$B, $B26), 0)</f>
        <v>28</v>
      </c>
      <c r="AA26" s="23">
        <f>IFERROR(SUMIF(data!$B:$B, $B26, data!$F:$F), 0)</f>
        <v>28612940</v>
      </c>
      <c r="AB26" s="23">
        <f t="shared" si="14"/>
        <v>1021890.714</v>
      </c>
      <c r="AC26" s="23">
        <f t="shared" ref="AC26:AD26" si="60">W26+Z26</f>
        <v>291</v>
      </c>
      <c r="AD26" s="23">
        <f t="shared" si="60"/>
        <v>108453892</v>
      </c>
      <c r="AE26" s="23">
        <f t="shared" si="16"/>
        <v>372693.7869</v>
      </c>
      <c r="AF26" s="71"/>
      <c r="AG26" s="71"/>
      <c r="AH26" s="71"/>
      <c r="AI26" s="71"/>
      <c r="AJ26" s="71"/>
      <c r="AK26" s="71"/>
      <c r="AL26" s="71"/>
    </row>
    <row r="27" ht="13.5" customHeight="1">
      <c r="A27" s="37" t="s">
        <v>54</v>
      </c>
      <c r="B27" s="66" t="s">
        <v>71</v>
      </c>
      <c r="C27" s="37" t="s">
        <v>130</v>
      </c>
      <c r="D27" s="23">
        <v>120000.0</v>
      </c>
      <c r="E27" s="23">
        <f t="shared" si="3"/>
        <v>105336.8231</v>
      </c>
      <c r="F27" s="23">
        <f t="array" ref="F27">IFERROR(
  ROUND(
    _xludf.LET(
      nt,$A27,
      nv,$B27,
      songay,DAY(EOMONTH($C$1,0)),
      doanhthungay,$I27,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7" s="23">
        <f>IFERROR(SUMIF('Dự án T8'!$B:$B, $B27, 'Dự án T8'!$D:$D), 0)</f>
        <v>1377500.387</v>
      </c>
      <c r="H27" s="23">
        <f t="shared" si="4"/>
        <v>3300000</v>
      </c>
      <c r="I27" s="23">
        <f t="shared" si="5"/>
        <v>2823706.452</v>
      </c>
      <c r="J27" s="72">
        <f t="array" ref="J27">_xlfn.XLOOKUP(B27,'kpi nhà thuốc'!A:A,'kpi nhà thuốc'!F:F,(AD27/DAY($C$1))/U27)</f>
        <v>0.875349</v>
      </c>
      <c r="K27" s="23">
        <f t="array" ref="K27">_xlfn.XLOOKUP(
    B27,
    'kpi nhà thuốc'!A:A,
    'kpi nhà thuốc'!G:G,
    IF(
        AND(
            OR(C27="DSXC",C27="DSCD"),
            G27&gt;=F27),IF(AND(I27&gt;=T27,E27&gt;=D27),AD27*1.5%,IF(AND(I27&gt;=T27,E27&lt;D27),AD27*1.3%,IF(AND(I27&gt;=S27,E27&gt;=D27),AD27*1.3%,IF(AND(I27&gt;=S27,E27&lt;D27),AD27*1.1%,IF(AND(I27&gt;=R27,E27&gt;=D27),AD27*1.2%,IF(AND(I27&gt;=R27,E27&lt;D27),AD27*1%,"")))))),""
    )
)</f>
        <v>875349</v>
      </c>
      <c r="L27" s="76">
        <f t="shared" si="6"/>
        <v>1</v>
      </c>
      <c r="M27" s="23">
        <f>IFERROR(SUMIF('Dự án T8'!$B:$B, $B27, 'Dự án T8'!$M:$M)*$L27, 0)</f>
        <v>1600000</v>
      </c>
      <c r="N27" s="77">
        <f t="shared" si="7"/>
        <v>2475349</v>
      </c>
      <c r="O27" s="23">
        <f t="shared" ref="O27:Q27" si="61">CEILING(R27,100000)</f>
        <v>2600000</v>
      </c>
      <c r="P27" s="23">
        <f t="shared" si="61"/>
        <v>3000000</v>
      </c>
      <c r="Q27" s="23">
        <f t="shared" si="61"/>
        <v>3300000</v>
      </c>
      <c r="R27" s="23">
        <f t="shared" si="9"/>
        <v>2580645.161</v>
      </c>
      <c r="S27" s="23">
        <f t="shared" si="10"/>
        <v>2903225.806</v>
      </c>
      <c r="T27" s="23">
        <f t="shared" si="11"/>
        <v>3225806.452</v>
      </c>
      <c r="U27" s="23">
        <f t="shared" si="12"/>
        <v>3225806.452</v>
      </c>
      <c r="V27" s="23">
        <v>1.0E8</v>
      </c>
      <c r="W27" s="54">
        <f>IFERROR(SUMIFS(data!$C:$C, data!$A:$A, $A27, data!$B:$B, $B27), 0)</f>
        <v>637</v>
      </c>
      <c r="X27" s="23">
        <f>IFERROR(SUMIF(data!$B:$B, $B27, data!$D:$D), 0)</f>
        <v>49451800</v>
      </c>
      <c r="Y27" s="23">
        <f t="shared" si="13"/>
        <v>77632.33909</v>
      </c>
      <c r="Z27" s="23">
        <f>IFERROR(SUMIFS(data!$E:$E, data!$A:$A, $A27, data!$B:$B, $B27), 0)</f>
        <v>194</v>
      </c>
      <c r="AA27" s="23">
        <f>IFERROR(SUMIF(data!$B:$B, $B27, data!$F:$F), 0)</f>
        <v>38083100</v>
      </c>
      <c r="AB27" s="23">
        <f t="shared" si="14"/>
        <v>196304.6392</v>
      </c>
      <c r="AC27" s="23">
        <f t="shared" ref="AC27:AD27" si="62">W27+Z27</f>
        <v>831</v>
      </c>
      <c r="AD27" s="23">
        <f t="shared" si="62"/>
        <v>87534900</v>
      </c>
      <c r="AE27" s="23">
        <f t="shared" si="16"/>
        <v>105336.8231</v>
      </c>
      <c r="AF27" s="71"/>
      <c r="AG27" s="71"/>
      <c r="AH27" s="71"/>
      <c r="AI27" s="71"/>
      <c r="AJ27" s="71"/>
      <c r="AK27" s="71"/>
      <c r="AL27" s="71"/>
    </row>
    <row r="28" ht="13.5" customHeight="1">
      <c r="A28" s="37" t="s">
        <v>54</v>
      </c>
      <c r="B28" s="66" t="s">
        <v>32</v>
      </c>
      <c r="C28" s="37" t="s">
        <v>199</v>
      </c>
      <c r="D28" s="23"/>
      <c r="E28" s="23">
        <f t="shared" si="3"/>
        <v>125861.8919</v>
      </c>
      <c r="F28" s="23">
        <f t="array" ref="F28">IFERROR(
  ROUND(
    _xludf.LET(
      nt,$A28,
      nv,$B28,
      songay,DAY(EOMONTH($C$1,0)),
      doanhthungay,$I28,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8" s="23">
        <f>IFERROR(SUMIF('Dự án T8'!$B:$B, $B28, 'Dự án T8'!$D:$D), 0)</f>
        <v>374797.4516</v>
      </c>
      <c r="H28" s="23">
        <f t="shared" si="4"/>
        <v>2000000</v>
      </c>
      <c r="I28" s="23">
        <f t="shared" si="5"/>
        <v>1502222.581</v>
      </c>
      <c r="J28" s="72">
        <f t="array" ref="J28">_xlfn.XLOOKUP(B28,'kpi nhà thuốc'!A:A,'kpi nhà thuốc'!F:F,(AD28/DAY($C$1))/U28)</f>
        <v>0.7761483333</v>
      </c>
      <c r="K28" s="23" t="str">
        <f t="array" ref="K28">_xlfn.XLOOKUP(
    B28,
    'kpi nhà thuốc'!A:A,
    'kpi nhà thuốc'!G:G,
    IF(
        AND(
            OR(C28="DSXC",C28="DSCD"),
            G28&gt;=F28),IF(AND(I28&gt;=T28,E28&gt;=D28),AD28*1.5%,IF(AND(I28&gt;=T28,E28&lt;D28),AD28*1.3%,IF(AND(I28&gt;=S28,E28&gt;=D28),AD28*1.3%,IF(AND(I28&gt;=S28,E28&lt;D28),AD28*1.1%,IF(AND(I28&gt;=R28,E28&gt;=D28),AD28*1.2%,IF(AND(I28&gt;=R28,E28&lt;D28),AD28*1%,"")))))),""
    )
)</f>
        <v/>
      </c>
      <c r="L28" s="76">
        <f t="shared" si="6"/>
        <v>1</v>
      </c>
      <c r="M28" s="23">
        <f>IFERROR(SUMIF('Dự án T8'!$B:$B, $B28, 'Dự án T8'!$M:$M)*$L28, 0)</f>
        <v>0</v>
      </c>
      <c r="N28" s="77">
        <f t="shared" si="7"/>
        <v>0</v>
      </c>
      <c r="O28" s="23">
        <f t="shared" ref="O28:Q28" si="63">CEILING(R28,100000)</f>
        <v>1600000</v>
      </c>
      <c r="P28" s="23">
        <f t="shared" si="63"/>
        <v>1800000</v>
      </c>
      <c r="Q28" s="23">
        <f t="shared" si="63"/>
        <v>2000000</v>
      </c>
      <c r="R28" s="23">
        <f t="shared" si="9"/>
        <v>1548387.097</v>
      </c>
      <c r="S28" s="23">
        <f t="shared" si="10"/>
        <v>1741935.484</v>
      </c>
      <c r="T28" s="23">
        <f t="shared" si="11"/>
        <v>1935483.871</v>
      </c>
      <c r="U28" s="23">
        <f t="shared" si="12"/>
        <v>1935483.871</v>
      </c>
      <c r="V28" s="23">
        <v>6.0E7</v>
      </c>
      <c r="W28" s="54">
        <f>IFERROR(SUMIFS(data!$C:$C, data!$A:$A, $A28, data!$B:$B, $B28), 0)</f>
        <v>254</v>
      </c>
      <c r="X28" s="23">
        <f>IFERROR(SUMIF(data!$B:$B, $B28, data!$D:$D), 0)</f>
        <v>17434800</v>
      </c>
      <c r="Y28" s="23">
        <f t="shared" si="13"/>
        <v>68640.94488</v>
      </c>
      <c r="Z28" s="23">
        <f>IFERROR(SUMIFS(data!$E:$E, data!$A:$A, $A28, data!$B:$B, $B28), 0)</f>
        <v>116</v>
      </c>
      <c r="AA28" s="23">
        <f>IFERROR(SUMIF(data!$B:$B, $B28, data!$F:$F), 0)</f>
        <v>29134100</v>
      </c>
      <c r="AB28" s="23">
        <f t="shared" si="14"/>
        <v>251156.0345</v>
      </c>
      <c r="AC28" s="23">
        <f t="shared" ref="AC28:AD28" si="64">W28+Z28</f>
        <v>370</v>
      </c>
      <c r="AD28" s="23">
        <f t="shared" si="64"/>
        <v>46568900</v>
      </c>
      <c r="AE28" s="23">
        <f t="shared" si="16"/>
        <v>125861.8919</v>
      </c>
      <c r="AF28" s="71"/>
      <c r="AG28" s="71"/>
      <c r="AH28" s="71"/>
      <c r="AI28" s="71"/>
      <c r="AJ28" s="71"/>
      <c r="AK28" s="71"/>
      <c r="AL28" s="71"/>
    </row>
    <row r="29" ht="13.5" customHeight="1">
      <c r="A29" s="37" t="s">
        <v>54</v>
      </c>
      <c r="B29" s="66" t="s">
        <v>74</v>
      </c>
      <c r="C29" s="37" t="s">
        <v>197</v>
      </c>
      <c r="D29" s="23"/>
      <c r="E29" s="23">
        <f t="shared" si="3"/>
        <v>98967.10526</v>
      </c>
      <c r="F29" s="23">
        <f t="array" ref="F29">IFERROR(
  ROUND(
    _xludf.LET(
      nt,$A29,
      nv,$B29,
      songay,DAY(EOMONTH($C$1,0)),
      doanhthungay,$I29,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9" s="23">
        <f>IFERROR(SUMIF('Dự án T8'!$B:$B, $B29, 'Dự án T8'!$D:$D), 0)</f>
        <v>236991.7097</v>
      </c>
      <c r="H29" s="23">
        <f t="shared" si="4"/>
        <v>2000000</v>
      </c>
      <c r="I29" s="23">
        <f t="shared" si="5"/>
        <v>485258.0645</v>
      </c>
      <c r="J29" s="72">
        <f t="array" ref="J29">_xlfn.XLOOKUP(B29,'kpi nhà thuốc'!A:A,'kpi nhà thuốc'!F:F,(AD29/DAY($C$1))/U29)</f>
        <v>0.2507166667</v>
      </c>
      <c r="K29" s="23" t="str">
        <f t="array" ref="K29">_xlfn.XLOOKUP(
    B29,
    'kpi nhà thuốc'!A:A,
    'kpi nhà thuốc'!G:G,
    IF(
        AND(
            OR(C29="DSXC",C29="DSCD"),
            G29&gt;=F29),IF(AND(I29&gt;=T29,E29&gt;=D29),AD29*1.5%,IF(AND(I29&gt;=T29,E29&lt;D29),AD29*1.3%,IF(AND(I29&gt;=S29,E29&gt;=D29),AD29*1.3%,IF(AND(I29&gt;=S29,E29&lt;D29),AD29*1.1%,IF(AND(I29&gt;=R29,E29&gt;=D29),AD29*1.2%,IF(AND(I29&gt;=R29,E29&lt;D29),AD29*1%,"")))))),""
    )
)</f>
        <v/>
      </c>
      <c r="L29" s="76">
        <f t="shared" si="6"/>
        <v>0.8</v>
      </c>
      <c r="M29" s="23">
        <f>IFERROR(SUMIF('Dự án T8'!$B:$B, $B29, 'Dự án T8'!$M:$M)*$L29, 0)</f>
        <v>0</v>
      </c>
      <c r="N29" s="77">
        <f t="shared" si="7"/>
        <v>0</v>
      </c>
      <c r="O29" s="23">
        <f t="shared" ref="O29:Q29" si="65">CEILING(R29,100000)</f>
        <v>1600000</v>
      </c>
      <c r="P29" s="23">
        <f t="shared" si="65"/>
        <v>1800000</v>
      </c>
      <c r="Q29" s="23">
        <f t="shared" si="65"/>
        <v>2000000</v>
      </c>
      <c r="R29" s="23">
        <f t="shared" si="9"/>
        <v>1548387.097</v>
      </c>
      <c r="S29" s="23">
        <f t="shared" si="10"/>
        <v>1741935.484</v>
      </c>
      <c r="T29" s="23">
        <f t="shared" si="11"/>
        <v>1935483.871</v>
      </c>
      <c r="U29" s="23">
        <f t="shared" si="12"/>
        <v>1935483.871</v>
      </c>
      <c r="V29" s="23">
        <v>6.0E7</v>
      </c>
      <c r="W29" s="54">
        <f>IFERROR(SUMIFS(data!$C:$C, data!$A:$A, $A29, data!$B:$B, $B29), 0)</f>
        <v>120</v>
      </c>
      <c r="X29" s="23">
        <f>IFERROR(SUMIF(data!$B:$B, $B29, data!$D:$D), 0)</f>
        <v>10038100</v>
      </c>
      <c r="Y29" s="23">
        <f t="shared" si="13"/>
        <v>83650.83333</v>
      </c>
      <c r="Z29" s="23">
        <f>IFERROR(SUMIFS(data!$E:$E, data!$A:$A, $A29, data!$B:$B, $B29), 0)</f>
        <v>32</v>
      </c>
      <c r="AA29" s="23">
        <f>IFERROR(SUMIF(data!$B:$B, $B29, data!$F:$F), 0)</f>
        <v>5004900</v>
      </c>
      <c r="AB29" s="23">
        <f t="shared" si="14"/>
        <v>156403.125</v>
      </c>
      <c r="AC29" s="23">
        <f t="shared" ref="AC29:AD29" si="66">W29+Z29</f>
        <v>152</v>
      </c>
      <c r="AD29" s="23">
        <f t="shared" si="66"/>
        <v>15043000</v>
      </c>
      <c r="AE29" s="23">
        <f t="shared" si="16"/>
        <v>98967.10526</v>
      </c>
      <c r="AF29" s="71"/>
      <c r="AG29" s="71"/>
      <c r="AH29" s="71"/>
      <c r="AI29" s="71"/>
      <c r="AJ29" s="71"/>
      <c r="AK29" s="71"/>
      <c r="AL29" s="71"/>
    </row>
    <row r="30" ht="13.5" customHeight="1">
      <c r="A30" s="37" t="s">
        <v>54</v>
      </c>
      <c r="B30" s="66" t="s">
        <v>58</v>
      </c>
      <c r="C30" s="37" t="s">
        <v>197</v>
      </c>
      <c r="D30" s="23"/>
      <c r="E30" s="23">
        <f t="shared" si="3"/>
        <v>84379.22078</v>
      </c>
      <c r="F30" s="23">
        <f t="array" ref="F30">IFERROR(
  ROUND(
    _xludf.LET(
      nt,$A30,
      nv,$B30,
      songay,DAY(EOMONTH($C$1,0)),
      doanhthungay,$I30,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0" s="23">
        <f>IFERROR(SUMIF('Dự án T8'!$B:$B, $B30, 'Dự án T8'!$D:$D), 0)</f>
        <v>162390.3871</v>
      </c>
      <c r="H30" s="23">
        <f t="shared" si="4"/>
        <v>1700000</v>
      </c>
      <c r="I30" s="23">
        <f t="shared" si="5"/>
        <v>419174.1935</v>
      </c>
      <c r="J30" s="72">
        <f t="array" ref="J30">_xlfn.XLOOKUP(B30,'kpi nhà thuốc'!A:A,'kpi nhà thuốc'!F:F,(AD30/DAY($C$1))/U30)</f>
        <v>0.259888</v>
      </c>
      <c r="K30" s="23" t="str">
        <f t="array" ref="K30">_xlfn.XLOOKUP(
    B30,
    'kpi nhà thuốc'!A:A,
    'kpi nhà thuốc'!G:G,
    IF(
        AND(
            OR(C30="DSXC",C30="DSCD"),
            G30&gt;=F30),IF(AND(I30&gt;=T30,E30&gt;=D30),AD30*1.5%,IF(AND(I30&gt;=T30,E30&lt;D30),AD30*1.3%,IF(AND(I30&gt;=S30,E30&gt;=D30),AD30*1.3%,IF(AND(I30&gt;=S30,E30&lt;D30),AD30*1.1%,IF(AND(I30&gt;=R30,E30&gt;=D30),AD30*1.2%,IF(AND(I30&gt;=R30,E30&lt;D30),AD30*1%,"")))))),""
    )
)</f>
        <v/>
      </c>
      <c r="L30" s="76">
        <f t="shared" si="6"/>
        <v>0.8</v>
      </c>
      <c r="M30" s="23">
        <f>IFERROR(SUMIF('Dự án T8'!$B:$B, $B30, 'Dự án T8'!$M:$M)*$L30, 0)</f>
        <v>0</v>
      </c>
      <c r="N30" s="77">
        <f t="shared" si="7"/>
        <v>0</v>
      </c>
      <c r="O30" s="23">
        <f t="shared" ref="O30:Q30" si="67">CEILING(R30,100000)</f>
        <v>1300000</v>
      </c>
      <c r="P30" s="23">
        <f t="shared" si="67"/>
        <v>1500000</v>
      </c>
      <c r="Q30" s="23">
        <f t="shared" si="67"/>
        <v>1700000</v>
      </c>
      <c r="R30" s="23">
        <f t="shared" si="9"/>
        <v>1290322.581</v>
      </c>
      <c r="S30" s="23">
        <f t="shared" si="10"/>
        <v>1451612.903</v>
      </c>
      <c r="T30" s="23">
        <f t="shared" si="11"/>
        <v>1612903.226</v>
      </c>
      <c r="U30" s="23">
        <f t="shared" si="12"/>
        <v>1612903.226</v>
      </c>
      <c r="V30" s="23">
        <v>5.0E7</v>
      </c>
      <c r="W30" s="54">
        <f>IFERROR(SUMIFS(data!$C:$C, data!$A:$A, $A30, data!$B:$B, $B30), 0)</f>
        <v>126</v>
      </c>
      <c r="X30" s="23">
        <f>IFERROR(SUMIF(data!$B:$B, $B30, data!$D:$D), 0)</f>
        <v>9970700</v>
      </c>
      <c r="Y30" s="23">
        <f t="shared" si="13"/>
        <v>79132.53968</v>
      </c>
      <c r="Z30" s="23">
        <f>IFERROR(SUMIFS(data!$E:$E, data!$A:$A, $A30, data!$B:$B, $B30), 0)</f>
        <v>28</v>
      </c>
      <c r="AA30" s="23">
        <f>IFERROR(SUMIF(data!$B:$B, $B30, data!$F:$F), 0)</f>
        <v>3023700</v>
      </c>
      <c r="AB30" s="23">
        <f t="shared" si="14"/>
        <v>107989.2857</v>
      </c>
      <c r="AC30" s="23">
        <f t="shared" ref="AC30:AD30" si="68">W30+Z30</f>
        <v>154</v>
      </c>
      <c r="AD30" s="23">
        <f t="shared" si="68"/>
        <v>12994400</v>
      </c>
      <c r="AE30" s="23">
        <f t="shared" si="16"/>
        <v>84379.22078</v>
      </c>
      <c r="AF30" s="71"/>
      <c r="AG30" s="71"/>
      <c r="AH30" s="71"/>
      <c r="AI30" s="71"/>
      <c r="AJ30" s="71"/>
      <c r="AK30" s="71"/>
      <c r="AL30" s="71"/>
    </row>
    <row r="31" ht="13.5" customHeight="1">
      <c r="A31" s="37" t="s">
        <v>54</v>
      </c>
      <c r="B31" s="66" t="s">
        <v>56</v>
      </c>
      <c r="C31" s="37" t="s">
        <v>199</v>
      </c>
      <c r="D31" s="23"/>
      <c r="E31" s="23">
        <f t="shared" si="3"/>
        <v>124619.8939</v>
      </c>
      <c r="F31" s="23">
        <f t="array" ref="F31">IFERROR(
  ROUND(
    _xludf.LET(
      nt,$A31,
      nv,$B31,
      songay,DAY(EOMONTH($C$1,0)),
      doanhthungay,$I31,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1" s="23">
        <f>IFERROR(SUMIF('Dự án T8'!$B:$B, $B31, 'Dự án T8'!$D:$D), 0)</f>
        <v>548968.0323</v>
      </c>
      <c r="H31" s="23">
        <f t="shared" si="4"/>
        <v>2000000</v>
      </c>
      <c r="I31" s="23">
        <f t="shared" si="5"/>
        <v>1591918.645</v>
      </c>
      <c r="J31" s="72">
        <f t="array" ref="J31">_xlfn.XLOOKUP(B31,'kpi nhà thuốc'!A:A,'kpi nhà thuốc'!F:F,(AD31/DAY($C$1))/U31)</f>
        <v>0.8224913</v>
      </c>
      <c r="K31" s="23" t="str">
        <f t="array" ref="K31">_xlfn.XLOOKUP(
    B31,
    'kpi nhà thuốc'!A:A,
    'kpi nhà thuốc'!G:G,
    IF(
        AND(
            OR(C31="DSXC",C31="DSCD"),
            G31&gt;=F31),IF(AND(I31&gt;=T31,E31&gt;=D31),AD31*1.5%,IF(AND(I31&gt;=T31,E31&lt;D31),AD31*1.3%,IF(AND(I31&gt;=S31,E31&gt;=D31),AD31*1.3%,IF(AND(I31&gt;=S31,E31&lt;D31),AD31*1.1%,IF(AND(I31&gt;=R31,E31&gt;=D31),AD31*1.2%,IF(AND(I31&gt;=R31,E31&lt;D31),AD31*1%,"")))))),""
    )
)</f>
        <v/>
      </c>
      <c r="L31" s="76">
        <f t="shared" si="6"/>
        <v>1</v>
      </c>
      <c r="M31" s="23">
        <f>IFERROR(SUMIF('Dự án T8'!$B:$B, $B31, 'Dự án T8'!$M:$M)*$L31, 0)</f>
        <v>0</v>
      </c>
      <c r="N31" s="77">
        <f t="shared" si="7"/>
        <v>0</v>
      </c>
      <c r="O31" s="23">
        <f t="shared" ref="O31:Q31" si="69">CEILING(R31,100000)</f>
        <v>1600000</v>
      </c>
      <c r="P31" s="23">
        <f t="shared" si="69"/>
        <v>1800000</v>
      </c>
      <c r="Q31" s="23">
        <f t="shared" si="69"/>
        <v>2000000</v>
      </c>
      <c r="R31" s="23">
        <f t="shared" si="9"/>
        <v>1548387.097</v>
      </c>
      <c r="S31" s="23">
        <f t="shared" si="10"/>
        <v>1741935.484</v>
      </c>
      <c r="T31" s="23">
        <f t="shared" si="11"/>
        <v>1935483.871</v>
      </c>
      <c r="U31" s="23">
        <f t="shared" si="12"/>
        <v>1935483.871</v>
      </c>
      <c r="V31" s="23">
        <v>6.0E7</v>
      </c>
      <c r="W31" s="54">
        <f>IFERROR(SUMIFS(data!$C:$C, data!$A:$A, $A31, data!$B:$B, $B31), 0)</f>
        <v>268</v>
      </c>
      <c r="X31" s="23">
        <f>IFERROR(SUMIF(data!$B:$B, $B31, data!$D:$D), 0)</f>
        <v>18636328</v>
      </c>
      <c r="Y31" s="23">
        <f t="shared" si="13"/>
        <v>69538.53731</v>
      </c>
      <c r="Z31" s="23">
        <f>IFERROR(SUMIFS(data!$E:$E, data!$A:$A, $A31, data!$B:$B, $B31), 0)</f>
        <v>128</v>
      </c>
      <c r="AA31" s="23">
        <f>IFERROR(SUMIF(data!$B:$B, $B31, data!$F:$F), 0)</f>
        <v>30713150</v>
      </c>
      <c r="AB31" s="23">
        <f t="shared" si="14"/>
        <v>239946.4844</v>
      </c>
      <c r="AC31" s="23">
        <f t="shared" ref="AC31:AD31" si="70">W31+Z31</f>
        <v>396</v>
      </c>
      <c r="AD31" s="23">
        <f t="shared" si="70"/>
        <v>49349478</v>
      </c>
      <c r="AE31" s="23">
        <f t="shared" si="16"/>
        <v>124619.8939</v>
      </c>
      <c r="AF31" s="71"/>
      <c r="AG31" s="71"/>
      <c r="AH31" s="71"/>
      <c r="AI31" s="71"/>
      <c r="AJ31" s="71"/>
      <c r="AK31" s="71"/>
      <c r="AL31" s="71"/>
    </row>
    <row r="32" ht="13.5" customHeight="1">
      <c r="A32" s="37" t="s">
        <v>79</v>
      </c>
      <c r="B32" s="66" t="s">
        <v>80</v>
      </c>
      <c r="C32" s="37" t="s">
        <v>96</v>
      </c>
      <c r="D32" s="23">
        <v>194000.0</v>
      </c>
      <c r="E32" s="23">
        <f t="shared" si="3"/>
        <v>249208.4532</v>
      </c>
      <c r="F32" s="23">
        <f t="array" ref="F32">IFERROR(
  ROUND(
    _xludf.LET(
      nt,$A32,
      nv,$B32,
      songay,DAY(EOMONTH($C$1,0)),
      doanhthungay,$I32,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2" s="23">
        <f>IFERROR(SUMIF('Dự án T8'!$B:$B, $B32, 'Dự án T8'!$D:$D), 0)</f>
        <v>291906.2258</v>
      </c>
      <c r="H32" s="23">
        <f t="shared" si="4"/>
        <v>3900000</v>
      </c>
      <c r="I32" s="23">
        <f t="shared" si="5"/>
        <v>4469674.194</v>
      </c>
      <c r="J32" s="72">
        <f t="array" ref="J32">_xlfn.XLOOKUP(B32,'kpi nhà thuốc'!A:A,'kpi nhà thuốc'!F:F,(AD32/DAY($C$1))/U32)</f>
        <v>0.7418454545</v>
      </c>
      <c r="K32" s="23">
        <f t="array" ref="K32">_xlfn.XLOOKUP(
    B32,
    'kpi nhà thuốc'!A:A,
    'kpi nhà thuốc'!G:G,
    IF(
        AND(
            OR(C32="DSXC",C32="DSCD"),
            G32&gt;=F32),IF(AND(I32&gt;=T32,E32&gt;=D32),AD32*1.5%,IF(AND(I32&gt;=T32,E32&lt;D32),AD32*1.3%,IF(AND(I32&gt;=S32,E32&gt;=D32),AD32*1.3%,IF(AND(I32&gt;=S32,E32&lt;D32),AD32*1.1%,IF(AND(I32&gt;=R32,E32&gt;=D32),AD32*1.2%,IF(AND(I32&gt;=R32,E32&lt;D32),AD32*1%,"")))))),""
    )
)</f>
        <v>0</v>
      </c>
      <c r="L32" s="76">
        <f t="shared" si="6"/>
        <v>1</v>
      </c>
      <c r="M32" s="23">
        <f>IFERROR(SUMIF('Dự án T8'!$B:$B, $B32, 'Dự án T8'!$M:$M)*$L32, 0)</f>
        <v>0</v>
      </c>
      <c r="N32" s="77">
        <f t="shared" si="7"/>
        <v>0</v>
      </c>
      <c r="O32" s="23">
        <f t="shared" ref="O32:Q32" si="71">CEILING(R32,100000)</f>
        <v>3100000</v>
      </c>
      <c r="P32" s="23">
        <f t="shared" si="71"/>
        <v>3500000</v>
      </c>
      <c r="Q32" s="23">
        <f t="shared" si="71"/>
        <v>3900000</v>
      </c>
      <c r="R32" s="23">
        <f t="shared" si="9"/>
        <v>3096774.194</v>
      </c>
      <c r="S32" s="23">
        <f t="shared" si="10"/>
        <v>3483870.968</v>
      </c>
      <c r="T32" s="23">
        <f t="shared" si="11"/>
        <v>3870967.742</v>
      </c>
      <c r="U32" s="23">
        <f t="shared" si="12"/>
        <v>3870967.742</v>
      </c>
      <c r="V32" s="23">
        <v>1.2E8</v>
      </c>
      <c r="W32" s="54">
        <f>IFERROR(SUMIFS(data!$C:$C, data!$A:$A, $A32, data!$B:$B, $B32), 0)</f>
        <v>333</v>
      </c>
      <c r="X32" s="23">
        <f>IFERROR(SUMIF(data!$B:$B, $B32, data!$D:$D), 0)</f>
        <v>29280100</v>
      </c>
      <c r="Y32" s="23">
        <f t="shared" si="13"/>
        <v>87928.22823</v>
      </c>
      <c r="Z32" s="23">
        <f>IFERROR(SUMIFS(data!$E:$E, data!$A:$A, $A32, data!$B:$B, $B32), 0)</f>
        <v>223</v>
      </c>
      <c r="AA32" s="23">
        <f>IFERROR(SUMIF(data!$B:$B, $B32, data!$F:$F), 0)</f>
        <v>109279800</v>
      </c>
      <c r="AB32" s="23">
        <f t="shared" si="14"/>
        <v>490043.9462</v>
      </c>
      <c r="AC32" s="23">
        <f t="shared" ref="AC32:AD32" si="72">W32+Z32</f>
        <v>556</v>
      </c>
      <c r="AD32" s="23">
        <f t="shared" si="72"/>
        <v>138559900</v>
      </c>
      <c r="AE32" s="23">
        <f t="shared" si="16"/>
        <v>249208.4532</v>
      </c>
      <c r="AF32" s="71"/>
      <c r="AG32" s="71"/>
      <c r="AH32" s="71"/>
      <c r="AI32" s="71"/>
      <c r="AJ32" s="71"/>
      <c r="AK32" s="71"/>
      <c r="AL32" s="71"/>
    </row>
    <row r="33" ht="13.5" customHeight="1">
      <c r="A33" s="37" t="s">
        <v>79</v>
      </c>
      <c r="B33" s="66" t="s">
        <v>90</v>
      </c>
      <c r="C33" s="37" t="s">
        <v>127</v>
      </c>
      <c r="D33" s="23">
        <v>250000.0</v>
      </c>
      <c r="E33" s="23">
        <f t="shared" si="3"/>
        <v>148220.5</v>
      </c>
      <c r="F33" s="23">
        <f t="array" ref="F33">IFERROR(
  ROUND(
    _xludf.LET(
      nt,$A33,
      nv,$B33,
      songay,DAY(EOMONTH($C$1,0)),
      doanhthungay,$I33,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3" s="23">
        <f>IFERROR(SUMIF('Dự án T8'!$B:$B, $B33, 'Dự án T8'!$D:$D), 0)</f>
        <v>523439.7742</v>
      </c>
      <c r="H33" s="23">
        <f t="shared" si="4"/>
        <v>3900000</v>
      </c>
      <c r="I33" s="23">
        <f t="shared" si="5"/>
        <v>3107849.194</v>
      </c>
      <c r="J33" s="72">
        <f t="array" ref="J33">_xlfn.XLOOKUP(B33,'kpi nhà thuốc'!A:A,'kpi nhà thuốc'!F:F,(AD33/DAY($C$1))/U33)</f>
        <v>0.8028610417</v>
      </c>
      <c r="K33" s="23">
        <f t="array" ref="K33">_xlfn.XLOOKUP(
    B33,
    'kpi nhà thuốc'!A:A,
    'kpi nhà thuốc'!G:G,
    IF(
        AND(
            OR(C33="DSXC",C33="DSCD"),
            G33&gt;=F33),IF(AND(I33&gt;=T33,E33&gt;=D33),AD33*1.5%,IF(AND(I33&gt;=T33,E33&lt;D33),AD33*1.3%,IF(AND(I33&gt;=S33,E33&gt;=D33),AD33*1.3%,IF(AND(I33&gt;=S33,E33&lt;D33),AD33*1.1%,IF(AND(I33&gt;=R33,E33&gt;=D33),AD33*1.2%,IF(AND(I33&gt;=R33,E33&lt;D33),AD33*1%,"")))))),""
    )
)</f>
        <v>963433.25</v>
      </c>
      <c r="L33" s="76">
        <f t="shared" si="6"/>
        <v>1</v>
      </c>
      <c r="M33" s="23">
        <f>IFERROR(SUMIF('Dự án T8'!$B:$B, $B33, 'Dự án T8'!$M:$M)*$L33, 0)</f>
        <v>0</v>
      </c>
      <c r="N33" s="77">
        <f t="shared" si="7"/>
        <v>963433.25</v>
      </c>
      <c r="O33" s="23">
        <f t="shared" ref="O33:Q33" si="73">CEILING(R33,100000)</f>
        <v>3100000</v>
      </c>
      <c r="P33" s="23">
        <f t="shared" si="73"/>
        <v>3500000</v>
      </c>
      <c r="Q33" s="23">
        <f t="shared" si="73"/>
        <v>3900000</v>
      </c>
      <c r="R33" s="23">
        <f t="shared" si="9"/>
        <v>3096774.194</v>
      </c>
      <c r="S33" s="23">
        <f t="shared" si="10"/>
        <v>3483870.968</v>
      </c>
      <c r="T33" s="23">
        <f t="shared" si="11"/>
        <v>3870967.742</v>
      </c>
      <c r="U33" s="23">
        <f t="shared" si="12"/>
        <v>3870967.742</v>
      </c>
      <c r="V33" s="23">
        <v>1.2E8</v>
      </c>
      <c r="W33" s="54">
        <f>IFERROR(SUMIFS(data!$C:$C, data!$A:$A, $A33, data!$B:$B, $B33), 0)</f>
        <v>406</v>
      </c>
      <c r="X33" s="23">
        <f>IFERROR(SUMIF(data!$B:$B, $B33, data!$D:$D), 0)</f>
        <v>47424725</v>
      </c>
      <c r="Y33" s="23">
        <f t="shared" si="13"/>
        <v>116809.6675</v>
      </c>
      <c r="Z33" s="23">
        <f>IFERROR(SUMIFS(data!$E:$E, data!$A:$A, $A33, data!$B:$B, $B33), 0)</f>
        <v>244</v>
      </c>
      <c r="AA33" s="23">
        <f>IFERROR(SUMIF(data!$B:$B, $B33, data!$F:$F), 0)</f>
        <v>48918600</v>
      </c>
      <c r="AB33" s="23">
        <f t="shared" si="14"/>
        <v>200486.0656</v>
      </c>
      <c r="AC33" s="23">
        <f t="shared" ref="AC33:AD33" si="74">W33+Z33</f>
        <v>650</v>
      </c>
      <c r="AD33" s="23">
        <f t="shared" si="74"/>
        <v>96343325</v>
      </c>
      <c r="AE33" s="23">
        <f t="shared" si="16"/>
        <v>148220.5</v>
      </c>
      <c r="AF33" s="71"/>
      <c r="AG33" s="71"/>
      <c r="AH33" s="71"/>
      <c r="AI33" s="71"/>
      <c r="AJ33" s="71"/>
      <c r="AK33" s="71"/>
      <c r="AL33" s="71"/>
    </row>
    <row r="34" ht="13.5" customHeight="1">
      <c r="A34" s="37" t="s">
        <v>79</v>
      </c>
      <c r="B34" s="66" t="s">
        <v>82</v>
      </c>
      <c r="C34" s="37" t="s">
        <v>130</v>
      </c>
      <c r="D34" s="23">
        <v>104000.0</v>
      </c>
      <c r="E34" s="23">
        <f t="shared" si="3"/>
        <v>86855.51254</v>
      </c>
      <c r="F34" s="23">
        <f t="array" ref="F34">IFERROR(
  ROUND(
    _xludf.LET(
      nt,$A34,
      nv,$B34,
      songay,DAY(EOMONTH($C$1,0)),
      doanhthungay,$I34,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4" s="23">
        <f>IFERROR(SUMIF('Dự án T8'!$B:$B, $B34, 'Dự án T8'!$D:$D), 0)</f>
        <v>861198.4194</v>
      </c>
      <c r="H34" s="23">
        <f t="shared" si="4"/>
        <v>3900000</v>
      </c>
      <c r="I34" s="23">
        <f t="shared" si="5"/>
        <v>2569242.097</v>
      </c>
      <c r="J34" s="72">
        <f t="array" ref="J34">_xlfn.XLOOKUP(B34,'kpi nhà thuốc'!A:A,'kpi nhà thuốc'!F:F,(AD34/DAY($C$1))/U34)</f>
        <v>0.663720875</v>
      </c>
      <c r="K34" s="23" t="str">
        <f t="array" ref="K34">_xlfn.XLOOKUP(
    B34,
    'kpi nhà thuốc'!A:A,
    'kpi nhà thuốc'!G:G,
    IF(
        AND(
            OR(C34="DSXC",C34="DSCD"),
            G34&gt;=F34),IF(AND(I34&gt;=T34,E34&gt;=D34),AD34*1.5%,IF(AND(I34&gt;=T34,E34&lt;D34),AD34*1.3%,IF(AND(I34&gt;=S34,E34&gt;=D34),AD34*1.3%,IF(AND(I34&gt;=S34,E34&lt;D34),AD34*1.1%,IF(AND(I34&gt;=R34,E34&gt;=D34),AD34*1.2%,IF(AND(I34&gt;=R34,E34&lt;D34),AD34*1%,"")))))),""
    )
)</f>
        <v/>
      </c>
      <c r="L34" s="76">
        <f t="shared" si="6"/>
        <v>1</v>
      </c>
      <c r="M34" s="23">
        <f>IFERROR(SUMIF('Dự án T8'!$B:$B, $B34, 'Dự án T8'!$M:$M)*$L34, 0)</f>
        <v>0</v>
      </c>
      <c r="N34" s="77">
        <f t="shared" si="7"/>
        <v>0</v>
      </c>
      <c r="O34" s="23">
        <f t="shared" ref="O34:Q34" si="75">CEILING(R34,100000)</f>
        <v>3100000</v>
      </c>
      <c r="P34" s="23">
        <f t="shared" si="75"/>
        <v>3500000</v>
      </c>
      <c r="Q34" s="23">
        <f t="shared" si="75"/>
        <v>3900000</v>
      </c>
      <c r="R34" s="23">
        <f t="shared" si="9"/>
        <v>3096774.194</v>
      </c>
      <c r="S34" s="23">
        <f t="shared" si="10"/>
        <v>3483870.968</v>
      </c>
      <c r="T34" s="23">
        <f t="shared" si="11"/>
        <v>3870967.742</v>
      </c>
      <c r="U34" s="23">
        <f t="shared" si="12"/>
        <v>3870967.742</v>
      </c>
      <c r="V34" s="23">
        <v>1.2E8</v>
      </c>
      <c r="W34" s="54">
        <f>IFERROR(SUMIFS(data!$C:$C, data!$A:$A, $A34, data!$B:$B, $B34), 0)</f>
        <v>808</v>
      </c>
      <c r="X34" s="23">
        <f>IFERROR(SUMIF(data!$B:$B, $B34, data!$D:$D), 0)</f>
        <v>66557700</v>
      </c>
      <c r="Y34" s="23">
        <f t="shared" si="13"/>
        <v>82373.39109</v>
      </c>
      <c r="Z34" s="23">
        <f>IFERROR(SUMIFS(data!$E:$E, data!$A:$A, $A34, data!$B:$B, $B34), 0)</f>
        <v>109</v>
      </c>
      <c r="AA34" s="23">
        <f>IFERROR(SUMIF(data!$B:$B, $B34, data!$F:$F), 0)</f>
        <v>13088805</v>
      </c>
      <c r="AB34" s="23">
        <f t="shared" si="14"/>
        <v>120080.7798</v>
      </c>
      <c r="AC34" s="23">
        <f t="shared" ref="AC34:AD34" si="76">W34+Z34</f>
        <v>917</v>
      </c>
      <c r="AD34" s="23">
        <f t="shared" si="76"/>
        <v>79646505</v>
      </c>
      <c r="AE34" s="23">
        <f t="shared" si="16"/>
        <v>86855.51254</v>
      </c>
      <c r="AF34" s="71"/>
      <c r="AG34" s="71"/>
      <c r="AH34" s="71"/>
      <c r="AI34" s="71"/>
      <c r="AJ34" s="71"/>
      <c r="AK34" s="71"/>
      <c r="AL34" s="71"/>
    </row>
    <row r="35" ht="13.5" customHeight="1">
      <c r="A35" s="37" t="s">
        <v>79</v>
      </c>
      <c r="B35" s="66" t="s">
        <v>87</v>
      </c>
      <c r="C35" s="37" t="s">
        <v>130</v>
      </c>
      <c r="D35" s="23">
        <v>157000.0</v>
      </c>
      <c r="E35" s="23">
        <f t="shared" si="3"/>
        <v>88237.84569</v>
      </c>
      <c r="F35" s="23">
        <f t="array" ref="F35">IFERROR(
  ROUND(
    _xludf.LET(
      nt,$A35,
      nv,$B35,
      songay,DAY(EOMONTH($C$1,0)),
      doanhthungay,$I35,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5" s="23">
        <f>IFERROR(SUMIF('Dự án T8'!$B:$B, $B35, 'Dự án T8'!$D:$D), 0)</f>
        <v>1035643.29</v>
      </c>
      <c r="H35" s="23">
        <f t="shared" si="4"/>
        <v>3900000</v>
      </c>
      <c r="I35" s="23">
        <f t="shared" si="5"/>
        <v>2840689.355</v>
      </c>
      <c r="J35" s="72">
        <f t="array" ref="J35">_xlfn.XLOOKUP(B35,'kpi nhà thuốc'!A:A,'kpi nhà thuốc'!F:F,(AD35/DAY($C$1))/U35)</f>
        <v>0.73384475</v>
      </c>
      <c r="K35" s="23" t="str">
        <f t="array" ref="K35">_xlfn.XLOOKUP(
    B35,
    'kpi nhà thuốc'!A:A,
    'kpi nhà thuốc'!G:G,
    IF(
        AND(
            OR(C35="DSXC",C35="DSCD"),
            G35&gt;=F35),IF(AND(I35&gt;=T35,E35&gt;=D35),AD35*1.5%,IF(AND(I35&gt;=T35,E35&lt;D35),AD35*1.3%,IF(AND(I35&gt;=S35,E35&gt;=D35),AD35*1.3%,IF(AND(I35&gt;=S35,E35&lt;D35),AD35*1.1%,IF(AND(I35&gt;=R35,E35&gt;=D35),AD35*1.2%,IF(AND(I35&gt;=R35,E35&lt;D35),AD35*1%,"")))))),""
    )
)</f>
        <v/>
      </c>
      <c r="L35" s="76">
        <f t="shared" si="6"/>
        <v>1</v>
      </c>
      <c r="M35" s="23">
        <f>IFERROR(SUMIF('Dự án T8'!$B:$B, $B35, 'Dự án T8'!$M:$M)*$L35, 0)</f>
        <v>500000</v>
      </c>
      <c r="N35" s="77">
        <f t="shared" si="7"/>
        <v>500000</v>
      </c>
      <c r="O35" s="23">
        <f t="shared" ref="O35:Q35" si="77">CEILING(R35,100000)</f>
        <v>3100000</v>
      </c>
      <c r="P35" s="23">
        <f t="shared" si="77"/>
        <v>3500000</v>
      </c>
      <c r="Q35" s="23">
        <f t="shared" si="77"/>
        <v>3900000</v>
      </c>
      <c r="R35" s="23">
        <f t="shared" si="9"/>
        <v>3096774.194</v>
      </c>
      <c r="S35" s="23">
        <f t="shared" si="10"/>
        <v>3483870.968</v>
      </c>
      <c r="T35" s="23">
        <f t="shared" si="11"/>
        <v>3870967.742</v>
      </c>
      <c r="U35" s="23">
        <f t="shared" si="12"/>
        <v>3870967.742</v>
      </c>
      <c r="V35" s="23">
        <v>1.2E8</v>
      </c>
      <c r="W35" s="54">
        <f>IFERROR(SUMIFS(data!$C:$C, data!$A:$A, $A35, data!$B:$B, $B35), 0)</f>
        <v>802</v>
      </c>
      <c r="X35" s="23">
        <f>IFERROR(SUMIF(data!$B:$B, $B35, data!$D:$D), 0)</f>
        <v>56675900</v>
      </c>
      <c r="Y35" s="23">
        <f t="shared" si="13"/>
        <v>70668.20449</v>
      </c>
      <c r="Z35" s="23">
        <f>IFERROR(SUMIFS(data!$E:$E, data!$A:$A, $A35, data!$B:$B, $B35), 0)</f>
        <v>196</v>
      </c>
      <c r="AA35" s="23">
        <f>IFERROR(SUMIF(data!$B:$B, $B35, data!$F:$F), 0)</f>
        <v>31385470</v>
      </c>
      <c r="AB35" s="23">
        <f t="shared" si="14"/>
        <v>160129.949</v>
      </c>
      <c r="AC35" s="23">
        <f t="shared" ref="AC35:AD35" si="78">W35+Z35</f>
        <v>998</v>
      </c>
      <c r="AD35" s="23">
        <f t="shared" si="78"/>
        <v>88061370</v>
      </c>
      <c r="AE35" s="23">
        <f t="shared" si="16"/>
        <v>88237.84569</v>
      </c>
      <c r="AF35" s="71"/>
      <c r="AG35" s="71"/>
      <c r="AH35" s="71"/>
      <c r="AI35" s="71"/>
      <c r="AJ35" s="71"/>
      <c r="AK35" s="71"/>
      <c r="AL35" s="71"/>
    </row>
    <row r="36" ht="13.5" customHeight="1">
      <c r="A36" s="37" t="s">
        <v>79</v>
      </c>
      <c r="B36" s="66" t="s">
        <v>129</v>
      </c>
      <c r="C36" s="37" t="s">
        <v>199</v>
      </c>
      <c r="D36" s="23"/>
      <c r="E36" s="23">
        <f t="shared" si="3"/>
        <v>0</v>
      </c>
      <c r="F36" s="23">
        <f t="array" ref="F36">IFERROR(
  ROUND(
    _xludf.LET(
      nt,$A36,
      nv,$B36,
      songay,DAY(EOMONTH($C$1,0)),
      doanhthungay,$I36,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6" s="23">
        <f>IFERROR(SUMIF('Dự án T8'!$B:$B, $B36, 'Dự án T8'!$D:$D), 0)</f>
        <v>0</v>
      </c>
      <c r="H36" s="23">
        <f t="shared" si="4"/>
        <v>2300000</v>
      </c>
      <c r="I36" s="23">
        <f t="shared" si="5"/>
        <v>0</v>
      </c>
      <c r="J36" s="72">
        <f t="array" ref="J36">_xlfn.XLOOKUP(B36,'kpi nhà thuốc'!A:A,'kpi nhà thuốc'!F:F,(AD36/DAY($C$1))/U36)</f>
        <v>0</v>
      </c>
      <c r="K36" s="23" t="str">
        <f t="array" ref="K36">_xlfn.XLOOKUP(
    B36,
    'kpi nhà thuốc'!A:A,
    'kpi nhà thuốc'!G:G,
    IF(
        AND(
            OR(C36="DSXC",C36="DSCD"),
            G36&gt;=F36),IF(AND(I36&gt;=T36,E36&gt;=D36),AD36*1.5%,IF(AND(I36&gt;=T36,E36&lt;D36),AD36*1.3%,IF(AND(I36&gt;=S36,E36&gt;=D36),AD36*1.3%,IF(AND(I36&gt;=S36,E36&lt;D36),AD36*1.1%,IF(AND(I36&gt;=R36,E36&gt;=D36),AD36*1.2%,IF(AND(I36&gt;=R36,E36&lt;D36),AD36*1%,"")))))),""
    )
)</f>
        <v/>
      </c>
      <c r="L36" s="76">
        <f t="shared" si="6"/>
        <v>0.8</v>
      </c>
      <c r="M36" s="23">
        <f>IFERROR(SUMIF('Dự án T8'!$B:$B, $B36, 'Dự án T8'!$M:$M)*$L36, 0)</f>
        <v>0</v>
      </c>
      <c r="N36" s="77">
        <f t="shared" si="7"/>
        <v>0</v>
      </c>
      <c r="O36" s="23">
        <f t="shared" ref="O36:Q36" si="79">CEILING(R36,100000)</f>
        <v>1900000</v>
      </c>
      <c r="P36" s="23">
        <f t="shared" si="79"/>
        <v>2100000</v>
      </c>
      <c r="Q36" s="23">
        <f t="shared" si="79"/>
        <v>2300000</v>
      </c>
      <c r="R36" s="23">
        <f t="shared" si="9"/>
        <v>1806451.613</v>
      </c>
      <c r="S36" s="23">
        <f t="shared" si="10"/>
        <v>2032258.065</v>
      </c>
      <c r="T36" s="23">
        <f t="shared" si="11"/>
        <v>2258064.516</v>
      </c>
      <c r="U36" s="23">
        <f t="shared" si="12"/>
        <v>2258064.516</v>
      </c>
      <c r="V36" s="23">
        <v>7.0E7</v>
      </c>
      <c r="W36" s="54">
        <f>IFERROR(SUMIFS(data!$C:$C, data!$A:$A, $A36, data!$B:$B, $B36), 0)</f>
        <v>0</v>
      </c>
      <c r="X36" s="23">
        <f>IFERROR(SUMIF(data!$B:$B, $B36, data!$D:$D), 0)</f>
        <v>0</v>
      </c>
      <c r="Y36" s="23">
        <f t="shared" si="13"/>
        <v>0</v>
      </c>
      <c r="Z36" s="23">
        <f>IFERROR(SUMIFS(data!$E:$E, data!$A:$A, $A36, data!$B:$B, $B36), 0)</f>
        <v>0</v>
      </c>
      <c r="AA36" s="23">
        <f>IFERROR(SUMIF(data!$B:$B, $B36, data!$F:$F), 0)</f>
        <v>0</v>
      </c>
      <c r="AB36" s="23">
        <f t="shared" si="14"/>
        <v>0</v>
      </c>
      <c r="AC36" s="23">
        <f t="shared" ref="AC36:AD36" si="80">W36+Z36</f>
        <v>0</v>
      </c>
      <c r="AD36" s="23">
        <f t="shared" si="80"/>
        <v>0</v>
      </c>
      <c r="AE36" s="23">
        <f t="shared" si="16"/>
        <v>0</v>
      </c>
      <c r="AF36" s="71"/>
      <c r="AG36" s="71"/>
      <c r="AH36" s="71"/>
      <c r="AI36" s="71"/>
      <c r="AJ36" s="71"/>
      <c r="AK36" s="71"/>
      <c r="AL36" s="71"/>
    </row>
    <row r="37" ht="13.5" customHeight="1">
      <c r="A37" s="37" t="s">
        <v>93</v>
      </c>
      <c r="B37" s="66" t="s">
        <v>98</v>
      </c>
      <c r="C37" s="37" t="s">
        <v>130</v>
      </c>
      <c r="D37" s="23">
        <v>170000.0</v>
      </c>
      <c r="E37" s="23">
        <f t="shared" si="3"/>
        <v>109001.9547</v>
      </c>
      <c r="F37" s="23">
        <f t="array" ref="F37">IFERROR(
  ROUND(
    _xludf.LET(
      nt,$A37,
      nv,$B37,
      songay,DAY(EOMONTH($C$1,0)),
      doanhthungay,$I37,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7" s="23">
        <f>IFERROR(SUMIF('Dự án T8'!$B:$B, $B37, 'Dự án T8'!$D:$D), 0)</f>
        <v>540125.3548</v>
      </c>
      <c r="H37" s="23">
        <f t="shared" si="4"/>
        <v>4600000</v>
      </c>
      <c r="I37" s="23">
        <f t="shared" si="5"/>
        <v>3417738.71</v>
      </c>
      <c r="J37" s="72">
        <f t="array" ref="J37">_xlfn.XLOOKUP(B37,'kpi nhà thuốc'!A:A,'kpi nhà thuốc'!F:F,(AD37/DAY($C$1))/U37)</f>
        <v>0.756785</v>
      </c>
      <c r="K37" s="23" t="str">
        <f t="array" ref="K37">_xlfn.XLOOKUP(
    B37,
    'kpi nhà thuốc'!A:A,
    'kpi nhà thuốc'!G:G,
    IF(
        AND(
            OR(C37="DSXC",C37="DSCD"),
            G37&gt;=F37),IF(AND(I37&gt;=T37,E37&gt;=D37),AD37*1.5%,IF(AND(I37&gt;=T37,E37&lt;D37),AD37*1.3%,IF(AND(I37&gt;=S37,E37&gt;=D37),AD37*1.3%,IF(AND(I37&gt;=S37,E37&lt;D37),AD37*1.1%,IF(AND(I37&gt;=R37,E37&gt;=D37),AD37*1.2%,IF(AND(I37&gt;=R37,E37&lt;D37),AD37*1%,"")))))),""
    )
)</f>
        <v/>
      </c>
      <c r="L37" s="76">
        <f t="shared" si="6"/>
        <v>1</v>
      </c>
      <c r="M37" s="23">
        <f>IFERROR(SUMIF('Dự án T8'!$B:$B, $B37, 'Dự án T8'!$M:$M)*$L37, 0)</f>
        <v>0</v>
      </c>
      <c r="N37" s="77">
        <f t="shared" si="7"/>
        <v>0</v>
      </c>
      <c r="O37" s="23">
        <f t="shared" ref="O37:Q37" si="81">CEILING(R37,100000)</f>
        <v>3700000</v>
      </c>
      <c r="P37" s="23">
        <f t="shared" si="81"/>
        <v>4100000</v>
      </c>
      <c r="Q37" s="23">
        <f t="shared" si="81"/>
        <v>4600000</v>
      </c>
      <c r="R37" s="23">
        <f t="shared" si="9"/>
        <v>3612903.226</v>
      </c>
      <c r="S37" s="23">
        <f t="shared" si="10"/>
        <v>4064516.129</v>
      </c>
      <c r="T37" s="23">
        <f t="shared" si="11"/>
        <v>4516129.032</v>
      </c>
      <c r="U37" s="23">
        <f t="shared" si="12"/>
        <v>4516129.032</v>
      </c>
      <c r="V37" s="23">
        <v>1.4E8</v>
      </c>
      <c r="W37" s="54">
        <f>IFERROR(SUMIFS(data!$C:$C, data!$A:$A, $A37, data!$B:$B, $B37), 0)</f>
        <v>682</v>
      </c>
      <c r="X37" s="23">
        <f>IFERROR(SUMIF(data!$B:$B, $B37, data!$D:$D), 0)</f>
        <v>46052700</v>
      </c>
      <c r="Y37" s="23">
        <f t="shared" si="13"/>
        <v>67525.95308</v>
      </c>
      <c r="Z37" s="23">
        <f>IFERROR(SUMIFS(data!$E:$E, data!$A:$A, $A37, data!$B:$B, $B37), 0)</f>
        <v>290</v>
      </c>
      <c r="AA37" s="23">
        <f>IFERROR(SUMIF(data!$B:$B, $B37, data!$F:$F), 0)</f>
        <v>59897200</v>
      </c>
      <c r="AB37" s="23">
        <f t="shared" si="14"/>
        <v>206542.069</v>
      </c>
      <c r="AC37" s="23">
        <f t="shared" ref="AC37:AD37" si="82">W37+Z37</f>
        <v>972</v>
      </c>
      <c r="AD37" s="23">
        <f t="shared" si="82"/>
        <v>105949900</v>
      </c>
      <c r="AE37" s="23">
        <f t="shared" si="16"/>
        <v>109001.9547</v>
      </c>
      <c r="AF37" s="71"/>
      <c r="AG37" s="71"/>
      <c r="AH37" s="71"/>
      <c r="AI37" s="71"/>
      <c r="AJ37" s="71"/>
      <c r="AK37" s="71"/>
      <c r="AL37" s="71"/>
    </row>
    <row r="38" ht="13.5" customHeight="1">
      <c r="A38" s="37" t="s">
        <v>93</v>
      </c>
      <c r="B38" s="66" t="s">
        <v>97</v>
      </c>
      <c r="C38" s="37" t="s">
        <v>96</v>
      </c>
      <c r="D38" s="23">
        <v>136000.0</v>
      </c>
      <c r="E38" s="23">
        <f t="shared" si="3"/>
        <v>159311.6422</v>
      </c>
      <c r="F38" s="23">
        <f t="array" ref="F38">IFERROR(
  ROUND(
    _xludf.LET(
      nt,$A38,
      nv,$B38,
      songay,DAY(EOMONTH($C$1,0)),
      doanhthungay,$I38,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8" s="23">
        <f>IFERROR(SUMIF('Dự án T8'!$B:$B, $B38, 'Dự án T8'!$D:$D), 0)</f>
        <v>903216.8387</v>
      </c>
      <c r="H38" s="23">
        <f t="shared" si="4"/>
        <v>4600000</v>
      </c>
      <c r="I38" s="23">
        <f t="shared" si="5"/>
        <v>4193493.548</v>
      </c>
      <c r="J38" s="72">
        <f t="array" ref="J38">_xlfn.XLOOKUP(B38,'kpi nhà thuốc'!A:A,'kpi nhà thuốc'!F:F,(AD38/DAY($C$1))/U38)</f>
        <v>0.7424149872</v>
      </c>
      <c r="K38" s="23">
        <f t="array" ref="K38">_xlfn.XLOOKUP(
    B38,
    'kpi nhà thuốc'!A:A,
    'kpi nhà thuốc'!G:G,
    IF(
        AND(
            OR(C38="DSXC",C38="DSCD"),
            G38&gt;=F38),IF(AND(I38&gt;=T38,E38&gt;=D38),AD38*1.5%,IF(AND(I38&gt;=T38,E38&lt;D38),AD38*1.3%,IF(AND(I38&gt;=S38,E38&gt;=D38),AD38*1.3%,IF(AND(I38&gt;=S38,E38&lt;D38),AD38*1.1%,IF(AND(I38&gt;=R38,E38&gt;=D38),AD38*1.2%,IF(AND(I38&gt;=R38,E38&lt;D38),AD38*1%,"")))))),""
    )
)</f>
        <v>0</v>
      </c>
      <c r="L38" s="76">
        <f t="shared" si="6"/>
        <v>1</v>
      </c>
      <c r="M38" s="23">
        <f>IFERROR(SUMIF('Dự án T8'!$B:$B, $B38, 'Dự án T8'!$M:$M)*$L38, 0)</f>
        <v>0</v>
      </c>
      <c r="N38" s="77">
        <f t="shared" si="7"/>
        <v>0</v>
      </c>
      <c r="O38" s="23">
        <f t="shared" ref="O38:Q38" si="83">CEILING(R38,100000)</f>
        <v>3700000</v>
      </c>
      <c r="P38" s="23">
        <f t="shared" si="83"/>
        <v>4100000</v>
      </c>
      <c r="Q38" s="23">
        <f t="shared" si="83"/>
        <v>4600000</v>
      </c>
      <c r="R38" s="23">
        <f t="shared" si="9"/>
        <v>3612903.226</v>
      </c>
      <c r="S38" s="23">
        <f t="shared" si="10"/>
        <v>4064516.129</v>
      </c>
      <c r="T38" s="23">
        <f t="shared" si="11"/>
        <v>4516129.032</v>
      </c>
      <c r="U38" s="23">
        <f t="shared" si="12"/>
        <v>4516129.032</v>
      </c>
      <c r="V38" s="23">
        <v>1.4E8</v>
      </c>
      <c r="W38" s="54">
        <f>IFERROR(SUMIFS(data!$C:$C, data!$A:$A, $A38, data!$B:$B, $B38), 0)</f>
        <v>420</v>
      </c>
      <c r="X38" s="23">
        <f>IFERROR(SUMIF(data!$B:$B, $B38, data!$D:$D), 0)</f>
        <v>29505600</v>
      </c>
      <c r="Y38" s="23">
        <f t="shared" si="13"/>
        <v>70251.42857</v>
      </c>
      <c r="Z38" s="23">
        <f>IFERROR(SUMIFS(data!$E:$E, data!$A:$A, $A38, data!$B:$B, $B38), 0)</f>
        <v>396</v>
      </c>
      <c r="AA38" s="23">
        <f>IFERROR(SUMIF(data!$B:$B, $B38, data!$F:$F), 0)</f>
        <v>100492700</v>
      </c>
      <c r="AB38" s="23">
        <f t="shared" si="14"/>
        <v>253769.4444</v>
      </c>
      <c r="AC38" s="23">
        <f t="shared" ref="AC38:AD38" si="84">W38+Z38</f>
        <v>816</v>
      </c>
      <c r="AD38" s="23">
        <f t="shared" si="84"/>
        <v>129998300</v>
      </c>
      <c r="AE38" s="23">
        <f t="shared" si="16"/>
        <v>159311.6422</v>
      </c>
      <c r="AF38" s="71"/>
      <c r="AG38" s="71"/>
      <c r="AH38" s="71"/>
      <c r="AI38" s="71"/>
      <c r="AJ38" s="71"/>
      <c r="AK38" s="71"/>
      <c r="AL38" s="71"/>
    </row>
    <row r="39" ht="13.5" customHeight="1">
      <c r="A39" s="37" t="s">
        <v>93</v>
      </c>
      <c r="B39" s="66" t="s">
        <v>65</v>
      </c>
      <c r="C39" s="37" t="s">
        <v>127</v>
      </c>
      <c r="D39" s="23">
        <v>133000.0</v>
      </c>
      <c r="E39" s="23">
        <f t="shared" si="3"/>
        <v>138450.173</v>
      </c>
      <c r="F39" s="23">
        <f t="array" ref="F39">IFERROR(
  ROUND(
    _xludf.LET(
      nt,$A39,
      nv,$B39,
      songay,DAY(EOMONTH($C$1,0)),
      doanhthungay,$I39,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9" s="23">
        <f>IFERROR(SUMIF('Dự án T8'!$B:$B, $B39, 'Dự án T8'!$D:$D), 0)</f>
        <v>273548.2903</v>
      </c>
      <c r="H39" s="23">
        <f t="shared" si="4"/>
        <v>4100000</v>
      </c>
      <c r="I39" s="23">
        <f t="shared" si="5"/>
        <v>1290712.903</v>
      </c>
      <c r="J39" s="72">
        <f t="array" ref="J39">_xlfn.XLOOKUP(B39,'kpi nhà thuốc'!A:A,'kpi nhà thuốc'!F:F,(AD39/DAY($C$1))/U39)</f>
        <v>0.3200968</v>
      </c>
      <c r="K39" s="23" t="str">
        <f t="array" ref="K39">_xlfn.XLOOKUP(
    B39,
    'kpi nhà thuốc'!A:A,
    'kpi nhà thuốc'!G:G,
    IF(
        AND(
            OR(C39="DSXC",C39="DSCD"),
            G39&gt;=F39),IF(AND(I39&gt;=T39,E39&gt;=D39),AD39*1.5%,IF(AND(I39&gt;=T39,E39&lt;D39),AD39*1.3%,IF(AND(I39&gt;=S39,E39&gt;=D39),AD39*1.3%,IF(AND(I39&gt;=S39,E39&lt;D39),AD39*1.1%,IF(AND(I39&gt;=R39,E39&gt;=D39),AD39*1.2%,IF(AND(I39&gt;=R39,E39&lt;D39),AD39*1%,"")))))),""
    )
)</f>
        <v/>
      </c>
      <c r="L39" s="76">
        <f t="shared" si="6"/>
        <v>0.8</v>
      </c>
      <c r="M39" s="23">
        <f>IFERROR(SUMIF('Dự án T8'!$B:$B, $B39, 'Dự án T8'!$M:$M)*$L39, 0)</f>
        <v>0</v>
      </c>
      <c r="N39" s="77">
        <f t="shared" si="7"/>
        <v>0</v>
      </c>
      <c r="O39" s="23">
        <f t="shared" ref="O39:Q39" si="85">CEILING(R39,100000)</f>
        <v>3300000</v>
      </c>
      <c r="P39" s="23">
        <f t="shared" si="85"/>
        <v>3700000</v>
      </c>
      <c r="Q39" s="23">
        <f t="shared" si="85"/>
        <v>4100000</v>
      </c>
      <c r="R39" s="23">
        <f t="shared" si="9"/>
        <v>3225806.452</v>
      </c>
      <c r="S39" s="23">
        <f t="shared" si="10"/>
        <v>3629032.258</v>
      </c>
      <c r="T39" s="23">
        <f t="shared" si="11"/>
        <v>4032258.065</v>
      </c>
      <c r="U39" s="23">
        <f t="shared" si="12"/>
        <v>4032258.065</v>
      </c>
      <c r="V39" s="23">
        <v>1.25E8</v>
      </c>
      <c r="W39" s="54">
        <f>IFERROR(SUMIFS(data!$C:$C, data!$A:$A, $A39, data!$B:$B, $B39), 0)</f>
        <v>151</v>
      </c>
      <c r="X39" s="23">
        <f>IFERROR(SUMIF(data!$B:$B, $B39, data!$D:$D), 0)</f>
        <v>15255000</v>
      </c>
      <c r="Y39" s="23">
        <f t="shared" si="13"/>
        <v>101026.4901</v>
      </c>
      <c r="Z39" s="23">
        <f>IFERROR(SUMIFS(data!$E:$E, data!$A:$A, $A39, data!$B:$B, $B39), 0)</f>
        <v>138</v>
      </c>
      <c r="AA39" s="23">
        <f>IFERROR(SUMIF(data!$B:$B, $B39, data!$F:$F), 0)</f>
        <v>24757100</v>
      </c>
      <c r="AB39" s="23">
        <f t="shared" si="14"/>
        <v>179399.2754</v>
      </c>
      <c r="AC39" s="23">
        <f t="shared" ref="AC39:AD39" si="86">W39+Z39</f>
        <v>289</v>
      </c>
      <c r="AD39" s="23">
        <f t="shared" si="86"/>
        <v>40012100</v>
      </c>
      <c r="AE39" s="23">
        <f t="shared" si="16"/>
        <v>138450.173</v>
      </c>
      <c r="AF39" s="71"/>
      <c r="AG39" s="71"/>
      <c r="AH39" s="71"/>
      <c r="AI39" s="71"/>
      <c r="AJ39" s="71"/>
      <c r="AK39" s="71"/>
      <c r="AL39" s="71"/>
    </row>
    <row r="40" ht="13.5" customHeight="1">
      <c r="A40" s="37" t="s">
        <v>93</v>
      </c>
      <c r="B40" s="66" t="s">
        <v>94</v>
      </c>
      <c r="C40" s="37" t="s">
        <v>130</v>
      </c>
      <c r="D40" s="23">
        <v>104000.0</v>
      </c>
      <c r="E40" s="23">
        <f t="shared" si="3"/>
        <v>111835.3267</v>
      </c>
      <c r="F40" s="23">
        <f t="array" ref="F40">IFERROR(
  ROUND(
    _xludf.LET(
      nt,$A40,
      nv,$B40,
      songay,DAY(EOMONTH($C$1,0)),
      doanhthungay,$I40,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0" s="23">
        <f>IFERROR(SUMIF('Dự án T8'!$B:$B, $B40, 'Dự án T8'!$D:$D), 0)</f>
        <v>1054574.968</v>
      </c>
      <c r="H40" s="23">
        <f t="shared" si="4"/>
        <v>4600000</v>
      </c>
      <c r="I40" s="23">
        <f t="shared" si="5"/>
        <v>3622021.548</v>
      </c>
      <c r="J40" s="72">
        <f t="array" ref="J40">_xlfn.XLOOKUP(B40,'kpi nhà thuốc'!A:A,'kpi nhà thuốc'!F:F,(AD40/DAY($C$1))/U40)</f>
        <v>0.8020190571</v>
      </c>
      <c r="K40" s="23">
        <f t="array" ref="K40">_xlfn.XLOOKUP(
    B40,
    'kpi nhà thuốc'!A:A,
    'kpi nhà thuốc'!G:G,
    IF(
        AND(
            OR(C40="DSXC",C40="DSCD"),
            G40&gt;=F40),IF(AND(I40&gt;=T40,E40&gt;=D40),AD40*1.5%,IF(AND(I40&gt;=T40,E40&lt;D40),AD40*1.3%,IF(AND(I40&gt;=S40,E40&gt;=D40),AD40*1.3%,IF(AND(I40&gt;=S40,E40&lt;D40),AD40*1.1%,IF(AND(I40&gt;=R40,E40&gt;=D40),AD40*1.2%,IF(AND(I40&gt;=R40,E40&lt;D40),AD40*1%,"")))))),""
    )
)</f>
        <v>1347392.016</v>
      </c>
      <c r="L40" s="76">
        <f t="shared" si="6"/>
        <v>1</v>
      </c>
      <c r="M40" s="23">
        <f>IFERROR(SUMIF('Dự án T8'!$B:$B, $B40, 'Dự án T8'!$M:$M)*$L40, 0)</f>
        <v>500000</v>
      </c>
      <c r="N40" s="77">
        <f t="shared" si="7"/>
        <v>1847392.016</v>
      </c>
      <c r="O40" s="23">
        <f t="shared" ref="O40:Q40" si="87">CEILING(R40,100000)</f>
        <v>3700000</v>
      </c>
      <c r="P40" s="23">
        <f t="shared" si="87"/>
        <v>4100000</v>
      </c>
      <c r="Q40" s="23">
        <f t="shared" si="87"/>
        <v>4600000</v>
      </c>
      <c r="R40" s="23">
        <f t="shared" si="9"/>
        <v>3612903.226</v>
      </c>
      <c r="S40" s="23">
        <f t="shared" si="10"/>
        <v>4064516.129</v>
      </c>
      <c r="T40" s="23">
        <f t="shared" si="11"/>
        <v>4516129.032</v>
      </c>
      <c r="U40" s="23">
        <f t="shared" si="12"/>
        <v>4516129.032</v>
      </c>
      <c r="V40" s="23">
        <v>1.4E8</v>
      </c>
      <c r="W40" s="54">
        <f>IFERROR(SUMIFS(data!$C:$C, data!$A:$A, $A40, data!$B:$B, $B40), 0)</f>
        <v>665</v>
      </c>
      <c r="X40" s="23">
        <f>IFERROR(SUMIF(data!$B:$B, $B40, data!$D:$D), 0)</f>
        <v>45932300</v>
      </c>
      <c r="Y40" s="23">
        <f t="shared" si="13"/>
        <v>69071.12782</v>
      </c>
      <c r="Z40" s="23">
        <f>IFERROR(SUMIFS(data!$E:$E, data!$A:$A, $A40, data!$B:$B, $B40), 0)</f>
        <v>339</v>
      </c>
      <c r="AA40" s="23">
        <f>IFERROR(SUMIF(data!$B:$B, $B40, data!$F:$F), 0)</f>
        <v>66350368</v>
      </c>
      <c r="AB40" s="23">
        <f t="shared" si="14"/>
        <v>195723.7994</v>
      </c>
      <c r="AC40" s="23">
        <f t="shared" ref="AC40:AD40" si="88">W40+Z40</f>
        <v>1004</v>
      </c>
      <c r="AD40" s="23">
        <f t="shared" si="88"/>
        <v>112282668</v>
      </c>
      <c r="AE40" s="23">
        <f t="shared" si="16"/>
        <v>111835.3267</v>
      </c>
      <c r="AF40" s="71"/>
      <c r="AG40" s="71"/>
      <c r="AH40" s="71"/>
      <c r="AI40" s="71"/>
      <c r="AJ40" s="71"/>
      <c r="AK40" s="71"/>
      <c r="AL40" s="71"/>
    </row>
    <row r="41" ht="13.5" customHeight="1">
      <c r="A41" s="37" t="s">
        <v>93</v>
      </c>
      <c r="B41" s="66" t="s">
        <v>200</v>
      </c>
      <c r="C41" s="37" t="s">
        <v>198</v>
      </c>
      <c r="D41" s="23">
        <v>104000.0</v>
      </c>
      <c r="E41" s="23">
        <f t="shared" si="3"/>
        <v>0</v>
      </c>
      <c r="F41" s="23">
        <f t="array" ref="F41">IFERROR(
  ROUND(
    _xludf.LET(
      nt,$A41,
      nv,$B41,
      songay,DAY(EOMONTH($C$1,0)),
      doanhthungay,$I41,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1" s="23">
        <f>IFERROR(SUMIF('Dự án T8'!$B:$B, $B41, 'Dự án T8'!$D:$D), 0)</f>
        <v>0</v>
      </c>
      <c r="H41" s="23">
        <f t="shared" si="4"/>
        <v>2300000</v>
      </c>
      <c r="I41" s="23">
        <f t="shared" si="5"/>
        <v>0</v>
      </c>
      <c r="J41" s="72">
        <f t="array" ref="J41">_xlfn.XLOOKUP(B41,'kpi nhà thuốc'!A:A,'kpi nhà thuốc'!F:F,(AD41/DAY($C$1))/U41)</f>
        <v>0</v>
      </c>
      <c r="K41" s="23" t="str">
        <f t="array" ref="K41">_xlfn.XLOOKUP(
    B41,
    'kpi nhà thuốc'!A:A,
    'kpi nhà thuốc'!G:G,
    IF(
        AND(
            OR(C41="DSXC",C41="DSCD"),
            G41&gt;=F41),IF(AND(I41&gt;=T41,E41&gt;=D41),AD41*1.5%,IF(AND(I41&gt;=T41,E41&lt;D41),AD41*1.3%,IF(AND(I41&gt;=S41,E41&gt;=D41),AD41*1.3%,IF(AND(I41&gt;=S41,E41&lt;D41),AD41*1.1%,IF(AND(I41&gt;=R41,E41&gt;=D41),AD41*1.2%,IF(AND(I41&gt;=R41,E41&lt;D41),AD41*1%,"")))))),""
    )
)</f>
        <v/>
      </c>
      <c r="L41" s="76">
        <f t="shared" si="6"/>
        <v>0.8</v>
      </c>
      <c r="M41" s="23">
        <f>IFERROR(SUMIF('Dự án T8'!$B:$B, $B41, 'Dự án T8'!$M:$M)*$L41, 0)</f>
        <v>0</v>
      </c>
      <c r="N41" s="77">
        <f t="shared" si="7"/>
        <v>0</v>
      </c>
      <c r="O41" s="23">
        <f t="shared" ref="O41:Q41" si="89">CEILING(R41,100000)</f>
        <v>1900000</v>
      </c>
      <c r="P41" s="23">
        <f t="shared" si="89"/>
        <v>2100000</v>
      </c>
      <c r="Q41" s="23">
        <f t="shared" si="89"/>
        <v>2300000</v>
      </c>
      <c r="R41" s="23">
        <f t="shared" si="9"/>
        <v>1806451.613</v>
      </c>
      <c r="S41" s="23">
        <f t="shared" si="10"/>
        <v>2032258.065</v>
      </c>
      <c r="T41" s="23">
        <f t="shared" si="11"/>
        <v>2258064.516</v>
      </c>
      <c r="U41" s="23">
        <f t="shared" si="12"/>
        <v>2258064.516</v>
      </c>
      <c r="V41" s="23">
        <v>7.0E7</v>
      </c>
      <c r="W41" s="54">
        <f>IFERROR(SUMIFS(data!$C:$C, data!$A:$A, $A41, data!$B:$B, $B41), 0)</f>
        <v>0</v>
      </c>
      <c r="X41" s="23">
        <f>IFERROR(SUMIF(data!$B:$B, $B41, data!$D:$D), 0)</f>
        <v>0</v>
      </c>
      <c r="Y41" s="23">
        <f t="shared" si="13"/>
        <v>0</v>
      </c>
      <c r="Z41" s="23">
        <f>IFERROR(SUMIFS(data!$E:$E, data!$A:$A, $A41, data!$B:$B, $B41), 0)</f>
        <v>0</v>
      </c>
      <c r="AA41" s="23">
        <f>IFERROR(SUMIF(data!$B:$B, $B41, data!$F:$F), 0)</f>
        <v>0</v>
      </c>
      <c r="AB41" s="23">
        <f t="shared" si="14"/>
        <v>0</v>
      </c>
      <c r="AC41" s="23">
        <f t="shared" ref="AC41:AD41" si="90">W41+Z41</f>
        <v>0</v>
      </c>
      <c r="AD41" s="23">
        <f t="shared" si="90"/>
        <v>0</v>
      </c>
      <c r="AE41" s="23">
        <f t="shared" si="16"/>
        <v>0</v>
      </c>
      <c r="AF41" s="71"/>
      <c r="AG41" s="71"/>
      <c r="AH41" s="71"/>
      <c r="AI41" s="71"/>
      <c r="AJ41" s="71"/>
      <c r="AK41" s="71"/>
      <c r="AL41" s="71"/>
    </row>
    <row r="42" ht="13.5" customHeight="1">
      <c r="A42" s="37" t="s">
        <v>99</v>
      </c>
      <c r="B42" s="66" t="s">
        <v>100</v>
      </c>
      <c r="C42" s="37" t="s">
        <v>130</v>
      </c>
      <c r="D42" s="23">
        <v>115000.0</v>
      </c>
      <c r="E42" s="23">
        <f t="shared" si="3"/>
        <v>71306.81081</v>
      </c>
      <c r="F42" s="23">
        <f t="array" ref="F42">IFERROR(
  ROUND(
    _xludf.LET(
      nt,$A42,
      nv,$B42,
      songay,DAY(EOMONTH($C$1,0)),
      doanhthungay,$I42,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2" s="23">
        <f>IFERROR(SUMIF('Dự án T8'!$B:$B, $B42, 'Dự án T8'!$D:$D), 0)</f>
        <v>1210332.968</v>
      </c>
      <c r="H42" s="23">
        <f t="shared" si="4"/>
        <v>3300000</v>
      </c>
      <c r="I42" s="23">
        <f t="shared" si="5"/>
        <v>2127703.226</v>
      </c>
      <c r="J42" s="72">
        <f t="array" ref="J42">_xlfn.XLOOKUP(B42,'kpi nhà thuốc'!A:A,'kpi nhà thuốc'!F:F,(AD42/DAY($C$1))/U42)</f>
        <v>0.659588</v>
      </c>
      <c r="K42" s="23" t="str">
        <f t="array" ref="K42">_xlfn.XLOOKUP(
    B42,
    'kpi nhà thuốc'!A:A,
    'kpi nhà thuốc'!G:G,
    IF(
        AND(
            OR(C42="DSXC",C42="DSCD"),
            G42&gt;=F42),IF(AND(I42&gt;=T42,E42&gt;=D42),AD42*1.5%,IF(AND(I42&gt;=T42,E42&lt;D42),AD42*1.3%,IF(AND(I42&gt;=S42,E42&gt;=D42),AD42*1.3%,IF(AND(I42&gt;=S42,E42&lt;D42),AD42*1.1%,IF(AND(I42&gt;=R42,E42&gt;=D42),AD42*1.2%,IF(AND(I42&gt;=R42,E42&lt;D42),AD42*1%,"")))))),""
    )
)</f>
        <v/>
      </c>
      <c r="L42" s="76">
        <f t="shared" si="6"/>
        <v>1</v>
      </c>
      <c r="M42" s="23">
        <f>IFERROR(SUMIF('Dự án T8'!$B:$B, $B42, 'Dự án T8'!$M:$M)*$L42, 0)</f>
        <v>1000000</v>
      </c>
      <c r="N42" s="77">
        <f t="shared" si="7"/>
        <v>1000000</v>
      </c>
      <c r="O42" s="23">
        <f t="shared" ref="O42:Q42" si="91">CEILING(R42,100000)</f>
        <v>2600000</v>
      </c>
      <c r="P42" s="23">
        <f t="shared" si="91"/>
        <v>3000000</v>
      </c>
      <c r="Q42" s="23">
        <f t="shared" si="91"/>
        <v>3300000</v>
      </c>
      <c r="R42" s="23">
        <f t="shared" si="9"/>
        <v>2580645.161</v>
      </c>
      <c r="S42" s="23">
        <f t="shared" si="10"/>
        <v>2903225.806</v>
      </c>
      <c r="T42" s="23">
        <f t="shared" si="11"/>
        <v>3225806.452</v>
      </c>
      <c r="U42" s="23">
        <f t="shared" si="12"/>
        <v>3225806.452</v>
      </c>
      <c r="V42" s="23">
        <v>1.0E8</v>
      </c>
      <c r="W42" s="54">
        <f>IFERROR(SUMIFS(data!$C:$C, data!$A:$A, $A42, data!$B:$B, $B42), 0)</f>
        <v>804</v>
      </c>
      <c r="X42" s="23">
        <f>IFERROR(SUMIF(data!$B:$B, $B42, data!$D:$D), 0)</f>
        <v>54303400</v>
      </c>
      <c r="Y42" s="23">
        <f t="shared" si="13"/>
        <v>67541.54229</v>
      </c>
      <c r="Z42" s="23">
        <f>IFERROR(SUMIFS(data!$E:$E, data!$A:$A, $A42, data!$B:$B, $B42), 0)</f>
        <v>121</v>
      </c>
      <c r="AA42" s="23">
        <f>IFERROR(SUMIF(data!$B:$B, $B42, data!$F:$F), 0)</f>
        <v>11655400</v>
      </c>
      <c r="AB42" s="23">
        <f t="shared" si="14"/>
        <v>96325.61983</v>
      </c>
      <c r="AC42" s="23">
        <f t="shared" ref="AC42:AD42" si="92">W42+Z42</f>
        <v>925</v>
      </c>
      <c r="AD42" s="23">
        <f t="shared" si="92"/>
        <v>65958800</v>
      </c>
      <c r="AE42" s="23">
        <f t="shared" si="16"/>
        <v>71306.81081</v>
      </c>
      <c r="AF42" s="71"/>
      <c r="AG42" s="71"/>
      <c r="AH42" s="71"/>
      <c r="AI42" s="71"/>
      <c r="AJ42" s="71"/>
      <c r="AK42" s="71"/>
      <c r="AL42" s="71"/>
    </row>
    <row r="43" ht="13.5" customHeight="1">
      <c r="A43" s="37" t="s">
        <v>99</v>
      </c>
      <c r="B43" s="66" t="s">
        <v>103</v>
      </c>
      <c r="C43" s="37" t="s">
        <v>96</v>
      </c>
      <c r="D43" s="23">
        <v>102000.0</v>
      </c>
      <c r="E43" s="23">
        <f t="shared" si="3"/>
        <v>89601.88679</v>
      </c>
      <c r="F43" s="23">
        <f t="array" ref="F43">IFERROR(
  ROUND(
    _xludf.LET(
      nt,$A43,
      nv,$B43,
      songay,DAY(EOMONTH($C$1,0)),
      doanhthungay,$I43,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3" s="23">
        <f>IFERROR(SUMIF('Dự án T8'!$B:$B, $B43, 'Dự án T8'!$D:$D), 0)</f>
        <v>761085.9677</v>
      </c>
      <c r="H43" s="23">
        <f t="shared" si="4"/>
        <v>3300000</v>
      </c>
      <c r="I43" s="23">
        <f t="shared" si="5"/>
        <v>1531903.226</v>
      </c>
      <c r="J43" s="72">
        <f t="array" ref="J43">_xlfn.XLOOKUP(B43,'kpi nhà thuốc'!A:A,'kpi nhà thuốc'!F:F,(AD43/DAY($C$1))/U43)</f>
        <v>0.689307875</v>
      </c>
      <c r="K43" s="23">
        <f t="array" ref="K43">_xlfn.XLOOKUP(
    B43,
    'kpi nhà thuốc'!A:A,
    'kpi nhà thuốc'!G:G,
    IF(
        AND(
            OR(C43="DSXC",C43="DSCD"),
            G43&gt;=F43),IF(AND(I43&gt;=T43,E43&gt;=D43),AD43*1.5%,IF(AND(I43&gt;=T43,E43&lt;D43),AD43*1.3%,IF(AND(I43&gt;=S43,E43&gt;=D43),AD43*1.3%,IF(AND(I43&gt;=S43,E43&lt;D43),AD43*1.1%,IF(AND(I43&gt;=R43,E43&gt;=D43),AD43*1.2%,IF(AND(I43&gt;=R43,E43&lt;D43),AD43*1%,"")))))),""
    )
)</f>
        <v>0</v>
      </c>
      <c r="L43" s="76">
        <f t="shared" si="6"/>
        <v>1</v>
      </c>
      <c r="M43" s="23">
        <f>IFERROR(SUMIF('Dự án T8'!$B:$B, $B43, 'Dự án T8'!$M:$M)*$L43, 0)</f>
        <v>0</v>
      </c>
      <c r="N43" s="77">
        <f t="shared" si="7"/>
        <v>0</v>
      </c>
      <c r="O43" s="23">
        <f t="shared" ref="O43:Q43" si="93">CEILING(R43,100000)</f>
        <v>2600000</v>
      </c>
      <c r="P43" s="23">
        <f t="shared" si="93"/>
        <v>3000000</v>
      </c>
      <c r="Q43" s="23">
        <f t="shared" si="93"/>
        <v>3300000</v>
      </c>
      <c r="R43" s="23">
        <f t="shared" si="9"/>
        <v>2580645.161</v>
      </c>
      <c r="S43" s="23">
        <f t="shared" si="10"/>
        <v>2903225.806</v>
      </c>
      <c r="T43" s="23">
        <f t="shared" si="11"/>
        <v>3225806.452</v>
      </c>
      <c r="U43" s="23">
        <f t="shared" si="12"/>
        <v>3225806.452</v>
      </c>
      <c r="V43" s="23">
        <v>1.0E8</v>
      </c>
      <c r="W43" s="54">
        <f>IFERROR(SUMIFS(data!$C:$C, data!$A:$A, $A43, data!$B:$B, $B43), 0)</f>
        <v>421</v>
      </c>
      <c r="X43" s="23">
        <f>IFERROR(SUMIF(data!$B:$B, $B43, data!$D:$D), 0)</f>
        <v>29090350</v>
      </c>
      <c r="Y43" s="23">
        <f t="shared" si="13"/>
        <v>69098.21853</v>
      </c>
      <c r="Z43" s="23">
        <f>IFERROR(SUMIFS(data!$E:$E, data!$A:$A, $A43, data!$B:$B, $B43), 0)</f>
        <v>109</v>
      </c>
      <c r="AA43" s="23">
        <f>IFERROR(SUMIF(data!$B:$B, $B43, data!$F:$F), 0)</f>
        <v>18398650</v>
      </c>
      <c r="AB43" s="23">
        <f t="shared" si="14"/>
        <v>168794.9541</v>
      </c>
      <c r="AC43" s="23">
        <f t="shared" ref="AC43:AD43" si="94">W43+Z43</f>
        <v>530</v>
      </c>
      <c r="AD43" s="23">
        <f t="shared" si="94"/>
        <v>47489000</v>
      </c>
      <c r="AE43" s="23">
        <f t="shared" si="16"/>
        <v>89601.88679</v>
      </c>
      <c r="AF43" s="71"/>
      <c r="AG43" s="71"/>
      <c r="AH43" s="71"/>
      <c r="AI43" s="71"/>
      <c r="AJ43" s="71"/>
      <c r="AK43" s="71"/>
      <c r="AL43" s="71"/>
    </row>
    <row r="44" ht="13.5" customHeight="1">
      <c r="A44" s="37" t="s">
        <v>99</v>
      </c>
      <c r="B44" s="66" t="s">
        <v>102</v>
      </c>
      <c r="C44" s="37" t="s">
        <v>130</v>
      </c>
      <c r="D44" s="23">
        <v>107000.0</v>
      </c>
      <c r="E44" s="23">
        <f t="shared" si="3"/>
        <v>73631.48615</v>
      </c>
      <c r="F44" s="23">
        <f t="array" ref="F44">IFERROR(
  ROUND(
    _xludf.LET(
      nt,$A44,
      nv,$B44,
      songay,DAY(EOMONTH($C$1,0)),
      doanhthungay,$I44,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4" s="23">
        <f>IFERROR(SUMIF('Dự án T8'!$B:$B, $B44, 'Dự án T8'!$D:$D), 0)</f>
        <v>1303415.935</v>
      </c>
      <c r="H44" s="23">
        <f t="shared" si="4"/>
        <v>3300000</v>
      </c>
      <c r="I44" s="23">
        <f t="shared" si="5"/>
        <v>2828874.194</v>
      </c>
      <c r="J44" s="72">
        <f t="array" ref="J44">_xlfn.XLOOKUP(B44,'kpi nhà thuốc'!A:A,'kpi nhà thuốc'!F:F,(AD44/DAY($C$1))/U44)</f>
        <v>0.876951</v>
      </c>
      <c r="K44" s="23">
        <f t="array" ref="K44">_xlfn.XLOOKUP(
    B44,
    'kpi nhà thuốc'!A:A,
    'kpi nhà thuốc'!G:G,
    IF(
        AND(
            OR(C44="DSXC",C44="DSCD"),
            G44&gt;=F44),IF(AND(I44&gt;=T44,E44&gt;=D44),AD44*1.5%,IF(AND(I44&gt;=T44,E44&lt;D44),AD44*1.3%,IF(AND(I44&gt;=S44,E44&gt;=D44),AD44*1.3%,IF(AND(I44&gt;=S44,E44&lt;D44),AD44*1.1%,IF(AND(I44&gt;=R44,E44&gt;=D44),AD44*1.2%,IF(AND(I44&gt;=R44,E44&lt;D44),AD44*1%,"")))))),""
    )
)</f>
        <v>876951</v>
      </c>
      <c r="L44" s="76">
        <f t="shared" si="6"/>
        <v>1</v>
      </c>
      <c r="M44" s="23">
        <f>IFERROR(SUMIF('Dự án T8'!$B:$B, $B44, 'Dự án T8'!$M:$M)*$L44, 0)</f>
        <v>1000000</v>
      </c>
      <c r="N44" s="77">
        <f t="shared" si="7"/>
        <v>1876951</v>
      </c>
      <c r="O44" s="23">
        <f t="shared" ref="O44:Q44" si="95">CEILING(R44,100000)</f>
        <v>2600000</v>
      </c>
      <c r="P44" s="23">
        <f t="shared" si="95"/>
        <v>3000000</v>
      </c>
      <c r="Q44" s="23">
        <f t="shared" si="95"/>
        <v>3300000</v>
      </c>
      <c r="R44" s="23">
        <f t="shared" si="9"/>
        <v>2580645.161</v>
      </c>
      <c r="S44" s="23">
        <f t="shared" si="10"/>
        <v>2903225.806</v>
      </c>
      <c r="T44" s="23">
        <f t="shared" si="11"/>
        <v>3225806.452</v>
      </c>
      <c r="U44" s="23">
        <f t="shared" si="12"/>
        <v>3225806.452</v>
      </c>
      <c r="V44" s="23">
        <v>1.0E8</v>
      </c>
      <c r="W44" s="54">
        <f>IFERROR(SUMIFS(data!$C:$C, data!$A:$A, $A44, data!$B:$B, $B44), 0)</f>
        <v>992</v>
      </c>
      <c r="X44" s="23">
        <f>IFERROR(SUMIF(data!$B:$B, $B44, data!$D:$D), 0)</f>
        <v>60758100</v>
      </c>
      <c r="Y44" s="23">
        <f t="shared" si="13"/>
        <v>61248.08468</v>
      </c>
      <c r="Z44" s="23">
        <f>IFERROR(SUMIFS(data!$E:$E, data!$A:$A, $A44, data!$B:$B, $B44), 0)</f>
        <v>199</v>
      </c>
      <c r="AA44" s="23">
        <f>IFERROR(SUMIF(data!$B:$B, $B44, data!$F:$F), 0)</f>
        <v>26937000</v>
      </c>
      <c r="AB44" s="23">
        <f t="shared" si="14"/>
        <v>135361.809</v>
      </c>
      <c r="AC44" s="23">
        <f t="shared" ref="AC44:AD44" si="96">W44+Z44</f>
        <v>1191</v>
      </c>
      <c r="AD44" s="23">
        <f t="shared" si="96"/>
        <v>87695100</v>
      </c>
      <c r="AE44" s="23">
        <f t="shared" si="16"/>
        <v>73631.48615</v>
      </c>
      <c r="AF44" s="71"/>
      <c r="AG44" s="71"/>
      <c r="AH44" s="71"/>
      <c r="AI44" s="71"/>
      <c r="AJ44" s="71"/>
      <c r="AK44" s="71"/>
      <c r="AL44" s="71"/>
    </row>
    <row r="45" ht="13.5" customHeight="1">
      <c r="A45" s="37" t="s">
        <v>99</v>
      </c>
      <c r="B45" s="66" t="s">
        <v>101</v>
      </c>
      <c r="C45" s="37" t="s">
        <v>127</v>
      </c>
      <c r="D45" s="23">
        <v>105000.0</v>
      </c>
      <c r="E45" s="23">
        <f t="shared" si="3"/>
        <v>81372.65193</v>
      </c>
      <c r="F45" s="23">
        <f t="array" ref="F45">IFERROR(
  ROUND(
    _xludf.LET(
      nt,$A45,
      nv,$B45,
      songay,DAY(EOMONTH($C$1,0)),
      doanhthungay,$I45,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5" s="23">
        <f>IFERROR(SUMIF('Dự án T8'!$B:$B, $B45, 'Dự án T8'!$D:$D), 0)</f>
        <v>1025005.645</v>
      </c>
      <c r="H45" s="23">
        <f t="shared" si="4"/>
        <v>3300000</v>
      </c>
      <c r="I45" s="23">
        <f t="shared" si="5"/>
        <v>2375556.452</v>
      </c>
      <c r="J45" s="72">
        <f t="array" ref="J45">_xlfn.XLOOKUP(B45,'kpi nhà thuốc'!A:A,'kpi nhà thuốc'!F:F,(AD45/DAY($C$1))/U45)</f>
        <v>0.7364225</v>
      </c>
      <c r="K45" s="23" t="str">
        <f t="array" ref="K45">_xlfn.XLOOKUP(
    B45,
    'kpi nhà thuốc'!A:A,
    'kpi nhà thuốc'!G:G,
    IF(
        AND(
            OR(C45="DSXC",C45="DSCD"),
            G45&gt;=F45),IF(AND(I45&gt;=T45,E45&gt;=D45),AD45*1.5%,IF(AND(I45&gt;=T45,E45&lt;D45),AD45*1.3%,IF(AND(I45&gt;=S45,E45&gt;=D45),AD45*1.3%,IF(AND(I45&gt;=S45,E45&lt;D45),AD45*1.1%,IF(AND(I45&gt;=R45,E45&gt;=D45),AD45*1.2%,IF(AND(I45&gt;=R45,E45&lt;D45),AD45*1%,"")))))),""
    )
)</f>
        <v/>
      </c>
      <c r="L45" s="76">
        <f t="shared" si="6"/>
        <v>1</v>
      </c>
      <c r="M45" s="23">
        <f>IFERROR(SUMIF('Dự án T8'!$B:$B, $B45, 'Dự án T8'!$M:$M)*$L45, 0)</f>
        <v>500000</v>
      </c>
      <c r="N45" s="77">
        <f t="shared" si="7"/>
        <v>500000</v>
      </c>
      <c r="O45" s="23">
        <f t="shared" ref="O45:Q45" si="97">CEILING(R45,100000)</f>
        <v>2600000</v>
      </c>
      <c r="P45" s="23">
        <f t="shared" si="97"/>
        <v>3000000</v>
      </c>
      <c r="Q45" s="23">
        <f t="shared" si="97"/>
        <v>3300000</v>
      </c>
      <c r="R45" s="23">
        <f t="shared" si="9"/>
        <v>2580645.161</v>
      </c>
      <c r="S45" s="23">
        <f t="shared" si="10"/>
        <v>2903225.806</v>
      </c>
      <c r="T45" s="23">
        <f t="shared" si="11"/>
        <v>3225806.452</v>
      </c>
      <c r="U45" s="23">
        <f t="shared" si="12"/>
        <v>3225806.452</v>
      </c>
      <c r="V45" s="23">
        <v>1.0E8</v>
      </c>
      <c r="W45" s="54">
        <f>IFERROR(SUMIFS(data!$C:$C, data!$A:$A, $A45, data!$B:$B, $B45), 0)</f>
        <v>766</v>
      </c>
      <c r="X45" s="23">
        <f>IFERROR(SUMIF(data!$B:$B, $B45, data!$D:$D), 0)</f>
        <v>53201850</v>
      </c>
      <c r="Y45" s="23">
        <f t="shared" si="13"/>
        <v>69454.11227</v>
      </c>
      <c r="Z45" s="23">
        <f>IFERROR(SUMIFS(data!$E:$E, data!$A:$A, $A45, data!$B:$B, $B45), 0)</f>
        <v>139</v>
      </c>
      <c r="AA45" s="23">
        <f>IFERROR(SUMIF(data!$B:$B, $B45, data!$F:$F), 0)</f>
        <v>20440400</v>
      </c>
      <c r="AB45" s="23">
        <f t="shared" si="14"/>
        <v>147053.2374</v>
      </c>
      <c r="AC45" s="23">
        <f t="shared" ref="AC45:AD45" si="98">W45+Z45</f>
        <v>905</v>
      </c>
      <c r="AD45" s="23">
        <f t="shared" si="98"/>
        <v>73642250</v>
      </c>
      <c r="AE45" s="23">
        <f t="shared" si="16"/>
        <v>81372.65193</v>
      </c>
      <c r="AF45" s="71"/>
      <c r="AG45" s="71"/>
      <c r="AH45" s="71"/>
      <c r="AI45" s="71"/>
      <c r="AJ45" s="71"/>
      <c r="AK45" s="71"/>
      <c r="AL45" s="71"/>
    </row>
    <row r="46" ht="13.5" customHeight="1">
      <c r="A46" s="37" t="s">
        <v>104</v>
      </c>
      <c r="B46" s="66" t="s">
        <v>95</v>
      </c>
      <c r="C46" s="37" t="s">
        <v>96</v>
      </c>
      <c r="D46" s="23">
        <v>120000.0</v>
      </c>
      <c r="E46" s="23">
        <f t="shared" si="3"/>
        <v>232315.3302</v>
      </c>
      <c r="F46" s="23">
        <f t="array" ref="F46">IFERROR(
  ROUND(
    _xludf.LET(
      nt,$A46,
      nv,$B46,
      songay,DAY(EOMONTH($C$1,0)),
      doanhthungay,$I46,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6" s="23">
        <f>IFERROR(SUMIF('Dự án T8'!$B:$B, $B46, 'Dự án T8'!$D:$D), 0)</f>
        <v>627492.7742</v>
      </c>
      <c r="H46" s="23">
        <f t="shared" si="4"/>
        <v>4600000</v>
      </c>
      <c r="I46" s="23">
        <f t="shared" si="5"/>
        <v>3177474.194</v>
      </c>
      <c r="J46" s="72">
        <f t="array" ref="J46">_xlfn.XLOOKUP(B46,'kpi nhà thuốc'!A:A,'kpi nhà thuốc'!F:F,(AD46/DAY($C$1))/U46)</f>
        <v>0.8073959524</v>
      </c>
      <c r="K46" s="23">
        <f t="array" ref="K46">_xlfn.XLOOKUP(
    B46,
    'kpi nhà thuốc'!A:A,
    'kpi nhà thuốc'!G:G,
    IF(
        AND(
            OR(C46="DSXC",C46="DSCD"),
            G46&gt;=F46),IF(AND(I46&gt;=T46,E46&gt;=D46),AD46*1.5%,IF(AND(I46&gt;=T46,E46&lt;D46),AD46*1.3%,IF(AND(I46&gt;=S46,E46&gt;=D46),AD46*1.3%,IF(AND(I46&gt;=S46,E46&lt;D46),AD46*1.1%,IF(AND(I46&gt;=R46,E46&gt;=D46),AD46*1.2%,IF(AND(I46&gt;=R46,E46&lt;D46),AD46*1%,"")))))),""
    )
)</f>
        <v>1186872.05</v>
      </c>
      <c r="L46" s="76">
        <f t="shared" si="6"/>
        <v>1</v>
      </c>
      <c r="M46" s="23">
        <f>IFERROR(SUMIF('Dự án T8'!$B:$B, $B46, 'Dự án T8'!$M:$M)*$L46, 0)</f>
        <v>0</v>
      </c>
      <c r="N46" s="77">
        <f t="shared" si="7"/>
        <v>1186872.05</v>
      </c>
      <c r="O46" s="23">
        <f t="shared" ref="O46:Q46" si="99">CEILING(R46,100000)</f>
        <v>3700000</v>
      </c>
      <c r="P46" s="23">
        <f t="shared" si="99"/>
        <v>4100000</v>
      </c>
      <c r="Q46" s="23">
        <f t="shared" si="99"/>
        <v>4600000</v>
      </c>
      <c r="R46" s="23">
        <f t="shared" si="9"/>
        <v>3612903.226</v>
      </c>
      <c r="S46" s="23">
        <f t="shared" si="10"/>
        <v>4064516.129</v>
      </c>
      <c r="T46" s="23">
        <f t="shared" si="11"/>
        <v>4516129.032</v>
      </c>
      <c r="U46" s="23">
        <f t="shared" si="12"/>
        <v>4516129.032</v>
      </c>
      <c r="V46" s="23">
        <v>1.4E8</v>
      </c>
      <c r="W46" s="54">
        <f>IFERROR(SUMIFS(data!$C:$C, data!$A:$A, $A46, data!$B:$B, $B46), 0)</f>
        <v>247</v>
      </c>
      <c r="X46" s="23">
        <f>IFERROR(SUMIF(data!$B:$B, $B46, data!$D:$D), 0)</f>
        <v>26261500</v>
      </c>
      <c r="Y46" s="23">
        <f t="shared" si="13"/>
        <v>106321.8623</v>
      </c>
      <c r="Z46" s="23">
        <f>IFERROR(SUMIFS(data!$E:$E, data!$A:$A, $A46, data!$B:$B, $B46), 0)</f>
        <v>177</v>
      </c>
      <c r="AA46" s="23">
        <f>IFERROR(SUMIF(data!$B:$B, $B46, data!$F:$F), 0)</f>
        <v>72240200</v>
      </c>
      <c r="AB46" s="23">
        <f t="shared" si="14"/>
        <v>408136.7232</v>
      </c>
      <c r="AC46" s="23">
        <f t="shared" ref="AC46:AD46" si="100">W46+Z46</f>
        <v>424</v>
      </c>
      <c r="AD46" s="23">
        <f t="shared" si="100"/>
        <v>98501700</v>
      </c>
      <c r="AE46" s="23">
        <f t="shared" si="16"/>
        <v>232315.3302</v>
      </c>
      <c r="AF46" s="71"/>
      <c r="AG46" s="71"/>
      <c r="AH46" s="71"/>
      <c r="AI46" s="71"/>
      <c r="AJ46" s="71"/>
      <c r="AK46" s="71"/>
      <c r="AL46" s="71"/>
    </row>
    <row r="47" ht="13.5" customHeight="1">
      <c r="A47" s="37" t="s">
        <v>104</v>
      </c>
      <c r="B47" s="66" t="s">
        <v>105</v>
      </c>
      <c r="C47" s="37" t="s">
        <v>130</v>
      </c>
      <c r="D47" s="23">
        <v>100000.0</v>
      </c>
      <c r="E47" s="23">
        <f t="shared" si="3"/>
        <v>90840.68627</v>
      </c>
      <c r="F47" s="23">
        <f t="array" ref="F47">IFERROR(
  ROUND(
    _xludf.LET(
      nt,$A47,
      nv,$B47,
      songay,DAY(EOMONTH($C$1,0)),
      doanhthungay,$I47,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7" s="23">
        <f>IFERROR(SUMIF('Dự án T8'!$B:$B, $B47, 'Dự án T8'!$D:$D), 0)</f>
        <v>956718.871</v>
      </c>
      <c r="H47" s="23">
        <f t="shared" si="4"/>
        <v>3600000</v>
      </c>
      <c r="I47" s="23">
        <f t="shared" si="5"/>
        <v>2391161.29</v>
      </c>
      <c r="J47" s="72">
        <f t="array" ref="J47">_xlfn.XLOOKUP(B47,'kpi nhà thuốc'!A:A,'kpi nhà thuốc'!F:F,(AD47/DAY($C$1))/U47)</f>
        <v>0.6738727273</v>
      </c>
      <c r="K47" s="23" t="str">
        <f t="array" ref="K47">_xlfn.XLOOKUP(
    B47,
    'kpi nhà thuốc'!A:A,
    'kpi nhà thuốc'!G:G,
    IF(
        AND(
            OR(C47="DSXC",C47="DSCD"),
            G47&gt;=F47),IF(AND(I47&gt;=T47,E47&gt;=D47),AD47*1.5%,IF(AND(I47&gt;=T47,E47&lt;D47),AD47*1.3%,IF(AND(I47&gt;=S47,E47&gt;=D47),AD47*1.3%,IF(AND(I47&gt;=S47,E47&lt;D47),AD47*1.1%,IF(AND(I47&gt;=R47,E47&gt;=D47),AD47*1.2%,IF(AND(I47&gt;=R47,E47&lt;D47),AD47*1%,"")))))),""
    )
)</f>
        <v/>
      </c>
      <c r="L47" s="76">
        <f t="shared" si="6"/>
        <v>1</v>
      </c>
      <c r="M47" s="23">
        <f>IFERROR(SUMIF('Dự án T8'!$B:$B, $B47, 'Dự án T8'!$M:$M)*$L47, 0)</f>
        <v>500000</v>
      </c>
      <c r="N47" s="77">
        <f t="shared" si="7"/>
        <v>500000</v>
      </c>
      <c r="O47" s="23">
        <f t="shared" ref="O47:Q47" si="101">CEILING(R47,100000)</f>
        <v>2900000</v>
      </c>
      <c r="P47" s="23">
        <f t="shared" si="101"/>
        <v>3200000</v>
      </c>
      <c r="Q47" s="23">
        <f t="shared" si="101"/>
        <v>3600000</v>
      </c>
      <c r="R47" s="23">
        <f t="shared" si="9"/>
        <v>2838709.677</v>
      </c>
      <c r="S47" s="23">
        <f t="shared" si="10"/>
        <v>3193548.387</v>
      </c>
      <c r="T47" s="23">
        <f t="shared" si="11"/>
        <v>3548387.097</v>
      </c>
      <c r="U47" s="23">
        <f t="shared" si="12"/>
        <v>3548387.097</v>
      </c>
      <c r="V47" s="23">
        <v>1.1E8</v>
      </c>
      <c r="W47" s="54">
        <f>IFERROR(SUMIFS(data!$C:$C, data!$A:$A, $A47, data!$B:$B, $B47), 0)</f>
        <v>630</v>
      </c>
      <c r="X47" s="23">
        <f>IFERROR(SUMIF(data!$B:$B, $B47, data!$D:$D), 0)</f>
        <v>50776100</v>
      </c>
      <c r="Y47" s="23">
        <f t="shared" si="13"/>
        <v>80596.98413</v>
      </c>
      <c r="Z47" s="23">
        <f>IFERROR(SUMIFS(data!$E:$E, data!$A:$A, $A47, data!$B:$B, $B47), 0)</f>
        <v>186</v>
      </c>
      <c r="AA47" s="23">
        <f>IFERROR(SUMIF(data!$B:$B, $B47, data!$F:$F), 0)</f>
        <v>23349900</v>
      </c>
      <c r="AB47" s="23">
        <f t="shared" si="14"/>
        <v>125537.0968</v>
      </c>
      <c r="AC47" s="23">
        <f t="shared" ref="AC47:AD47" si="102">W47+Z47</f>
        <v>816</v>
      </c>
      <c r="AD47" s="23">
        <f t="shared" si="102"/>
        <v>74126000</v>
      </c>
      <c r="AE47" s="23">
        <f t="shared" si="16"/>
        <v>90840.68627</v>
      </c>
      <c r="AF47" s="71"/>
      <c r="AG47" s="71"/>
      <c r="AH47" s="71"/>
      <c r="AI47" s="71"/>
      <c r="AJ47" s="71"/>
      <c r="AK47" s="71"/>
      <c r="AL47" s="71"/>
    </row>
    <row r="48" ht="13.5" customHeight="1">
      <c r="A48" s="37" t="s">
        <v>104</v>
      </c>
      <c r="B48" s="122" t="s">
        <v>107</v>
      </c>
      <c r="C48" s="37" t="s">
        <v>199</v>
      </c>
      <c r="D48" s="23">
        <v>100000.0</v>
      </c>
      <c r="E48" s="23">
        <f t="shared" si="3"/>
        <v>86535.43441</v>
      </c>
      <c r="F48" s="23">
        <f t="array" ref="F48">IFERROR(
  ROUND(
    _xludf.LET(
      nt,$A48,
      nv,$B48,
      songay,DAY(EOMONTH($C$1,0)),
      doanhthungay,$I48,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8" s="23">
        <f>IFERROR(SUMIF('Dự án T8'!$B:$B, $B48, 'Dự án T8'!$D:$D), 0)</f>
        <v>669802.0968</v>
      </c>
      <c r="H48" s="23">
        <f t="shared" si="4"/>
        <v>1300000</v>
      </c>
      <c r="I48" s="23">
        <f t="shared" si="5"/>
        <v>1638590.323</v>
      </c>
      <c r="J48" s="72">
        <f t="array" ref="J48">_xlfn.XLOOKUP(B48,'kpi nhà thuốc'!A:A,'kpi nhà thuốc'!F:F,(AD48/DAY($C$1))/U48)</f>
        <v>1.2699075</v>
      </c>
      <c r="K48" s="23" t="str">
        <f t="array" ref="K48">_xlfn.XLOOKUP(
    B48,
    'kpi nhà thuốc'!A:A,
    'kpi nhà thuốc'!G:G,
    IF(
        AND(
            OR(C48="DSXC",C48="DSCD"),
            G48&gt;=F48),IF(AND(I48&gt;=T48,E48&gt;=D48),AD48*1.5%,IF(AND(I48&gt;=T48,E48&lt;D48),AD48*1.3%,IF(AND(I48&gt;=S48,E48&gt;=D48),AD48*1.3%,IF(AND(I48&gt;=S48,E48&lt;D48),AD48*1.1%,IF(AND(I48&gt;=R48,E48&gt;=D48),AD48*1.2%,IF(AND(I48&gt;=R48,E48&lt;D48),AD48*1%,"")))))),""
    )
)</f>
        <v/>
      </c>
      <c r="L48" s="76">
        <f t="shared" si="6"/>
        <v>1</v>
      </c>
      <c r="M48" s="23">
        <f>IFERROR(SUMIF('Dự án T8'!$B:$B, $B48, 'Dự án T8'!$M:$M)*$L48, 0)</f>
        <v>0</v>
      </c>
      <c r="N48" s="77">
        <f t="shared" si="7"/>
        <v>0</v>
      </c>
      <c r="O48" s="23">
        <f t="shared" ref="O48:Q48" si="103">CEILING(R48,100000)</f>
        <v>1100000</v>
      </c>
      <c r="P48" s="23">
        <f t="shared" si="103"/>
        <v>1200000</v>
      </c>
      <c r="Q48" s="23">
        <f t="shared" si="103"/>
        <v>1300000</v>
      </c>
      <c r="R48" s="23">
        <f t="shared" si="9"/>
        <v>1032258.065</v>
      </c>
      <c r="S48" s="23">
        <f t="shared" si="10"/>
        <v>1161290.323</v>
      </c>
      <c r="T48" s="23">
        <f t="shared" si="11"/>
        <v>1290322.581</v>
      </c>
      <c r="U48" s="23">
        <f t="shared" si="12"/>
        <v>1290322.581</v>
      </c>
      <c r="V48" s="23">
        <v>4.0E7</v>
      </c>
      <c r="W48" s="54">
        <f>IFERROR(SUMIFS(data!$C:$C, data!$A:$A, $A48, data!$B:$B, $B48), 0)</f>
        <v>469</v>
      </c>
      <c r="X48" s="23">
        <f>IFERROR(SUMIF(data!$B:$B, $B48, data!$D:$D), 0)</f>
        <v>33860300</v>
      </c>
      <c r="Y48" s="23">
        <f t="shared" si="13"/>
        <v>72196.80171</v>
      </c>
      <c r="Z48" s="23">
        <f>IFERROR(SUMIFS(data!$E:$E, data!$A:$A, $A48, data!$B:$B, $B48), 0)</f>
        <v>118</v>
      </c>
      <c r="AA48" s="23">
        <f>IFERROR(SUMIF(data!$B:$B, $B48, data!$F:$F), 0)</f>
        <v>16936000</v>
      </c>
      <c r="AB48" s="23">
        <f t="shared" si="14"/>
        <v>143525.4237</v>
      </c>
      <c r="AC48" s="23">
        <f t="shared" ref="AC48:AD48" si="104">W48+Z48</f>
        <v>587</v>
      </c>
      <c r="AD48" s="23">
        <f t="shared" si="104"/>
        <v>50796300</v>
      </c>
      <c r="AE48" s="23">
        <f t="shared" si="16"/>
        <v>86535.43441</v>
      </c>
      <c r="AF48" s="71"/>
      <c r="AG48" s="71"/>
      <c r="AH48" s="71"/>
      <c r="AI48" s="71"/>
      <c r="AJ48" s="71"/>
      <c r="AK48" s="71"/>
      <c r="AL48" s="71"/>
    </row>
    <row r="49" ht="13.5" customHeight="1">
      <c r="A49" s="37" t="s">
        <v>104</v>
      </c>
      <c r="B49" s="66" t="s">
        <v>106</v>
      </c>
      <c r="C49" s="37" t="s">
        <v>197</v>
      </c>
      <c r="D49" s="23">
        <v>106000.0</v>
      </c>
      <c r="E49" s="23">
        <f t="shared" si="3"/>
        <v>77887.93103</v>
      </c>
      <c r="F49" s="23">
        <f t="array" ref="F49">IFERROR(
  ROUND(
    _xludf.LET(
      nt,$A49,
      nv,$B49,
      songay,DAY(EOMONTH($C$1,0)),
      doanhthungay,$I49,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9" s="23">
        <f>IFERROR(SUMIF('Dự án T8'!$B:$B, $B49, 'Dự án T8'!$D:$D), 0)</f>
        <v>59435.48387</v>
      </c>
      <c r="H49" s="23">
        <f t="shared" si="4"/>
        <v>1800000</v>
      </c>
      <c r="I49" s="23">
        <f t="shared" si="5"/>
        <v>145725.8065</v>
      </c>
      <c r="J49" s="72">
        <f t="array" ref="J49">_xlfn.XLOOKUP(B49,'kpi nhà thuốc'!A:A,'kpi nhà thuốc'!F:F,(AD49/DAY($C$1))/U49)</f>
        <v>0.08213636364</v>
      </c>
      <c r="K49" s="23" t="str">
        <f t="array" ref="K49">_xlfn.XLOOKUP(
    B49,
    'kpi nhà thuốc'!A:A,
    'kpi nhà thuốc'!G:G,
    IF(
        AND(
            OR(C49="DSXC",C49="DSCD"),
            G49&gt;=F49),IF(AND(I49&gt;=T49,E49&gt;=D49),AD49*1.5%,IF(AND(I49&gt;=T49,E49&lt;D49),AD49*1.3%,IF(AND(I49&gt;=S49,E49&gt;=D49),AD49*1.3%,IF(AND(I49&gt;=S49,E49&lt;D49),AD49*1.1%,IF(AND(I49&gt;=R49,E49&gt;=D49),AD49*1.2%,IF(AND(I49&gt;=R49,E49&lt;D49),AD49*1%,"")))))),""
    )
)</f>
        <v/>
      </c>
      <c r="L49" s="76">
        <f t="shared" si="6"/>
        <v>0.8</v>
      </c>
      <c r="M49" s="23">
        <f>IFERROR(SUMIF('Dự án T8'!$B:$B, $B49, 'Dự án T8'!$M:$M)*$L49, 0)</f>
        <v>0</v>
      </c>
      <c r="N49" s="77">
        <f t="shared" si="7"/>
        <v>0</v>
      </c>
      <c r="O49" s="23">
        <f t="shared" ref="O49:Q49" si="105">CEILING(R49,100000)</f>
        <v>1500000</v>
      </c>
      <c r="P49" s="23">
        <f t="shared" si="105"/>
        <v>1600000</v>
      </c>
      <c r="Q49" s="23">
        <f t="shared" si="105"/>
        <v>1800000</v>
      </c>
      <c r="R49" s="23">
        <f t="shared" si="9"/>
        <v>1419354.839</v>
      </c>
      <c r="S49" s="23">
        <f t="shared" si="10"/>
        <v>1596774.194</v>
      </c>
      <c r="T49" s="23">
        <f t="shared" si="11"/>
        <v>1774193.548</v>
      </c>
      <c r="U49" s="23">
        <f t="shared" si="12"/>
        <v>1774193.548</v>
      </c>
      <c r="V49" s="23">
        <v>5.5E7</v>
      </c>
      <c r="W49" s="54">
        <f>IFERROR(SUMIFS(data!$C:$C, data!$A:$A, $A49, data!$B:$B, $B49), 0)</f>
        <v>45</v>
      </c>
      <c r="X49" s="23">
        <f>IFERROR(SUMIF(data!$B:$B, $B49, data!$D:$D), 0)</f>
        <v>2682500</v>
      </c>
      <c r="Y49" s="23">
        <f t="shared" si="13"/>
        <v>59611.11111</v>
      </c>
      <c r="Z49" s="23">
        <f>IFERROR(SUMIFS(data!$E:$E, data!$A:$A, $A49, data!$B:$B, $B49), 0)</f>
        <v>13</v>
      </c>
      <c r="AA49" s="23">
        <f>IFERROR(SUMIF(data!$B:$B, $B49, data!$F:$F), 0)</f>
        <v>1835000</v>
      </c>
      <c r="AB49" s="23">
        <f t="shared" si="14"/>
        <v>141153.8462</v>
      </c>
      <c r="AC49" s="23">
        <f t="shared" ref="AC49:AD49" si="106">W49+Z49</f>
        <v>58</v>
      </c>
      <c r="AD49" s="23">
        <f t="shared" si="106"/>
        <v>4517500</v>
      </c>
      <c r="AE49" s="23">
        <f t="shared" si="16"/>
        <v>77887.93103</v>
      </c>
      <c r="AF49" s="71"/>
      <c r="AG49" s="71"/>
      <c r="AH49" s="71"/>
      <c r="AI49" s="71"/>
      <c r="AJ49" s="71"/>
      <c r="AK49" s="71"/>
      <c r="AL49" s="71"/>
    </row>
    <row r="50" ht="13.5" customHeight="1">
      <c r="A50" s="37" t="s">
        <v>104</v>
      </c>
      <c r="B50" s="66" t="s">
        <v>108</v>
      </c>
      <c r="C50" s="37" t="s">
        <v>127</v>
      </c>
      <c r="D50" s="123"/>
      <c r="E50" s="23">
        <f t="shared" si="3"/>
        <v>175467.7049</v>
      </c>
      <c r="F50" s="23">
        <f t="array" ref="F50">IFERROR(
  ROUND(
    _xludf.LET(
      nt,$A50,
      nv,$B50,
      songay,DAY(EOMONTH($C$1,0)),
      doanhthungay,$I50,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0" s="23">
        <f>IFERROR(SUMIF('Dự án T8'!$B:$B, $B50, 'Dự án T8'!$D:$D), 0)</f>
        <v>714985.2903</v>
      </c>
      <c r="H50" s="23">
        <f t="shared" si="4"/>
        <v>4200000</v>
      </c>
      <c r="I50" s="23">
        <f t="shared" si="5"/>
        <v>3452751.613</v>
      </c>
      <c r="J50" s="72">
        <f t="array" ref="J50">_xlfn.XLOOKUP(B50,'kpi nhà thuốc'!A:A,'kpi nhà thuốc'!F:F,(AD50/DAY($C$1))/U50)</f>
        <v>0.8233484615</v>
      </c>
      <c r="K50" s="23">
        <f t="array" ref="K50">_xlfn.XLOOKUP(
    B50,
    'kpi nhà thuốc'!A:A,
    'kpi nhà thuốc'!G:G,
    IF(
        AND(
            OR(C50="DSXC",C50="DSCD"),
            G50&gt;=F50),IF(AND(I50&gt;=T50,E50&gt;=D50),AD50*1.5%,IF(AND(I50&gt;=T50,E50&lt;D50),AD50*1.3%,IF(AND(I50&gt;=S50,E50&gt;=D50),AD50*1.3%,IF(AND(I50&gt;=S50,E50&lt;D50),AD50*1.1%,IF(AND(I50&gt;=R50,E50&gt;=D50),AD50*1.2%,IF(AND(I50&gt;=R50,E50&lt;D50),AD50*1%,"")))))),""
    )
)</f>
        <v>1284423.6</v>
      </c>
      <c r="L50" s="76">
        <f t="shared" si="6"/>
        <v>1</v>
      </c>
      <c r="M50" s="23">
        <f>IFERROR(SUMIF('Dự án T8'!$B:$B, $B50, 'Dự án T8'!$M:$M)*$L50, 0)</f>
        <v>0</v>
      </c>
      <c r="N50" s="77">
        <f t="shared" si="7"/>
        <v>1284423.6</v>
      </c>
      <c r="O50" s="23">
        <f t="shared" ref="O50:Q50" si="107">CEILING(R50,100000)</f>
        <v>3400000</v>
      </c>
      <c r="P50" s="23">
        <f t="shared" si="107"/>
        <v>3800000</v>
      </c>
      <c r="Q50" s="23">
        <f t="shared" si="107"/>
        <v>4200000</v>
      </c>
      <c r="R50" s="23">
        <f t="shared" si="9"/>
        <v>3354838.71</v>
      </c>
      <c r="S50" s="23">
        <f t="shared" si="10"/>
        <v>3774193.548</v>
      </c>
      <c r="T50" s="23">
        <f t="shared" si="11"/>
        <v>4193548.387</v>
      </c>
      <c r="U50" s="23">
        <f t="shared" si="12"/>
        <v>4193548.387</v>
      </c>
      <c r="V50" s="123">
        <v>1.3E8</v>
      </c>
      <c r="W50" s="54">
        <f>IFERROR(SUMIFS(data!$C:$C, data!$A:$A, $A50, data!$B:$B, $B50), 0)</f>
        <v>373</v>
      </c>
      <c r="X50" s="23">
        <f>IFERROR(SUMIF(data!$B:$B, $B50, data!$D:$D), 0)</f>
        <v>31573300</v>
      </c>
      <c r="Y50" s="23">
        <f t="shared" si="13"/>
        <v>84646.91689</v>
      </c>
      <c r="Z50" s="23">
        <f>IFERROR(SUMIFS(data!$E:$E, data!$A:$A, $A50, data!$B:$B, $B50), 0)</f>
        <v>237</v>
      </c>
      <c r="AA50" s="23">
        <f>IFERROR(SUMIF(data!$B:$B, $B50, data!$F:$F), 0)</f>
        <v>75462000</v>
      </c>
      <c r="AB50" s="23">
        <f t="shared" si="14"/>
        <v>318405.0633</v>
      </c>
      <c r="AC50" s="23">
        <f t="shared" ref="AC50:AD50" si="108">W50+Z50</f>
        <v>610</v>
      </c>
      <c r="AD50" s="23">
        <f t="shared" si="108"/>
        <v>107035300</v>
      </c>
      <c r="AE50" s="23">
        <f t="shared" si="16"/>
        <v>175467.7049</v>
      </c>
      <c r="AF50" s="124"/>
      <c r="AG50" s="124"/>
      <c r="AH50" s="124"/>
      <c r="AI50" s="124"/>
      <c r="AJ50" s="124"/>
      <c r="AK50" s="124"/>
      <c r="AL50" s="124"/>
    </row>
    <row r="51" ht="13.5" customHeight="1">
      <c r="A51" s="37" t="s">
        <v>28</v>
      </c>
      <c r="B51" s="109" t="s">
        <v>30</v>
      </c>
      <c r="C51" s="37" t="s">
        <v>96</v>
      </c>
      <c r="D51" s="23"/>
      <c r="E51" s="23">
        <f t="shared" si="3"/>
        <v>131390.9934</v>
      </c>
      <c r="F51" s="23">
        <f t="array" ref="F51">IFERROR(
  ROUND(
    _xludf.LET(
      nt,$A51,
      nv,$B51,
      songay,DAY(EOMONTH($C$1,0)),
      doanhthungay,$I51,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1" s="23">
        <f>IFERROR(SUMIF('Dự án T8'!$B:$B, $B51, 'Dự án T8'!$D:$D), 0)</f>
        <v>748722.6129</v>
      </c>
      <c r="H51" s="23">
        <f t="shared" si="4"/>
        <v>2800000</v>
      </c>
      <c r="I51" s="23">
        <f t="shared" si="5"/>
        <v>1920003.871</v>
      </c>
      <c r="J51" s="72">
        <f t="array" ref="J51">_xlfn.XLOOKUP(B51,'kpi nhà thuốc'!A:A,'kpi nhà thuốc'!F:F,(AD51/DAY($C$1))/U51)</f>
        <v>0.5732373886</v>
      </c>
      <c r="K51" s="23">
        <f t="array" ref="K51">_xlfn.XLOOKUP(
    B51,
    'kpi nhà thuốc'!A:A,
    'kpi nhà thuốc'!G:G,
    IF(
        AND(
            OR(C51="DSXC",C51="DSCD"),
            G51&gt;=F51),IF(AND(I51&gt;=T51,E51&gt;=D51),AD51*1.5%,IF(AND(I51&gt;=T51,E51&lt;D51),AD51*1.3%,IF(AND(I51&gt;=S51,E51&gt;=D51),AD51*1.3%,IF(AND(I51&gt;=S51,E51&lt;D51),AD51*1.1%,IF(AND(I51&gt;=R51,E51&gt;=D51),AD51*1.2%,IF(AND(I51&gt;=R51,E51&lt;D51),AD51*1%,"")))))),""
    )
)</f>
        <v>0</v>
      </c>
      <c r="L51" s="76">
        <f t="shared" si="6"/>
        <v>0.8</v>
      </c>
      <c r="M51" s="23">
        <f>IFERROR(SUMIF('Dự án T8'!$B:$B, $B51, 'Dự án T8'!$M:$M)*$L51, 0)</f>
        <v>0</v>
      </c>
      <c r="N51" s="77">
        <f t="shared" si="7"/>
        <v>0</v>
      </c>
      <c r="O51" s="23">
        <f t="shared" ref="O51:Q51" si="109">CEILING(R51,100000)</f>
        <v>2300000</v>
      </c>
      <c r="P51" s="23">
        <f t="shared" si="109"/>
        <v>2500000</v>
      </c>
      <c r="Q51" s="23">
        <f t="shared" si="109"/>
        <v>2800000</v>
      </c>
      <c r="R51" s="23">
        <f t="shared" si="9"/>
        <v>2206451.613</v>
      </c>
      <c r="S51" s="23">
        <f t="shared" si="10"/>
        <v>2482258.065</v>
      </c>
      <c r="T51" s="23">
        <f t="shared" si="11"/>
        <v>2758064.516</v>
      </c>
      <c r="U51" s="23">
        <f t="shared" si="12"/>
        <v>2758064.516</v>
      </c>
      <c r="V51" s="23">
        <v>8.55E7</v>
      </c>
      <c r="W51" s="54">
        <f>IFERROR(SUMIFS(data!$C:$C, data!$A:$A, $A51, data!$B:$B, $B51), 0)</f>
        <v>334</v>
      </c>
      <c r="X51" s="23">
        <f>IFERROR(SUMIF(data!$B:$B, $B51, data!$D:$D), 0)</f>
        <v>32785900</v>
      </c>
      <c r="Y51" s="23">
        <f t="shared" si="13"/>
        <v>98161.37725</v>
      </c>
      <c r="Z51" s="23">
        <f>IFERROR(SUMIFS(data!$E:$E, data!$A:$A, $A51, data!$B:$B, $B51), 0)</f>
        <v>119</v>
      </c>
      <c r="AA51" s="23">
        <f>IFERROR(SUMIF(data!$B:$B, $B51, data!$F:$F), 0)</f>
        <v>26734220</v>
      </c>
      <c r="AB51" s="23">
        <f t="shared" si="14"/>
        <v>224657.3109</v>
      </c>
      <c r="AC51" s="23">
        <f t="shared" ref="AC51:AD51" si="110">W51+Z51</f>
        <v>453</v>
      </c>
      <c r="AD51" s="23">
        <f t="shared" si="110"/>
        <v>59520120</v>
      </c>
      <c r="AE51" s="23">
        <f t="shared" si="16"/>
        <v>131390.9934</v>
      </c>
      <c r="AF51" s="71"/>
      <c r="AG51" s="71"/>
      <c r="AH51" s="71"/>
      <c r="AI51" s="71"/>
      <c r="AJ51" s="71"/>
      <c r="AK51" s="71"/>
      <c r="AL51" s="71"/>
    </row>
    <row r="52" ht="13.5" customHeight="1">
      <c r="A52" s="37" t="s">
        <v>28</v>
      </c>
      <c r="B52" s="109" t="s">
        <v>31</v>
      </c>
      <c r="C52" s="37" t="s">
        <v>197</v>
      </c>
      <c r="D52" s="23"/>
      <c r="E52" s="23">
        <f t="shared" si="3"/>
        <v>92932.36246</v>
      </c>
      <c r="F52" s="23">
        <f t="array" ref="F52">IFERROR(
  ROUND(
    _xludf.LET(
      nt,$A52,
      nv,$B52,
      songay,DAY(EOMONTH($C$1,0)),
      doanhthungay,$I52,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2" s="23">
        <f>IFERROR(SUMIF('Dự án T8'!$B:$B, $B52, 'Dự án T8'!$D:$D), 0)</f>
        <v>406055.3871</v>
      </c>
      <c r="H52" s="23">
        <f t="shared" si="4"/>
        <v>2600000</v>
      </c>
      <c r="I52" s="23">
        <f t="shared" si="5"/>
        <v>926325.8065</v>
      </c>
      <c r="J52" s="72">
        <f t="array" ref="J52">_xlfn.XLOOKUP(B52,'kpi nhà thuốc'!A:A,'kpi nhà thuốc'!F:F,(AD52/DAY($C$1))/U52)</f>
        <v>0.35895125</v>
      </c>
      <c r="K52" s="23" t="str">
        <f t="array" ref="K52">_xlfn.XLOOKUP(
    B52,
    'kpi nhà thuốc'!A:A,
    'kpi nhà thuốc'!G:G,
    IF(
        AND(
            OR(C52="DSXC",C52="DSCD"),
            G52&gt;=F52),IF(AND(I52&gt;=T52,E52&gt;=D52),AD52*1.5%,IF(AND(I52&gt;=T52,E52&lt;D52),AD52*1.3%,IF(AND(I52&gt;=S52,E52&gt;=D52),AD52*1.3%,IF(AND(I52&gt;=S52,E52&lt;D52),AD52*1.1%,IF(AND(I52&gt;=R52,E52&gt;=D52),AD52*1.2%,IF(AND(I52&gt;=R52,E52&lt;D52),AD52*1%,"")))))),""
    )
)</f>
        <v/>
      </c>
      <c r="L52" s="76">
        <f t="shared" si="6"/>
        <v>0.8</v>
      </c>
      <c r="M52" s="23">
        <f>IFERROR(SUMIF('Dự án T8'!$B:$B, $B52, 'Dự án T8'!$M:$M)*$L52, 0)</f>
        <v>0</v>
      </c>
      <c r="N52" s="77">
        <f t="shared" si="7"/>
        <v>0</v>
      </c>
      <c r="O52" s="23">
        <f t="shared" ref="O52:Q52" si="111">CEILING(R52,100000)</f>
        <v>2100000</v>
      </c>
      <c r="P52" s="23">
        <f t="shared" si="111"/>
        <v>2400000</v>
      </c>
      <c r="Q52" s="23">
        <f t="shared" si="111"/>
        <v>2600000</v>
      </c>
      <c r="R52" s="23">
        <f t="shared" si="9"/>
        <v>2064516.129</v>
      </c>
      <c r="S52" s="23">
        <f t="shared" si="10"/>
        <v>2322580.645</v>
      </c>
      <c r="T52" s="23">
        <f t="shared" si="11"/>
        <v>2580645.161</v>
      </c>
      <c r="U52" s="23">
        <f t="shared" si="12"/>
        <v>2580645.161</v>
      </c>
      <c r="V52" s="23">
        <v>8.0E7</v>
      </c>
      <c r="W52" s="54">
        <f>IFERROR(SUMIFS(data!$C:$C, data!$A:$A, $A52, data!$B:$B, $B52), 0)</f>
        <v>216</v>
      </c>
      <c r="X52" s="23">
        <f>IFERROR(SUMIF(data!$B:$B, $B52, data!$D:$D), 0)</f>
        <v>16821200</v>
      </c>
      <c r="Y52" s="23">
        <f t="shared" si="13"/>
        <v>77875.92593</v>
      </c>
      <c r="Z52" s="23">
        <f>IFERROR(SUMIFS(data!$E:$E, data!$A:$A, $A52, data!$B:$B, $B52), 0)</f>
        <v>93</v>
      </c>
      <c r="AA52" s="23">
        <f>IFERROR(SUMIF(data!$B:$B, $B52, data!$F:$F), 0)</f>
        <v>11894900</v>
      </c>
      <c r="AB52" s="23">
        <f t="shared" si="14"/>
        <v>127902.1505</v>
      </c>
      <c r="AC52" s="23">
        <f t="shared" ref="AC52:AD52" si="112">W52+Z52</f>
        <v>309</v>
      </c>
      <c r="AD52" s="23">
        <f t="shared" si="112"/>
        <v>28716100</v>
      </c>
      <c r="AE52" s="23">
        <f t="shared" si="16"/>
        <v>92932.36246</v>
      </c>
      <c r="AF52" s="71"/>
      <c r="AG52" s="71"/>
      <c r="AH52" s="71"/>
      <c r="AI52" s="71"/>
      <c r="AJ52" s="71"/>
      <c r="AK52" s="71"/>
      <c r="AL52" s="71"/>
    </row>
    <row r="53" ht="13.5" customHeight="1">
      <c r="A53" s="37" t="s">
        <v>28</v>
      </c>
      <c r="B53" s="109" t="s">
        <v>37</v>
      </c>
      <c r="C53" s="37" t="s">
        <v>197</v>
      </c>
      <c r="D53" s="23"/>
      <c r="E53" s="23">
        <f t="shared" si="3"/>
        <v>105744.2308</v>
      </c>
      <c r="F53" s="23">
        <f t="array" ref="F53">IFERROR(
  ROUND(
    _xludf.LET(
      nt,$A53,
      nv,$B53,
      songay,DAY(EOMONTH($C$1,0)),
      doanhthungay,$I53,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3" s="23">
        <f>IFERROR(SUMIF('Dự án T8'!$B:$B, $B53, 'Dự án T8'!$D:$D), 0)</f>
        <v>633358.9032</v>
      </c>
      <c r="H53" s="23">
        <f t="shared" si="4"/>
        <v>2600000</v>
      </c>
      <c r="I53" s="23">
        <f t="shared" si="5"/>
        <v>1507708.065</v>
      </c>
      <c r="J53" s="72">
        <f t="array" ref="J53">_xlfn.XLOOKUP(B53,'kpi nhà thuốc'!A:A,'kpi nhà thuốc'!F:F,(AD53/DAY($C$1))/U53)</f>
        <v>0.584236875</v>
      </c>
      <c r="K53" s="23" t="str">
        <f t="array" ref="K53">_xlfn.XLOOKUP(
    B53,
    'kpi nhà thuốc'!A:A,
    'kpi nhà thuốc'!G:G,
    IF(
        AND(
            OR(C53="DSXC",C53="DSCD"),
            G53&gt;=F53),IF(AND(I53&gt;=T53,E53&gt;=D53),AD53*1.5%,IF(AND(I53&gt;=T53,E53&lt;D53),AD53*1.3%,IF(AND(I53&gt;=S53,E53&gt;=D53),AD53*1.3%,IF(AND(I53&gt;=S53,E53&lt;D53),AD53*1.1%,IF(AND(I53&gt;=R53,E53&gt;=D53),AD53*1.2%,IF(AND(I53&gt;=R53,E53&lt;D53),AD53*1%,"")))))),""
    )
)</f>
        <v/>
      </c>
      <c r="L53" s="76">
        <f t="shared" si="6"/>
        <v>0.8</v>
      </c>
      <c r="M53" s="23">
        <f>IFERROR(SUMIF('Dự án T8'!$B:$B, $B53, 'Dự án T8'!$M:$M)*$L53, 0)</f>
        <v>0</v>
      </c>
      <c r="N53" s="77">
        <f t="shared" si="7"/>
        <v>0</v>
      </c>
      <c r="O53" s="23">
        <f t="shared" ref="O53:Q53" si="113">CEILING(R53,100000)</f>
        <v>2100000</v>
      </c>
      <c r="P53" s="23">
        <f t="shared" si="113"/>
        <v>2400000</v>
      </c>
      <c r="Q53" s="23">
        <f t="shared" si="113"/>
        <v>2600000</v>
      </c>
      <c r="R53" s="23">
        <f t="shared" si="9"/>
        <v>2064516.129</v>
      </c>
      <c r="S53" s="23">
        <f t="shared" si="10"/>
        <v>2322580.645</v>
      </c>
      <c r="T53" s="23">
        <f t="shared" si="11"/>
        <v>2580645.161</v>
      </c>
      <c r="U53" s="23">
        <f t="shared" si="12"/>
        <v>2580645.161</v>
      </c>
      <c r="V53" s="23">
        <v>8.0E7</v>
      </c>
      <c r="W53" s="54">
        <f>IFERROR(SUMIFS(data!$C:$C, data!$A:$A, $A53, data!$B:$B, $B53), 0)</f>
        <v>295</v>
      </c>
      <c r="X53" s="23">
        <f>IFERROR(SUMIF(data!$B:$B, $B53, data!$D:$D), 0)</f>
        <v>24509200</v>
      </c>
      <c r="Y53" s="23">
        <f t="shared" si="13"/>
        <v>83082.0339</v>
      </c>
      <c r="Z53" s="23">
        <f>IFERROR(SUMIFS(data!$E:$E, data!$A:$A, $A53, data!$B:$B, $B53), 0)</f>
        <v>147</v>
      </c>
      <c r="AA53" s="23">
        <f>IFERROR(SUMIF(data!$B:$B, $B53, data!$F:$F), 0)</f>
        <v>22229750</v>
      </c>
      <c r="AB53" s="23">
        <f t="shared" si="14"/>
        <v>151222.7891</v>
      </c>
      <c r="AC53" s="23">
        <f t="shared" ref="AC53:AD53" si="114">W53+Z53</f>
        <v>442</v>
      </c>
      <c r="AD53" s="23">
        <f t="shared" si="114"/>
        <v>46738950</v>
      </c>
      <c r="AE53" s="23">
        <f t="shared" si="16"/>
        <v>105744.2308</v>
      </c>
      <c r="AF53" s="71"/>
      <c r="AG53" s="71"/>
      <c r="AH53" s="71"/>
      <c r="AI53" s="71"/>
      <c r="AJ53" s="71"/>
      <c r="AK53" s="71"/>
      <c r="AL53" s="71"/>
    </row>
    <row r="54" ht="13.5" customHeight="1">
      <c r="A54" s="37" t="s">
        <v>28</v>
      </c>
      <c r="B54" s="109" t="s">
        <v>29</v>
      </c>
      <c r="C54" s="37" t="s">
        <v>127</v>
      </c>
      <c r="D54" s="23"/>
      <c r="E54" s="23">
        <f t="shared" si="3"/>
        <v>220000.5525</v>
      </c>
      <c r="F54" s="23">
        <f t="array" ref="F54">IFERROR(
  ROUND(
    _xludf.LET(
      nt,$A55,
      nv,$B55,
      songay,DAY(EOMONTH($C$1,0)),
      doanhthungay,$I55,
      duan_nv,SUM_xlfn.IFS('Dự án T8'!$D:$D,'Dự án T8'!$A:$A,nt,'Dự án T8'!$B:$B,nv),
      duan_nt,SUM_xlfn.IFS('Dự án T8'!$D:$D,'Dự án T8'!$A:$A,nt),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4" s="23">
        <f>IFERROR(SUMIF('Dự án T8'!$B:$B, $B54, 'Dự án T8'!$D:$D), 0)</f>
        <v>737019.2258</v>
      </c>
      <c r="H54" s="23">
        <f t="shared" si="4"/>
        <v>2600000</v>
      </c>
      <c r="I54" s="23">
        <f t="shared" si="5"/>
        <v>2569038.71</v>
      </c>
      <c r="J54" s="72">
        <f t="array" ref="J54">_xlfn.XLOOKUP(B54,'kpi nhà thuốc'!A:A,'kpi nhà thuốc'!F:F,(AD54/DAY($C$1))/U54)</f>
        <v>0.9955025</v>
      </c>
      <c r="K54" s="23" t="str">
        <f t="array" ref="K54">_xlfn.XLOOKUP(
    B54,
    'kpi nhà thuốc'!A:A,
    'kpi nhà thuốc'!G:G,
    IF(
        AND(
            OR(C54="DSXC",C54="DSCD"),
            G54&gt;=#REF!),IF(AND(I54&gt;=T54,E54&gt;=D54),AD54*1.5%,IF(AND(I54&gt;=T54,E54&lt;D54),AD54*1.3%,IF(AND(I54&gt;=S54,E54&gt;=D54),AD54*1.3%,IF(AND(I54&gt;=S54,E54&lt;D54),AD54*1.1%,IF(AND(I54&gt;=R54,E54&gt;=D54),AD54*1.2%,IF(AND(I54&gt;=R54,E54&lt;D54),AD54*1%,"")))))),""
    )
)</f>
        <v>#REF!</v>
      </c>
      <c r="L54" s="76">
        <f t="shared" si="6"/>
        <v>1</v>
      </c>
      <c r="M54" s="23">
        <f>IFERROR(SUMIF('Dự án T8'!$B:$B, $B54, 'Dự án T8'!$M:$M)*$L54, 0)</f>
        <v>0</v>
      </c>
      <c r="N54" s="77" t="str">
        <f t="shared" si="7"/>
        <v>#REF!</v>
      </c>
      <c r="O54" s="23">
        <f t="shared" ref="O54:Q54" si="115">CEILING(R54,100000)</f>
        <v>2100000</v>
      </c>
      <c r="P54" s="23">
        <f t="shared" si="115"/>
        <v>2400000</v>
      </c>
      <c r="Q54" s="23">
        <f t="shared" si="115"/>
        <v>2600000</v>
      </c>
      <c r="R54" s="23">
        <f t="shared" si="9"/>
        <v>2064516.129</v>
      </c>
      <c r="S54" s="23">
        <f t="shared" si="10"/>
        <v>2322580.645</v>
      </c>
      <c r="T54" s="23">
        <f t="shared" si="11"/>
        <v>2580645.161</v>
      </c>
      <c r="U54" s="23">
        <f t="shared" si="12"/>
        <v>2580645.161</v>
      </c>
      <c r="V54" s="23">
        <v>8.0E7</v>
      </c>
      <c r="W54" s="54">
        <f>IFERROR(SUMIFS(data!$C:$C, data!$A:$A, $A54, data!$B:$B, $B54), 0)</f>
        <v>251</v>
      </c>
      <c r="X54" s="23">
        <f>IFERROR(SUMIF(data!$B:$B, $B54, data!$D:$D), 0)</f>
        <v>44170400</v>
      </c>
      <c r="Y54" s="23">
        <f t="shared" si="13"/>
        <v>175977.6892</v>
      </c>
      <c r="Z54" s="23">
        <f>IFERROR(SUMIFS(data!$E:$E, data!$A:$A, $A54, data!$B:$B, $B54), 0)</f>
        <v>111</v>
      </c>
      <c r="AA54" s="23">
        <f>IFERROR(SUMIF(data!$B:$B, $B54, data!$F:$F), 0)</f>
        <v>35469800</v>
      </c>
      <c r="AB54" s="23">
        <f t="shared" si="14"/>
        <v>319547.7477</v>
      </c>
      <c r="AC54" s="23">
        <f t="shared" ref="AC54:AD54" si="116">W54+Z54</f>
        <v>362</v>
      </c>
      <c r="AD54" s="23">
        <f t="shared" si="116"/>
        <v>79640200</v>
      </c>
      <c r="AE54" s="23">
        <f t="shared" si="16"/>
        <v>220000.5525</v>
      </c>
      <c r="AF54" s="71"/>
      <c r="AG54" s="71"/>
      <c r="AH54" s="71"/>
      <c r="AI54" s="71"/>
      <c r="AJ54" s="71"/>
      <c r="AK54" s="71"/>
      <c r="AL54" s="71"/>
    </row>
    <row r="55" ht="13.5" customHeight="1">
      <c r="A55" s="37" t="s">
        <v>28</v>
      </c>
      <c r="B55" s="66" t="s">
        <v>201</v>
      </c>
      <c r="C55" s="37" t="s">
        <v>198</v>
      </c>
      <c r="D55" s="125"/>
      <c r="E55" s="23">
        <f t="shared" si="3"/>
        <v>0</v>
      </c>
      <c r="G55" s="23">
        <f>IFERROR(SUMIF('Dự án T8'!$B:$B, $B55, 'Dự án T8'!$D:$D), 0)</f>
        <v>0</v>
      </c>
      <c r="H55" s="23">
        <f t="shared" si="4"/>
        <v>1800000</v>
      </c>
      <c r="I55" s="23">
        <f t="shared" si="5"/>
        <v>0</v>
      </c>
      <c r="J55" s="72">
        <f t="array" ref="J55">_xlfn.XLOOKUP(B55,'kpi nhà thuốc'!A:A,'kpi nhà thuốc'!F:F,(AD55/DAY($C$1))/U55)</f>
        <v>0</v>
      </c>
      <c r="K55" s="23" t="str">
        <f t="array" ref="K55">_xlfn.XLOOKUP(
    B55,
    'kpi nhà thuốc'!A:A,
    'kpi nhà thuốc'!G:G,
    IF(
        AND(
            OR(C55="DSXC",C55="DSCD"),
            G55&gt;=F54),IF(AND(I55&gt;=T55,E55&gt;=D55),AD55*1.5%,IF(AND(I55&gt;=T55,E55&lt;D55),AD55*1.3%,IF(AND(I55&gt;=S55,E55&gt;=D55),AD55*1.3%,IF(AND(I55&gt;=S55,E55&lt;D55),AD55*1.1%,IF(AND(I55&gt;=R55,E55&gt;=D55),AD55*1.2%,IF(AND(I55&gt;=R55,E55&lt;D55),AD55*1%,"")))))),""
    )
)</f>
        <v/>
      </c>
      <c r="L55" s="76">
        <f t="shared" si="6"/>
        <v>0.8</v>
      </c>
      <c r="M55" s="23">
        <f>IFERROR(SUMIF('Dự án T8'!$B:$B, $B55, 'Dự án T8'!$M:$M)*$L55, 0)</f>
        <v>0</v>
      </c>
      <c r="N55" s="77">
        <f t="shared" si="7"/>
        <v>0</v>
      </c>
      <c r="O55" s="23">
        <f t="shared" ref="O55:Q55" si="117">CEILING(R55,100000)</f>
        <v>1500000</v>
      </c>
      <c r="P55" s="23">
        <f t="shared" si="117"/>
        <v>1600000</v>
      </c>
      <c r="Q55" s="23">
        <f t="shared" si="117"/>
        <v>1800000</v>
      </c>
      <c r="R55" s="23">
        <f t="shared" si="9"/>
        <v>1419354.839</v>
      </c>
      <c r="S55" s="23">
        <f t="shared" si="10"/>
        <v>1596774.194</v>
      </c>
      <c r="T55" s="23">
        <f t="shared" si="11"/>
        <v>1774193.548</v>
      </c>
      <c r="U55" s="23">
        <f t="shared" si="12"/>
        <v>1774193.548</v>
      </c>
      <c r="V55" s="54">
        <v>5.5E7</v>
      </c>
      <c r="W55" s="54">
        <f>IFERROR(SUMIFS(data!$C:$C, data!$A:$A, $A55, data!$B:$B, $B55), 0)</f>
        <v>0</v>
      </c>
      <c r="X55" s="23">
        <f>IFERROR(SUMIF(data!$B:$B, $B55, data!$D:$D), 0)</f>
        <v>0</v>
      </c>
      <c r="Y55" s="23">
        <f t="shared" si="13"/>
        <v>0</v>
      </c>
      <c r="Z55" s="23">
        <f>IFERROR(SUMIFS(data!$E:$E, data!$A:$A, $A55, data!$B:$B, $B55), 0)</f>
        <v>0</v>
      </c>
      <c r="AA55" s="23">
        <f>IFERROR(SUMIF(data!$B:$B, $B55, data!$F:$F), 0)</f>
        <v>0</v>
      </c>
      <c r="AB55" s="23">
        <f t="shared" si="14"/>
        <v>0</v>
      </c>
      <c r="AC55" s="23">
        <f t="shared" ref="AC55:AD55" si="118">W55+Z55</f>
        <v>0</v>
      </c>
      <c r="AD55" s="23">
        <f t="shared" si="118"/>
        <v>0</v>
      </c>
      <c r="AE55" s="23">
        <f t="shared" si="16"/>
        <v>0</v>
      </c>
      <c r="AF55" s="71"/>
      <c r="AG55" s="71"/>
      <c r="AH55" s="71"/>
      <c r="AI55" s="71"/>
      <c r="AJ55" s="71"/>
      <c r="AK55" s="71"/>
      <c r="AL55" s="71"/>
    </row>
    <row r="56" ht="13.5" customHeight="1">
      <c r="A56" s="97" t="s">
        <v>54</v>
      </c>
      <c r="B56" s="109" t="s">
        <v>68</v>
      </c>
      <c r="C56" s="126" t="s">
        <v>128</v>
      </c>
      <c r="D56" s="23">
        <v>150000.0</v>
      </c>
      <c r="E56" s="23">
        <f t="shared" si="3"/>
        <v>76539.86014</v>
      </c>
      <c r="F56" s="23"/>
      <c r="G56" s="127">
        <f>IFERROR(SUMIF('Dự án T8'!$B:$B, $B56, 'Dự án T8'!$D:$D), 0)</f>
        <v>109565</v>
      </c>
      <c r="H56" s="127">
        <f t="shared" si="4"/>
        <v>8800000</v>
      </c>
      <c r="I56" s="23">
        <f t="shared" si="5"/>
        <v>353070.9677</v>
      </c>
      <c r="J56" s="72">
        <f t="shared" ref="J56:J57" si="121">I56/H56</f>
        <v>0.04012170088</v>
      </c>
      <c r="K56" s="23">
        <f t="shared" ref="K56:K57" si="122">IF(C56="DSTV", 0, IF(J56&gt;=1, AD56*0.015, IF(J56&gt;=0.9, AD56*0.013, IF(J56&gt;=0.8, AD56*0.01, 0))))</f>
        <v>0</v>
      </c>
      <c r="L56" s="128">
        <f t="shared" si="6"/>
        <v>0.8</v>
      </c>
      <c r="M56" s="23">
        <f>IFERROR(SUMIF('Dự án T8'!$B:$B, $B56, 'Dự án T8'!$M:$M)*$L56, 0)</f>
        <v>0</v>
      </c>
      <c r="N56" s="23">
        <f t="shared" si="7"/>
        <v>0</v>
      </c>
      <c r="O56" s="23">
        <f t="shared" ref="O56:Q56" si="119">CEILING(R56,100000)</f>
        <v>7000000</v>
      </c>
      <c r="P56" s="23">
        <f t="shared" si="119"/>
        <v>7900000</v>
      </c>
      <c r="Q56" s="23">
        <f t="shared" si="119"/>
        <v>8800000</v>
      </c>
      <c r="R56" s="23">
        <f t="shared" si="9"/>
        <v>6967741.935</v>
      </c>
      <c r="S56" s="23">
        <f t="shared" si="10"/>
        <v>7838709.677</v>
      </c>
      <c r="T56" s="23">
        <f t="shared" si="11"/>
        <v>8709677.419</v>
      </c>
      <c r="U56" s="23">
        <f t="shared" si="12"/>
        <v>8709677.419</v>
      </c>
      <c r="V56" s="23">
        <v>2.7E8</v>
      </c>
      <c r="W56" s="129">
        <f>IFERROR(SUMIFS(data!$C:$C, data!$A:$A, $A56, data!$B:$B, $B56), 0)</f>
        <v>134</v>
      </c>
      <c r="X56" s="71">
        <f>IFERROR(SUMIF(data!$B:$B, $B56, data!$D:$D), 0)</f>
        <v>10070600</v>
      </c>
      <c r="Y56" s="71">
        <f t="shared" ref="Y56:Y57" si="124">IF(W56&gt;0, X56/W56, 0)</f>
        <v>75153.73134</v>
      </c>
      <c r="Z56" s="71">
        <f>IFERROR(SUMIFS(data!$E:$E, data!$A:$A, $A56, data!$B:$B, $B56), 0)</f>
        <v>9</v>
      </c>
      <c r="AA56" s="71">
        <f>IFERROR(SUMIF(data!$B:$B, $B56, data!$F:$F), 0)</f>
        <v>874600</v>
      </c>
      <c r="AB56" s="71">
        <f t="shared" ref="AB56:AB57" si="125">IF(Z56&gt;0, AA56/Z56, 0)</f>
        <v>97177.77778</v>
      </c>
      <c r="AC56" s="23">
        <f t="shared" ref="AC56:AD56" si="120">W56+Z56</f>
        <v>143</v>
      </c>
      <c r="AD56" s="23">
        <f t="shared" si="120"/>
        <v>10945200</v>
      </c>
      <c r="AE56" s="23">
        <f t="shared" ref="AE56:AE57" si="127">IF(AC56&gt;0, AD56/AC56, 0)</f>
        <v>76539.86014</v>
      </c>
      <c r="AF56" s="71"/>
      <c r="AG56" s="71"/>
      <c r="AH56" s="71"/>
      <c r="AI56" s="71"/>
      <c r="AJ56" s="71"/>
      <c r="AK56" s="71"/>
      <c r="AL56" s="71"/>
    </row>
    <row r="57" ht="13.5" customHeight="1">
      <c r="A57" s="97" t="s">
        <v>72</v>
      </c>
      <c r="B57" s="109" t="s">
        <v>109</v>
      </c>
      <c r="C57" s="126" t="s">
        <v>128</v>
      </c>
      <c r="D57" s="23">
        <v>150000.0</v>
      </c>
      <c r="E57" s="23">
        <f t="shared" si="3"/>
        <v>411000</v>
      </c>
      <c r="F57" s="23"/>
      <c r="G57" s="127">
        <f>IFERROR(SUMIF('Dự án T8'!$B:$B, $B57, 'Dự án T8'!$D:$D), 0)</f>
        <v>0</v>
      </c>
      <c r="H57" s="127">
        <f t="shared" si="4"/>
        <v>8800000</v>
      </c>
      <c r="I57" s="23">
        <f t="shared" si="5"/>
        <v>26516.12903</v>
      </c>
      <c r="J57" s="72">
        <f t="shared" si="121"/>
        <v>0.003013196481</v>
      </c>
      <c r="K57" s="23">
        <f t="shared" si="122"/>
        <v>0</v>
      </c>
      <c r="L57" s="128">
        <f t="shared" si="6"/>
        <v>0.8</v>
      </c>
      <c r="M57" s="23">
        <f>IFERROR(SUMIF('Dự án T8'!$B:$B, $B57, 'Dự án T8'!$M:$M)*$L57, 0)</f>
        <v>0</v>
      </c>
      <c r="N57" s="23">
        <f t="shared" si="7"/>
        <v>0</v>
      </c>
      <c r="O57" s="23">
        <f t="shared" ref="O57:Q57" si="123">CEILING(R57,100000)</f>
        <v>7000000</v>
      </c>
      <c r="P57" s="23">
        <f t="shared" si="123"/>
        <v>7900000</v>
      </c>
      <c r="Q57" s="23">
        <f t="shared" si="123"/>
        <v>8800000</v>
      </c>
      <c r="R57" s="23">
        <f t="shared" si="9"/>
        <v>6967741.935</v>
      </c>
      <c r="S57" s="23">
        <f t="shared" si="10"/>
        <v>7838709.677</v>
      </c>
      <c r="T57" s="23">
        <f t="shared" si="11"/>
        <v>8709677.419</v>
      </c>
      <c r="U57" s="23">
        <f t="shared" si="12"/>
        <v>8709677.419</v>
      </c>
      <c r="V57" s="23">
        <v>2.7E8</v>
      </c>
      <c r="W57" s="129">
        <f>IFERROR(SUMIFS(data!$C:$C, data!$A:$A, $A57, data!$B:$B, $B57), 0)</f>
        <v>0</v>
      </c>
      <c r="X57" s="71">
        <f>IFERROR(SUMIF(data!$B:$B, $B57, data!$D:$D), 0)</f>
        <v>0</v>
      </c>
      <c r="Y57" s="71">
        <f t="shared" si="124"/>
        <v>0</v>
      </c>
      <c r="Z57" s="71">
        <f>IFERROR(SUMIFS(data!$E:$E, data!$A:$A, $A57, data!$B:$B, $B57), 0)</f>
        <v>2</v>
      </c>
      <c r="AA57" s="71">
        <f>IFERROR(SUMIF(data!$B:$B, $B57, data!$F:$F), 0)</f>
        <v>822000</v>
      </c>
      <c r="AB57" s="71">
        <f t="shared" si="125"/>
        <v>411000</v>
      </c>
      <c r="AC57" s="23">
        <f t="shared" ref="AC57:AD57" si="126">W57+Z57</f>
        <v>2</v>
      </c>
      <c r="AD57" s="23">
        <f t="shared" si="126"/>
        <v>822000</v>
      </c>
      <c r="AE57" s="23">
        <f t="shared" si="127"/>
        <v>411000</v>
      </c>
      <c r="AF57" s="71"/>
      <c r="AG57" s="71"/>
      <c r="AH57" s="71"/>
      <c r="AI57" s="71"/>
      <c r="AJ57" s="71"/>
      <c r="AK57" s="71"/>
      <c r="AL57" s="71"/>
    </row>
    <row r="58" ht="13.5" customHeight="1">
      <c r="A58" s="97"/>
      <c r="B58" s="109"/>
      <c r="C58" s="126"/>
      <c r="D58" s="23"/>
      <c r="E58" s="23"/>
      <c r="F58" s="23"/>
      <c r="G58" s="127"/>
      <c r="H58" s="127"/>
      <c r="I58" s="23"/>
      <c r="J58" s="72"/>
      <c r="K58" s="23"/>
      <c r="L58" s="128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129"/>
      <c r="X58" s="71"/>
      <c r="Y58" s="71"/>
      <c r="Z58" s="71"/>
      <c r="AA58" s="71"/>
      <c r="AB58" s="71"/>
      <c r="AC58" s="126"/>
      <c r="AD58" s="23"/>
      <c r="AE58" s="23"/>
      <c r="AF58" s="71"/>
      <c r="AG58" s="71"/>
      <c r="AH58" s="71"/>
      <c r="AI58" s="71"/>
      <c r="AJ58" s="71"/>
      <c r="AK58" s="71"/>
      <c r="AL58" s="71"/>
    </row>
    <row r="59" ht="13.5" customHeight="1">
      <c r="A59" s="97"/>
      <c r="B59" s="109"/>
      <c r="C59" s="126"/>
      <c r="D59" s="23"/>
      <c r="E59" s="23"/>
      <c r="F59" s="23"/>
      <c r="G59" s="127"/>
      <c r="H59" s="127"/>
      <c r="I59" s="23"/>
      <c r="J59" s="72"/>
      <c r="K59" s="23"/>
      <c r="L59" s="128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129"/>
      <c r="X59" s="71"/>
      <c r="Y59" s="71"/>
      <c r="Z59" s="71"/>
      <c r="AA59" s="71"/>
      <c r="AB59" s="71"/>
      <c r="AC59" s="126"/>
      <c r="AD59" s="23"/>
      <c r="AE59" s="23"/>
      <c r="AF59" s="71"/>
      <c r="AG59" s="71"/>
      <c r="AH59" s="71"/>
      <c r="AI59" s="71"/>
      <c r="AJ59" s="71"/>
      <c r="AK59" s="71"/>
      <c r="AL59" s="71"/>
    </row>
    <row r="60" ht="13.5" customHeight="1">
      <c r="A60" s="97"/>
      <c r="B60" s="109"/>
      <c r="C60" s="126"/>
      <c r="D60" s="23"/>
      <c r="E60" s="23"/>
      <c r="F60" s="23"/>
      <c r="G60" s="127"/>
      <c r="H60" s="127"/>
      <c r="I60" s="23"/>
      <c r="J60" s="72"/>
      <c r="K60" s="23"/>
      <c r="L60" s="128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129"/>
      <c r="X60" s="71"/>
      <c r="Y60" s="71"/>
      <c r="Z60" s="71"/>
      <c r="AA60" s="71"/>
      <c r="AB60" s="71"/>
      <c r="AC60" s="126"/>
      <c r="AD60" s="23"/>
      <c r="AE60" s="23"/>
      <c r="AF60" s="71"/>
      <c r="AG60" s="71"/>
      <c r="AH60" s="71"/>
      <c r="AI60" s="71"/>
      <c r="AJ60" s="71"/>
      <c r="AK60" s="71"/>
      <c r="AL60" s="71"/>
    </row>
    <row r="61" ht="13.5" customHeight="1">
      <c r="A61" s="97"/>
      <c r="B61" s="109"/>
      <c r="C61" s="126"/>
      <c r="D61" s="23"/>
      <c r="E61" s="23"/>
      <c r="F61" s="23"/>
      <c r="G61" s="127"/>
      <c r="H61" s="127"/>
      <c r="I61" s="23"/>
      <c r="J61" s="72"/>
      <c r="K61" s="23"/>
      <c r="L61" s="128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129"/>
      <c r="X61" s="71"/>
      <c r="Y61" s="71"/>
      <c r="Z61" s="71"/>
      <c r="AA61" s="71"/>
      <c r="AB61" s="71"/>
      <c r="AC61" s="126"/>
      <c r="AD61" s="23"/>
      <c r="AE61" s="23"/>
      <c r="AF61" s="71"/>
      <c r="AG61" s="71"/>
      <c r="AH61" s="71"/>
      <c r="AI61" s="71"/>
      <c r="AJ61" s="71"/>
      <c r="AK61" s="71"/>
      <c r="AL61" s="71"/>
    </row>
    <row r="62" ht="13.5" customHeight="1">
      <c r="A62" s="97"/>
      <c r="B62" s="109"/>
      <c r="C62" s="126"/>
      <c r="D62" s="23"/>
      <c r="E62" s="23"/>
      <c r="F62" s="23"/>
      <c r="G62" s="127"/>
      <c r="H62" s="127"/>
      <c r="I62" s="23"/>
      <c r="J62" s="72"/>
      <c r="K62" s="23"/>
      <c r="L62" s="128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129"/>
      <c r="X62" s="71"/>
      <c r="Y62" s="71"/>
      <c r="Z62" s="71"/>
      <c r="AA62" s="71"/>
      <c r="AB62" s="71"/>
      <c r="AC62" s="126"/>
      <c r="AD62" s="23"/>
      <c r="AE62" s="23"/>
      <c r="AF62" s="71"/>
      <c r="AG62" s="71"/>
      <c r="AH62" s="71"/>
      <c r="AI62" s="71"/>
      <c r="AJ62" s="71"/>
      <c r="AK62" s="71"/>
      <c r="AL62" s="71"/>
    </row>
    <row r="63" ht="13.5" customHeight="1">
      <c r="A63" s="97"/>
      <c r="B63" s="109"/>
      <c r="C63" s="126"/>
      <c r="D63" s="23"/>
      <c r="E63" s="23"/>
      <c r="F63" s="23"/>
      <c r="G63" s="127"/>
      <c r="H63" s="127"/>
      <c r="I63" s="23"/>
      <c r="J63" s="72"/>
      <c r="K63" s="23"/>
      <c r="L63" s="128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129"/>
      <c r="X63" s="71"/>
      <c r="Y63" s="71"/>
      <c r="Z63" s="71"/>
      <c r="AA63" s="71"/>
      <c r="AB63" s="71"/>
      <c r="AC63" s="126"/>
      <c r="AD63" s="23"/>
      <c r="AE63" s="23"/>
      <c r="AF63" s="71"/>
      <c r="AG63" s="71"/>
      <c r="AH63" s="71"/>
      <c r="AI63" s="71"/>
      <c r="AJ63" s="71"/>
      <c r="AK63" s="71"/>
      <c r="AL63" s="71"/>
    </row>
    <row r="64" ht="13.5" customHeight="1">
      <c r="A64" s="97"/>
      <c r="B64" s="109"/>
      <c r="C64" s="126"/>
      <c r="D64" s="23"/>
      <c r="E64" s="23"/>
      <c r="F64" s="23"/>
      <c r="G64" s="127"/>
      <c r="H64" s="127"/>
      <c r="I64" s="23"/>
      <c r="J64" s="72"/>
      <c r="K64" s="23"/>
      <c r="L64" s="128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129"/>
      <c r="X64" s="71"/>
      <c r="Y64" s="71"/>
      <c r="Z64" s="71"/>
      <c r="AA64" s="71"/>
      <c r="AB64" s="71"/>
      <c r="AC64" s="126"/>
      <c r="AD64" s="23"/>
      <c r="AE64" s="23"/>
      <c r="AF64" s="71"/>
      <c r="AG64" s="71"/>
      <c r="AH64" s="71"/>
      <c r="AI64" s="71"/>
      <c r="AJ64" s="71"/>
      <c r="AK64" s="71"/>
      <c r="AL64" s="71"/>
    </row>
    <row r="65" ht="13.5" customHeight="1">
      <c r="A65" s="97"/>
      <c r="B65" s="109"/>
      <c r="C65" s="126"/>
      <c r="D65" s="23"/>
      <c r="E65" s="23"/>
      <c r="F65" s="23"/>
      <c r="G65" s="127"/>
      <c r="H65" s="127"/>
      <c r="I65" s="23"/>
      <c r="J65" s="72"/>
      <c r="K65" s="23"/>
      <c r="L65" s="128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129"/>
      <c r="X65" s="71"/>
      <c r="Y65" s="71"/>
      <c r="Z65" s="71"/>
      <c r="AA65" s="71"/>
      <c r="AB65" s="71"/>
      <c r="AC65" s="126"/>
      <c r="AD65" s="23"/>
      <c r="AE65" s="23"/>
      <c r="AF65" s="71"/>
      <c r="AG65" s="71"/>
      <c r="AH65" s="71"/>
      <c r="AI65" s="71"/>
      <c r="AJ65" s="71"/>
      <c r="AK65" s="71"/>
      <c r="AL65" s="71"/>
    </row>
    <row r="66" ht="13.5" customHeight="1">
      <c r="A66" s="97"/>
      <c r="B66" s="109"/>
      <c r="C66" s="126"/>
      <c r="D66" s="23"/>
      <c r="E66" s="23"/>
      <c r="F66" s="23"/>
      <c r="G66" s="23"/>
      <c r="H66" s="23"/>
      <c r="I66" s="23"/>
      <c r="J66" s="72"/>
      <c r="K66" s="23"/>
      <c r="L66" s="128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129"/>
      <c r="X66" s="71"/>
      <c r="Y66" s="71"/>
      <c r="Z66" s="71"/>
      <c r="AA66" s="71"/>
      <c r="AB66" s="71"/>
      <c r="AC66" s="126"/>
      <c r="AD66" s="23"/>
      <c r="AE66" s="23"/>
      <c r="AF66" s="71"/>
      <c r="AG66" s="71"/>
      <c r="AH66" s="71"/>
      <c r="AI66" s="71"/>
      <c r="AJ66" s="71"/>
      <c r="AK66" s="71"/>
      <c r="AL66" s="71"/>
    </row>
    <row r="67" ht="13.5" customHeight="1">
      <c r="A67" s="97"/>
      <c r="B67" s="109"/>
      <c r="C67" s="126"/>
      <c r="D67" s="23"/>
      <c r="E67" s="127"/>
      <c r="F67" s="23"/>
      <c r="G67" s="23"/>
      <c r="H67" s="23"/>
      <c r="I67" s="23"/>
      <c r="J67" s="72"/>
      <c r="K67" s="23"/>
      <c r="L67" s="128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129"/>
      <c r="X67" s="71"/>
      <c r="Y67" s="71"/>
      <c r="Z67" s="71"/>
      <c r="AA67" s="71"/>
      <c r="AB67" s="71"/>
      <c r="AC67" s="126"/>
      <c r="AD67" s="23"/>
      <c r="AE67" s="23"/>
      <c r="AF67" s="71"/>
      <c r="AG67" s="71"/>
      <c r="AH67" s="71"/>
      <c r="AI67" s="71"/>
      <c r="AJ67" s="71"/>
      <c r="AK67" s="71"/>
      <c r="AL67" s="71"/>
    </row>
    <row r="68" ht="13.5" customHeight="1">
      <c r="A68" s="97"/>
      <c r="B68" s="109"/>
      <c r="C68" s="126"/>
      <c r="D68" s="23"/>
      <c r="E68" s="23"/>
      <c r="F68" s="23"/>
      <c r="G68" s="23"/>
      <c r="H68" s="23"/>
      <c r="I68" s="23"/>
      <c r="J68" s="72"/>
      <c r="K68" s="23"/>
      <c r="L68" s="128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129"/>
      <c r="X68" s="71"/>
      <c r="Y68" s="71"/>
      <c r="Z68" s="71"/>
      <c r="AA68" s="71"/>
      <c r="AB68" s="71"/>
      <c r="AC68" s="126"/>
      <c r="AD68" s="23"/>
      <c r="AE68" s="23"/>
      <c r="AF68" s="71"/>
      <c r="AG68" s="71"/>
      <c r="AH68" s="71"/>
      <c r="AI68" s="71"/>
      <c r="AJ68" s="71"/>
      <c r="AK68" s="71"/>
      <c r="AL68" s="71"/>
    </row>
    <row r="69" ht="13.5" customHeight="1">
      <c r="A69" s="97"/>
      <c r="B69" s="109"/>
      <c r="C69" s="126"/>
      <c r="D69" s="23"/>
      <c r="E69" s="23"/>
      <c r="F69" s="23"/>
      <c r="G69" s="23"/>
      <c r="H69" s="23"/>
      <c r="I69" s="23"/>
      <c r="J69" s="72"/>
      <c r="K69" s="23"/>
      <c r="L69" s="128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129"/>
      <c r="X69" s="71"/>
      <c r="Y69" s="71"/>
      <c r="Z69" s="71"/>
      <c r="AA69" s="71"/>
      <c r="AB69" s="71"/>
      <c r="AC69" s="126"/>
      <c r="AD69" s="23"/>
      <c r="AE69" s="23"/>
      <c r="AF69" s="71"/>
      <c r="AG69" s="71"/>
      <c r="AH69" s="71"/>
      <c r="AI69" s="71"/>
      <c r="AJ69" s="71"/>
      <c r="AK69" s="71"/>
      <c r="AL69" s="71"/>
    </row>
    <row r="70" ht="13.5" customHeight="1">
      <c r="A70" s="97"/>
      <c r="B70" s="109"/>
      <c r="C70" s="126"/>
      <c r="D70" s="23"/>
      <c r="E70" s="23"/>
      <c r="F70" s="23"/>
      <c r="G70" s="23"/>
      <c r="H70" s="23"/>
      <c r="I70" s="23"/>
      <c r="J70" s="72"/>
      <c r="K70" s="23"/>
      <c r="L70" s="128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129"/>
      <c r="X70" s="71"/>
      <c r="Y70" s="71"/>
      <c r="Z70" s="71"/>
      <c r="AA70" s="71"/>
      <c r="AB70" s="71"/>
      <c r="AC70" s="126"/>
      <c r="AD70" s="23"/>
      <c r="AE70" s="23"/>
      <c r="AF70" s="71"/>
      <c r="AG70" s="71"/>
      <c r="AH70" s="71"/>
      <c r="AI70" s="71"/>
      <c r="AJ70" s="71"/>
      <c r="AK70" s="71"/>
      <c r="AL70" s="71"/>
    </row>
    <row r="71" ht="13.5" customHeight="1">
      <c r="A71" s="97"/>
      <c r="B71" s="109"/>
      <c r="C71" s="126"/>
      <c r="D71" s="23"/>
      <c r="E71" s="23"/>
      <c r="F71" s="23"/>
      <c r="G71" s="23"/>
      <c r="H71" s="23"/>
      <c r="I71" s="23"/>
      <c r="J71" s="72"/>
      <c r="K71" s="23"/>
      <c r="L71" s="128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129"/>
      <c r="X71" s="71"/>
      <c r="Y71" s="71"/>
      <c r="Z71" s="71"/>
      <c r="AA71" s="71"/>
      <c r="AB71" s="71"/>
      <c r="AC71" s="126"/>
      <c r="AD71" s="23"/>
      <c r="AE71" s="23"/>
      <c r="AF71" s="71"/>
      <c r="AG71" s="71"/>
      <c r="AH71" s="71"/>
      <c r="AI71" s="71"/>
      <c r="AJ71" s="71"/>
      <c r="AK71" s="71"/>
      <c r="AL71" s="71"/>
    </row>
    <row r="72" ht="13.5" customHeight="1">
      <c r="A72" s="97"/>
      <c r="B72" s="109"/>
      <c r="C72" s="126"/>
      <c r="D72" s="23"/>
      <c r="E72" s="23"/>
      <c r="F72" s="23"/>
      <c r="G72" s="23"/>
      <c r="H72" s="23"/>
      <c r="I72" s="23"/>
      <c r="J72" s="72"/>
      <c r="K72" s="23"/>
      <c r="L72" s="128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129"/>
      <c r="X72" s="71"/>
      <c r="Y72" s="71"/>
      <c r="Z72" s="71"/>
      <c r="AA72" s="71"/>
      <c r="AB72" s="71"/>
      <c r="AC72" s="126"/>
      <c r="AD72" s="23"/>
      <c r="AE72" s="23"/>
      <c r="AF72" s="71"/>
      <c r="AG72" s="71"/>
      <c r="AH72" s="71"/>
      <c r="AI72" s="71"/>
      <c r="AJ72" s="71"/>
      <c r="AK72" s="71"/>
      <c r="AL72" s="71"/>
    </row>
    <row r="73" ht="13.5" customHeight="1">
      <c r="A73" s="97"/>
      <c r="B73" s="109"/>
      <c r="C73" s="126" t="s">
        <v>202</v>
      </c>
      <c r="D73" s="23"/>
      <c r="E73" s="23"/>
      <c r="F73" s="23"/>
      <c r="G73" s="23"/>
      <c r="H73" s="23"/>
      <c r="I73" s="23"/>
      <c r="J73" s="72"/>
      <c r="K73" s="23"/>
      <c r="L73" s="128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129"/>
      <c r="X73" s="71"/>
      <c r="Y73" s="71"/>
      <c r="Z73" s="71"/>
      <c r="AA73" s="71"/>
      <c r="AB73" s="71"/>
      <c r="AC73" s="126"/>
      <c r="AD73" s="23"/>
      <c r="AE73" s="23"/>
      <c r="AF73" s="71"/>
      <c r="AG73" s="71"/>
      <c r="AH73" s="71"/>
      <c r="AI73" s="71"/>
      <c r="AJ73" s="71"/>
      <c r="AK73" s="71"/>
      <c r="AL73" s="71"/>
    </row>
    <row r="74" ht="13.5" customHeight="1">
      <c r="A74" s="97"/>
      <c r="B74" s="109"/>
      <c r="C74" s="126"/>
      <c r="D74" s="23"/>
      <c r="E74" s="23"/>
      <c r="F74" s="23"/>
      <c r="G74" s="23"/>
      <c r="H74" s="23"/>
      <c r="I74" s="23"/>
      <c r="J74" s="72"/>
      <c r="K74" s="23"/>
      <c r="L74" s="128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129"/>
      <c r="X74" s="71"/>
      <c r="Y74" s="71"/>
      <c r="Z74" s="71"/>
      <c r="AA74" s="71"/>
      <c r="AB74" s="71"/>
      <c r="AC74" s="126"/>
      <c r="AD74" s="23"/>
      <c r="AE74" s="23"/>
      <c r="AF74" s="71"/>
      <c r="AG74" s="71"/>
      <c r="AH74" s="71"/>
      <c r="AI74" s="71"/>
      <c r="AJ74" s="71"/>
      <c r="AK74" s="71"/>
      <c r="AL74" s="71"/>
    </row>
    <row r="75" ht="13.5" customHeight="1">
      <c r="A75" s="97"/>
      <c r="B75" s="109"/>
      <c r="C75" s="126"/>
      <c r="D75" s="23"/>
      <c r="E75" s="23"/>
      <c r="F75" s="23"/>
      <c r="G75" s="23"/>
      <c r="H75" s="23"/>
      <c r="I75" s="23"/>
      <c r="J75" s="72"/>
      <c r="K75" s="23"/>
      <c r="L75" s="128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129"/>
      <c r="X75" s="71"/>
      <c r="Y75" s="71"/>
      <c r="Z75" s="71"/>
      <c r="AA75" s="71"/>
      <c r="AB75" s="71"/>
      <c r="AC75" s="126"/>
      <c r="AD75" s="23"/>
      <c r="AE75" s="23"/>
      <c r="AF75" s="71"/>
      <c r="AG75" s="71"/>
      <c r="AH75" s="71"/>
      <c r="AI75" s="71"/>
      <c r="AJ75" s="71"/>
      <c r="AK75" s="71"/>
      <c r="AL75" s="71"/>
    </row>
    <row r="76" ht="13.5" customHeight="1">
      <c r="A76" s="97"/>
      <c r="B76" s="109"/>
      <c r="C76" s="126"/>
      <c r="D76" s="23"/>
      <c r="E76" s="23"/>
      <c r="F76" s="23"/>
      <c r="G76" s="23"/>
      <c r="H76" s="23"/>
      <c r="I76" s="23"/>
      <c r="J76" s="72"/>
      <c r="K76" s="23"/>
      <c r="L76" s="128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129"/>
      <c r="X76" s="71"/>
      <c r="Y76" s="71"/>
      <c r="Z76" s="71"/>
      <c r="AA76" s="71"/>
      <c r="AB76" s="71"/>
      <c r="AC76" s="126"/>
      <c r="AD76" s="23"/>
      <c r="AE76" s="23"/>
      <c r="AF76" s="71"/>
      <c r="AG76" s="71"/>
      <c r="AH76" s="71"/>
      <c r="AI76" s="71"/>
      <c r="AJ76" s="71"/>
      <c r="AK76" s="71"/>
      <c r="AL76" s="71"/>
    </row>
    <row r="77" ht="13.5" customHeight="1">
      <c r="A77" s="97"/>
      <c r="B77" s="109"/>
      <c r="C77" s="126"/>
      <c r="D77" s="23"/>
      <c r="E77" s="23"/>
      <c r="F77" s="23"/>
      <c r="G77" s="23"/>
      <c r="H77" s="23"/>
      <c r="I77" s="23"/>
      <c r="J77" s="72"/>
      <c r="K77" s="23"/>
      <c r="L77" s="128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129"/>
      <c r="X77" s="71"/>
      <c r="Y77" s="71"/>
      <c r="Z77" s="71"/>
      <c r="AA77" s="71"/>
      <c r="AB77" s="71"/>
      <c r="AC77" s="126"/>
      <c r="AD77" s="23"/>
      <c r="AE77" s="23"/>
      <c r="AF77" s="71"/>
      <c r="AG77" s="71"/>
      <c r="AH77" s="71"/>
      <c r="AI77" s="71"/>
      <c r="AJ77" s="71"/>
      <c r="AK77" s="71"/>
      <c r="AL77" s="71"/>
    </row>
    <row r="78" ht="13.5" customHeight="1">
      <c r="A78" s="97"/>
      <c r="B78" s="109"/>
      <c r="C78" s="126"/>
      <c r="D78" s="23"/>
      <c r="E78" s="23"/>
      <c r="F78" s="23"/>
      <c r="G78" s="23"/>
      <c r="H78" s="23"/>
      <c r="I78" s="23"/>
      <c r="J78" s="72"/>
      <c r="K78" s="23"/>
      <c r="L78" s="128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129"/>
      <c r="X78" s="71"/>
      <c r="Y78" s="71"/>
      <c r="Z78" s="71"/>
      <c r="AA78" s="71"/>
      <c r="AB78" s="71"/>
      <c r="AC78" s="126"/>
      <c r="AD78" s="23"/>
      <c r="AE78" s="23"/>
      <c r="AF78" s="71"/>
      <c r="AG78" s="71"/>
      <c r="AH78" s="71"/>
      <c r="AI78" s="71"/>
      <c r="AJ78" s="71"/>
      <c r="AK78" s="71"/>
      <c r="AL78" s="71"/>
    </row>
    <row r="79" ht="13.5" customHeight="1">
      <c r="A79" s="97"/>
      <c r="B79" s="109"/>
      <c r="C79" s="126"/>
      <c r="D79" s="23"/>
      <c r="E79" s="23"/>
      <c r="F79" s="23"/>
      <c r="G79" s="23"/>
      <c r="H79" s="23"/>
      <c r="I79" s="23"/>
      <c r="J79" s="72"/>
      <c r="K79" s="23"/>
      <c r="L79" s="128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129"/>
      <c r="X79" s="71"/>
      <c r="Y79" s="71"/>
      <c r="Z79" s="71"/>
      <c r="AA79" s="71"/>
      <c r="AB79" s="71"/>
      <c r="AC79" s="126"/>
      <c r="AD79" s="23"/>
      <c r="AE79" s="23"/>
      <c r="AF79" s="71"/>
      <c r="AG79" s="71"/>
      <c r="AH79" s="71"/>
      <c r="AI79" s="71"/>
      <c r="AJ79" s="71"/>
      <c r="AK79" s="71"/>
      <c r="AL79" s="71"/>
    </row>
    <row r="80" ht="13.5" customHeight="1">
      <c r="A80" s="97"/>
      <c r="B80" s="109"/>
      <c r="C80" s="126"/>
      <c r="D80" s="23"/>
      <c r="E80" s="23"/>
      <c r="F80" s="23"/>
      <c r="G80" s="23"/>
      <c r="H80" s="23"/>
      <c r="I80" s="23"/>
      <c r="J80" s="72"/>
      <c r="K80" s="23"/>
      <c r="L80" s="128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129"/>
      <c r="X80" s="71"/>
      <c r="Y80" s="71"/>
      <c r="Z80" s="71"/>
      <c r="AA80" s="71"/>
      <c r="AB80" s="71"/>
      <c r="AC80" s="126"/>
      <c r="AD80" s="23"/>
      <c r="AE80" s="23"/>
      <c r="AF80" s="71"/>
      <c r="AG80" s="71"/>
      <c r="AH80" s="71"/>
      <c r="AI80" s="71"/>
      <c r="AJ80" s="71"/>
      <c r="AK80" s="71"/>
      <c r="AL80" s="71"/>
    </row>
    <row r="81" ht="13.5" customHeight="1">
      <c r="A81" s="97"/>
      <c r="B81" s="109"/>
      <c r="C81" s="126"/>
      <c r="D81" s="23"/>
      <c r="E81" s="23"/>
      <c r="F81" s="23"/>
      <c r="G81" s="23"/>
      <c r="H81" s="23"/>
      <c r="I81" s="23"/>
      <c r="J81" s="72"/>
      <c r="K81" s="23"/>
      <c r="L81" s="128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129"/>
      <c r="X81" s="71"/>
      <c r="Y81" s="71"/>
      <c r="Z81" s="71"/>
      <c r="AA81" s="71"/>
      <c r="AB81" s="71"/>
      <c r="AC81" s="126"/>
      <c r="AD81" s="23"/>
      <c r="AE81" s="23"/>
      <c r="AF81" s="71"/>
      <c r="AG81" s="71"/>
      <c r="AH81" s="71"/>
      <c r="AI81" s="71"/>
      <c r="AJ81" s="71"/>
      <c r="AK81" s="71"/>
      <c r="AL81" s="71"/>
    </row>
    <row r="82" ht="13.5" customHeight="1">
      <c r="A82" s="97"/>
      <c r="B82" s="109"/>
      <c r="C82" s="126"/>
      <c r="D82" s="23"/>
      <c r="E82" s="23"/>
      <c r="F82" s="23"/>
      <c r="G82" s="23"/>
      <c r="H82" s="23"/>
      <c r="I82" s="23"/>
      <c r="J82" s="72"/>
      <c r="K82" s="23"/>
      <c r="L82" s="128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129"/>
      <c r="X82" s="71"/>
      <c r="Y82" s="71"/>
      <c r="Z82" s="71"/>
      <c r="AA82" s="71"/>
      <c r="AB82" s="71"/>
      <c r="AC82" s="126"/>
      <c r="AD82" s="23"/>
      <c r="AE82" s="23"/>
      <c r="AF82" s="71"/>
      <c r="AG82" s="71"/>
      <c r="AH82" s="71"/>
      <c r="AI82" s="71"/>
      <c r="AJ82" s="71"/>
      <c r="AK82" s="71"/>
      <c r="AL82" s="71"/>
    </row>
    <row r="83" ht="13.5" customHeight="1">
      <c r="A83" s="97"/>
      <c r="B83" s="109"/>
      <c r="C83" s="126"/>
      <c r="D83" s="23"/>
      <c r="E83" s="23"/>
      <c r="F83" s="23"/>
      <c r="G83" s="23"/>
      <c r="H83" s="23"/>
      <c r="I83" s="23"/>
      <c r="J83" s="72"/>
      <c r="K83" s="23"/>
      <c r="L83" s="128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129"/>
      <c r="X83" s="71"/>
      <c r="Y83" s="71"/>
      <c r="Z83" s="71"/>
      <c r="AA83" s="71"/>
      <c r="AB83" s="71"/>
      <c r="AC83" s="126"/>
      <c r="AD83" s="23"/>
      <c r="AE83" s="23"/>
      <c r="AF83" s="71"/>
      <c r="AG83" s="71"/>
      <c r="AH83" s="71"/>
      <c r="AI83" s="71"/>
      <c r="AJ83" s="71"/>
      <c r="AK83" s="71"/>
      <c r="AL83" s="71"/>
    </row>
    <row r="84" ht="13.5" customHeight="1">
      <c r="A84" s="97"/>
      <c r="B84" s="109"/>
      <c r="C84" s="126"/>
      <c r="D84" s="23"/>
      <c r="E84" s="23"/>
      <c r="F84" s="23"/>
      <c r="G84" s="23"/>
      <c r="H84" s="23"/>
      <c r="I84" s="23"/>
      <c r="J84" s="72"/>
      <c r="K84" s="23"/>
      <c r="L84" s="128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129"/>
      <c r="X84" s="71"/>
      <c r="Y84" s="71"/>
      <c r="Z84" s="71"/>
      <c r="AA84" s="71"/>
      <c r="AB84" s="71"/>
      <c r="AC84" s="126"/>
      <c r="AD84" s="23"/>
      <c r="AE84" s="23"/>
      <c r="AF84" s="71"/>
      <c r="AG84" s="71"/>
      <c r="AH84" s="71"/>
      <c r="AI84" s="71"/>
      <c r="AJ84" s="71"/>
      <c r="AK84" s="71"/>
      <c r="AL84" s="71"/>
    </row>
    <row r="85" ht="13.5" customHeight="1">
      <c r="A85" s="97"/>
      <c r="B85" s="109"/>
      <c r="C85" s="126"/>
      <c r="D85" s="23"/>
      <c r="E85" s="23"/>
      <c r="F85" s="23"/>
      <c r="G85" s="23"/>
      <c r="H85" s="23"/>
      <c r="I85" s="23"/>
      <c r="J85" s="72"/>
      <c r="K85" s="23"/>
      <c r="L85" s="128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129"/>
      <c r="X85" s="71"/>
      <c r="Y85" s="71"/>
      <c r="Z85" s="71"/>
      <c r="AA85" s="71"/>
      <c r="AB85" s="71"/>
      <c r="AC85" s="126"/>
      <c r="AD85" s="23"/>
      <c r="AE85" s="23"/>
      <c r="AF85" s="71"/>
      <c r="AG85" s="71"/>
      <c r="AH85" s="71"/>
      <c r="AI85" s="71"/>
      <c r="AJ85" s="71"/>
      <c r="AK85" s="71"/>
      <c r="AL85" s="71"/>
    </row>
    <row r="86" ht="13.5" customHeight="1">
      <c r="A86" s="97"/>
      <c r="B86" s="109"/>
      <c r="C86" s="126"/>
      <c r="D86" s="23"/>
      <c r="E86" s="23"/>
      <c r="F86" s="23"/>
      <c r="G86" s="23"/>
      <c r="H86" s="23"/>
      <c r="I86" s="23"/>
      <c r="J86" s="72"/>
      <c r="K86" s="23"/>
      <c r="L86" s="128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129"/>
      <c r="X86" s="71"/>
      <c r="Y86" s="71"/>
      <c r="Z86" s="71"/>
      <c r="AA86" s="71"/>
      <c r="AB86" s="71"/>
      <c r="AC86" s="126"/>
      <c r="AD86" s="23"/>
      <c r="AE86" s="23"/>
      <c r="AF86" s="71"/>
      <c r="AG86" s="71"/>
      <c r="AH86" s="71"/>
      <c r="AI86" s="71"/>
      <c r="AJ86" s="71"/>
      <c r="AK86" s="71"/>
      <c r="AL86" s="71"/>
    </row>
    <row r="87" ht="13.5" customHeight="1">
      <c r="A87" s="97"/>
      <c r="B87" s="109"/>
      <c r="C87" s="126"/>
      <c r="D87" s="23"/>
      <c r="E87" s="23"/>
      <c r="F87" s="23"/>
      <c r="G87" s="23"/>
      <c r="H87" s="23"/>
      <c r="I87" s="23"/>
      <c r="J87" s="72"/>
      <c r="K87" s="23"/>
      <c r="L87" s="128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129"/>
      <c r="X87" s="71"/>
      <c r="Y87" s="71"/>
      <c r="Z87" s="71"/>
      <c r="AA87" s="71"/>
      <c r="AB87" s="71"/>
      <c r="AC87" s="126"/>
      <c r="AD87" s="23"/>
      <c r="AE87" s="23"/>
      <c r="AF87" s="71"/>
      <c r="AG87" s="71"/>
      <c r="AH87" s="71"/>
      <c r="AI87" s="71"/>
      <c r="AJ87" s="71"/>
      <c r="AK87" s="71"/>
      <c r="AL87" s="71"/>
    </row>
    <row r="88" ht="13.5" customHeight="1">
      <c r="A88" s="97"/>
      <c r="B88" s="109"/>
      <c r="C88" s="126"/>
      <c r="D88" s="23"/>
      <c r="E88" s="23"/>
      <c r="F88" s="23"/>
      <c r="G88" s="23"/>
      <c r="H88" s="23"/>
      <c r="I88" s="23"/>
      <c r="J88" s="72"/>
      <c r="K88" s="23"/>
      <c r="L88" s="128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129"/>
      <c r="X88" s="71"/>
      <c r="Y88" s="71"/>
      <c r="Z88" s="71"/>
      <c r="AA88" s="71"/>
      <c r="AB88" s="71"/>
      <c r="AC88" s="126"/>
      <c r="AD88" s="23"/>
      <c r="AE88" s="23"/>
      <c r="AF88" s="71"/>
      <c r="AG88" s="71"/>
      <c r="AH88" s="71"/>
      <c r="AI88" s="71"/>
      <c r="AJ88" s="71"/>
      <c r="AK88" s="71"/>
      <c r="AL88" s="71"/>
    </row>
    <row r="89" ht="13.5" customHeight="1">
      <c r="A89" s="97"/>
      <c r="B89" s="109"/>
      <c r="C89" s="126"/>
      <c r="D89" s="23"/>
      <c r="E89" s="23"/>
      <c r="F89" s="23"/>
      <c r="G89" s="23"/>
      <c r="H89" s="23"/>
      <c r="I89" s="23"/>
      <c r="J89" s="72"/>
      <c r="K89" s="23"/>
      <c r="L89" s="128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129"/>
      <c r="X89" s="71"/>
      <c r="Y89" s="71"/>
      <c r="Z89" s="71"/>
      <c r="AA89" s="71"/>
      <c r="AB89" s="71"/>
      <c r="AC89" s="126"/>
      <c r="AD89" s="23"/>
      <c r="AE89" s="23"/>
      <c r="AF89" s="71"/>
      <c r="AG89" s="71"/>
      <c r="AH89" s="71"/>
      <c r="AI89" s="71"/>
      <c r="AJ89" s="71"/>
      <c r="AK89" s="71"/>
      <c r="AL89" s="71"/>
    </row>
    <row r="90" ht="13.5" customHeight="1">
      <c r="A90" s="97"/>
      <c r="B90" s="109"/>
      <c r="C90" s="126"/>
      <c r="D90" s="23"/>
      <c r="E90" s="23"/>
      <c r="F90" s="23"/>
      <c r="G90" s="23"/>
      <c r="H90" s="23"/>
      <c r="I90" s="23"/>
      <c r="J90" s="72"/>
      <c r="K90" s="23"/>
      <c r="L90" s="128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129"/>
      <c r="X90" s="71"/>
      <c r="Y90" s="71"/>
      <c r="Z90" s="71"/>
      <c r="AA90" s="71"/>
      <c r="AB90" s="71"/>
      <c r="AC90" s="126"/>
      <c r="AD90" s="23"/>
      <c r="AE90" s="23"/>
      <c r="AF90" s="71"/>
      <c r="AG90" s="71"/>
      <c r="AH90" s="71"/>
      <c r="AI90" s="71"/>
      <c r="AJ90" s="71"/>
      <c r="AK90" s="71"/>
      <c r="AL90" s="71"/>
    </row>
    <row r="91" ht="13.5" customHeight="1">
      <c r="A91" s="97"/>
      <c r="B91" s="109"/>
      <c r="C91" s="126"/>
      <c r="D91" s="23"/>
      <c r="E91" s="23"/>
      <c r="F91" s="23"/>
      <c r="G91" s="23"/>
      <c r="H91" s="23"/>
      <c r="I91" s="23"/>
      <c r="J91" s="72"/>
      <c r="K91" s="23"/>
      <c r="L91" s="128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129"/>
      <c r="X91" s="71"/>
      <c r="Y91" s="71"/>
      <c r="Z91" s="71"/>
      <c r="AA91" s="71"/>
      <c r="AB91" s="71"/>
      <c r="AC91" s="126"/>
      <c r="AD91" s="23"/>
      <c r="AE91" s="23"/>
      <c r="AF91" s="71"/>
      <c r="AG91" s="71"/>
      <c r="AH91" s="71"/>
      <c r="AI91" s="71"/>
      <c r="AJ91" s="71"/>
      <c r="AK91" s="71"/>
      <c r="AL91" s="71"/>
    </row>
    <row r="92" ht="13.5" customHeight="1">
      <c r="A92" s="97"/>
      <c r="B92" s="109"/>
      <c r="C92" s="126"/>
      <c r="D92" s="23"/>
      <c r="E92" s="23"/>
      <c r="F92" s="23"/>
      <c r="G92" s="23"/>
      <c r="H92" s="23"/>
      <c r="I92" s="23"/>
      <c r="J92" s="72"/>
      <c r="K92" s="23"/>
      <c r="L92" s="128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129"/>
      <c r="X92" s="71"/>
      <c r="Y92" s="71"/>
      <c r="Z92" s="71"/>
      <c r="AA92" s="71"/>
      <c r="AB92" s="71"/>
      <c r="AC92" s="126"/>
      <c r="AD92" s="23"/>
      <c r="AE92" s="23"/>
      <c r="AF92" s="71"/>
      <c r="AG92" s="71"/>
      <c r="AH92" s="71"/>
      <c r="AI92" s="71"/>
      <c r="AJ92" s="71"/>
      <c r="AK92" s="71"/>
      <c r="AL92" s="71"/>
    </row>
    <row r="93" ht="13.5" customHeight="1">
      <c r="A93" s="97"/>
      <c r="B93" s="109"/>
      <c r="C93" s="126"/>
      <c r="D93" s="23"/>
      <c r="E93" s="23"/>
      <c r="F93" s="23"/>
      <c r="G93" s="23"/>
      <c r="H93" s="23"/>
      <c r="I93" s="23"/>
      <c r="J93" s="72"/>
      <c r="K93" s="23"/>
      <c r="L93" s="128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29"/>
      <c r="X93" s="71"/>
      <c r="Y93" s="71"/>
      <c r="Z93" s="71"/>
      <c r="AA93" s="71"/>
      <c r="AB93" s="71"/>
      <c r="AC93" s="126"/>
      <c r="AD93" s="23"/>
      <c r="AE93" s="23"/>
      <c r="AF93" s="71"/>
      <c r="AG93" s="71"/>
      <c r="AH93" s="71"/>
      <c r="AI93" s="71"/>
      <c r="AJ93" s="71"/>
      <c r="AK93" s="71"/>
      <c r="AL93" s="71"/>
    </row>
    <row r="94" ht="13.5" customHeight="1">
      <c r="A94" s="97"/>
      <c r="B94" s="109"/>
      <c r="C94" s="126"/>
      <c r="D94" s="23"/>
      <c r="E94" s="23"/>
      <c r="F94" s="23"/>
      <c r="G94" s="23"/>
      <c r="H94" s="23"/>
      <c r="I94" s="23"/>
      <c r="J94" s="72"/>
      <c r="K94" s="23"/>
      <c r="L94" s="128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129"/>
      <c r="X94" s="71"/>
      <c r="Y94" s="71"/>
      <c r="Z94" s="71"/>
      <c r="AA94" s="71"/>
      <c r="AB94" s="71"/>
      <c r="AC94" s="126"/>
      <c r="AD94" s="23"/>
      <c r="AE94" s="23"/>
      <c r="AF94" s="71"/>
      <c r="AG94" s="71"/>
      <c r="AH94" s="71"/>
      <c r="AI94" s="71"/>
      <c r="AJ94" s="71"/>
      <c r="AK94" s="71"/>
      <c r="AL94" s="71"/>
    </row>
    <row r="95" ht="13.5" customHeight="1">
      <c r="A95" s="97"/>
      <c r="B95" s="109"/>
      <c r="C95" s="126"/>
      <c r="D95" s="23"/>
      <c r="E95" s="23"/>
      <c r="F95" s="23"/>
      <c r="G95" s="23"/>
      <c r="H95" s="23"/>
      <c r="I95" s="23"/>
      <c r="J95" s="72"/>
      <c r="K95" s="23"/>
      <c r="L95" s="128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129"/>
      <c r="X95" s="71"/>
      <c r="Y95" s="71"/>
      <c r="Z95" s="71"/>
      <c r="AA95" s="71"/>
      <c r="AB95" s="71"/>
      <c r="AC95" s="126"/>
      <c r="AD95" s="23"/>
      <c r="AE95" s="23"/>
      <c r="AF95" s="71"/>
      <c r="AG95" s="71"/>
      <c r="AH95" s="71"/>
      <c r="AI95" s="71"/>
      <c r="AJ95" s="71"/>
      <c r="AK95" s="71"/>
      <c r="AL95" s="71"/>
    </row>
    <row r="96" ht="13.5" customHeight="1">
      <c r="A96" s="97"/>
      <c r="B96" s="109"/>
      <c r="C96" s="126"/>
      <c r="D96" s="23"/>
      <c r="E96" s="23"/>
      <c r="F96" s="23"/>
      <c r="G96" s="23"/>
      <c r="H96" s="23"/>
      <c r="I96" s="23"/>
      <c r="J96" s="72"/>
      <c r="K96" s="23"/>
      <c r="L96" s="128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129"/>
      <c r="X96" s="71"/>
      <c r="Y96" s="71"/>
      <c r="Z96" s="71"/>
      <c r="AA96" s="71"/>
      <c r="AB96" s="71"/>
      <c r="AC96" s="126"/>
      <c r="AD96" s="23"/>
      <c r="AE96" s="23"/>
      <c r="AF96" s="71"/>
      <c r="AG96" s="71"/>
      <c r="AH96" s="71"/>
      <c r="AI96" s="71"/>
      <c r="AJ96" s="71"/>
      <c r="AK96" s="71"/>
      <c r="AL96" s="71"/>
    </row>
    <row r="97" ht="13.5" customHeight="1">
      <c r="A97" s="97"/>
      <c r="B97" s="109"/>
      <c r="C97" s="126"/>
      <c r="D97" s="23"/>
      <c r="E97" s="23"/>
      <c r="F97" s="23"/>
      <c r="G97" s="23"/>
      <c r="H97" s="23"/>
      <c r="I97" s="23"/>
      <c r="J97" s="72"/>
      <c r="K97" s="23"/>
      <c r="L97" s="128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129"/>
      <c r="X97" s="71"/>
      <c r="Y97" s="71"/>
      <c r="Z97" s="71"/>
      <c r="AA97" s="71"/>
      <c r="AB97" s="71"/>
      <c r="AC97" s="126"/>
      <c r="AD97" s="23"/>
      <c r="AE97" s="23"/>
      <c r="AF97" s="71"/>
      <c r="AG97" s="71"/>
      <c r="AH97" s="71"/>
      <c r="AI97" s="71"/>
      <c r="AJ97" s="71"/>
      <c r="AK97" s="71"/>
      <c r="AL97" s="71"/>
    </row>
    <row r="98" ht="13.5" customHeight="1">
      <c r="A98" s="97"/>
      <c r="B98" s="109"/>
      <c r="C98" s="126"/>
      <c r="D98" s="23"/>
      <c r="E98" s="23"/>
      <c r="F98" s="23"/>
      <c r="G98" s="23"/>
      <c r="H98" s="23"/>
      <c r="I98" s="23"/>
      <c r="J98" s="72"/>
      <c r="K98" s="23"/>
      <c r="L98" s="128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129"/>
      <c r="X98" s="71"/>
      <c r="Y98" s="71"/>
      <c r="Z98" s="71"/>
      <c r="AA98" s="71"/>
      <c r="AB98" s="71"/>
      <c r="AC98" s="126"/>
      <c r="AD98" s="23"/>
      <c r="AE98" s="23"/>
      <c r="AF98" s="71"/>
      <c r="AG98" s="71"/>
      <c r="AH98" s="71"/>
      <c r="AI98" s="71"/>
      <c r="AJ98" s="71"/>
      <c r="AK98" s="71"/>
      <c r="AL98" s="71"/>
    </row>
    <row r="99" ht="13.5" customHeight="1">
      <c r="A99" s="97"/>
      <c r="B99" s="109"/>
      <c r="C99" s="126"/>
      <c r="D99" s="23"/>
      <c r="E99" s="23"/>
      <c r="F99" s="23"/>
      <c r="G99" s="23"/>
      <c r="H99" s="23"/>
      <c r="I99" s="23"/>
      <c r="J99" s="72"/>
      <c r="K99" s="23"/>
      <c r="L99" s="128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129"/>
      <c r="X99" s="71"/>
      <c r="Y99" s="71"/>
      <c r="Z99" s="71"/>
      <c r="AA99" s="71"/>
      <c r="AB99" s="71"/>
      <c r="AC99" s="126"/>
      <c r="AD99" s="23"/>
      <c r="AE99" s="23"/>
      <c r="AF99" s="71"/>
      <c r="AG99" s="71"/>
      <c r="AH99" s="71"/>
      <c r="AI99" s="71"/>
      <c r="AJ99" s="71"/>
      <c r="AK99" s="71"/>
      <c r="AL99" s="71"/>
    </row>
    <row r="100" ht="13.5" customHeight="1">
      <c r="A100" s="97"/>
      <c r="B100" s="109"/>
      <c r="C100" s="126"/>
      <c r="D100" s="23"/>
      <c r="E100" s="23"/>
      <c r="F100" s="23"/>
      <c r="G100" s="23"/>
      <c r="H100" s="23"/>
      <c r="I100" s="23"/>
      <c r="J100" s="72"/>
      <c r="K100" s="23"/>
      <c r="L100" s="128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129"/>
      <c r="X100" s="71"/>
      <c r="Y100" s="71"/>
      <c r="Z100" s="71"/>
      <c r="AA100" s="71"/>
      <c r="AB100" s="71"/>
      <c r="AC100" s="126"/>
      <c r="AD100" s="23"/>
      <c r="AE100" s="23"/>
      <c r="AF100" s="71"/>
      <c r="AG100" s="71"/>
      <c r="AH100" s="71"/>
      <c r="AI100" s="71"/>
      <c r="AJ100" s="71"/>
      <c r="AK100" s="71"/>
      <c r="AL100" s="71"/>
    </row>
    <row r="101" ht="13.5" customHeight="1">
      <c r="A101" s="97"/>
      <c r="B101" s="109"/>
      <c r="C101" s="126"/>
      <c r="D101" s="23"/>
      <c r="E101" s="23"/>
      <c r="F101" s="23"/>
      <c r="G101" s="23"/>
      <c r="H101" s="23"/>
      <c r="I101" s="23"/>
      <c r="J101" s="72"/>
      <c r="K101" s="23"/>
      <c r="L101" s="128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129"/>
      <c r="X101" s="71"/>
      <c r="Y101" s="71"/>
      <c r="Z101" s="71"/>
      <c r="AA101" s="71"/>
      <c r="AB101" s="71"/>
      <c r="AC101" s="126"/>
      <c r="AD101" s="23"/>
      <c r="AE101" s="23"/>
      <c r="AF101" s="71"/>
      <c r="AG101" s="71"/>
      <c r="AH101" s="71"/>
      <c r="AI101" s="71"/>
      <c r="AJ101" s="71"/>
      <c r="AK101" s="71"/>
      <c r="AL101" s="71"/>
    </row>
    <row r="102" ht="13.5" customHeight="1">
      <c r="A102" s="97"/>
      <c r="B102" s="109"/>
      <c r="C102" s="126"/>
      <c r="D102" s="23"/>
      <c r="E102" s="23"/>
      <c r="F102" s="23"/>
      <c r="G102" s="23"/>
      <c r="H102" s="23"/>
      <c r="I102" s="23"/>
      <c r="J102" s="72"/>
      <c r="K102" s="23"/>
      <c r="L102" s="128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129"/>
      <c r="X102" s="71"/>
      <c r="Y102" s="71"/>
      <c r="Z102" s="71"/>
      <c r="AA102" s="71"/>
      <c r="AB102" s="71"/>
      <c r="AC102" s="126"/>
      <c r="AD102" s="23"/>
      <c r="AE102" s="23"/>
      <c r="AF102" s="71"/>
      <c r="AG102" s="71"/>
      <c r="AH102" s="71"/>
      <c r="AI102" s="71"/>
      <c r="AJ102" s="71"/>
      <c r="AK102" s="71"/>
      <c r="AL102" s="71"/>
    </row>
    <row r="103" ht="13.5" customHeight="1">
      <c r="A103" s="97"/>
      <c r="B103" s="109"/>
      <c r="C103" s="126"/>
      <c r="D103" s="23"/>
      <c r="E103" s="23"/>
      <c r="F103" s="23"/>
      <c r="G103" s="23"/>
      <c r="H103" s="23"/>
      <c r="I103" s="23"/>
      <c r="J103" s="72"/>
      <c r="K103" s="23"/>
      <c r="L103" s="128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129"/>
      <c r="X103" s="71"/>
      <c r="Y103" s="71"/>
      <c r="Z103" s="71"/>
      <c r="AA103" s="71"/>
      <c r="AB103" s="71"/>
      <c r="AC103" s="126"/>
      <c r="AD103" s="23"/>
      <c r="AE103" s="23"/>
      <c r="AF103" s="71"/>
      <c r="AG103" s="71"/>
      <c r="AH103" s="71"/>
      <c r="AI103" s="71"/>
      <c r="AJ103" s="71"/>
      <c r="AK103" s="71"/>
      <c r="AL103" s="71"/>
    </row>
    <row r="104" ht="13.5" customHeight="1">
      <c r="A104" s="97"/>
      <c r="B104" s="109"/>
      <c r="C104" s="126"/>
      <c r="D104" s="23"/>
      <c r="E104" s="23"/>
      <c r="F104" s="23"/>
      <c r="G104" s="23"/>
      <c r="H104" s="23"/>
      <c r="I104" s="23"/>
      <c r="J104" s="72"/>
      <c r="K104" s="23"/>
      <c r="L104" s="128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129"/>
      <c r="X104" s="71"/>
      <c r="Y104" s="71"/>
      <c r="Z104" s="71"/>
      <c r="AA104" s="71"/>
      <c r="AB104" s="71"/>
      <c r="AC104" s="126"/>
      <c r="AD104" s="23"/>
      <c r="AE104" s="23"/>
      <c r="AF104" s="71"/>
      <c r="AG104" s="71"/>
      <c r="AH104" s="71"/>
      <c r="AI104" s="71"/>
      <c r="AJ104" s="71"/>
      <c r="AK104" s="71"/>
      <c r="AL104" s="71"/>
    </row>
    <row r="105" ht="13.5" customHeight="1">
      <c r="A105" s="97"/>
      <c r="B105" s="109"/>
      <c r="C105" s="126"/>
      <c r="D105" s="23"/>
      <c r="E105" s="23"/>
      <c r="F105" s="23"/>
      <c r="G105" s="23"/>
      <c r="H105" s="23"/>
      <c r="I105" s="23"/>
      <c r="J105" s="72"/>
      <c r="K105" s="23"/>
      <c r="L105" s="128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129"/>
      <c r="X105" s="71"/>
      <c r="Y105" s="71"/>
      <c r="Z105" s="71"/>
      <c r="AA105" s="71"/>
      <c r="AB105" s="71"/>
      <c r="AC105" s="126"/>
      <c r="AD105" s="23"/>
      <c r="AE105" s="23"/>
      <c r="AF105" s="71"/>
      <c r="AG105" s="71"/>
      <c r="AH105" s="71"/>
      <c r="AI105" s="71"/>
      <c r="AJ105" s="71"/>
      <c r="AK105" s="71"/>
      <c r="AL105" s="71"/>
    </row>
    <row r="106" ht="13.5" customHeight="1">
      <c r="A106" s="97"/>
      <c r="B106" s="109"/>
      <c r="C106" s="126"/>
      <c r="D106" s="23"/>
      <c r="E106" s="23"/>
      <c r="F106" s="23"/>
      <c r="G106" s="23"/>
      <c r="H106" s="23"/>
      <c r="I106" s="23"/>
      <c r="J106" s="72"/>
      <c r="K106" s="23"/>
      <c r="L106" s="128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129"/>
      <c r="X106" s="71"/>
      <c r="Y106" s="71"/>
      <c r="Z106" s="71"/>
      <c r="AA106" s="71"/>
      <c r="AB106" s="71"/>
      <c r="AC106" s="126"/>
      <c r="AD106" s="23"/>
      <c r="AE106" s="23"/>
      <c r="AF106" s="71"/>
      <c r="AG106" s="71"/>
      <c r="AH106" s="71"/>
      <c r="AI106" s="71"/>
      <c r="AJ106" s="71"/>
      <c r="AK106" s="71"/>
      <c r="AL106" s="71"/>
    </row>
    <row r="107" ht="13.5" customHeight="1">
      <c r="A107" s="97"/>
      <c r="B107" s="109"/>
      <c r="C107" s="126"/>
      <c r="D107" s="23"/>
      <c r="E107" s="23"/>
      <c r="F107" s="23"/>
      <c r="G107" s="23"/>
      <c r="H107" s="23"/>
      <c r="I107" s="23"/>
      <c r="J107" s="72"/>
      <c r="K107" s="23"/>
      <c r="L107" s="128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129"/>
      <c r="X107" s="71"/>
      <c r="Y107" s="71"/>
      <c r="Z107" s="71"/>
      <c r="AA107" s="71"/>
      <c r="AB107" s="71"/>
      <c r="AC107" s="126"/>
      <c r="AD107" s="23"/>
      <c r="AE107" s="23"/>
      <c r="AF107" s="71"/>
      <c r="AG107" s="71"/>
      <c r="AH107" s="71"/>
      <c r="AI107" s="71"/>
      <c r="AJ107" s="71"/>
      <c r="AK107" s="71"/>
      <c r="AL107" s="71"/>
    </row>
    <row r="108" ht="13.5" customHeight="1">
      <c r="A108" s="97"/>
      <c r="B108" s="109"/>
      <c r="C108" s="126"/>
      <c r="D108" s="23"/>
      <c r="E108" s="23"/>
      <c r="F108" s="23"/>
      <c r="G108" s="23"/>
      <c r="H108" s="23"/>
      <c r="I108" s="23"/>
      <c r="J108" s="72"/>
      <c r="K108" s="23"/>
      <c r="L108" s="128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129"/>
      <c r="X108" s="71"/>
      <c r="Y108" s="71"/>
      <c r="Z108" s="71"/>
      <c r="AA108" s="71"/>
      <c r="AB108" s="71"/>
      <c r="AC108" s="126"/>
      <c r="AD108" s="23"/>
      <c r="AE108" s="23"/>
      <c r="AF108" s="71"/>
      <c r="AG108" s="71"/>
      <c r="AH108" s="71"/>
      <c r="AI108" s="71"/>
      <c r="AJ108" s="71"/>
      <c r="AK108" s="71"/>
      <c r="AL108" s="71"/>
    </row>
    <row r="109" ht="13.5" customHeight="1">
      <c r="A109" s="97"/>
      <c r="B109" s="109"/>
      <c r="C109" s="126"/>
      <c r="D109" s="23"/>
      <c r="E109" s="23"/>
      <c r="F109" s="23"/>
      <c r="G109" s="23"/>
      <c r="H109" s="23"/>
      <c r="I109" s="23"/>
      <c r="J109" s="72"/>
      <c r="K109" s="23"/>
      <c r="L109" s="128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129"/>
      <c r="X109" s="71"/>
      <c r="Y109" s="71"/>
      <c r="Z109" s="71"/>
      <c r="AA109" s="71"/>
      <c r="AB109" s="71"/>
      <c r="AC109" s="126"/>
      <c r="AD109" s="23"/>
      <c r="AE109" s="23"/>
      <c r="AF109" s="71"/>
      <c r="AG109" s="71"/>
      <c r="AH109" s="71"/>
      <c r="AI109" s="71"/>
      <c r="AJ109" s="71"/>
      <c r="AK109" s="71"/>
      <c r="AL109" s="71"/>
    </row>
    <row r="110" ht="13.5" customHeight="1">
      <c r="A110" s="97"/>
      <c r="B110" s="109"/>
      <c r="C110" s="126"/>
      <c r="D110" s="23"/>
      <c r="E110" s="23"/>
      <c r="F110" s="23"/>
      <c r="G110" s="23"/>
      <c r="H110" s="23"/>
      <c r="I110" s="23"/>
      <c r="J110" s="72"/>
      <c r="K110" s="23"/>
      <c r="L110" s="128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129"/>
      <c r="X110" s="71"/>
      <c r="Y110" s="71"/>
      <c r="Z110" s="71"/>
      <c r="AA110" s="71"/>
      <c r="AB110" s="71"/>
      <c r="AC110" s="126"/>
      <c r="AD110" s="23"/>
      <c r="AE110" s="23"/>
      <c r="AF110" s="71"/>
      <c r="AG110" s="71"/>
      <c r="AH110" s="71"/>
      <c r="AI110" s="71"/>
      <c r="AJ110" s="71"/>
      <c r="AK110" s="71"/>
      <c r="AL110" s="71"/>
    </row>
    <row r="111" ht="13.5" customHeight="1">
      <c r="A111" s="97"/>
      <c r="B111" s="109"/>
      <c r="C111" s="126"/>
      <c r="D111" s="23"/>
      <c r="E111" s="23"/>
      <c r="F111" s="23"/>
      <c r="G111" s="23"/>
      <c r="H111" s="23"/>
      <c r="I111" s="23"/>
      <c r="J111" s="72"/>
      <c r="K111" s="23"/>
      <c r="L111" s="128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129"/>
      <c r="X111" s="71"/>
      <c r="Y111" s="71"/>
      <c r="Z111" s="71"/>
      <c r="AA111" s="71"/>
      <c r="AB111" s="71"/>
      <c r="AC111" s="126"/>
      <c r="AD111" s="23"/>
      <c r="AE111" s="23"/>
      <c r="AF111" s="71"/>
      <c r="AG111" s="71"/>
      <c r="AH111" s="71"/>
      <c r="AI111" s="71"/>
      <c r="AJ111" s="71"/>
      <c r="AK111" s="71"/>
      <c r="AL111" s="71"/>
    </row>
    <row r="112" ht="13.5" customHeight="1">
      <c r="A112" s="97"/>
      <c r="B112" s="109"/>
      <c r="C112" s="126"/>
      <c r="D112" s="23"/>
      <c r="E112" s="23"/>
      <c r="F112" s="23"/>
      <c r="G112" s="23"/>
      <c r="H112" s="23"/>
      <c r="I112" s="23"/>
      <c r="J112" s="72"/>
      <c r="K112" s="23"/>
      <c r="L112" s="128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129"/>
      <c r="X112" s="71"/>
      <c r="Y112" s="71"/>
      <c r="Z112" s="71"/>
      <c r="AA112" s="71"/>
      <c r="AB112" s="71"/>
      <c r="AC112" s="126"/>
      <c r="AD112" s="23"/>
      <c r="AE112" s="23"/>
      <c r="AF112" s="71"/>
      <c r="AG112" s="71"/>
      <c r="AH112" s="71"/>
      <c r="AI112" s="71"/>
      <c r="AJ112" s="71"/>
      <c r="AK112" s="71"/>
      <c r="AL112" s="71"/>
    </row>
    <row r="113" ht="13.5" customHeight="1">
      <c r="A113" s="97"/>
      <c r="B113" s="109"/>
      <c r="C113" s="126"/>
      <c r="D113" s="23"/>
      <c r="E113" s="23"/>
      <c r="F113" s="23"/>
      <c r="G113" s="23"/>
      <c r="H113" s="23"/>
      <c r="I113" s="23"/>
      <c r="J113" s="72"/>
      <c r="K113" s="23"/>
      <c r="L113" s="128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129"/>
      <c r="X113" s="71"/>
      <c r="Y113" s="71"/>
      <c r="Z113" s="71"/>
      <c r="AA113" s="71"/>
      <c r="AB113" s="71"/>
      <c r="AC113" s="126"/>
      <c r="AD113" s="23"/>
      <c r="AE113" s="23"/>
      <c r="AF113" s="71"/>
      <c r="AG113" s="71"/>
      <c r="AH113" s="71"/>
      <c r="AI113" s="71"/>
      <c r="AJ113" s="71"/>
      <c r="AK113" s="71"/>
      <c r="AL113" s="71"/>
    </row>
    <row r="114" ht="13.5" customHeight="1">
      <c r="A114" s="97"/>
      <c r="B114" s="109"/>
      <c r="C114" s="126"/>
      <c r="D114" s="23"/>
      <c r="E114" s="23"/>
      <c r="F114" s="23"/>
      <c r="G114" s="23"/>
      <c r="H114" s="23"/>
      <c r="I114" s="23"/>
      <c r="J114" s="72"/>
      <c r="K114" s="23"/>
      <c r="L114" s="128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129"/>
      <c r="X114" s="71"/>
      <c r="Y114" s="71"/>
      <c r="Z114" s="71"/>
      <c r="AA114" s="71"/>
      <c r="AB114" s="71"/>
      <c r="AC114" s="126"/>
      <c r="AD114" s="23"/>
      <c r="AE114" s="23"/>
      <c r="AF114" s="71"/>
      <c r="AG114" s="71"/>
      <c r="AH114" s="71"/>
      <c r="AI114" s="71"/>
      <c r="AJ114" s="71"/>
      <c r="AK114" s="71"/>
      <c r="AL114" s="71"/>
    </row>
    <row r="115" ht="13.5" customHeight="1">
      <c r="A115" s="97"/>
      <c r="B115" s="109"/>
      <c r="C115" s="126"/>
      <c r="D115" s="23"/>
      <c r="E115" s="23"/>
      <c r="F115" s="23"/>
      <c r="G115" s="23"/>
      <c r="H115" s="23"/>
      <c r="I115" s="23"/>
      <c r="J115" s="72"/>
      <c r="K115" s="23"/>
      <c r="L115" s="128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129"/>
      <c r="X115" s="71"/>
      <c r="Y115" s="71"/>
      <c r="Z115" s="71"/>
      <c r="AA115" s="71"/>
      <c r="AB115" s="71"/>
      <c r="AC115" s="126"/>
      <c r="AD115" s="23"/>
      <c r="AE115" s="23"/>
      <c r="AF115" s="71"/>
      <c r="AG115" s="71"/>
      <c r="AH115" s="71"/>
      <c r="AI115" s="71"/>
      <c r="AJ115" s="71"/>
      <c r="AK115" s="71"/>
      <c r="AL115" s="71"/>
    </row>
    <row r="116" ht="13.5" customHeight="1">
      <c r="A116" s="97"/>
      <c r="B116" s="109"/>
      <c r="C116" s="126"/>
      <c r="D116" s="23"/>
      <c r="E116" s="23"/>
      <c r="F116" s="23"/>
      <c r="G116" s="23"/>
      <c r="H116" s="23"/>
      <c r="I116" s="23"/>
      <c r="J116" s="72"/>
      <c r="K116" s="23"/>
      <c r="L116" s="128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129"/>
      <c r="X116" s="71"/>
      <c r="Y116" s="71"/>
      <c r="Z116" s="71"/>
      <c r="AA116" s="71"/>
      <c r="AB116" s="71"/>
      <c r="AC116" s="126"/>
      <c r="AD116" s="23"/>
      <c r="AE116" s="23"/>
      <c r="AF116" s="71"/>
      <c r="AG116" s="71"/>
      <c r="AH116" s="71"/>
      <c r="AI116" s="71"/>
      <c r="AJ116" s="71"/>
      <c r="AK116" s="71"/>
      <c r="AL116" s="71"/>
    </row>
    <row r="117" ht="13.5" customHeight="1">
      <c r="A117" s="97"/>
      <c r="B117" s="109"/>
      <c r="C117" s="126"/>
      <c r="D117" s="23"/>
      <c r="E117" s="23"/>
      <c r="F117" s="23"/>
      <c r="G117" s="23"/>
      <c r="H117" s="23"/>
      <c r="I117" s="23"/>
      <c r="J117" s="72"/>
      <c r="K117" s="23"/>
      <c r="L117" s="128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129"/>
      <c r="X117" s="71"/>
      <c r="Y117" s="71"/>
      <c r="Z117" s="71"/>
      <c r="AA117" s="71"/>
      <c r="AB117" s="71"/>
      <c r="AC117" s="126"/>
      <c r="AD117" s="23"/>
      <c r="AE117" s="23"/>
      <c r="AF117" s="71"/>
      <c r="AG117" s="71"/>
      <c r="AH117" s="71"/>
      <c r="AI117" s="71"/>
      <c r="AJ117" s="71"/>
      <c r="AK117" s="71"/>
      <c r="AL117" s="71"/>
    </row>
    <row r="118" ht="13.5" customHeight="1">
      <c r="A118" s="97"/>
      <c r="B118" s="109"/>
      <c r="C118" s="126"/>
      <c r="D118" s="23"/>
      <c r="E118" s="23"/>
      <c r="F118" s="23"/>
      <c r="G118" s="23"/>
      <c r="H118" s="23"/>
      <c r="I118" s="23"/>
      <c r="J118" s="72"/>
      <c r="K118" s="23"/>
      <c r="L118" s="128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129"/>
      <c r="X118" s="71"/>
      <c r="Y118" s="71"/>
      <c r="Z118" s="71"/>
      <c r="AA118" s="71"/>
      <c r="AB118" s="71"/>
      <c r="AC118" s="126"/>
      <c r="AD118" s="23"/>
      <c r="AE118" s="23"/>
      <c r="AF118" s="71"/>
      <c r="AG118" s="71"/>
      <c r="AH118" s="71"/>
      <c r="AI118" s="71"/>
      <c r="AJ118" s="71"/>
      <c r="AK118" s="71"/>
      <c r="AL118" s="71"/>
    </row>
    <row r="119" ht="13.5" customHeight="1">
      <c r="A119" s="97"/>
      <c r="B119" s="109"/>
      <c r="C119" s="126"/>
      <c r="D119" s="23"/>
      <c r="E119" s="23"/>
      <c r="F119" s="23"/>
      <c r="G119" s="23"/>
      <c r="H119" s="23"/>
      <c r="I119" s="23"/>
      <c r="J119" s="72"/>
      <c r="K119" s="23"/>
      <c r="L119" s="128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129"/>
      <c r="X119" s="71"/>
      <c r="Y119" s="71"/>
      <c r="Z119" s="71"/>
      <c r="AA119" s="71"/>
      <c r="AB119" s="71"/>
      <c r="AC119" s="126"/>
      <c r="AD119" s="23"/>
      <c r="AE119" s="23"/>
      <c r="AF119" s="71"/>
      <c r="AG119" s="71"/>
      <c r="AH119" s="71"/>
      <c r="AI119" s="71"/>
      <c r="AJ119" s="71"/>
      <c r="AK119" s="71"/>
      <c r="AL119" s="71"/>
    </row>
    <row r="120" ht="13.5" customHeight="1">
      <c r="A120" s="97"/>
      <c r="B120" s="109"/>
      <c r="C120" s="126"/>
      <c r="D120" s="23"/>
      <c r="E120" s="23"/>
      <c r="F120" s="23"/>
      <c r="G120" s="23"/>
      <c r="H120" s="23"/>
      <c r="I120" s="23"/>
      <c r="J120" s="72"/>
      <c r="K120" s="23"/>
      <c r="L120" s="128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129"/>
      <c r="X120" s="71"/>
      <c r="Y120" s="71"/>
      <c r="Z120" s="71"/>
      <c r="AA120" s="71"/>
      <c r="AB120" s="71"/>
      <c r="AC120" s="126"/>
      <c r="AD120" s="23"/>
      <c r="AE120" s="23"/>
      <c r="AF120" s="71"/>
      <c r="AG120" s="71"/>
      <c r="AH120" s="71"/>
      <c r="AI120" s="71"/>
      <c r="AJ120" s="71"/>
      <c r="AK120" s="71"/>
      <c r="AL120" s="71"/>
    </row>
    <row r="121" ht="13.5" customHeight="1">
      <c r="A121" s="97"/>
      <c r="B121" s="109"/>
      <c r="C121" s="126"/>
      <c r="D121" s="23"/>
      <c r="E121" s="23"/>
      <c r="F121" s="23"/>
      <c r="G121" s="23"/>
      <c r="H121" s="23"/>
      <c r="I121" s="23"/>
      <c r="J121" s="72"/>
      <c r="K121" s="23"/>
      <c r="L121" s="128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129"/>
      <c r="X121" s="71"/>
      <c r="Y121" s="71"/>
      <c r="Z121" s="71"/>
      <c r="AA121" s="71"/>
      <c r="AB121" s="71"/>
      <c r="AC121" s="126"/>
      <c r="AD121" s="23"/>
      <c r="AE121" s="23"/>
      <c r="AF121" s="71"/>
      <c r="AG121" s="71"/>
      <c r="AH121" s="71"/>
      <c r="AI121" s="71"/>
      <c r="AJ121" s="71"/>
      <c r="AK121" s="71"/>
      <c r="AL121" s="71"/>
    </row>
    <row r="122" ht="13.5" customHeight="1">
      <c r="A122" s="97"/>
      <c r="B122" s="109"/>
      <c r="C122" s="126"/>
      <c r="D122" s="23"/>
      <c r="E122" s="23"/>
      <c r="F122" s="23"/>
      <c r="G122" s="23"/>
      <c r="H122" s="23"/>
      <c r="I122" s="23"/>
      <c r="J122" s="72"/>
      <c r="K122" s="23"/>
      <c r="L122" s="128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129"/>
      <c r="X122" s="71"/>
      <c r="Y122" s="71"/>
      <c r="Z122" s="71"/>
      <c r="AA122" s="71"/>
      <c r="AB122" s="71"/>
      <c r="AC122" s="126"/>
      <c r="AD122" s="23"/>
      <c r="AE122" s="23"/>
      <c r="AF122" s="71"/>
      <c r="AG122" s="71"/>
      <c r="AH122" s="71"/>
      <c r="AI122" s="71"/>
      <c r="AJ122" s="71"/>
      <c r="AK122" s="71"/>
      <c r="AL122" s="71"/>
    </row>
    <row r="123" ht="13.5" customHeight="1">
      <c r="A123" s="97"/>
      <c r="B123" s="109"/>
      <c r="C123" s="126"/>
      <c r="D123" s="23"/>
      <c r="E123" s="23"/>
      <c r="F123" s="23"/>
      <c r="G123" s="23"/>
      <c r="H123" s="23"/>
      <c r="I123" s="23"/>
      <c r="J123" s="72"/>
      <c r="K123" s="23"/>
      <c r="L123" s="128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129"/>
      <c r="X123" s="71"/>
      <c r="Y123" s="71"/>
      <c r="Z123" s="71"/>
      <c r="AA123" s="71"/>
      <c r="AB123" s="71"/>
      <c r="AC123" s="126"/>
      <c r="AD123" s="23"/>
      <c r="AE123" s="23"/>
      <c r="AF123" s="71"/>
      <c r="AG123" s="71"/>
      <c r="AH123" s="71"/>
      <c r="AI123" s="71"/>
      <c r="AJ123" s="71"/>
      <c r="AK123" s="71"/>
      <c r="AL123" s="71"/>
    </row>
    <row r="124" ht="13.5" customHeight="1">
      <c r="A124" s="97"/>
      <c r="B124" s="109"/>
      <c r="C124" s="126"/>
      <c r="D124" s="23"/>
      <c r="E124" s="23"/>
      <c r="F124" s="23"/>
      <c r="G124" s="23"/>
      <c r="H124" s="23"/>
      <c r="I124" s="23"/>
      <c r="J124" s="72"/>
      <c r="K124" s="23"/>
      <c r="L124" s="128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129"/>
      <c r="X124" s="71"/>
      <c r="Y124" s="71"/>
      <c r="Z124" s="71"/>
      <c r="AA124" s="71"/>
      <c r="AB124" s="71"/>
      <c r="AC124" s="126"/>
      <c r="AD124" s="23"/>
      <c r="AE124" s="23"/>
      <c r="AF124" s="71"/>
      <c r="AG124" s="71"/>
      <c r="AH124" s="71"/>
      <c r="AI124" s="71"/>
      <c r="AJ124" s="71"/>
      <c r="AK124" s="71"/>
      <c r="AL124" s="71"/>
    </row>
    <row r="125" ht="13.5" customHeight="1">
      <c r="A125" s="97"/>
      <c r="B125" s="109"/>
      <c r="C125" s="126"/>
      <c r="D125" s="23"/>
      <c r="E125" s="23"/>
      <c r="F125" s="23"/>
      <c r="G125" s="23"/>
      <c r="H125" s="23"/>
      <c r="I125" s="23"/>
      <c r="J125" s="72"/>
      <c r="K125" s="23"/>
      <c r="L125" s="128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129"/>
      <c r="X125" s="71"/>
      <c r="Y125" s="71"/>
      <c r="Z125" s="71"/>
      <c r="AA125" s="71"/>
      <c r="AB125" s="71"/>
      <c r="AC125" s="126"/>
      <c r="AD125" s="23"/>
      <c r="AE125" s="23"/>
      <c r="AF125" s="71"/>
      <c r="AG125" s="71"/>
      <c r="AH125" s="71"/>
      <c r="AI125" s="71"/>
      <c r="AJ125" s="71"/>
      <c r="AK125" s="71"/>
      <c r="AL125" s="71"/>
    </row>
    <row r="126" ht="13.5" customHeight="1">
      <c r="A126" s="97"/>
      <c r="B126" s="109"/>
      <c r="C126" s="126"/>
      <c r="D126" s="23"/>
      <c r="E126" s="23"/>
      <c r="F126" s="23"/>
      <c r="G126" s="23"/>
      <c r="H126" s="23"/>
      <c r="I126" s="23"/>
      <c r="J126" s="72"/>
      <c r="K126" s="23"/>
      <c r="L126" s="128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129"/>
      <c r="X126" s="71"/>
      <c r="Y126" s="71"/>
      <c r="Z126" s="71"/>
      <c r="AA126" s="71"/>
      <c r="AB126" s="71"/>
      <c r="AC126" s="126"/>
      <c r="AD126" s="23"/>
      <c r="AE126" s="23"/>
      <c r="AF126" s="71"/>
      <c r="AG126" s="71"/>
      <c r="AH126" s="71"/>
      <c r="AI126" s="71"/>
      <c r="AJ126" s="71"/>
      <c r="AK126" s="71"/>
      <c r="AL126" s="71"/>
    </row>
    <row r="127" ht="13.5" customHeight="1">
      <c r="A127" s="97"/>
      <c r="B127" s="109"/>
      <c r="C127" s="126"/>
      <c r="D127" s="23"/>
      <c r="E127" s="23"/>
      <c r="F127" s="23"/>
      <c r="G127" s="23"/>
      <c r="H127" s="23"/>
      <c r="I127" s="23"/>
      <c r="J127" s="72"/>
      <c r="K127" s="23"/>
      <c r="L127" s="128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129"/>
      <c r="X127" s="71"/>
      <c r="Y127" s="71"/>
      <c r="Z127" s="71"/>
      <c r="AA127" s="71"/>
      <c r="AB127" s="71"/>
      <c r="AC127" s="126"/>
      <c r="AD127" s="23"/>
      <c r="AE127" s="23"/>
      <c r="AF127" s="71"/>
      <c r="AG127" s="71"/>
      <c r="AH127" s="71"/>
      <c r="AI127" s="71"/>
      <c r="AJ127" s="71"/>
      <c r="AK127" s="71"/>
      <c r="AL127" s="71"/>
    </row>
    <row r="128" ht="13.5" customHeight="1">
      <c r="A128" s="97"/>
      <c r="B128" s="109"/>
      <c r="C128" s="126"/>
      <c r="D128" s="23"/>
      <c r="E128" s="23"/>
      <c r="F128" s="23"/>
      <c r="G128" s="23"/>
      <c r="H128" s="23"/>
      <c r="I128" s="23"/>
      <c r="J128" s="72"/>
      <c r="K128" s="23"/>
      <c r="L128" s="128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129"/>
      <c r="X128" s="71"/>
      <c r="Y128" s="71"/>
      <c r="Z128" s="71"/>
      <c r="AA128" s="71"/>
      <c r="AB128" s="71"/>
      <c r="AC128" s="126"/>
      <c r="AD128" s="23"/>
      <c r="AE128" s="23"/>
      <c r="AF128" s="71"/>
      <c r="AG128" s="71"/>
      <c r="AH128" s="71"/>
      <c r="AI128" s="71"/>
      <c r="AJ128" s="71"/>
      <c r="AK128" s="71"/>
      <c r="AL128" s="71"/>
    </row>
    <row r="129" ht="13.5" customHeight="1">
      <c r="A129" s="97"/>
      <c r="B129" s="109"/>
      <c r="C129" s="126"/>
      <c r="D129" s="23"/>
      <c r="E129" s="23"/>
      <c r="F129" s="23"/>
      <c r="G129" s="23"/>
      <c r="H129" s="23"/>
      <c r="I129" s="23"/>
      <c r="J129" s="72"/>
      <c r="K129" s="23"/>
      <c r="L129" s="128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129"/>
      <c r="X129" s="71"/>
      <c r="Y129" s="71"/>
      <c r="Z129" s="71"/>
      <c r="AA129" s="71"/>
      <c r="AB129" s="71"/>
      <c r="AC129" s="126"/>
      <c r="AD129" s="23"/>
      <c r="AE129" s="23"/>
      <c r="AF129" s="71"/>
      <c r="AG129" s="71"/>
      <c r="AH129" s="71"/>
      <c r="AI129" s="71"/>
      <c r="AJ129" s="71"/>
      <c r="AK129" s="71"/>
      <c r="AL129" s="71"/>
    </row>
    <row r="130" ht="13.5" customHeight="1">
      <c r="A130" s="97"/>
      <c r="B130" s="109"/>
      <c r="C130" s="126"/>
      <c r="D130" s="23"/>
      <c r="E130" s="23"/>
      <c r="F130" s="23"/>
      <c r="G130" s="23"/>
      <c r="H130" s="23"/>
      <c r="I130" s="23"/>
      <c r="J130" s="72"/>
      <c r="K130" s="23"/>
      <c r="L130" s="128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129"/>
      <c r="X130" s="71"/>
      <c r="Y130" s="71"/>
      <c r="Z130" s="71"/>
      <c r="AA130" s="71"/>
      <c r="AB130" s="71"/>
      <c r="AC130" s="126"/>
      <c r="AD130" s="23"/>
      <c r="AE130" s="23"/>
      <c r="AF130" s="71"/>
      <c r="AG130" s="71"/>
      <c r="AH130" s="71"/>
      <c r="AI130" s="71"/>
      <c r="AJ130" s="71"/>
      <c r="AK130" s="71"/>
      <c r="AL130" s="71"/>
    </row>
    <row r="131" ht="13.5" customHeight="1">
      <c r="A131" s="97"/>
      <c r="B131" s="109"/>
      <c r="C131" s="126"/>
      <c r="D131" s="23"/>
      <c r="E131" s="23"/>
      <c r="F131" s="23"/>
      <c r="G131" s="23"/>
      <c r="H131" s="23"/>
      <c r="I131" s="23"/>
      <c r="J131" s="72"/>
      <c r="K131" s="23"/>
      <c r="L131" s="128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129"/>
      <c r="X131" s="71"/>
      <c r="Y131" s="71"/>
      <c r="Z131" s="71"/>
      <c r="AA131" s="71"/>
      <c r="AB131" s="71"/>
      <c r="AC131" s="126"/>
      <c r="AD131" s="23"/>
      <c r="AE131" s="23"/>
      <c r="AF131" s="71"/>
      <c r="AG131" s="71"/>
      <c r="AH131" s="71"/>
      <c r="AI131" s="71"/>
      <c r="AJ131" s="71"/>
      <c r="AK131" s="71"/>
      <c r="AL131" s="71"/>
    </row>
    <row r="132" ht="13.5" customHeight="1">
      <c r="A132" s="97"/>
      <c r="B132" s="109"/>
      <c r="C132" s="126"/>
      <c r="D132" s="23"/>
      <c r="E132" s="23"/>
      <c r="F132" s="23"/>
      <c r="G132" s="23"/>
      <c r="H132" s="23"/>
      <c r="I132" s="23"/>
      <c r="J132" s="72"/>
      <c r="K132" s="23"/>
      <c r="L132" s="128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129"/>
      <c r="X132" s="71"/>
      <c r="Y132" s="71"/>
      <c r="Z132" s="71"/>
      <c r="AA132" s="71"/>
      <c r="AB132" s="71"/>
      <c r="AC132" s="126"/>
      <c r="AD132" s="23"/>
      <c r="AE132" s="23"/>
      <c r="AF132" s="71"/>
      <c r="AG132" s="71"/>
      <c r="AH132" s="71"/>
      <c r="AI132" s="71"/>
      <c r="AJ132" s="71"/>
      <c r="AK132" s="71"/>
      <c r="AL132" s="71"/>
    </row>
    <row r="133" ht="13.5" customHeight="1">
      <c r="A133" s="97"/>
      <c r="B133" s="109"/>
      <c r="C133" s="126"/>
      <c r="D133" s="23"/>
      <c r="E133" s="23"/>
      <c r="F133" s="23"/>
      <c r="G133" s="23"/>
      <c r="H133" s="23"/>
      <c r="I133" s="23"/>
      <c r="J133" s="72"/>
      <c r="K133" s="23"/>
      <c r="L133" s="128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129"/>
      <c r="X133" s="71"/>
      <c r="Y133" s="71"/>
      <c r="Z133" s="71"/>
      <c r="AA133" s="71"/>
      <c r="AB133" s="71"/>
      <c r="AC133" s="126"/>
      <c r="AD133" s="23"/>
      <c r="AE133" s="23"/>
      <c r="AF133" s="71"/>
      <c r="AG133" s="71"/>
      <c r="AH133" s="71"/>
      <c r="AI133" s="71"/>
      <c r="AJ133" s="71"/>
      <c r="AK133" s="71"/>
      <c r="AL133" s="71"/>
    </row>
    <row r="134" ht="13.5" customHeight="1">
      <c r="A134" s="97"/>
      <c r="B134" s="109"/>
      <c r="C134" s="126"/>
      <c r="D134" s="23"/>
      <c r="E134" s="23"/>
      <c r="F134" s="23"/>
      <c r="G134" s="23"/>
      <c r="H134" s="23"/>
      <c r="I134" s="23"/>
      <c r="J134" s="72"/>
      <c r="K134" s="23"/>
      <c r="L134" s="128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129"/>
      <c r="X134" s="71"/>
      <c r="Y134" s="71"/>
      <c r="Z134" s="71"/>
      <c r="AA134" s="71"/>
      <c r="AB134" s="71"/>
      <c r="AC134" s="126"/>
      <c r="AD134" s="23"/>
      <c r="AE134" s="23"/>
      <c r="AF134" s="71"/>
      <c r="AG134" s="71"/>
      <c r="AH134" s="71"/>
      <c r="AI134" s="71"/>
      <c r="AJ134" s="71"/>
      <c r="AK134" s="71"/>
      <c r="AL134" s="71"/>
    </row>
    <row r="135" ht="13.5" customHeight="1">
      <c r="A135" s="97"/>
      <c r="B135" s="109"/>
      <c r="C135" s="126"/>
      <c r="D135" s="23"/>
      <c r="E135" s="23"/>
      <c r="F135" s="23"/>
      <c r="G135" s="23"/>
      <c r="H135" s="23"/>
      <c r="I135" s="23"/>
      <c r="J135" s="72"/>
      <c r="K135" s="23"/>
      <c r="L135" s="128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129"/>
      <c r="X135" s="71"/>
      <c r="Y135" s="71"/>
      <c r="Z135" s="71"/>
      <c r="AA135" s="71"/>
      <c r="AB135" s="71"/>
      <c r="AC135" s="126"/>
      <c r="AD135" s="23"/>
      <c r="AE135" s="23"/>
      <c r="AF135" s="71"/>
      <c r="AG135" s="71"/>
      <c r="AH135" s="71"/>
      <c r="AI135" s="71"/>
      <c r="AJ135" s="71"/>
      <c r="AK135" s="71"/>
      <c r="AL135" s="71"/>
    </row>
    <row r="136" ht="13.5" customHeight="1">
      <c r="A136" s="97"/>
      <c r="B136" s="109"/>
      <c r="C136" s="126"/>
      <c r="D136" s="23"/>
      <c r="E136" s="23"/>
      <c r="F136" s="23"/>
      <c r="G136" s="23"/>
      <c r="H136" s="23"/>
      <c r="I136" s="23"/>
      <c r="J136" s="72"/>
      <c r="K136" s="23"/>
      <c r="L136" s="12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129"/>
      <c r="X136" s="71"/>
      <c r="Y136" s="71"/>
      <c r="Z136" s="71"/>
      <c r="AA136" s="71"/>
      <c r="AB136" s="71"/>
      <c r="AC136" s="126"/>
      <c r="AD136" s="23"/>
      <c r="AE136" s="23"/>
      <c r="AF136" s="71"/>
      <c r="AG136" s="71"/>
      <c r="AH136" s="71"/>
      <c r="AI136" s="71"/>
      <c r="AJ136" s="71"/>
      <c r="AK136" s="71"/>
      <c r="AL136" s="71"/>
    </row>
    <row r="137" ht="13.5" customHeight="1">
      <c r="A137" s="97"/>
      <c r="B137" s="109"/>
      <c r="C137" s="126"/>
      <c r="D137" s="23"/>
      <c r="E137" s="23"/>
      <c r="F137" s="23"/>
      <c r="G137" s="23"/>
      <c r="H137" s="23"/>
      <c r="I137" s="23"/>
      <c r="J137" s="72"/>
      <c r="K137" s="23"/>
      <c r="L137" s="128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129"/>
      <c r="X137" s="71"/>
      <c r="Y137" s="71"/>
      <c r="Z137" s="71"/>
      <c r="AA137" s="71"/>
      <c r="AB137" s="71"/>
      <c r="AC137" s="126"/>
      <c r="AD137" s="23"/>
      <c r="AE137" s="23"/>
      <c r="AF137" s="71"/>
      <c r="AG137" s="71"/>
      <c r="AH137" s="71"/>
      <c r="AI137" s="71"/>
      <c r="AJ137" s="71"/>
      <c r="AK137" s="71"/>
      <c r="AL137" s="71"/>
    </row>
    <row r="138" ht="13.5" customHeight="1">
      <c r="A138" s="97"/>
      <c r="B138" s="109"/>
      <c r="C138" s="126"/>
      <c r="D138" s="23"/>
      <c r="E138" s="23"/>
      <c r="F138" s="23"/>
      <c r="G138" s="23"/>
      <c r="H138" s="23"/>
      <c r="I138" s="23"/>
      <c r="J138" s="72"/>
      <c r="K138" s="23"/>
      <c r="L138" s="128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129"/>
      <c r="X138" s="71"/>
      <c r="Y138" s="71"/>
      <c r="Z138" s="71"/>
      <c r="AA138" s="71"/>
      <c r="AB138" s="71"/>
      <c r="AC138" s="126"/>
      <c r="AD138" s="23"/>
      <c r="AE138" s="23"/>
      <c r="AF138" s="71"/>
      <c r="AG138" s="71"/>
      <c r="AH138" s="71"/>
      <c r="AI138" s="71"/>
      <c r="AJ138" s="71"/>
      <c r="AK138" s="71"/>
      <c r="AL138" s="71"/>
    </row>
    <row r="139" ht="13.5" customHeight="1">
      <c r="A139" s="97"/>
      <c r="B139" s="109"/>
      <c r="C139" s="126"/>
      <c r="D139" s="23"/>
      <c r="E139" s="23"/>
      <c r="F139" s="23"/>
      <c r="G139" s="23"/>
      <c r="H139" s="23"/>
      <c r="I139" s="23"/>
      <c r="J139" s="72"/>
      <c r="K139" s="23"/>
      <c r="L139" s="128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129"/>
      <c r="X139" s="71"/>
      <c r="Y139" s="71"/>
      <c r="Z139" s="71"/>
      <c r="AA139" s="71"/>
      <c r="AB139" s="71"/>
      <c r="AC139" s="126"/>
      <c r="AD139" s="23"/>
      <c r="AE139" s="23"/>
      <c r="AF139" s="71"/>
      <c r="AG139" s="71"/>
      <c r="AH139" s="71"/>
      <c r="AI139" s="71"/>
      <c r="AJ139" s="71"/>
      <c r="AK139" s="71"/>
      <c r="AL139" s="71"/>
    </row>
    <row r="140" ht="13.5" customHeight="1">
      <c r="A140" s="97"/>
      <c r="B140" s="109"/>
      <c r="C140" s="126"/>
      <c r="D140" s="23"/>
      <c r="E140" s="23"/>
      <c r="F140" s="23"/>
      <c r="G140" s="23"/>
      <c r="H140" s="23"/>
      <c r="I140" s="23"/>
      <c r="J140" s="72"/>
      <c r="K140" s="23"/>
      <c r="L140" s="128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129"/>
      <c r="X140" s="71"/>
      <c r="Y140" s="71"/>
      <c r="Z140" s="71"/>
      <c r="AA140" s="71"/>
      <c r="AB140" s="71"/>
      <c r="AC140" s="126"/>
      <c r="AD140" s="23"/>
      <c r="AE140" s="23"/>
      <c r="AF140" s="71"/>
      <c r="AG140" s="71"/>
      <c r="AH140" s="71"/>
      <c r="AI140" s="71"/>
      <c r="AJ140" s="71"/>
      <c r="AK140" s="71"/>
      <c r="AL140" s="71"/>
    </row>
    <row r="141" ht="13.5" customHeight="1">
      <c r="A141" s="97"/>
      <c r="B141" s="109"/>
      <c r="C141" s="126"/>
      <c r="D141" s="23"/>
      <c r="E141" s="23"/>
      <c r="F141" s="23"/>
      <c r="G141" s="23"/>
      <c r="H141" s="23"/>
      <c r="I141" s="23"/>
      <c r="J141" s="72"/>
      <c r="K141" s="23"/>
      <c r="L141" s="128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129"/>
      <c r="X141" s="71"/>
      <c r="Y141" s="71"/>
      <c r="Z141" s="71"/>
      <c r="AA141" s="71"/>
      <c r="AB141" s="71"/>
      <c r="AC141" s="126"/>
      <c r="AD141" s="23"/>
      <c r="AE141" s="23"/>
      <c r="AF141" s="71"/>
      <c r="AG141" s="71"/>
      <c r="AH141" s="71"/>
      <c r="AI141" s="71"/>
      <c r="AJ141" s="71"/>
      <c r="AK141" s="71"/>
      <c r="AL141" s="71"/>
    </row>
    <row r="142" ht="13.5" customHeight="1">
      <c r="A142" s="97"/>
      <c r="B142" s="109"/>
      <c r="C142" s="126"/>
      <c r="D142" s="23"/>
      <c r="E142" s="23"/>
      <c r="F142" s="23"/>
      <c r="G142" s="23"/>
      <c r="H142" s="23"/>
      <c r="I142" s="23"/>
      <c r="J142" s="72"/>
      <c r="K142" s="23"/>
      <c r="L142" s="128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129"/>
      <c r="X142" s="71"/>
      <c r="Y142" s="71"/>
      <c r="Z142" s="71"/>
      <c r="AA142" s="71"/>
      <c r="AB142" s="71"/>
      <c r="AC142" s="126"/>
      <c r="AD142" s="23"/>
      <c r="AE142" s="23"/>
      <c r="AF142" s="71"/>
      <c r="AG142" s="71"/>
      <c r="AH142" s="71"/>
      <c r="AI142" s="71"/>
      <c r="AJ142" s="71"/>
      <c r="AK142" s="71"/>
      <c r="AL142" s="71"/>
    </row>
    <row r="143" ht="13.5" customHeight="1">
      <c r="A143" s="97"/>
      <c r="B143" s="109"/>
      <c r="C143" s="126"/>
      <c r="D143" s="23"/>
      <c r="E143" s="23"/>
      <c r="F143" s="23"/>
      <c r="G143" s="23"/>
      <c r="H143" s="23"/>
      <c r="I143" s="23"/>
      <c r="J143" s="72"/>
      <c r="K143" s="23"/>
      <c r="L143" s="128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129"/>
      <c r="X143" s="71"/>
      <c r="Y143" s="71"/>
      <c r="Z143" s="71"/>
      <c r="AA143" s="71"/>
      <c r="AB143" s="71"/>
      <c r="AC143" s="126"/>
      <c r="AD143" s="23"/>
      <c r="AE143" s="23"/>
      <c r="AF143" s="71"/>
      <c r="AG143" s="71"/>
      <c r="AH143" s="71"/>
      <c r="AI143" s="71"/>
      <c r="AJ143" s="71"/>
      <c r="AK143" s="71"/>
      <c r="AL143" s="71"/>
    </row>
    <row r="144" ht="13.5" customHeight="1">
      <c r="A144" s="97"/>
      <c r="B144" s="109"/>
      <c r="C144" s="126"/>
      <c r="D144" s="23"/>
      <c r="E144" s="23"/>
      <c r="F144" s="23"/>
      <c r="G144" s="23"/>
      <c r="H144" s="23"/>
      <c r="I144" s="23"/>
      <c r="J144" s="72"/>
      <c r="K144" s="23"/>
      <c r="L144" s="128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129"/>
      <c r="X144" s="71"/>
      <c r="Y144" s="71"/>
      <c r="Z144" s="71"/>
      <c r="AA144" s="71"/>
      <c r="AB144" s="71"/>
      <c r="AC144" s="126"/>
      <c r="AD144" s="23"/>
      <c r="AE144" s="23"/>
      <c r="AF144" s="71"/>
      <c r="AG144" s="71"/>
      <c r="AH144" s="71"/>
      <c r="AI144" s="71"/>
      <c r="AJ144" s="71"/>
      <c r="AK144" s="71"/>
      <c r="AL144" s="71"/>
    </row>
    <row r="145" ht="13.5" customHeight="1">
      <c r="A145" s="97"/>
      <c r="B145" s="109"/>
      <c r="C145" s="126"/>
      <c r="D145" s="23"/>
      <c r="E145" s="23"/>
      <c r="F145" s="23"/>
      <c r="G145" s="23"/>
      <c r="H145" s="23"/>
      <c r="I145" s="23"/>
      <c r="J145" s="72"/>
      <c r="K145" s="23"/>
      <c r="L145" s="128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129"/>
      <c r="X145" s="71"/>
      <c r="Y145" s="71"/>
      <c r="Z145" s="71"/>
      <c r="AA145" s="71"/>
      <c r="AB145" s="71"/>
      <c r="AC145" s="126"/>
      <c r="AD145" s="23"/>
      <c r="AE145" s="23"/>
      <c r="AF145" s="71"/>
      <c r="AG145" s="71"/>
      <c r="AH145" s="71"/>
      <c r="AI145" s="71"/>
      <c r="AJ145" s="71"/>
      <c r="AK145" s="71"/>
      <c r="AL145" s="71"/>
    </row>
    <row r="146" ht="13.5" customHeight="1">
      <c r="A146" s="97"/>
      <c r="B146" s="109"/>
      <c r="C146" s="126"/>
      <c r="D146" s="23"/>
      <c r="E146" s="23"/>
      <c r="F146" s="23"/>
      <c r="G146" s="23"/>
      <c r="H146" s="23"/>
      <c r="I146" s="23"/>
      <c r="J146" s="72"/>
      <c r="K146" s="23"/>
      <c r="L146" s="128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129"/>
      <c r="X146" s="71"/>
      <c r="Y146" s="71"/>
      <c r="Z146" s="71"/>
      <c r="AA146" s="71"/>
      <c r="AB146" s="71"/>
      <c r="AC146" s="126"/>
      <c r="AD146" s="23"/>
      <c r="AE146" s="23"/>
      <c r="AF146" s="71"/>
      <c r="AG146" s="71"/>
      <c r="AH146" s="71"/>
      <c r="AI146" s="71"/>
      <c r="AJ146" s="71"/>
      <c r="AK146" s="71"/>
      <c r="AL146" s="71"/>
    </row>
    <row r="147" ht="13.5" customHeight="1">
      <c r="A147" s="97"/>
      <c r="B147" s="109"/>
      <c r="C147" s="126"/>
      <c r="D147" s="23"/>
      <c r="E147" s="23"/>
      <c r="F147" s="23"/>
      <c r="G147" s="23"/>
      <c r="H147" s="23"/>
      <c r="I147" s="23"/>
      <c r="J147" s="72"/>
      <c r="K147" s="23"/>
      <c r="L147" s="128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129"/>
      <c r="X147" s="71"/>
      <c r="Y147" s="71"/>
      <c r="Z147" s="71"/>
      <c r="AA147" s="71"/>
      <c r="AB147" s="71"/>
      <c r="AC147" s="126"/>
      <c r="AD147" s="23"/>
      <c r="AE147" s="23"/>
      <c r="AF147" s="71"/>
      <c r="AG147" s="71"/>
      <c r="AH147" s="71"/>
      <c r="AI147" s="71"/>
      <c r="AJ147" s="71"/>
      <c r="AK147" s="71"/>
      <c r="AL147" s="71"/>
    </row>
    <row r="148" ht="13.5" customHeight="1">
      <c r="A148" s="97"/>
      <c r="B148" s="109"/>
      <c r="C148" s="126"/>
      <c r="D148" s="23"/>
      <c r="E148" s="23"/>
      <c r="F148" s="23"/>
      <c r="G148" s="23"/>
      <c r="H148" s="23"/>
      <c r="I148" s="23"/>
      <c r="J148" s="72"/>
      <c r="K148" s="23"/>
      <c r="L148" s="128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129"/>
      <c r="X148" s="71"/>
      <c r="Y148" s="71"/>
      <c r="Z148" s="71"/>
      <c r="AA148" s="71"/>
      <c r="AB148" s="71"/>
      <c r="AC148" s="126"/>
      <c r="AD148" s="23"/>
      <c r="AE148" s="23"/>
      <c r="AF148" s="71"/>
      <c r="AG148" s="71"/>
      <c r="AH148" s="71"/>
      <c r="AI148" s="71"/>
      <c r="AJ148" s="71"/>
      <c r="AK148" s="71"/>
      <c r="AL148" s="71"/>
    </row>
    <row r="149" ht="13.5" customHeight="1">
      <c r="A149" s="97"/>
      <c r="B149" s="109"/>
      <c r="C149" s="126"/>
      <c r="D149" s="23"/>
      <c r="E149" s="23"/>
      <c r="F149" s="23"/>
      <c r="G149" s="23"/>
      <c r="H149" s="23"/>
      <c r="I149" s="23"/>
      <c r="J149" s="72"/>
      <c r="K149" s="23"/>
      <c r="L149" s="128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129"/>
      <c r="X149" s="71"/>
      <c r="Y149" s="71"/>
      <c r="Z149" s="71"/>
      <c r="AA149" s="71"/>
      <c r="AB149" s="71"/>
      <c r="AC149" s="126"/>
      <c r="AD149" s="23"/>
      <c r="AE149" s="23"/>
      <c r="AF149" s="71"/>
      <c r="AG149" s="71"/>
      <c r="AH149" s="71"/>
      <c r="AI149" s="71"/>
      <c r="AJ149" s="71"/>
      <c r="AK149" s="71"/>
      <c r="AL149" s="71"/>
    </row>
    <row r="150" ht="13.5" customHeight="1">
      <c r="A150" s="97"/>
      <c r="B150" s="109"/>
      <c r="C150" s="126"/>
      <c r="D150" s="23"/>
      <c r="E150" s="23"/>
      <c r="F150" s="23"/>
      <c r="G150" s="23"/>
      <c r="H150" s="23"/>
      <c r="I150" s="23"/>
      <c r="J150" s="72"/>
      <c r="K150" s="23"/>
      <c r="L150" s="128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129"/>
      <c r="X150" s="71"/>
      <c r="Y150" s="71"/>
      <c r="Z150" s="71"/>
      <c r="AA150" s="71"/>
      <c r="AB150" s="71"/>
      <c r="AC150" s="126"/>
      <c r="AD150" s="23"/>
      <c r="AE150" s="23"/>
      <c r="AF150" s="71"/>
      <c r="AG150" s="71"/>
      <c r="AH150" s="71"/>
      <c r="AI150" s="71"/>
      <c r="AJ150" s="71"/>
      <c r="AK150" s="71"/>
      <c r="AL150" s="71"/>
    </row>
    <row r="151" ht="13.5" customHeight="1">
      <c r="A151" s="97"/>
      <c r="B151" s="109"/>
      <c r="C151" s="126"/>
      <c r="D151" s="23"/>
      <c r="E151" s="23"/>
      <c r="F151" s="23"/>
      <c r="G151" s="23"/>
      <c r="H151" s="23"/>
      <c r="I151" s="23"/>
      <c r="J151" s="72"/>
      <c r="K151" s="23"/>
      <c r="L151" s="128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129"/>
      <c r="X151" s="71"/>
      <c r="Y151" s="71"/>
      <c r="Z151" s="71"/>
      <c r="AA151" s="71"/>
      <c r="AB151" s="71"/>
      <c r="AC151" s="126"/>
      <c r="AD151" s="23"/>
      <c r="AE151" s="23"/>
      <c r="AF151" s="71"/>
      <c r="AG151" s="71"/>
      <c r="AH151" s="71"/>
      <c r="AI151" s="71"/>
      <c r="AJ151" s="71"/>
      <c r="AK151" s="71"/>
      <c r="AL151" s="71"/>
    </row>
    <row r="152" ht="13.5" customHeight="1">
      <c r="A152" s="97"/>
      <c r="B152" s="109"/>
      <c r="C152" s="126"/>
      <c r="D152" s="23"/>
      <c r="E152" s="23"/>
      <c r="F152" s="23"/>
      <c r="G152" s="23"/>
      <c r="H152" s="23"/>
      <c r="I152" s="23"/>
      <c r="J152" s="72"/>
      <c r="K152" s="23"/>
      <c r="L152" s="128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129"/>
      <c r="X152" s="71"/>
      <c r="Y152" s="71"/>
      <c r="Z152" s="71"/>
      <c r="AA152" s="71"/>
      <c r="AB152" s="71"/>
      <c r="AC152" s="126"/>
      <c r="AD152" s="23"/>
      <c r="AE152" s="23"/>
      <c r="AF152" s="71"/>
      <c r="AG152" s="71"/>
      <c r="AH152" s="71"/>
      <c r="AI152" s="71"/>
      <c r="AJ152" s="71"/>
      <c r="AK152" s="71"/>
      <c r="AL152" s="71"/>
    </row>
    <row r="153" ht="13.5" customHeight="1">
      <c r="A153" s="97"/>
      <c r="B153" s="109"/>
      <c r="C153" s="126"/>
      <c r="D153" s="23"/>
      <c r="E153" s="23"/>
      <c r="F153" s="23"/>
      <c r="G153" s="23"/>
      <c r="H153" s="23"/>
      <c r="I153" s="23"/>
      <c r="J153" s="72"/>
      <c r="K153" s="23"/>
      <c r="L153" s="128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129"/>
      <c r="X153" s="71"/>
      <c r="Y153" s="71"/>
      <c r="Z153" s="71"/>
      <c r="AA153" s="71"/>
      <c r="AB153" s="71"/>
      <c r="AC153" s="126"/>
      <c r="AD153" s="23"/>
      <c r="AE153" s="23"/>
      <c r="AF153" s="71"/>
      <c r="AG153" s="71"/>
      <c r="AH153" s="71"/>
      <c r="AI153" s="71"/>
      <c r="AJ153" s="71"/>
      <c r="AK153" s="71"/>
      <c r="AL153" s="71"/>
    </row>
    <row r="154" ht="13.5" customHeight="1">
      <c r="A154" s="97"/>
      <c r="B154" s="109"/>
      <c r="C154" s="126"/>
      <c r="D154" s="23"/>
      <c r="E154" s="23"/>
      <c r="F154" s="23"/>
      <c r="G154" s="23"/>
      <c r="H154" s="23"/>
      <c r="I154" s="23"/>
      <c r="J154" s="72"/>
      <c r="K154" s="23"/>
      <c r="L154" s="128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129"/>
      <c r="X154" s="71"/>
      <c r="Y154" s="71"/>
      <c r="Z154" s="71"/>
      <c r="AA154" s="71"/>
      <c r="AB154" s="71"/>
      <c r="AC154" s="126"/>
      <c r="AD154" s="23"/>
      <c r="AE154" s="23"/>
      <c r="AF154" s="71"/>
      <c r="AG154" s="71"/>
      <c r="AH154" s="71"/>
      <c r="AI154" s="71"/>
      <c r="AJ154" s="71"/>
      <c r="AK154" s="71"/>
      <c r="AL154" s="71"/>
    </row>
    <row r="155" ht="13.5" customHeight="1">
      <c r="A155" s="97"/>
      <c r="B155" s="109"/>
      <c r="C155" s="126"/>
      <c r="D155" s="23"/>
      <c r="E155" s="23"/>
      <c r="F155" s="23"/>
      <c r="G155" s="23"/>
      <c r="H155" s="23"/>
      <c r="I155" s="23"/>
      <c r="J155" s="72"/>
      <c r="K155" s="23"/>
      <c r="L155" s="128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129"/>
      <c r="X155" s="71"/>
      <c r="Y155" s="71"/>
      <c r="Z155" s="71"/>
      <c r="AA155" s="71"/>
      <c r="AB155" s="71"/>
      <c r="AC155" s="126"/>
      <c r="AD155" s="23"/>
      <c r="AE155" s="23"/>
      <c r="AF155" s="71"/>
      <c r="AG155" s="71"/>
      <c r="AH155" s="71"/>
      <c r="AI155" s="71"/>
      <c r="AJ155" s="71"/>
      <c r="AK155" s="71"/>
      <c r="AL155" s="71"/>
    </row>
    <row r="156" ht="13.5" customHeight="1">
      <c r="A156" s="97"/>
      <c r="B156" s="109"/>
      <c r="C156" s="126"/>
      <c r="D156" s="23"/>
      <c r="E156" s="23"/>
      <c r="F156" s="23"/>
      <c r="G156" s="23"/>
      <c r="H156" s="23"/>
      <c r="I156" s="23"/>
      <c r="J156" s="72"/>
      <c r="K156" s="23"/>
      <c r="L156" s="128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129"/>
      <c r="X156" s="71"/>
      <c r="Y156" s="71"/>
      <c r="Z156" s="71"/>
      <c r="AA156" s="71"/>
      <c r="AB156" s="71"/>
      <c r="AC156" s="126"/>
      <c r="AD156" s="23"/>
      <c r="AE156" s="23"/>
      <c r="AF156" s="71"/>
      <c r="AG156" s="71"/>
      <c r="AH156" s="71"/>
      <c r="AI156" s="71"/>
      <c r="AJ156" s="71"/>
      <c r="AK156" s="71"/>
      <c r="AL156" s="71"/>
    </row>
    <row r="157" ht="13.5" customHeight="1">
      <c r="A157" s="97"/>
      <c r="B157" s="109"/>
      <c r="C157" s="126"/>
      <c r="D157" s="23"/>
      <c r="E157" s="23"/>
      <c r="F157" s="23"/>
      <c r="G157" s="23"/>
      <c r="H157" s="23"/>
      <c r="I157" s="23"/>
      <c r="J157" s="72"/>
      <c r="K157" s="23"/>
      <c r="L157" s="128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129"/>
      <c r="X157" s="71"/>
      <c r="Y157" s="71"/>
      <c r="Z157" s="71"/>
      <c r="AA157" s="71"/>
      <c r="AB157" s="71"/>
      <c r="AC157" s="126"/>
      <c r="AD157" s="23"/>
      <c r="AE157" s="23"/>
      <c r="AF157" s="71"/>
      <c r="AG157" s="71"/>
      <c r="AH157" s="71"/>
      <c r="AI157" s="71"/>
      <c r="AJ157" s="71"/>
      <c r="AK157" s="71"/>
      <c r="AL157" s="71"/>
    </row>
    <row r="158" ht="13.5" customHeight="1">
      <c r="A158" s="97"/>
      <c r="B158" s="109"/>
      <c r="C158" s="126"/>
      <c r="D158" s="23"/>
      <c r="E158" s="23"/>
      <c r="F158" s="23"/>
      <c r="G158" s="23"/>
      <c r="H158" s="23"/>
      <c r="I158" s="23"/>
      <c r="J158" s="72"/>
      <c r="K158" s="23"/>
      <c r="L158" s="128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129"/>
      <c r="X158" s="71"/>
      <c r="Y158" s="71"/>
      <c r="Z158" s="71"/>
      <c r="AA158" s="71"/>
      <c r="AB158" s="71"/>
      <c r="AC158" s="126"/>
      <c r="AD158" s="23"/>
      <c r="AE158" s="23"/>
      <c r="AF158" s="71"/>
      <c r="AG158" s="71"/>
      <c r="AH158" s="71"/>
      <c r="AI158" s="71"/>
      <c r="AJ158" s="71"/>
      <c r="AK158" s="71"/>
      <c r="AL158" s="71"/>
    </row>
    <row r="159" ht="13.5" customHeight="1">
      <c r="A159" s="97"/>
      <c r="B159" s="109"/>
      <c r="C159" s="126"/>
      <c r="D159" s="23"/>
      <c r="E159" s="23"/>
      <c r="F159" s="23"/>
      <c r="G159" s="23"/>
      <c r="H159" s="23"/>
      <c r="I159" s="23"/>
      <c r="J159" s="72"/>
      <c r="K159" s="23"/>
      <c r="L159" s="128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129"/>
      <c r="X159" s="71"/>
      <c r="Y159" s="71"/>
      <c r="Z159" s="71"/>
      <c r="AA159" s="71"/>
      <c r="AB159" s="71"/>
      <c r="AC159" s="126"/>
      <c r="AD159" s="23"/>
      <c r="AE159" s="23"/>
      <c r="AF159" s="71"/>
      <c r="AG159" s="71"/>
      <c r="AH159" s="71"/>
      <c r="AI159" s="71"/>
      <c r="AJ159" s="71"/>
      <c r="AK159" s="71"/>
      <c r="AL159" s="71"/>
    </row>
    <row r="160" ht="13.5" customHeight="1">
      <c r="A160" s="97"/>
      <c r="B160" s="109"/>
      <c r="C160" s="126"/>
      <c r="D160" s="23"/>
      <c r="E160" s="23"/>
      <c r="F160" s="23"/>
      <c r="G160" s="23"/>
      <c r="H160" s="23"/>
      <c r="I160" s="23"/>
      <c r="J160" s="72"/>
      <c r="K160" s="23"/>
      <c r="L160" s="128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129"/>
      <c r="X160" s="71"/>
      <c r="Y160" s="71"/>
      <c r="Z160" s="71"/>
      <c r="AA160" s="71"/>
      <c r="AB160" s="71"/>
      <c r="AC160" s="126"/>
      <c r="AD160" s="23"/>
      <c r="AE160" s="23"/>
      <c r="AF160" s="71"/>
      <c r="AG160" s="71"/>
      <c r="AH160" s="71"/>
      <c r="AI160" s="71"/>
      <c r="AJ160" s="71"/>
      <c r="AK160" s="71"/>
      <c r="AL160" s="71"/>
    </row>
    <row r="161" ht="13.5" customHeight="1">
      <c r="A161" s="97"/>
      <c r="B161" s="109"/>
      <c r="C161" s="126"/>
      <c r="D161" s="23"/>
      <c r="E161" s="23"/>
      <c r="F161" s="23"/>
      <c r="G161" s="23"/>
      <c r="H161" s="23"/>
      <c r="I161" s="23"/>
      <c r="J161" s="72"/>
      <c r="K161" s="23"/>
      <c r="L161" s="128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129"/>
      <c r="X161" s="71"/>
      <c r="Y161" s="71"/>
      <c r="Z161" s="71"/>
      <c r="AA161" s="71"/>
      <c r="AB161" s="71"/>
      <c r="AC161" s="126"/>
      <c r="AD161" s="23"/>
      <c r="AE161" s="23"/>
      <c r="AF161" s="71"/>
      <c r="AG161" s="71"/>
      <c r="AH161" s="71"/>
      <c r="AI161" s="71"/>
      <c r="AJ161" s="71"/>
      <c r="AK161" s="71"/>
      <c r="AL161" s="71"/>
    </row>
    <row r="162" ht="13.5" customHeight="1">
      <c r="A162" s="97"/>
      <c r="B162" s="109"/>
      <c r="C162" s="126"/>
      <c r="D162" s="23"/>
      <c r="E162" s="23"/>
      <c r="F162" s="23"/>
      <c r="G162" s="23"/>
      <c r="H162" s="23"/>
      <c r="I162" s="23"/>
      <c r="J162" s="72"/>
      <c r="K162" s="23"/>
      <c r="L162" s="128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129"/>
      <c r="X162" s="71"/>
      <c r="Y162" s="71"/>
      <c r="Z162" s="71"/>
      <c r="AA162" s="71"/>
      <c r="AB162" s="71"/>
      <c r="AC162" s="126"/>
      <c r="AD162" s="23"/>
      <c r="AE162" s="23"/>
      <c r="AF162" s="71"/>
      <c r="AG162" s="71"/>
      <c r="AH162" s="71"/>
      <c r="AI162" s="71"/>
      <c r="AJ162" s="71"/>
      <c r="AK162" s="71"/>
      <c r="AL162" s="71"/>
    </row>
    <row r="163" ht="13.5" customHeight="1">
      <c r="A163" s="97"/>
      <c r="B163" s="109"/>
      <c r="C163" s="126"/>
      <c r="D163" s="23"/>
      <c r="E163" s="23"/>
      <c r="F163" s="23"/>
      <c r="G163" s="23"/>
      <c r="H163" s="23"/>
      <c r="I163" s="23"/>
      <c r="J163" s="72"/>
      <c r="K163" s="23"/>
      <c r="L163" s="128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129"/>
      <c r="X163" s="71"/>
      <c r="Y163" s="71"/>
      <c r="Z163" s="71"/>
      <c r="AA163" s="71"/>
      <c r="AB163" s="71"/>
      <c r="AC163" s="126"/>
      <c r="AD163" s="23"/>
      <c r="AE163" s="23"/>
      <c r="AF163" s="71"/>
      <c r="AG163" s="71"/>
      <c r="AH163" s="71"/>
      <c r="AI163" s="71"/>
      <c r="AJ163" s="71"/>
      <c r="AK163" s="71"/>
      <c r="AL163" s="71"/>
    </row>
    <row r="164" ht="13.5" customHeight="1">
      <c r="A164" s="97"/>
      <c r="B164" s="109"/>
      <c r="C164" s="126"/>
      <c r="D164" s="23"/>
      <c r="E164" s="23"/>
      <c r="F164" s="23"/>
      <c r="G164" s="23"/>
      <c r="H164" s="23"/>
      <c r="I164" s="23"/>
      <c r="J164" s="72"/>
      <c r="K164" s="23"/>
      <c r="L164" s="128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129"/>
      <c r="X164" s="71"/>
      <c r="Y164" s="71"/>
      <c r="Z164" s="71"/>
      <c r="AA164" s="71"/>
      <c r="AB164" s="71"/>
      <c r="AC164" s="126"/>
      <c r="AD164" s="23"/>
      <c r="AE164" s="23"/>
      <c r="AF164" s="71"/>
      <c r="AG164" s="71"/>
      <c r="AH164" s="71"/>
      <c r="AI164" s="71"/>
      <c r="AJ164" s="71"/>
      <c r="AK164" s="71"/>
      <c r="AL164" s="71"/>
    </row>
    <row r="165" ht="13.5" customHeight="1">
      <c r="A165" s="97"/>
      <c r="B165" s="109"/>
      <c r="C165" s="126"/>
      <c r="D165" s="23"/>
      <c r="E165" s="23"/>
      <c r="F165" s="23"/>
      <c r="G165" s="23"/>
      <c r="H165" s="23"/>
      <c r="I165" s="23"/>
      <c r="J165" s="72"/>
      <c r="K165" s="23"/>
      <c r="L165" s="128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129"/>
      <c r="X165" s="71"/>
      <c r="Y165" s="71"/>
      <c r="Z165" s="71"/>
      <c r="AA165" s="71"/>
      <c r="AB165" s="71"/>
      <c r="AC165" s="126"/>
      <c r="AD165" s="23"/>
      <c r="AE165" s="23"/>
      <c r="AF165" s="71"/>
      <c r="AG165" s="71"/>
      <c r="AH165" s="71"/>
      <c r="AI165" s="71"/>
      <c r="AJ165" s="71"/>
      <c r="AK165" s="71"/>
      <c r="AL165" s="71"/>
    </row>
    <row r="166" ht="13.5" customHeight="1">
      <c r="A166" s="97"/>
      <c r="B166" s="109"/>
      <c r="C166" s="126"/>
      <c r="D166" s="23"/>
      <c r="E166" s="23"/>
      <c r="F166" s="23"/>
      <c r="G166" s="23"/>
      <c r="H166" s="23"/>
      <c r="I166" s="23"/>
      <c r="J166" s="72"/>
      <c r="K166" s="23"/>
      <c r="L166" s="128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129"/>
      <c r="X166" s="71"/>
      <c r="Y166" s="71"/>
      <c r="Z166" s="71"/>
      <c r="AA166" s="71"/>
      <c r="AB166" s="71"/>
      <c r="AC166" s="126"/>
      <c r="AD166" s="23"/>
      <c r="AE166" s="23"/>
      <c r="AF166" s="71"/>
      <c r="AG166" s="71"/>
      <c r="AH166" s="71"/>
      <c r="AI166" s="71"/>
      <c r="AJ166" s="71"/>
      <c r="AK166" s="71"/>
      <c r="AL166" s="71"/>
    </row>
    <row r="167" ht="13.5" customHeight="1">
      <c r="A167" s="97"/>
      <c r="B167" s="109"/>
      <c r="C167" s="126"/>
      <c r="D167" s="23"/>
      <c r="E167" s="23"/>
      <c r="F167" s="23"/>
      <c r="G167" s="23"/>
      <c r="H167" s="23"/>
      <c r="I167" s="23"/>
      <c r="J167" s="72"/>
      <c r="K167" s="23"/>
      <c r="L167" s="128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129"/>
      <c r="X167" s="71"/>
      <c r="Y167" s="71"/>
      <c r="Z167" s="71"/>
      <c r="AA167" s="71"/>
      <c r="AB167" s="71"/>
      <c r="AC167" s="126"/>
      <c r="AD167" s="23"/>
      <c r="AE167" s="23"/>
      <c r="AF167" s="71"/>
      <c r="AG167" s="71"/>
      <c r="AH167" s="71"/>
      <c r="AI167" s="71"/>
      <c r="AJ167" s="71"/>
      <c r="AK167" s="71"/>
      <c r="AL167" s="71"/>
    </row>
    <row r="168" ht="13.5" customHeight="1">
      <c r="A168" s="97"/>
      <c r="B168" s="109"/>
      <c r="C168" s="126"/>
      <c r="D168" s="23"/>
      <c r="E168" s="23"/>
      <c r="F168" s="23"/>
      <c r="G168" s="23"/>
      <c r="H168" s="23"/>
      <c r="I168" s="23"/>
      <c r="J168" s="72"/>
      <c r="K168" s="23"/>
      <c r="L168" s="128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129"/>
      <c r="X168" s="71"/>
      <c r="Y168" s="71"/>
      <c r="Z168" s="71"/>
      <c r="AA168" s="71"/>
      <c r="AB168" s="71"/>
      <c r="AC168" s="126"/>
      <c r="AD168" s="23"/>
      <c r="AE168" s="23"/>
      <c r="AF168" s="71"/>
      <c r="AG168" s="71"/>
      <c r="AH168" s="71"/>
      <c r="AI168" s="71"/>
      <c r="AJ168" s="71"/>
      <c r="AK168" s="71"/>
      <c r="AL168" s="71"/>
    </row>
    <row r="169" ht="13.5" customHeight="1">
      <c r="A169" s="97"/>
      <c r="B169" s="109"/>
      <c r="C169" s="126"/>
      <c r="D169" s="23"/>
      <c r="E169" s="23"/>
      <c r="F169" s="23"/>
      <c r="G169" s="23"/>
      <c r="H169" s="23"/>
      <c r="I169" s="23"/>
      <c r="J169" s="72"/>
      <c r="K169" s="23"/>
      <c r="L169" s="128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129"/>
      <c r="X169" s="71"/>
      <c r="Y169" s="71"/>
      <c r="Z169" s="71"/>
      <c r="AA169" s="71"/>
      <c r="AB169" s="71"/>
      <c r="AC169" s="126"/>
      <c r="AD169" s="23"/>
      <c r="AE169" s="23"/>
      <c r="AF169" s="71"/>
      <c r="AG169" s="71"/>
      <c r="AH169" s="71"/>
      <c r="AI169" s="71"/>
      <c r="AJ169" s="71"/>
      <c r="AK169" s="71"/>
      <c r="AL169" s="71"/>
    </row>
    <row r="170" ht="13.5" customHeight="1">
      <c r="A170" s="97"/>
      <c r="B170" s="109"/>
      <c r="C170" s="126"/>
      <c r="D170" s="23"/>
      <c r="E170" s="23"/>
      <c r="F170" s="23"/>
      <c r="G170" s="23"/>
      <c r="H170" s="23"/>
      <c r="I170" s="23"/>
      <c r="J170" s="72"/>
      <c r="K170" s="23"/>
      <c r="L170" s="128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129"/>
      <c r="X170" s="71"/>
      <c r="Y170" s="71"/>
      <c r="Z170" s="71"/>
      <c r="AA170" s="71"/>
      <c r="AB170" s="71"/>
      <c r="AC170" s="126"/>
      <c r="AD170" s="23"/>
      <c r="AE170" s="23"/>
      <c r="AF170" s="71"/>
      <c r="AG170" s="71"/>
      <c r="AH170" s="71"/>
      <c r="AI170" s="71"/>
      <c r="AJ170" s="71"/>
      <c r="AK170" s="71"/>
      <c r="AL170" s="71"/>
    </row>
    <row r="171" ht="13.5" customHeight="1">
      <c r="A171" s="97"/>
      <c r="B171" s="109"/>
      <c r="C171" s="126"/>
      <c r="D171" s="23"/>
      <c r="E171" s="23"/>
      <c r="F171" s="23"/>
      <c r="G171" s="23"/>
      <c r="H171" s="23"/>
      <c r="I171" s="23"/>
      <c r="J171" s="72"/>
      <c r="K171" s="23"/>
      <c r="L171" s="128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129"/>
      <c r="X171" s="71"/>
      <c r="Y171" s="71"/>
      <c r="Z171" s="71"/>
      <c r="AA171" s="71"/>
      <c r="AB171" s="71"/>
      <c r="AC171" s="126"/>
      <c r="AD171" s="23"/>
      <c r="AE171" s="23"/>
      <c r="AF171" s="71"/>
      <c r="AG171" s="71"/>
      <c r="AH171" s="71"/>
      <c r="AI171" s="71"/>
      <c r="AJ171" s="71"/>
      <c r="AK171" s="71"/>
      <c r="AL171" s="71"/>
    </row>
    <row r="172" ht="13.5" customHeight="1">
      <c r="A172" s="97"/>
      <c r="B172" s="109"/>
      <c r="C172" s="126"/>
      <c r="D172" s="23"/>
      <c r="E172" s="23"/>
      <c r="F172" s="23"/>
      <c r="G172" s="23"/>
      <c r="H172" s="23"/>
      <c r="I172" s="23"/>
      <c r="J172" s="72"/>
      <c r="K172" s="23"/>
      <c r="L172" s="128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129"/>
      <c r="X172" s="71"/>
      <c r="Y172" s="71"/>
      <c r="Z172" s="71"/>
      <c r="AA172" s="71"/>
      <c r="AB172" s="71"/>
      <c r="AC172" s="126"/>
      <c r="AD172" s="23"/>
      <c r="AE172" s="23"/>
      <c r="AF172" s="71"/>
      <c r="AG172" s="71"/>
      <c r="AH172" s="71"/>
      <c r="AI172" s="71"/>
      <c r="AJ172" s="71"/>
      <c r="AK172" s="71"/>
      <c r="AL172" s="71"/>
    </row>
    <row r="173" ht="13.5" customHeight="1">
      <c r="A173" s="97"/>
      <c r="B173" s="109"/>
      <c r="C173" s="126"/>
      <c r="D173" s="23"/>
      <c r="E173" s="23"/>
      <c r="F173" s="23"/>
      <c r="G173" s="23"/>
      <c r="H173" s="23"/>
      <c r="I173" s="23"/>
      <c r="J173" s="72"/>
      <c r="K173" s="23"/>
      <c r="L173" s="128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129"/>
      <c r="X173" s="71"/>
      <c r="Y173" s="71"/>
      <c r="Z173" s="71"/>
      <c r="AA173" s="71"/>
      <c r="AB173" s="71"/>
      <c r="AC173" s="126"/>
      <c r="AD173" s="23"/>
      <c r="AE173" s="23"/>
      <c r="AF173" s="71"/>
      <c r="AG173" s="71"/>
      <c r="AH173" s="71"/>
      <c r="AI173" s="71"/>
      <c r="AJ173" s="71"/>
      <c r="AK173" s="71"/>
      <c r="AL173" s="71"/>
    </row>
    <row r="174" ht="13.5" customHeight="1">
      <c r="A174" s="97"/>
      <c r="B174" s="109"/>
      <c r="C174" s="126"/>
      <c r="D174" s="23"/>
      <c r="E174" s="23"/>
      <c r="F174" s="23"/>
      <c r="G174" s="23"/>
      <c r="H174" s="23"/>
      <c r="I174" s="23"/>
      <c r="J174" s="72"/>
      <c r="K174" s="23"/>
      <c r="L174" s="128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129"/>
      <c r="X174" s="71"/>
      <c r="Y174" s="71"/>
      <c r="Z174" s="71"/>
      <c r="AA174" s="71"/>
      <c r="AB174" s="71"/>
      <c r="AC174" s="126"/>
      <c r="AD174" s="23"/>
      <c r="AE174" s="23"/>
      <c r="AF174" s="71"/>
      <c r="AG174" s="71"/>
      <c r="AH174" s="71"/>
      <c r="AI174" s="71"/>
      <c r="AJ174" s="71"/>
      <c r="AK174" s="71"/>
      <c r="AL174" s="71"/>
    </row>
    <row r="175" ht="13.5" customHeight="1">
      <c r="A175" s="97"/>
      <c r="B175" s="109"/>
      <c r="C175" s="126"/>
      <c r="D175" s="23"/>
      <c r="E175" s="23"/>
      <c r="F175" s="23"/>
      <c r="G175" s="23"/>
      <c r="H175" s="23"/>
      <c r="I175" s="23"/>
      <c r="J175" s="72"/>
      <c r="K175" s="23"/>
      <c r="L175" s="128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129"/>
      <c r="X175" s="71"/>
      <c r="Y175" s="71"/>
      <c r="Z175" s="71"/>
      <c r="AA175" s="71"/>
      <c r="AB175" s="71"/>
      <c r="AC175" s="126"/>
      <c r="AD175" s="23"/>
      <c r="AE175" s="23"/>
      <c r="AF175" s="71"/>
      <c r="AG175" s="71"/>
      <c r="AH175" s="71"/>
      <c r="AI175" s="71"/>
      <c r="AJ175" s="71"/>
      <c r="AK175" s="71"/>
      <c r="AL175" s="71"/>
    </row>
    <row r="176" ht="13.5" customHeight="1">
      <c r="A176" s="97"/>
      <c r="B176" s="109"/>
      <c r="C176" s="126"/>
      <c r="D176" s="23"/>
      <c r="E176" s="23"/>
      <c r="F176" s="23"/>
      <c r="G176" s="23"/>
      <c r="H176" s="23"/>
      <c r="I176" s="23"/>
      <c r="J176" s="72"/>
      <c r="K176" s="23"/>
      <c r="L176" s="128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129"/>
      <c r="X176" s="71"/>
      <c r="Y176" s="71"/>
      <c r="Z176" s="71"/>
      <c r="AA176" s="71"/>
      <c r="AB176" s="71"/>
      <c r="AC176" s="126"/>
      <c r="AD176" s="23"/>
      <c r="AE176" s="23"/>
      <c r="AF176" s="71"/>
      <c r="AG176" s="71"/>
      <c r="AH176" s="71"/>
      <c r="AI176" s="71"/>
      <c r="AJ176" s="71"/>
      <c r="AK176" s="71"/>
      <c r="AL176" s="71"/>
    </row>
    <row r="177" ht="13.5" customHeight="1">
      <c r="A177" s="97"/>
      <c r="B177" s="109"/>
      <c r="C177" s="126"/>
      <c r="D177" s="23"/>
      <c r="E177" s="23"/>
      <c r="F177" s="23"/>
      <c r="G177" s="23"/>
      <c r="H177" s="23"/>
      <c r="I177" s="23"/>
      <c r="J177" s="72"/>
      <c r="K177" s="23"/>
      <c r="L177" s="128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129"/>
      <c r="X177" s="71"/>
      <c r="Y177" s="71"/>
      <c r="Z177" s="71"/>
      <c r="AA177" s="71"/>
      <c r="AB177" s="71"/>
      <c r="AC177" s="126"/>
      <c r="AD177" s="23"/>
      <c r="AE177" s="23"/>
      <c r="AF177" s="71"/>
      <c r="AG177" s="71"/>
      <c r="AH177" s="71"/>
      <c r="AI177" s="71"/>
      <c r="AJ177" s="71"/>
      <c r="AK177" s="71"/>
      <c r="AL177" s="71"/>
    </row>
    <row r="178" ht="13.5" customHeight="1">
      <c r="A178" s="97"/>
      <c r="B178" s="109"/>
      <c r="C178" s="126"/>
      <c r="D178" s="23"/>
      <c r="E178" s="23"/>
      <c r="F178" s="23"/>
      <c r="G178" s="23"/>
      <c r="H178" s="23"/>
      <c r="I178" s="23"/>
      <c r="J178" s="72"/>
      <c r="K178" s="23"/>
      <c r="L178" s="128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129"/>
      <c r="X178" s="71"/>
      <c r="Y178" s="71"/>
      <c r="Z178" s="71"/>
      <c r="AA178" s="71"/>
      <c r="AB178" s="71"/>
      <c r="AC178" s="126"/>
      <c r="AD178" s="23"/>
      <c r="AE178" s="23"/>
      <c r="AF178" s="71"/>
      <c r="AG178" s="71"/>
      <c r="AH178" s="71"/>
      <c r="AI178" s="71"/>
      <c r="AJ178" s="71"/>
      <c r="AK178" s="71"/>
      <c r="AL178" s="71"/>
    </row>
    <row r="179" ht="13.5" customHeight="1">
      <c r="A179" s="97"/>
      <c r="B179" s="109"/>
      <c r="C179" s="126"/>
      <c r="D179" s="23"/>
      <c r="E179" s="23"/>
      <c r="F179" s="23"/>
      <c r="G179" s="23"/>
      <c r="H179" s="23"/>
      <c r="I179" s="23"/>
      <c r="J179" s="72"/>
      <c r="K179" s="23"/>
      <c r="L179" s="128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129"/>
      <c r="X179" s="71"/>
      <c r="Y179" s="71"/>
      <c r="Z179" s="71"/>
      <c r="AA179" s="71"/>
      <c r="AB179" s="71"/>
      <c r="AC179" s="126"/>
      <c r="AD179" s="23"/>
      <c r="AE179" s="23"/>
      <c r="AF179" s="71"/>
      <c r="AG179" s="71"/>
      <c r="AH179" s="71"/>
      <c r="AI179" s="71"/>
      <c r="AJ179" s="71"/>
      <c r="AK179" s="71"/>
      <c r="AL179" s="71"/>
    </row>
    <row r="180" ht="13.5" customHeight="1">
      <c r="A180" s="97"/>
      <c r="B180" s="109"/>
      <c r="C180" s="126"/>
      <c r="D180" s="23"/>
      <c r="E180" s="23"/>
      <c r="F180" s="23"/>
      <c r="G180" s="23"/>
      <c r="H180" s="23"/>
      <c r="I180" s="23"/>
      <c r="J180" s="72"/>
      <c r="K180" s="23"/>
      <c r="L180" s="128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129"/>
      <c r="X180" s="71"/>
      <c r="Y180" s="71"/>
      <c r="Z180" s="71"/>
      <c r="AA180" s="71"/>
      <c r="AB180" s="71"/>
      <c r="AC180" s="126"/>
      <c r="AD180" s="23"/>
      <c r="AE180" s="23"/>
      <c r="AF180" s="71"/>
      <c r="AG180" s="71"/>
      <c r="AH180" s="71"/>
      <c r="AI180" s="71"/>
      <c r="AJ180" s="71"/>
      <c r="AK180" s="71"/>
      <c r="AL180" s="71"/>
    </row>
    <row r="181" ht="13.5" customHeight="1">
      <c r="A181" s="97"/>
      <c r="B181" s="109"/>
      <c r="C181" s="126"/>
      <c r="D181" s="23"/>
      <c r="E181" s="23"/>
      <c r="F181" s="23"/>
      <c r="G181" s="23"/>
      <c r="H181" s="23"/>
      <c r="I181" s="23"/>
      <c r="J181" s="72"/>
      <c r="K181" s="23"/>
      <c r="L181" s="128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129"/>
      <c r="X181" s="71"/>
      <c r="Y181" s="71"/>
      <c r="Z181" s="71"/>
      <c r="AA181" s="71"/>
      <c r="AB181" s="71"/>
      <c r="AC181" s="126"/>
      <c r="AD181" s="23"/>
      <c r="AE181" s="23"/>
      <c r="AF181" s="71"/>
      <c r="AG181" s="71"/>
      <c r="AH181" s="71"/>
      <c r="AI181" s="71"/>
      <c r="AJ181" s="71"/>
      <c r="AK181" s="71"/>
      <c r="AL181" s="71"/>
    </row>
    <row r="182" ht="13.5" customHeight="1">
      <c r="A182" s="97"/>
      <c r="B182" s="109"/>
      <c r="C182" s="126"/>
      <c r="D182" s="23"/>
      <c r="E182" s="23"/>
      <c r="F182" s="23"/>
      <c r="G182" s="23"/>
      <c r="H182" s="23"/>
      <c r="I182" s="23"/>
      <c r="J182" s="72"/>
      <c r="K182" s="23"/>
      <c r="L182" s="128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129"/>
      <c r="X182" s="71"/>
      <c r="Y182" s="71"/>
      <c r="Z182" s="71"/>
      <c r="AA182" s="71"/>
      <c r="AB182" s="71"/>
      <c r="AC182" s="126"/>
      <c r="AD182" s="23"/>
      <c r="AE182" s="23"/>
      <c r="AF182" s="71"/>
      <c r="AG182" s="71"/>
      <c r="AH182" s="71"/>
      <c r="AI182" s="71"/>
      <c r="AJ182" s="71"/>
      <c r="AK182" s="71"/>
      <c r="AL182" s="71"/>
    </row>
    <row r="183" ht="13.5" customHeight="1">
      <c r="A183" s="97"/>
      <c r="B183" s="109"/>
      <c r="C183" s="126"/>
      <c r="D183" s="23"/>
      <c r="E183" s="23"/>
      <c r="F183" s="23"/>
      <c r="G183" s="23"/>
      <c r="H183" s="23"/>
      <c r="I183" s="23"/>
      <c r="J183" s="72"/>
      <c r="K183" s="23"/>
      <c r="L183" s="128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129"/>
      <c r="X183" s="71"/>
      <c r="Y183" s="71"/>
      <c r="Z183" s="71"/>
      <c r="AA183" s="71"/>
      <c r="AB183" s="71"/>
      <c r="AC183" s="126"/>
      <c r="AD183" s="23"/>
      <c r="AE183" s="23"/>
      <c r="AF183" s="71"/>
      <c r="AG183" s="71"/>
      <c r="AH183" s="71"/>
      <c r="AI183" s="71"/>
      <c r="AJ183" s="71"/>
      <c r="AK183" s="71"/>
      <c r="AL183" s="71"/>
    </row>
    <row r="184" ht="13.5" customHeight="1">
      <c r="A184" s="97"/>
      <c r="B184" s="109"/>
      <c r="C184" s="126"/>
      <c r="D184" s="23"/>
      <c r="E184" s="23"/>
      <c r="F184" s="23"/>
      <c r="G184" s="23"/>
      <c r="H184" s="23"/>
      <c r="I184" s="23"/>
      <c r="J184" s="72"/>
      <c r="K184" s="23"/>
      <c r="L184" s="128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129"/>
      <c r="X184" s="71"/>
      <c r="Y184" s="71"/>
      <c r="Z184" s="71"/>
      <c r="AA184" s="71"/>
      <c r="AB184" s="71"/>
      <c r="AC184" s="126"/>
      <c r="AD184" s="23"/>
      <c r="AE184" s="23"/>
      <c r="AF184" s="71"/>
      <c r="AG184" s="71"/>
      <c r="AH184" s="71"/>
      <c r="AI184" s="71"/>
      <c r="AJ184" s="71"/>
      <c r="AK184" s="71"/>
      <c r="AL184" s="71"/>
    </row>
    <row r="185" ht="13.5" customHeight="1">
      <c r="A185" s="97"/>
      <c r="B185" s="109"/>
      <c r="C185" s="126"/>
      <c r="D185" s="23"/>
      <c r="E185" s="23"/>
      <c r="F185" s="23"/>
      <c r="G185" s="23"/>
      <c r="H185" s="23"/>
      <c r="I185" s="23"/>
      <c r="J185" s="72"/>
      <c r="K185" s="23"/>
      <c r="L185" s="128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129"/>
      <c r="X185" s="71"/>
      <c r="Y185" s="71"/>
      <c r="Z185" s="71"/>
      <c r="AA185" s="71"/>
      <c r="AB185" s="71"/>
      <c r="AC185" s="126"/>
      <c r="AD185" s="23"/>
      <c r="AE185" s="23"/>
      <c r="AF185" s="71"/>
      <c r="AG185" s="71"/>
      <c r="AH185" s="71"/>
      <c r="AI185" s="71"/>
      <c r="AJ185" s="71"/>
      <c r="AK185" s="71"/>
      <c r="AL185" s="71"/>
    </row>
    <row r="186" ht="13.5" customHeight="1">
      <c r="A186" s="97"/>
      <c r="B186" s="109"/>
      <c r="C186" s="126"/>
      <c r="D186" s="23"/>
      <c r="E186" s="23"/>
      <c r="F186" s="23"/>
      <c r="G186" s="23"/>
      <c r="H186" s="23"/>
      <c r="I186" s="23"/>
      <c r="J186" s="72"/>
      <c r="K186" s="23"/>
      <c r="L186" s="128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129"/>
      <c r="X186" s="71"/>
      <c r="Y186" s="71"/>
      <c r="Z186" s="71"/>
      <c r="AA186" s="71"/>
      <c r="AB186" s="71"/>
      <c r="AC186" s="126"/>
      <c r="AD186" s="23"/>
      <c r="AE186" s="23"/>
      <c r="AF186" s="71"/>
      <c r="AG186" s="71"/>
      <c r="AH186" s="71"/>
      <c r="AI186" s="71"/>
      <c r="AJ186" s="71"/>
      <c r="AK186" s="71"/>
      <c r="AL186" s="71"/>
    </row>
    <row r="187" ht="13.5" customHeight="1">
      <c r="A187" s="97"/>
      <c r="B187" s="109"/>
      <c r="C187" s="126"/>
      <c r="D187" s="23"/>
      <c r="E187" s="23"/>
      <c r="F187" s="23"/>
      <c r="G187" s="23"/>
      <c r="H187" s="23"/>
      <c r="I187" s="23"/>
      <c r="J187" s="72"/>
      <c r="K187" s="23"/>
      <c r="L187" s="128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129"/>
      <c r="X187" s="71"/>
      <c r="Y187" s="71"/>
      <c r="Z187" s="71"/>
      <c r="AA187" s="71"/>
      <c r="AB187" s="71"/>
      <c r="AC187" s="126"/>
      <c r="AD187" s="23"/>
      <c r="AE187" s="23"/>
      <c r="AF187" s="71"/>
      <c r="AG187" s="71"/>
      <c r="AH187" s="71"/>
      <c r="AI187" s="71"/>
      <c r="AJ187" s="71"/>
      <c r="AK187" s="71"/>
      <c r="AL187" s="71"/>
    </row>
    <row r="188" ht="13.5" customHeight="1">
      <c r="A188" s="97"/>
      <c r="B188" s="109"/>
      <c r="C188" s="126"/>
      <c r="D188" s="23"/>
      <c r="E188" s="23"/>
      <c r="F188" s="23"/>
      <c r="G188" s="23"/>
      <c r="H188" s="23"/>
      <c r="I188" s="23"/>
      <c r="J188" s="72"/>
      <c r="K188" s="23"/>
      <c r="L188" s="128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129"/>
      <c r="X188" s="71"/>
      <c r="Y188" s="71"/>
      <c r="Z188" s="71"/>
      <c r="AA188" s="71"/>
      <c r="AB188" s="71"/>
      <c r="AC188" s="126"/>
      <c r="AD188" s="23"/>
      <c r="AE188" s="23"/>
      <c r="AF188" s="71"/>
      <c r="AG188" s="71"/>
      <c r="AH188" s="71"/>
      <c r="AI188" s="71"/>
      <c r="AJ188" s="71"/>
      <c r="AK188" s="71"/>
      <c r="AL188" s="71"/>
    </row>
    <row r="189" ht="13.5" customHeight="1">
      <c r="A189" s="97"/>
      <c r="B189" s="109"/>
      <c r="C189" s="126"/>
      <c r="D189" s="23"/>
      <c r="E189" s="23"/>
      <c r="F189" s="23"/>
      <c r="G189" s="23"/>
      <c r="H189" s="23"/>
      <c r="I189" s="23"/>
      <c r="J189" s="72"/>
      <c r="K189" s="23"/>
      <c r="L189" s="128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129"/>
      <c r="X189" s="71"/>
      <c r="Y189" s="71"/>
      <c r="Z189" s="71"/>
      <c r="AA189" s="71"/>
      <c r="AB189" s="71"/>
      <c r="AC189" s="126"/>
      <c r="AD189" s="23"/>
      <c r="AE189" s="23"/>
      <c r="AF189" s="71"/>
      <c r="AG189" s="71"/>
      <c r="AH189" s="71"/>
      <c r="AI189" s="71"/>
      <c r="AJ189" s="71"/>
      <c r="AK189" s="71"/>
      <c r="AL189" s="71"/>
    </row>
    <row r="190" ht="13.5" customHeight="1">
      <c r="A190" s="97"/>
      <c r="B190" s="109"/>
      <c r="C190" s="126"/>
      <c r="D190" s="23"/>
      <c r="E190" s="23"/>
      <c r="F190" s="23"/>
      <c r="G190" s="23"/>
      <c r="H190" s="23"/>
      <c r="I190" s="23"/>
      <c r="J190" s="72"/>
      <c r="K190" s="23"/>
      <c r="L190" s="128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129"/>
      <c r="X190" s="71"/>
      <c r="Y190" s="71"/>
      <c r="Z190" s="71"/>
      <c r="AA190" s="71"/>
      <c r="AB190" s="71"/>
      <c r="AC190" s="126"/>
      <c r="AD190" s="23"/>
      <c r="AE190" s="23"/>
      <c r="AF190" s="71"/>
      <c r="AG190" s="71"/>
      <c r="AH190" s="71"/>
      <c r="AI190" s="71"/>
      <c r="AJ190" s="71"/>
      <c r="AK190" s="71"/>
      <c r="AL190" s="71"/>
    </row>
    <row r="191" ht="13.5" customHeight="1">
      <c r="A191" s="97"/>
      <c r="B191" s="109"/>
      <c r="C191" s="126"/>
      <c r="D191" s="23"/>
      <c r="E191" s="23"/>
      <c r="F191" s="23"/>
      <c r="G191" s="23"/>
      <c r="H191" s="23"/>
      <c r="I191" s="23"/>
      <c r="J191" s="72"/>
      <c r="K191" s="23"/>
      <c r="L191" s="128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129"/>
      <c r="X191" s="71"/>
      <c r="Y191" s="71"/>
      <c r="Z191" s="71"/>
      <c r="AA191" s="71"/>
      <c r="AB191" s="71"/>
      <c r="AC191" s="126"/>
      <c r="AD191" s="23"/>
      <c r="AE191" s="23"/>
      <c r="AF191" s="71"/>
      <c r="AG191" s="71"/>
      <c r="AH191" s="71"/>
      <c r="AI191" s="71"/>
      <c r="AJ191" s="71"/>
      <c r="AK191" s="71"/>
      <c r="AL191" s="71"/>
    </row>
    <row r="192" ht="13.5" customHeight="1">
      <c r="A192" s="97"/>
      <c r="B192" s="109"/>
      <c r="C192" s="126"/>
      <c r="D192" s="23"/>
      <c r="E192" s="23"/>
      <c r="F192" s="23"/>
      <c r="G192" s="23"/>
      <c r="H192" s="23"/>
      <c r="I192" s="23"/>
      <c r="J192" s="72"/>
      <c r="K192" s="23"/>
      <c r="L192" s="128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129"/>
      <c r="X192" s="71"/>
      <c r="Y192" s="71"/>
      <c r="Z192" s="71"/>
      <c r="AA192" s="71"/>
      <c r="AB192" s="71"/>
      <c r="AC192" s="126"/>
      <c r="AD192" s="23"/>
      <c r="AE192" s="23"/>
      <c r="AF192" s="71"/>
      <c r="AG192" s="71"/>
      <c r="AH192" s="71"/>
      <c r="AI192" s="71"/>
      <c r="AJ192" s="71"/>
      <c r="AK192" s="71"/>
      <c r="AL192" s="71"/>
    </row>
    <row r="193" ht="13.5" customHeight="1">
      <c r="A193" s="97"/>
      <c r="B193" s="109"/>
      <c r="C193" s="126"/>
      <c r="D193" s="23"/>
      <c r="E193" s="23"/>
      <c r="F193" s="23"/>
      <c r="G193" s="23"/>
      <c r="H193" s="23"/>
      <c r="I193" s="23"/>
      <c r="J193" s="72"/>
      <c r="K193" s="23"/>
      <c r="L193" s="128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129"/>
      <c r="X193" s="71"/>
      <c r="Y193" s="71"/>
      <c r="Z193" s="71"/>
      <c r="AA193" s="71"/>
      <c r="AB193" s="71"/>
      <c r="AC193" s="126"/>
      <c r="AD193" s="23"/>
      <c r="AE193" s="23"/>
      <c r="AF193" s="71"/>
      <c r="AG193" s="71"/>
      <c r="AH193" s="71"/>
      <c r="AI193" s="71"/>
      <c r="AJ193" s="71"/>
      <c r="AK193" s="71"/>
      <c r="AL193" s="71"/>
    </row>
    <row r="194" ht="13.5" customHeight="1">
      <c r="A194" s="97"/>
      <c r="B194" s="109"/>
      <c r="C194" s="126"/>
      <c r="D194" s="23"/>
      <c r="E194" s="23"/>
      <c r="F194" s="23"/>
      <c r="G194" s="23"/>
      <c r="H194" s="23"/>
      <c r="I194" s="23"/>
      <c r="J194" s="72"/>
      <c r="K194" s="23"/>
      <c r="L194" s="128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129"/>
      <c r="X194" s="71"/>
      <c r="Y194" s="71"/>
      <c r="Z194" s="71"/>
      <c r="AA194" s="71"/>
      <c r="AB194" s="71"/>
      <c r="AC194" s="126"/>
      <c r="AD194" s="23"/>
      <c r="AE194" s="23"/>
      <c r="AF194" s="71"/>
      <c r="AG194" s="71"/>
      <c r="AH194" s="71"/>
      <c r="AI194" s="71"/>
      <c r="AJ194" s="71"/>
      <c r="AK194" s="71"/>
      <c r="AL194" s="71"/>
    </row>
    <row r="195" ht="13.5" customHeight="1">
      <c r="A195" s="97"/>
      <c r="B195" s="109"/>
      <c r="C195" s="126"/>
      <c r="D195" s="23"/>
      <c r="E195" s="23"/>
      <c r="F195" s="23"/>
      <c r="G195" s="23"/>
      <c r="H195" s="23"/>
      <c r="I195" s="23"/>
      <c r="J195" s="72"/>
      <c r="K195" s="23"/>
      <c r="L195" s="128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129"/>
      <c r="X195" s="71"/>
      <c r="Y195" s="71"/>
      <c r="Z195" s="71"/>
      <c r="AA195" s="71"/>
      <c r="AB195" s="71"/>
      <c r="AC195" s="126"/>
      <c r="AD195" s="23"/>
      <c r="AE195" s="23"/>
      <c r="AF195" s="71"/>
      <c r="AG195" s="71"/>
      <c r="AH195" s="71"/>
      <c r="AI195" s="71"/>
      <c r="AJ195" s="71"/>
      <c r="AK195" s="71"/>
      <c r="AL195" s="71"/>
    </row>
    <row r="196" ht="13.5" customHeight="1">
      <c r="A196" s="97"/>
      <c r="B196" s="109"/>
      <c r="C196" s="126"/>
      <c r="D196" s="23"/>
      <c r="E196" s="23"/>
      <c r="F196" s="23"/>
      <c r="G196" s="23"/>
      <c r="H196" s="23"/>
      <c r="I196" s="23"/>
      <c r="J196" s="72"/>
      <c r="K196" s="23"/>
      <c r="L196" s="128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129"/>
      <c r="X196" s="71"/>
      <c r="Y196" s="71"/>
      <c r="Z196" s="71"/>
      <c r="AA196" s="71"/>
      <c r="AB196" s="71"/>
      <c r="AC196" s="126"/>
      <c r="AD196" s="23"/>
      <c r="AE196" s="23"/>
      <c r="AF196" s="71"/>
      <c r="AG196" s="71"/>
      <c r="AH196" s="71"/>
      <c r="AI196" s="71"/>
      <c r="AJ196" s="71"/>
      <c r="AK196" s="71"/>
      <c r="AL196" s="71"/>
    </row>
    <row r="197" ht="13.5" customHeight="1">
      <c r="A197" s="97"/>
      <c r="B197" s="109"/>
      <c r="C197" s="126"/>
      <c r="D197" s="23"/>
      <c r="E197" s="23"/>
      <c r="F197" s="23"/>
      <c r="G197" s="23"/>
      <c r="H197" s="23"/>
      <c r="I197" s="23"/>
      <c r="J197" s="72"/>
      <c r="K197" s="23"/>
      <c r="L197" s="128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129"/>
      <c r="X197" s="71"/>
      <c r="Y197" s="71"/>
      <c r="Z197" s="71"/>
      <c r="AA197" s="71"/>
      <c r="AB197" s="71"/>
      <c r="AC197" s="126"/>
      <c r="AD197" s="23"/>
      <c r="AE197" s="23"/>
      <c r="AF197" s="71"/>
      <c r="AG197" s="71"/>
      <c r="AH197" s="71"/>
      <c r="AI197" s="71"/>
      <c r="AJ197" s="71"/>
      <c r="AK197" s="71"/>
      <c r="AL197" s="71"/>
    </row>
    <row r="198" ht="13.5" customHeight="1">
      <c r="A198" s="97"/>
      <c r="B198" s="109"/>
      <c r="C198" s="126"/>
      <c r="D198" s="23"/>
      <c r="E198" s="23"/>
      <c r="F198" s="23"/>
      <c r="G198" s="23"/>
      <c r="H198" s="23"/>
      <c r="I198" s="23"/>
      <c r="J198" s="72"/>
      <c r="K198" s="23"/>
      <c r="L198" s="128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129"/>
      <c r="X198" s="71"/>
      <c r="Y198" s="71"/>
      <c r="Z198" s="71"/>
      <c r="AA198" s="71"/>
      <c r="AB198" s="71"/>
      <c r="AC198" s="126"/>
      <c r="AD198" s="23"/>
      <c r="AE198" s="23"/>
      <c r="AF198" s="71"/>
      <c r="AG198" s="71"/>
      <c r="AH198" s="71"/>
      <c r="AI198" s="71"/>
      <c r="AJ198" s="71"/>
      <c r="AK198" s="71"/>
      <c r="AL198" s="71"/>
    </row>
    <row r="199" ht="13.5" customHeight="1">
      <c r="A199" s="97"/>
      <c r="B199" s="109"/>
      <c r="C199" s="126"/>
      <c r="D199" s="23"/>
      <c r="E199" s="23"/>
      <c r="F199" s="23"/>
      <c r="G199" s="23"/>
      <c r="H199" s="23"/>
      <c r="I199" s="23"/>
      <c r="J199" s="72"/>
      <c r="K199" s="23"/>
      <c r="L199" s="128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129"/>
      <c r="X199" s="71"/>
      <c r="Y199" s="71"/>
      <c r="Z199" s="71"/>
      <c r="AA199" s="71"/>
      <c r="AB199" s="71"/>
      <c r="AC199" s="126"/>
      <c r="AD199" s="23"/>
      <c r="AE199" s="23"/>
      <c r="AF199" s="71"/>
      <c r="AG199" s="71"/>
      <c r="AH199" s="71"/>
      <c r="AI199" s="71"/>
      <c r="AJ199" s="71"/>
      <c r="AK199" s="71"/>
      <c r="AL199" s="71"/>
    </row>
    <row r="200" ht="13.5" customHeight="1">
      <c r="A200" s="97"/>
      <c r="B200" s="109"/>
      <c r="C200" s="126"/>
      <c r="D200" s="23"/>
      <c r="E200" s="23"/>
      <c r="F200" s="23"/>
      <c r="G200" s="23"/>
      <c r="H200" s="23"/>
      <c r="I200" s="23"/>
      <c r="J200" s="72"/>
      <c r="K200" s="23"/>
      <c r="L200" s="128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129"/>
      <c r="X200" s="71"/>
      <c r="Y200" s="71"/>
      <c r="Z200" s="71"/>
      <c r="AA200" s="71"/>
      <c r="AB200" s="71"/>
      <c r="AC200" s="126"/>
      <c r="AD200" s="23"/>
      <c r="AE200" s="23"/>
      <c r="AF200" s="71"/>
      <c r="AG200" s="71"/>
      <c r="AH200" s="71"/>
      <c r="AI200" s="71"/>
      <c r="AJ200" s="71"/>
      <c r="AK200" s="71"/>
      <c r="AL200" s="71"/>
    </row>
    <row r="201" ht="13.5" customHeight="1">
      <c r="A201" s="97"/>
      <c r="B201" s="109"/>
      <c r="C201" s="126"/>
      <c r="D201" s="23"/>
      <c r="E201" s="23"/>
      <c r="F201" s="23"/>
      <c r="G201" s="23"/>
      <c r="H201" s="23"/>
      <c r="I201" s="23"/>
      <c r="J201" s="72"/>
      <c r="K201" s="23"/>
      <c r="L201" s="128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129"/>
      <c r="X201" s="71"/>
      <c r="Y201" s="71"/>
      <c r="Z201" s="71"/>
      <c r="AA201" s="71"/>
      <c r="AB201" s="71"/>
      <c r="AC201" s="126"/>
      <c r="AD201" s="23"/>
      <c r="AE201" s="23"/>
      <c r="AF201" s="71"/>
      <c r="AG201" s="71"/>
      <c r="AH201" s="71"/>
      <c r="AI201" s="71"/>
      <c r="AJ201" s="71"/>
      <c r="AK201" s="71"/>
      <c r="AL201" s="71"/>
    </row>
    <row r="202" ht="13.5" customHeight="1">
      <c r="A202" s="97"/>
      <c r="B202" s="109"/>
      <c r="C202" s="126"/>
      <c r="D202" s="23"/>
      <c r="E202" s="23"/>
      <c r="F202" s="23"/>
      <c r="G202" s="23"/>
      <c r="H202" s="23"/>
      <c r="I202" s="23"/>
      <c r="J202" s="72"/>
      <c r="K202" s="23"/>
      <c r="L202" s="128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129"/>
      <c r="X202" s="71"/>
      <c r="Y202" s="71"/>
      <c r="Z202" s="71"/>
      <c r="AA202" s="71"/>
      <c r="AB202" s="71"/>
      <c r="AC202" s="126"/>
      <c r="AD202" s="23"/>
      <c r="AE202" s="23"/>
      <c r="AF202" s="71"/>
      <c r="AG202" s="71"/>
      <c r="AH202" s="71"/>
      <c r="AI202" s="71"/>
      <c r="AJ202" s="71"/>
      <c r="AK202" s="71"/>
      <c r="AL202" s="71"/>
    </row>
    <row r="203" ht="13.5" customHeight="1">
      <c r="A203" s="97"/>
      <c r="B203" s="109"/>
      <c r="C203" s="126"/>
      <c r="D203" s="23"/>
      <c r="E203" s="23"/>
      <c r="F203" s="23"/>
      <c r="G203" s="23"/>
      <c r="H203" s="23"/>
      <c r="I203" s="23"/>
      <c r="J203" s="72"/>
      <c r="K203" s="23"/>
      <c r="L203" s="128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129"/>
      <c r="X203" s="71"/>
      <c r="Y203" s="71"/>
      <c r="Z203" s="71"/>
      <c r="AA203" s="71"/>
      <c r="AB203" s="71"/>
      <c r="AC203" s="126"/>
      <c r="AD203" s="23"/>
      <c r="AE203" s="23"/>
      <c r="AF203" s="71"/>
      <c r="AG203" s="71"/>
      <c r="AH203" s="71"/>
      <c r="AI203" s="71"/>
      <c r="AJ203" s="71"/>
      <c r="AK203" s="71"/>
      <c r="AL203" s="71"/>
    </row>
    <row r="204" ht="13.5" customHeight="1">
      <c r="A204" s="97"/>
      <c r="B204" s="109"/>
      <c r="C204" s="126"/>
      <c r="D204" s="23"/>
      <c r="E204" s="23"/>
      <c r="F204" s="23"/>
      <c r="G204" s="23"/>
      <c r="H204" s="23"/>
      <c r="I204" s="23"/>
      <c r="J204" s="72"/>
      <c r="K204" s="23"/>
      <c r="L204" s="128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129"/>
      <c r="X204" s="71"/>
      <c r="Y204" s="71"/>
      <c r="Z204" s="71"/>
      <c r="AA204" s="71"/>
      <c r="AB204" s="71"/>
      <c r="AC204" s="126"/>
      <c r="AD204" s="23"/>
      <c r="AE204" s="23"/>
      <c r="AF204" s="71"/>
      <c r="AG204" s="71"/>
      <c r="AH204" s="71"/>
      <c r="AI204" s="71"/>
      <c r="AJ204" s="71"/>
      <c r="AK204" s="71"/>
      <c r="AL204" s="71"/>
    </row>
    <row r="205" ht="13.5" customHeight="1">
      <c r="A205" s="97"/>
      <c r="B205" s="109"/>
      <c r="C205" s="126"/>
      <c r="D205" s="23"/>
      <c r="E205" s="23"/>
      <c r="F205" s="23"/>
      <c r="G205" s="23"/>
      <c r="H205" s="23"/>
      <c r="I205" s="23"/>
      <c r="J205" s="72"/>
      <c r="K205" s="23"/>
      <c r="L205" s="128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129"/>
      <c r="X205" s="71"/>
      <c r="Y205" s="71"/>
      <c r="Z205" s="71"/>
      <c r="AA205" s="71"/>
      <c r="AB205" s="71"/>
      <c r="AC205" s="126"/>
      <c r="AD205" s="23"/>
      <c r="AE205" s="23"/>
      <c r="AF205" s="71"/>
      <c r="AG205" s="71"/>
      <c r="AH205" s="71"/>
      <c r="AI205" s="71"/>
      <c r="AJ205" s="71"/>
      <c r="AK205" s="71"/>
      <c r="AL205" s="71"/>
    </row>
    <row r="206" ht="13.5" customHeight="1">
      <c r="A206" s="97"/>
      <c r="B206" s="109"/>
      <c r="C206" s="126"/>
      <c r="D206" s="23"/>
      <c r="E206" s="23"/>
      <c r="F206" s="23"/>
      <c r="G206" s="23"/>
      <c r="H206" s="23"/>
      <c r="I206" s="23"/>
      <c r="J206" s="72"/>
      <c r="K206" s="23"/>
      <c r="L206" s="128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129"/>
      <c r="X206" s="71"/>
      <c r="Y206" s="71"/>
      <c r="Z206" s="71"/>
      <c r="AA206" s="71"/>
      <c r="AB206" s="71"/>
      <c r="AC206" s="126"/>
      <c r="AD206" s="23"/>
      <c r="AE206" s="23"/>
      <c r="AF206" s="71"/>
      <c r="AG206" s="71"/>
      <c r="AH206" s="71"/>
      <c r="AI206" s="71"/>
      <c r="AJ206" s="71"/>
      <c r="AK206" s="71"/>
      <c r="AL206" s="71"/>
    </row>
    <row r="207" ht="13.5" customHeight="1">
      <c r="A207" s="97"/>
      <c r="B207" s="109"/>
      <c r="C207" s="126"/>
      <c r="D207" s="23"/>
      <c r="E207" s="23"/>
      <c r="F207" s="23"/>
      <c r="G207" s="23"/>
      <c r="H207" s="23"/>
      <c r="I207" s="23"/>
      <c r="J207" s="72"/>
      <c r="K207" s="23"/>
      <c r="L207" s="128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129"/>
      <c r="X207" s="71"/>
      <c r="Y207" s="71"/>
      <c r="Z207" s="71"/>
      <c r="AA207" s="71"/>
      <c r="AB207" s="71"/>
      <c r="AC207" s="126"/>
      <c r="AD207" s="23"/>
      <c r="AE207" s="23"/>
      <c r="AF207" s="71"/>
      <c r="AG207" s="71"/>
      <c r="AH207" s="71"/>
      <c r="AI207" s="71"/>
      <c r="AJ207" s="71"/>
      <c r="AK207" s="71"/>
      <c r="AL207" s="71"/>
    </row>
    <row r="208" ht="13.5" customHeight="1">
      <c r="A208" s="97"/>
      <c r="B208" s="109"/>
      <c r="C208" s="126"/>
      <c r="D208" s="23"/>
      <c r="E208" s="23"/>
      <c r="F208" s="23"/>
      <c r="G208" s="23"/>
      <c r="H208" s="23"/>
      <c r="I208" s="23"/>
      <c r="J208" s="72"/>
      <c r="K208" s="23"/>
      <c r="L208" s="128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129"/>
      <c r="X208" s="71"/>
      <c r="Y208" s="71"/>
      <c r="Z208" s="71"/>
      <c r="AA208" s="71"/>
      <c r="AB208" s="71"/>
      <c r="AC208" s="126"/>
      <c r="AD208" s="23"/>
      <c r="AE208" s="23"/>
      <c r="AF208" s="71"/>
      <c r="AG208" s="71"/>
      <c r="AH208" s="71"/>
      <c r="AI208" s="71"/>
      <c r="AJ208" s="71"/>
      <c r="AK208" s="71"/>
      <c r="AL208" s="71"/>
    </row>
    <row r="209" ht="13.5" customHeight="1">
      <c r="A209" s="97"/>
      <c r="B209" s="109"/>
      <c r="C209" s="126"/>
      <c r="D209" s="23"/>
      <c r="E209" s="23"/>
      <c r="F209" s="23"/>
      <c r="G209" s="23"/>
      <c r="H209" s="23"/>
      <c r="I209" s="23"/>
      <c r="J209" s="72"/>
      <c r="K209" s="23"/>
      <c r="L209" s="128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129"/>
      <c r="X209" s="71"/>
      <c r="Y209" s="71"/>
      <c r="Z209" s="71"/>
      <c r="AA209" s="71"/>
      <c r="AB209" s="71"/>
      <c r="AC209" s="126"/>
      <c r="AD209" s="23"/>
      <c r="AE209" s="23"/>
      <c r="AF209" s="71"/>
      <c r="AG209" s="71"/>
      <c r="AH209" s="71"/>
      <c r="AI209" s="71"/>
      <c r="AJ209" s="71"/>
      <c r="AK209" s="71"/>
      <c r="AL209" s="71"/>
    </row>
    <row r="210" ht="13.5" customHeight="1">
      <c r="A210" s="97"/>
      <c r="B210" s="109"/>
      <c r="C210" s="126"/>
      <c r="D210" s="23"/>
      <c r="E210" s="23"/>
      <c r="F210" s="23"/>
      <c r="G210" s="23"/>
      <c r="H210" s="23"/>
      <c r="I210" s="23"/>
      <c r="J210" s="72"/>
      <c r="K210" s="23"/>
      <c r="L210" s="128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129"/>
      <c r="X210" s="71"/>
      <c r="Y210" s="71"/>
      <c r="Z210" s="71"/>
      <c r="AA210" s="71"/>
      <c r="AB210" s="71"/>
      <c r="AC210" s="126"/>
      <c r="AD210" s="23"/>
      <c r="AE210" s="23"/>
      <c r="AF210" s="71"/>
      <c r="AG210" s="71"/>
      <c r="AH210" s="71"/>
      <c r="AI210" s="71"/>
      <c r="AJ210" s="71"/>
      <c r="AK210" s="71"/>
      <c r="AL210" s="71"/>
    </row>
    <row r="211" ht="13.5" customHeight="1">
      <c r="A211" s="97"/>
      <c r="B211" s="109"/>
      <c r="C211" s="126"/>
      <c r="D211" s="23"/>
      <c r="E211" s="23"/>
      <c r="F211" s="23"/>
      <c r="G211" s="23"/>
      <c r="H211" s="23"/>
      <c r="I211" s="23"/>
      <c r="J211" s="72"/>
      <c r="K211" s="23"/>
      <c r="L211" s="128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129"/>
      <c r="X211" s="71"/>
      <c r="Y211" s="71"/>
      <c r="Z211" s="71"/>
      <c r="AA211" s="71"/>
      <c r="AB211" s="71"/>
      <c r="AC211" s="126"/>
      <c r="AD211" s="23"/>
      <c r="AE211" s="23"/>
      <c r="AF211" s="71"/>
      <c r="AG211" s="71"/>
      <c r="AH211" s="71"/>
      <c r="AI211" s="71"/>
      <c r="AJ211" s="71"/>
      <c r="AK211" s="71"/>
      <c r="AL211" s="71"/>
    </row>
    <row r="212" ht="13.5" customHeight="1">
      <c r="A212" s="97"/>
      <c r="B212" s="109"/>
      <c r="C212" s="126"/>
      <c r="D212" s="23"/>
      <c r="E212" s="23"/>
      <c r="F212" s="23"/>
      <c r="G212" s="23"/>
      <c r="H212" s="23"/>
      <c r="I212" s="23"/>
      <c r="J212" s="72"/>
      <c r="K212" s="23"/>
      <c r="L212" s="128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129"/>
      <c r="X212" s="71"/>
      <c r="Y212" s="71"/>
      <c r="Z212" s="71"/>
      <c r="AA212" s="71"/>
      <c r="AB212" s="71"/>
      <c r="AC212" s="126"/>
      <c r="AD212" s="23"/>
      <c r="AE212" s="23"/>
      <c r="AF212" s="71"/>
      <c r="AG212" s="71"/>
      <c r="AH212" s="71"/>
      <c r="AI212" s="71"/>
      <c r="AJ212" s="71"/>
      <c r="AK212" s="71"/>
      <c r="AL212" s="71"/>
    </row>
    <row r="213" ht="13.5" customHeight="1">
      <c r="A213" s="97"/>
      <c r="B213" s="109"/>
      <c r="C213" s="126"/>
      <c r="D213" s="23"/>
      <c r="E213" s="23"/>
      <c r="F213" s="23"/>
      <c r="G213" s="23"/>
      <c r="H213" s="23"/>
      <c r="I213" s="23"/>
      <c r="J213" s="72"/>
      <c r="K213" s="23"/>
      <c r="L213" s="128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129"/>
      <c r="X213" s="71"/>
      <c r="Y213" s="71"/>
      <c r="Z213" s="71"/>
      <c r="AA213" s="71"/>
      <c r="AB213" s="71"/>
      <c r="AC213" s="126"/>
      <c r="AD213" s="23"/>
      <c r="AE213" s="23"/>
      <c r="AF213" s="71"/>
      <c r="AG213" s="71"/>
      <c r="AH213" s="71"/>
      <c r="AI213" s="71"/>
      <c r="AJ213" s="71"/>
      <c r="AK213" s="71"/>
      <c r="AL213" s="71"/>
    </row>
    <row r="214" ht="13.5" customHeight="1">
      <c r="A214" s="97"/>
      <c r="B214" s="109"/>
      <c r="C214" s="126"/>
      <c r="D214" s="23"/>
      <c r="E214" s="23"/>
      <c r="F214" s="23"/>
      <c r="G214" s="23"/>
      <c r="H214" s="23"/>
      <c r="I214" s="23"/>
      <c r="J214" s="72"/>
      <c r="K214" s="23"/>
      <c r="L214" s="128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129"/>
      <c r="X214" s="71"/>
      <c r="Y214" s="71"/>
      <c r="Z214" s="71"/>
      <c r="AA214" s="71"/>
      <c r="AB214" s="71"/>
      <c r="AC214" s="126"/>
      <c r="AD214" s="23"/>
      <c r="AE214" s="23"/>
      <c r="AF214" s="71"/>
      <c r="AG214" s="71"/>
      <c r="AH214" s="71"/>
      <c r="AI214" s="71"/>
      <c r="AJ214" s="71"/>
      <c r="AK214" s="71"/>
      <c r="AL214" s="71"/>
    </row>
    <row r="215" ht="13.5" customHeight="1">
      <c r="A215" s="97"/>
      <c r="B215" s="109"/>
      <c r="C215" s="126"/>
      <c r="D215" s="23"/>
      <c r="E215" s="23"/>
      <c r="F215" s="23"/>
      <c r="G215" s="23"/>
      <c r="H215" s="23"/>
      <c r="I215" s="23"/>
      <c r="J215" s="72"/>
      <c r="K215" s="23"/>
      <c r="L215" s="128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129"/>
      <c r="X215" s="71"/>
      <c r="Y215" s="71"/>
      <c r="Z215" s="71"/>
      <c r="AA215" s="71"/>
      <c r="AB215" s="71"/>
      <c r="AC215" s="126"/>
      <c r="AD215" s="23"/>
      <c r="AE215" s="23"/>
      <c r="AF215" s="71"/>
      <c r="AG215" s="71"/>
      <c r="AH215" s="71"/>
      <c r="AI215" s="71"/>
      <c r="AJ215" s="71"/>
      <c r="AK215" s="71"/>
      <c r="AL215" s="71"/>
    </row>
    <row r="216" ht="13.5" customHeight="1">
      <c r="A216" s="97"/>
      <c r="B216" s="109"/>
      <c r="C216" s="126"/>
      <c r="D216" s="23"/>
      <c r="E216" s="23"/>
      <c r="F216" s="23"/>
      <c r="G216" s="23"/>
      <c r="H216" s="23"/>
      <c r="I216" s="23"/>
      <c r="J216" s="72"/>
      <c r="K216" s="23"/>
      <c r="L216" s="128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129"/>
      <c r="X216" s="71"/>
      <c r="Y216" s="71"/>
      <c r="Z216" s="71"/>
      <c r="AA216" s="71"/>
      <c r="AB216" s="71"/>
      <c r="AC216" s="126"/>
      <c r="AD216" s="23"/>
      <c r="AE216" s="23"/>
      <c r="AF216" s="71"/>
      <c r="AG216" s="71"/>
      <c r="AH216" s="71"/>
      <c r="AI216" s="71"/>
      <c r="AJ216" s="71"/>
      <c r="AK216" s="71"/>
      <c r="AL216" s="71"/>
    </row>
    <row r="217" ht="13.5" customHeight="1">
      <c r="A217" s="97"/>
      <c r="B217" s="109"/>
      <c r="C217" s="126"/>
      <c r="D217" s="23"/>
      <c r="E217" s="23"/>
      <c r="F217" s="23"/>
      <c r="G217" s="23"/>
      <c r="H217" s="23"/>
      <c r="I217" s="23"/>
      <c r="J217" s="72"/>
      <c r="K217" s="23"/>
      <c r="L217" s="128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129"/>
      <c r="X217" s="71"/>
      <c r="Y217" s="71"/>
      <c r="Z217" s="71"/>
      <c r="AA217" s="71"/>
      <c r="AB217" s="71"/>
      <c r="AC217" s="126"/>
      <c r="AD217" s="23"/>
      <c r="AE217" s="23"/>
      <c r="AF217" s="71"/>
      <c r="AG217" s="71"/>
      <c r="AH217" s="71"/>
      <c r="AI217" s="71"/>
      <c r="AJ217" s="71"/>
      <c r="AK217" s="71"/>
      <c r="AL217" s="71"/>
    </row>
    <row r="218" ht="13.5" customHeight="1">
      <c r="A218" s="97"/>
      <c r="B218" s="109"/>
      <c r="C218" s="126"/>
      <c r="D218" s="23"/>
      <c r="E218" s="23"/>
      <c r="F218" s="23"/>
      <c r="G218" s="23"/>
      <c r="H218" s="23"/>
      <c r="I218" s="23"/>
      <c r="J218" s="72"/>
      <c r="K218" s="23"/>
      <c r="L218" s="128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129"/>
      <c r="X218" s="71"/>
      <c r="Y218" s="71"/>
      <c r="Z218" s="71"/>
      <c r="AA218" s="71"/>
      <c r="AB218" s="71"/>
      <c r="AC218" s="126"/>
      <c r="AD218" s="23"/>
      <c r="AE218" s="23"/>
      <c r="AF218" s="71"/>
      <c r="AG218" s="71"/>
      <c r="AH218" s="71"/>
      <c r="AI218" s="71"/>
      <c r="AJ218" s="71"/>
      <c r="AK218" s="71"/>
      <c r="AL218" s="71"/>
    </row>
    <row r="219" ht="13.5" customHeight="1">
      <c r="A219" s="97"/>
      <c r="B219" s="109"/>
      <c r="C219" s="126"/>
      <c r="D219" s="23"/>
      <c r="E219" s="23"/>
      <c r="F219" s="23"/>
      <c r="G219" s="23"/>
      <c r="H219" s="23"/>
      <c r="I219" s="23"/>
      <c r="J219" s="72"/>
      <c r="K219" s="23"/>
      <c r="L219" s="128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129"/>
      <c r="X219" s="71"/>
      <c r="Y219" s="71"/>
      <c r="Z219" s="71"/>
      <c r="AA219" s="71"/>
      <c r="AB219" s="71"/>
      <c r="AC219" s="126"/>
      <c r="AD219" s="23"/>
      <c r="AE219" s="23"/>
      <c r="AF219" s="71"/>
      <c r="AG219" s="71"/>
      <c r="AH219" s="71"/>
      <c r="AI219" s="71"/>
      <c r="AJ219" s="71"/>
      <c r="AK219" s="71"/>
      <c r="AL219" s="71"/>
    </row>
    <row r="220" ht="13.5" customHeight="1">
      <c r="A220" s="97"/>
      <c r="B220" s="109"/>
      <c r="C220" s="126"/>
      <c r="D220" s="23"/>
      <c r="E220" s="23"/>
      <c r="F220" s="23"/>
      <c r="G220" s="23"/>
      <c r="H220" s="23"/>
      <c r="I220" s="23"/>
      <c r="J220" s="72"/>
      <c r="K220" s="23"/>
      <c r="L220" s="128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129"/>
      <c r="X220" s="71"/>
      <c r="Y220" s="71"/>
      <c r="Z220" s="71"/>
      <c r="AA220" s="71"/>
      <c r="AB220" s="71"/>
      <c r="AC220" s="126"/>
      <c r="AD220" s="23"/>
      <c r="AE220" s="23"/>
      <c r="AF220" s="71"/>
      <c r="AG220" s="71"/>
      <c r="AH220" s="71"/>
      <c r="AI220" s="71"/>
      <c r="AJ220" s="71"/>
      <c r="AK220" s="71"/>
      <c r="AL220" s="71"/>
    </row>
    <row r="221" ht="13.5" customHeight="1">
      <c r="A221" s="97"/>
      <c r="B221" s="109"/>
      <c r="C221" s="126"/>
      <c r="D221" s="23"/>
      <c r="E221" s="23"/>
      <c r="F221" s="23"/>
      <c r="G221" s="23"/>
      <c r="H221" s="23"/>
      <c r="I221" s="23"/>
      <c r="J221" s="72"/>
      <c r="K221" s="23"/>
      <c r="L221" s="128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129"/>
      <c r="X221" s="71"/>
      <c r="Y221" s="71"/>
      <c r="Z221" s="71"/>
      <c r="AA221" s="71"/>
      <c r="AB221" s="71"/>
      <c r="AC221" s="126"/>
      <c r="AD221" s="23"/>
      <c r="AE221" s="23"/>
      <c r="AF221" s="71"/>
      <c r="AG221" s="71"/>
      <c r="AH221" s="71"/>
      <c r="AI221" s="71"/>
      <c r="AJ221" s="71"/>
      <c r="AK221" s="71"/>
      <c r="AL221" s="71"/>
    </row>
    <row r="222" ht="13.5" customHeight="1">
      <c r="A222" s="97"/>
      <c r="B222" s="109"/>
      <c r="C222" s="126"/>
      <c r="D222" s="23"/>
      <c r="E222" s="23"/>
      <c r="F222" s="23"/>
      <c r="G222" s="23"/>
      <c r="H222" s="23"/>
      <c r="I222" s="23"/>
      <c r="J222" s="72"/>
      <c r="K222" s="23"/>
      <c r="L222" s="128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129"/>
      <c r="X222" s="71"/>
      <c r="Y222" s="71"/>
      <c r="Z222" s="71"/>
      <c r="AA222" s="71"/>
      <c r="AB222" s="71"/>
      <c r="AC222" s="126"/>
      <c r="AD222" s="23"/>
      <c r="AE222" s="23"/>
      <c r="AF222" s="71"/>
      <c r="AG222" s="71"/>
      <c r="AH222" s="71"/>
      <c r="AI222" s="71"/>
      <c r="AJ222" s="71"/>
      <c r="AK222" s="71"/>
      <c r="AL222" s="71"/>
    </row>
    <row r="223" ht="13.5" customHeight="1">
      <c r="A223" s="97"/>
      <c r="B223" s="109"/>
      <c r="C223" s="126"/>
      <c r="D223" s="23"/>
      <c r="E223" s="23"/>
      <c r="F223" s="23"/>
      <c r="G223" s="23"/>
      <c r="H223" s="23"/>
      <c r="I223" s="23"/>
      <c r="J223" s="72"/>
      <c r="K223" s="23"/>
      <c r="L223" s="128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129"/>
      <c r="X223" s="71"/>
      <c r="Y223" s="71"/>
      <c r="Z223" s="71"/>
      <c r="AA223" s="71"/>
      <c r="AB223" s="71"/>
      <c r="AC223" s="126"/>
      <c r="AD223" s="23"/>
      <c r="AE223" s="23"/>
      <c r="AF223" s="71"/>
      <c r="AG223" s="71"/>
      <c r="AH223" s="71"/>
      <c r="AI223" s="71"/>
      <c r="AJ223" s="71"/>
      <c r="AK223" s="71"/>
      <c r="AL223" s="71"/>
    </row>
    <row r="224" ht="13.5" customHeight="1">
      <c r="A224" s="97"/>
      <c r="B224" s="109"/>
      <c r="C224" s="126"/>
      <c r="D224" s="23"/>
      <c r="E224" s="23"/>
      <c r="F224" s="23"/>
      <c r="G224" s="23"/>
      <c r="H224" s="23"/>
      <c r="I224" s="23"/>
      <c r="J224" s="72"/>
      <c r="K224" s="23"/>
      <c r="L224" s="128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129"/>
      <c r="X224" s="71"/>
      <c r="Y224" s="71"/>
      <c r="Z224" s="71"/>
      <c r="AA224" s="71"/>
      <c r="AB224" s="71"/>
      <c r="AC224" s="126"/>
      <c r="AD224" s="23"/>
      <c r="AE224" s="23"/>
      <c r="AF224" s="71"/>
      <c r="AG224" s="71"/>
      <c r="AH224" s="71"/>
      <c r="AI224" s="71"/>
      <c r="AJ224" s="71"/>
      <c r="AK224" s="71"/>
      <c r="AL224" s="71"/>
    </row>
    <row r="225" ht="13.5" customHeight="1">
      <c r="A225" s="97"/>
      <c r="B225" s="109"/>
      <c r="C225" s="126"/>
      <c r="D225" s="23"/>
      <c r="E225" s="23"/>
      <c r="F225" s="23"/>
      <c r="G225" s="23"/>
      <c r="H225" s="23"/>
      <c r="I225" s="23"/>
      <c r="J225" s="72"/>
      <c r="K225" s="23"/>
      <c r="L225" s="128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129"/>
      <c r="X225" s="71"/>
      <c r="Y225" s="71"/>
      <c r="Z225" s="71"/>
      <c r="AA225" s="71"/>
      <c r="AB225" s="71"/>
      <c r="AC225" s="126"/>
      <c r="AD225" s="23"/>
      <c r="AE225" s="23"/>
      <c r="AF225" s="71"/>
      <c r="AG225" s="71"/>
      <c r="AH225" s="71"/>
      <c r="AI225" s="71"/>
      <c r="AJ225" s="71"/>
      <c r="AK225" s="71"/>
      <c r="AL225" s="71"/>
    </row>
    <row r="226" ht="13.5" customHeight="1">
      <c r="A226" s="97"/>
      <c r="B226" s="109"/>
      <c r="C226" s="126"/>
      <c r="D226" s="23"/>
      <c r="E226" s="23"/>
      <c r="F226" s="23"/>
      <c r="G226" s="23"/>
      <c r="H226" s="23"/>
      <c r="I226" s="23"/>
      <c r="J226" s="72"/>
      <c r="K226" s="23"/>
      <c r="L226" s="128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129"/>
      <c r="X226" s="71"/>
      <c r="Y226" s="71"/>
      <c r="Z226" s="71"/>
      <c r="AA226" s="71"/>
      <c r="AB226" s="71"/>
      <c r="AC226" s="126"/>
      <c r="AD226" s="23"/>
      <c r="AE226" s="23"/>
      <c r="AF226" s="71"/>
      <c r="AG226" s="71"/>
      <c r="AH226" s="71"/>
      <c r="AI226" s="71"/>
      <c r="AJ226" s="71"/>
      <c r="AK226" s="71"/>
      <c r="AL226" s="71"/>
    </row>
    <row r="227" ht="13.5" customHeight="1">
      <c r="A227" s="97"/>
      <c r="B227" s="109"/>
      <c r="C227" s="126"/>
      <c r="D227" s="23"/>
      <c r="E227" s="23"/>
      <c r="F227" s="23"/>
      <c r="G227" s="23"/>
      <c r="H227" s="23"/>
      <c r="I227" s="23"/>
      <c r="J227" s="72"/>
      <c r="K227" s="23"/>
      <c r="L227" s="128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129"/>
      <c r="X227" s="71"/>
      <c r="Y227" s="71"/>
      <c r="Z227" s="71"/>
      <c r="AA227" s="71"/>
      <c r="AB227" s="71"/>
      <c r="AC227" s="126"/>
      <c r="AD227" s="23"/>
      <c r="AE227" s="23"/>
      <c r="AF227" s="71"/>
      <c r="AG227" s="71"/>
      <c r="AH227" s="71"/>
      <c r="AI227" s="71"/>
      <c r="AJ227" s="71"/>
      <c r="AK227" s="71"/>
      <c r="AL227" s="71"/>
    </row>
    <row r="228" ht="13.5" customHeight="1">
      <c r="A228" s="97"/>
      <c r="B228" s="109"/>
      <c r="C228" s="126"/>
      <c r="D228" s="23"/>
      <c r="E228" s="23"/>
      <c r="F228" s="23"/>
      <c r="G228" s="23"/>
      <c r="H228" s="23"/>
      <c r="I228" s="23"/>
      <c r="J228" s="72"/>
      <c r="K228" s="23"/>
      <c r="L228" s="128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129"/>
      <c r="X228" s="71"/>
      <c r="Y228" s="71"/>
      <c r="Z228" s="71"/>
      <c r="AA228" s="71"/>
      <c r="AB228" s="71"/>
      <c r="AC228" s="126"/>
      <c r="AD228" s="23"/>
      <c r="AE228" s="23"/>
      <c r="AF228" s="71"/>
      <c r="AG228" s="71"/>
      <c r="AH228" s="71"/>
      <c r="AI228" s="71"/>
      <c r="AJ228" s="71"/>
      <c r="AK228" s="71"/>
      <c r="AL228" s="71"/>
    </row>
    <row r="229" ht="13.5" customHeight="1">
      <c r="A229" s="97"/>
      <c r="B229" s="109"/>
      <c r="C229" s="126"/>
      <c r="D229" s="23"/>
      <c r="E229" s="23"/>
      <c r="F229" s="23"/>
      <c r="G229" s="23"/>
      <c r="H229" s="23"/>
      <c r="I229" s="23"/>
      <c r="J229" s="72"/>
      <c r="K229" s="23"/>
      <c r="L229" s="128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129"/>
      <c r="X229" s="71"/>
      <c r="Y229" s="71"/>
      <c r="Z229" s="71"/>
      <c r="AA229" s="71"/>
      <c r="AB229" s="71"/>
      <c r="AC229" s="126"/>
      <c r="AD229" s="23"/>
      <c r="AE229" s="23"/>
      <c r="AF229" s="71"/>
      <c r="AG229" s="71"/>
      <c r="AH229" s="71"/>
      <c r="AI229" s="71"/>
      <c r="AJ229" s="71"/>
      <c r="AK229" s="71"/>
      <c r="AL229" s="71"/>
    </row>
    <row r="230" ht="13.5" customHeight="1">
      <c r="A230" s="97"/>
      <c r="B230" s="109"/>
      <c r="C230" s="126"/>
      <c r="D230" s="23"/>
      <c r="E230" s="23"/>
      <c r="F230" s="23"/>
      <c r="G230" s="23"/>
      <c r="H230" s="23"/>
      <c r="I230" s="23"/>
      <c r="J230" s="72"/>
      <c r="K230" s="23"/>
      <c r="L230" s="128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129"/>
      <c r="X230" s="71"/>
      <c r="Y230" s="71"/>
      <c r="Z230" s="71"/>
      <c r="AA230" s="71"/>
      <c r="AB230" s="71"/>
      <c r="AC230" s="126"/>
      <c r="AD230" s="23"/>
      <c r="AE230" s="23"/>
      <c r="AF230" s="71"/>
      <c r="AG230" s="71"/>
      <c r="AH230" s="71"/>
      <c r="AI230" s="71"/>
      <c r="AJ230" s="71"/>
      <c r="AK230" s="71"/>
      <c r="AL230" s="71"/>
    </row>
    <row r="231" ht="13.5" customHeight="1">
      <c r="A231" s="97"/>
      <c r="B231" s="109"/>
      <c r="C231" s="126"/>
      <c r="D231" s="23"/>
      <c r="E231" s="23"/>
      <c r="F231" s="23"/>
      <c r="G231" s="23"/>
      <c r="H231" s="23"/>
      <c r="I231" s="23"/>
      <c r="J231" s="72"/>
      <c r="K231" s="23"/>
      <c r="L231" s="128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129"/>
      <c r="X231" s="71"/>
      <c r="Y231" s="71"/>
      <c r="Z231" s="71"/>
      <c r="AA231" s="71"/>
      <c r="AB231" s="71"/>
      <c r="AC231" s="126"/>
      <c r="AD231" s="23"/>
      <c r="AE231" s="23"/>
      <c r="AF231" s="71"/>
      <c r="AG231" s="71"/>
      <c r="AH231" s="71"/>
      <c r="AI231" s="71"/>
      <c r="AJ231" s="71"/>
      <c r="AK231" s="71"/>
      <c r="AL231" s="71"/>
    </row>
    <row r="232" ht="13.5" customHeight="1">
      <c r="A232" s="97"/>
      <c r="B232" s="109"/>
      <c r="C232" s="126"/>
      <c r="D232" s="23"/>
      <c r="E232" s="23"/>
      <c r="F232" s="23"/>
      <c r="G232" s="23"/>
      <c r="H232" s="23"/>
      <c r="I232" s="23"/>
      <c r="J232" s="72"/>
      <c r="K232" s="23"/>
      <c r="L232" s="128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129"/>
      <c r="X232" s="71"/>
      <c r="Y232" s="71"/>
      <c r="Z232" s="71"/>
      <c r="AA232" s="71"/>
      <c r="AB232" s="71"/>
      <c r="AC232" s="126"/>
      <c r="AD232" s="23"/>
      <c r="AE232" s="23"/>
      <c r="AF232" s="71"/>
      <c r="AG232" s="71"/>
      <c r="AH232" s="71"/>
      <c r="AI232" s="71"/>
      <c r="AJ232" s="71"/>
      <c r="AK232" s="71"/>
      <c r="AL232" s="71"/>
    </row>
    <row r="233" ht="13.5" customHeight="1">
      <c r="A233" s="97"/>
      <c r="B233" s="109"/>
      <c r="C233" s="126"/>
      <c r="D233" s="23"/>
      <c r="E233" s="23"/>
      <c r="F233" s="23"/>
      <c r="G233" s="23"/>
      <c r="H233" s="23"/>
      <c r="I233" s="23"/>
      <c r="J233" s="72"/>
      <c r="K233" s="23"/>
      <c r="L233" s="128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129"/>
      <c r="X233" s="71"/>
      <c r="Y233" s="71"/>
      <c r="Z233" s="71"/>
      <c r="AA233" s="71"/>
      <c r="AB233" s="71"/>
      <c r="AC233" s="126"/>
      <c r="AD233" s="23"/>
      <c r="AE233" s="23"/>
      <c r="AF233" s="71"/>
      <c r="AG233" s="71"/>
      <c r="AH233" s="71"/>
      <c r="AI233" s="71"/>
      <c r="AJ233" s="71"/>
      <c r="AK233" s="71"/>
      <c r="AL233" s="71"/>
    </row>
    <row r="234" ht="13.5" customHeight="1">
      <c r="A234" s="97"/>
      <c r="B234" s="109"/>
      <c r="C234" s="126"/>
      <c r="D234" s="23"/>
      <c r="E234" s="23"/>
      <c r="F234" s="23"/>
      <c r="G234" s="23"/>
      <c r="H234" s="23"/>
      <c r="I234" s="23"/>
      <c r="J234" s="72"/>
      <c r="K234" s="23"/>
      <c r="L234" s="128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129"/>
      <c r="X234" s="71"/>
      <c r="Y234" s="71"/>
      <c r="Z234" s="71"/>
      <c r="AA234" s="71"/>
      <c r="AB234" s="71"/>
      <c r="AC234" s="126"/>
      <c r="AD234" s="23"/>
      <c r="AE234" s="23"/>
      <c r="AF234" s="71"/>
      <c r="AG234" s="71"/>
      <c r="AH234" s="71"/>
      <c r="AI234" s="71"/>
      <c r="AJ234" s="71"/>
      <c r="AK234" s="71"/>
      <c r="AL234" s="71"/>
    </row>
    <row r="235" ht="13.5" customHeight="1">
      <c r="A235" s="97"/>
      <c r="B235" s="109"/>
      <c r="C235" s="126"/>
      <c r="D235" s="23"/>
      <c r="E235" s="23"/>
      <c r="F235" s="23"/>
      <c r="G235" s="23"/>
      <c r="H235" s="23"/>
      <c r="I235" s="23"/>
      <c r="J235" s="72"/>
      <c r="K235" s="23"/>
      <c r="L235" s="128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129"/>
      <c r="X235" s="71"/>
      <c r="Y235" s="71"/>
      <c r="Z235" s="71"/>
      <c r="AA235" s="71"/>
      <c r="AB235" s="71"/>
      <c r="AC235" s="126"/>
      <c r="AD235" s="23"/>
      <c r="AE235" s="23"/>
      <c r="AF235" s="71"/>
      <c r="AG235" s="71"/>
      <c r="AH235" s="71"/>
      <c r="AI235" s="71"/>
      <c r="AJ235" s="71"/>
      <c r="AK235" s="71"/>
      <c r="AL235" s="71"/>
    </row>
    <row r="236" ht="13.5" customHeight="1">
      <c r="A236" s="97"/>
      <c r="B236" s="109"/>
      <c r="C236" s="126"/>
      <c r="D236" s="23"/>
      <c r="E236" s="23"/>
      <c r="F236" s="23"/>
      <c r="G236" s="23"/>
      <c r="H236" s="23"/>
      <c r="I236" s="23"/>
      <c r="J236" s="72"/>
      <c r="K236" s="23"/>
      <c r="L236" s="128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129"/>
      <c r="X236" s="71"/>
      <c r="Y236" s="71"/>
      <c r="Z236" s="71"/>
      <c r="AA236" s="71"/>
      <c r="AB236" s="71"/>
      <c r="AC236" s="126"/>
      <c r="AD236" s="23"/>
      <c r="AE236" s="23"/>
      <c r="AF236" s="71"/>
      <c r="AG236" s="71"/>
      <c r="AH236" s="71"/>
      <c r="AI236" s="71"/>
      <c r="AJ236" s="71"/>
      <c r="AK236" s="71"/>
      <c r="AL236" s="71"/>
    </row>
    <row r="237" ht="13.5" customHeight="1">
      <c r="A237" s="97"/>
      <c r="B237" s="109"/>
      <c r="C237" s="126"/>
      <c r="D237" s="23"/>
      <c r="E237" s="23"/>
      <c r="F237" s="23"/>
      <c r="G237" s="23"/>
      <c r="H237" s="23"/>
      <c r="I237" s="23"/>
      <c r="J237" s="72"/>
      <c r="K237" s="23"/>
      <c r="L237" s="128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129"/>
      <c r="X237" s="71"/>
      <c r="Y237" s="71"/>
      <c r="Z237" s="71"/>
      <c r="AA237" s="71"/>
      <c r="AB237" s="71"/>
      <c r="AC237" s="126"/>
      <c r="AD237" s="23"/>
      <c r="AE237" s="23"/>
      <c r="AF237" s="71"/>
      <c r="AG237" s="71"/>
      <c r="AH237" s="71"/>
      <c r="AI237" s="71"/>
      <c r="AJ237" s="71"/>
      <c r="AK237" s="71"/>
      <c r="AL237" s="71"/>
    </row>
    <row r="238" ht="13.5" customHeight="1">
      <c r="A238" s="97"/>
      <c r="B238" s="109"/>
      <c r="C238" s="126"/>
      <c r="D238" s="23"/>
      <c r="E238" s="23"/>
      <c r="F238" s="23"/>
      <c r="G238" s="23"/>
      <c r="H238" s="23"/>
      <c r="I238" s="23"/>
      <c r="J238" s="72"/>
      <c r="K238" s="23"/>
      <c r="L238" s="128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129"/>
      <c r="X238" s="71"/>
      <c r="Y238" s="71"/>
      <c r="Z238" s="71"/>
      <c r="AA238" s="71"/>
      <c r="AB238" s="71"/>
      <c r="AC238" s="126"/>
      <c r="AD238" s="23"/>
      <c r="AE238" s="23"/>
      <c r="AF238" s="71"/>
      <c r="AG238" s="71"/>
      <c r="AH238" s="71"/>
      <c r="AI238" s="71"/>
      <c r="AJ238" s="71"/>
      <c r="AK238" s="71"/>
      <c r="AL238" s="71"/>
    </row>
    <row r="239" ht="13.5" customHeight="1">
      <c r="A239" s="97"/>
      <c r="B239" s="109"/>
      <c r="C239" s="126"/>
      <c r="D239" s="23"/>
      <c r="E239" s="23"/>
      <c r="F239" s="23"/>
      <c r="G239" s="23"/>
      <c r="H239" s="23"/>
      <c r="I239" s="23"/>
      <c r="J239" s="72"/>
      <c r="K239" s="23"/>
      <c r="L239" s="128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129"/>
      <c r="X239" s="71"/>
      <c r="Y239" s="71"/>
      <c r="Z239" s="71"/>
      <c r="AA239" s="71"/>
      <c r="AB239" s="71"/>
      <c r="AC239" s="126"/>
      <c r="AD239" s="23"/>
      <c r="AE239" s="23"/>
      <c r="AF239" s="71"/>
      <c r="AG239" s="71"/>
      <c r="AH239" s="71"/>
      <c r="AI239" s="71"/>
      <c r="AJ239" s="71"/>
      <c r="AK239" s="71"/>
      <c r="AL239" s="71"/>
    </row>
    <row r="240" ht="13.5" customHeight="1">
      <c r="A240" s="97"/>
      <c r="B240" s="109"/>
      <c r="C240" s="126"/>
      <c r="D240" s="23"/>
      <c r="E240" s="23"/>
      <c r="F240" s="23"/>
      <c r="G240" s="23"/>
      <c r="H240" s="23"/>
      <c r="I240" s="23"/>
      <c r="J240" s="72"/>
      <c r="K240" s="23"/>
      <c r="L240" s="128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129"/>
      <c r="X240" s="71"/>
      <c r="Y240" s="71"/>
      <c r="Z240" s="71"/>
      <c r="AA240" s="71"/>
      <c r="AB240" s="71"/>
      <c r="AC240" s="126"/>
      <c r="AD240" s="23"/>
      <c r="AE240" s="23"/>
      <c r="AF240" s="71"/>
      <c r="AG240" s="71"/>
      <c r="AH240" s="71"/>
      <c r="AI240" s="71"/>
      <c r="AJ240" s="71"/>
      <c r="AK240" s="71"/>
      <c r="AL240" s="71"/>
    </row>
    <row r="241" ht="13.5" customHeight="1">
      <c r="A241" s="97"/>
      <c r="B241" s="109"/>
      <c r="C241" s="126"/>
      <c r="D241" s="23"/>
      <c r="E241" s="23"/>
      <c r="F241" s="23"/>
      <c r="G241" s="23"/>
      <c r="H241" s="23"/>
      <c r="I241" s="23"/>
      <c r="J241" s="72"/>
      <c r="K241" s="23"/>
      <c r="L241" s="128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129"/>
      <c r="X241" s="71"/>
      <c r="Y241" s="71"/>
      <c r="Z241" s="71"/>
      <c r="AA241" s="71"/>
      <c r="AB241" s="71"/>
      <c r="AC241" s="126"/>
      <c r="AD241" s="23"/>
      <c r="AE241" s="23"/>
      <c r="AF241" s="71"/>
      <c r="AG241" s="71"/>
      <c r="AH241" s="71"/>
      <c r="AI241" s="71"/>
      <c r="AJ241" s="71"/>
      <c r="AK241" s="71"/>
      <c r="AL241" s="71"/>
    </row>
    <row r="242" ht="13.5" customHeight="1">
      <c r="A242" s="97"/>
      <c r="B242" s="109"/>
      <c r="C242" s="126"/>
      <c r="D242" s="23"/>
      <c r="E242" s="23"/>
      <c r="F242" s="23"/>
      <c r="G242" s="23"/>
      <c r="H242" s="23"/>
      <c r="I242" s="23"/>
      <c r="J242" s="72"/>
      <c r="K242" s="23"/>
      <c r="L242" s="128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129"/>
      <c r="X242" s="71"/>
      <c r="Y242" s="71"/>
      <c r="Z242" s="71"/>
      <c r="AA242" s="71"/>
      <c r="AB242" s="71"/>
      <c r="AC242" s="126"/>
      <c r="AD242" s="23"/>
      <c r="AE242" s="23"/>
      <c r="AF242" s="71"/>
      <c r="AG242" s="71"/>
      <c r="AH242" s="71"/>
      <c r="AI242" s="71"/>
      <c r="AJ242" s="71"/>
      <c r="AK242" s="71"/>
      <c r="AL242" s="71"/>
    </row>
    <row r="243" ht="13.5" customHeight="1">
      <c r="A243" s="97"/>
      <c r="B243" s="109"/>
      <c r="C243" s="126"/>
      <c r="D243" s="23"/>
      <c r="E243" s="23"/>
      <c r="F243" s="23"/>
      <c r="G243" s="23"/>
      <c r="H243" s="23"/>
      <c r="I243" s="23"/>
      <c r="J243" s="72"/>
      <c r="K243" s="23"/>
      <c r="L243" s="128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129"/>
      <c r="X243" s="71"/>
      <c r="Y243" s="71"/>
      <c r="Z243" s="71"/>
      <c r="AA243" s="71"/>
      <c r="AB243" s="71"/>
      <c r="AC243" s="126"/>
      <c r="AD243" s="23"/>
      <c r="AE243" s="23"/>
      <c r="AF243" s="71"/>
      <c r="AG243" s="71"/>
      <c r="AH243" s="71"/>
      <c r="AI243" s="71"/>
      <c r="AJ243" s="71"/>
      <c r="AK243" s="71"/>
      <c r="AL243" s="71"/>
    </row>
    <row r="244" ht="13.5" customHeight="1">
      <c r="A244" s="97"/>
      <c r="B244" s="109"/>
      <c r="C244" s="126"/>
      <c r="D244" s="23"/>
      <c r="E244" s="23"/>
      <c r="F244" s="23"/>
      <c r="G244" s="23"/>
      <c r="H244" s="23"/>
      <c r="I244" s="23"/>
      <c r="J244" s="72"/>
      <c r="K244" s="23"/>
      <c r="L244" s="128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129"/>
      <c r="X244" s="71"/>
      <c r="Y244" s="71"/>
      <c r="Z244" s="71"/>
      <c r="AA244" s="71"/>
      <c r="AB244" s="71"/>
      <c r="AC244" s="126"/>
      <c r="AD244" s="23"/>
      <c r="AE244" s="23"/>
      <c r="AF244" s="71"/>
      <c r="AG244" s="71"/>
      <c r="AH244" s="71"/>
      <c r="AI244" s="71"/>
      <c r="AJ244" s="71"/>
      <c r="AK244" s="71"/>
      <c r="AL244" s="71"/>
    </row>
    <row r="245" ht="13.5" customHeight="1">
      <c r="A245" s="97"/>
      <c r="B245" s="109"/>
      <c r="C245" s="126"/>
      <c r="D245" s="23"/>
      <c r="E245" s="23"/>
      <c r="F245" s="23"/>
      <c r="G245" s="23"/>
      <c r="H245" s="23"/>
      <c r="I245" s="23"/>
      <c r="J245" s="72"/>
      <c r="K245" s="23"/>
      <c r="L245" s="128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129"/>
      <c r="X245" s="71"/>
      <c r="Y245" s="71"/>
      <c r="Z245" s="71"/>
      <c r="AA245" s="71"/>
      <c r="AB245" s="71"/>
      <c r="AC245" s="126"/>
      <c r="AD245" s="23"/>
      <c r="AE245" s="23"/>
      <c r="AF245" s="71"/>
      <c r="AG245" s="71"/>
      <c r="AH245" s="71"/>
      <c r="AI245" s="71"/>
      <c r="AJ245" s="71"/>
      <c r="AK245" s="71"/>
      <c r="AL245" s="71"/>
    </row>
    <row r="246" ht="13.5" customHeight="1">
      <c r="A246" s="97"/>
      <c r="B246" s="109"/>
      <c r="C246" s="126"/>
      <c r="D246" s="23"/>
      <c r="E246" s="23"/>
      <c r="F246" s="23"/>
      <c r="G246" s="23"/>
      <c r="H246" s="23"/>
      <c r="I246" s="23"/>
      <c r="J246" s="72"/>
      <c r="K246" s="23"/>
      <c r="L246" s="128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129"/>
      <c r="X246" s="71"/>
      <c r="Y246" s="71"/>
      <c r="Z246" s="71"/>
      <c r="AA246" s="71"/>
      <c r="AB246" s="71"/>
      <c r="AC246" s="126"/>
      <c r="AD246" s="23"/>
      <c r="AE246" s="23"/>
      <c r="AF246" s="71"/>
      <c r="AG246" s="71"/>
      <c r="AH246" s="71"/>
      <c r="AI246" s="71"/>
      <c r="AJ246" s="71"/>
      <c r="AK246" s="71"/>
      <c r="AL246" s="71"/>
    </row>
    <row r="247" ht="13.5" customHeight="1">
      <c r="A247" s="97"/>
      <c r="B247" s="109"/>
      <c r="C247" s="126"/>
      <c r="D247" s="23"/>
      <c r="E247" s="23"/>
      <c r="F247" s="23"/>
      <c r="G247" s="23"/>
      <c r="H247" s="23"/>
      <c r="I247" s="23"/>
      <c r="J247" s="72"/>
      <c r="K247" s="23"/>
      <c r="L247" s="128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129"/>
      <c r="X247" s="71"/>
      <c r="Y247" s="71"/>
      <c r="Z247" s="71"/>
      <c r="AA247" s="71"/>
      <c r="AB247" s="71"/>
      <c r="AC247" s="126"/>
      <c r="AD247" s="23"/>
      <c r="AE247" s="23"/>
      <c r="AF247" s="71"/>
      <c r="AG247" s="71"/>
      <c r="AH247" s="71"/>
      <c r="AI247" s="71"/>
      <c r="AJ247" s="71"/>
      <c r="AK247" s="71"/>
      <c r="AL247" s="71"/>
    </row>
    <row r="248" ht="13.5" customHeight="1">
      <c r="A248" s="97"/>
      <c r="B248" s="109"/>
      <c r="C248" s="126"/>
      <c r="D248" s="23"/>
      <c r="E248" s="23"/>
      <c r="F248" s="23"/>
      <c r="G248" s="23"/>
      <c r="H248" s="23"/>
      <c r="I248" s="23"/>
      <c r="J248" s="72"/>
      <c r="K248" s="23"/>
      <c r="L248" s="128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129"/>
      <c r="X248" s="71"/>
      <c r="Y248" s="71"/>
      <c r="Z248" s="71"/>
      <c r="AA248" s="71"/>
      <c r="AB248" s="71"/>
      <c r="AC248" s="126"/>
      <c r="AD248" s="23"/>
      <c r="AE248" s="23"/>
      <c r="AF248" s="71"/>
      <c r="AG248" s="71"/>
      <c r="AH248" s="71"/>
      <c r="AI248" s="71"/>
      <c r="AJ248" s="71"/>
      <c r="AK248" s="71"/>
      <c r="AL248" s="71"/>
    </row>
    <row r="249" ht="13.5" customHeight="1">
      <c r="A249" s="97"/>
      <c r="B249" s="109"/>
      <c r="C249" s="126"/>
      <c r="D249" s="23"/>
      <c r="E249" s="23"/>
      <c r="F249" s="23"/>
      <c r="G249" s="23"/>
      <c r="H249" s="23"/>
      <c r="I249" s="23"/>
      <c r="J249" s="72"/>
      <c r="K249" s="23"/>
      <c r="L249" s="128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129"/>
      <c r="X249" s="71"/>
      <c r="Y249" s="71"/>
      <c r="Z249" s="71"/>
      <c r="AA249" s="71"/>
      <c r="AB249" s="71"/>
      <c r="AC249" s="126"/>
      <c r="AD249" s="23"/>
      <c r="AE249" s="23"/>
      <c r="AF249" s="71"/>
      <c r="AG249" s="71"/>
      <c r="AH249" s="71"/>
      <c r="AI249" s="71"/>
      <c r="AJ249" s="71"/>
      <c r="AK249" s="71"/>
      <c r="AL249" s="71"/>
    </row>
    <row r="250" ht="13.5" customHeight="1">
      <c r="A250" s="97"/>
      <c r="B250" s="109"/>
      <c r="C250" s="126"/>
      <c r="D250" s="23"/>
      <c r="E250" s="23"/>
      <c r="F250" s="23"/>
      <c r="G250" s="23"/>
      <c r="H250" s="23"/>
      <c r="I250" s="23"/>
      <c r="J250" s="72"/>
      <c r="K250" s="23"/>
      <c r="L250" s="128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129"/>
      <c r="X250" s="71"/>
      <c r="Y250" s="71"/>
      <c r="Z250" s="71"/>
      <c r="AA250" s="71"/>
      <c r="AB250" s="71"/>
      <c r="AC250" s="126"/>
      <c r="AD250" s="23"/>
      <c r="AE250" s="23"/>
      <c r="AF250" s="71"/>
      <c r="AG250" s="71"/>
      <c r="AH250" s="71"/>
      <c r="AI250" s="71"/>
      <c r="AJ250" s="71"/>
      <c r="AK250" s="71"/>
      <c r="AL250" s="71"/>
    </row>
    <row r="251" ht="13.5" customHeight="1">
      <c r="A251" s="97"/>
      <c r="B251" s="109"/>
      <c r="C251" s="126"/>
      <c r="D251" s="23"/>
      <c r="E251" s="23"/>
      <c r="F251" s="23"/>
      <c r="G251" s="23"/>
      <c r="H251" s="23"/>
      <c r="I251" s="23"/>
      <c r="J251" s="72"/>
      <c r="K251" s="23"/>
      <c r="L251" s="128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129"/>
      <c r="X251" s="71"/>
      <c r="Y251" s="71"/>
      <c r="Z251" s="71"/>
      <c r="AA251" s="71"/>
      <c r="AB251" s="71"/>
      <c r="AC251" s="126"/>
      <c r="AD251" s="23"/>
      <c r="AE251" s="23"/>
      <c r="AF251" s="71"/>
      <c r="AG251" s="71"/>
      <c r="AH251" s="71"/>
      <c r="AI251" s="71"/>
      <c r="AJ251" s="71"/>
      <c r="AK251" s="71"/>
      <c r="AL251" s="71"/>
    </row>
    <row r="252" ht="13.5" customHeight="1">
      <c r="A252" s="97"/>
      <c r="B252" s="109"/>
      <c r="C252" s="126"/>
      <c r="D252" s="23"/>
      <c r="E252" s="23"/>
      <c r="F252" s="23"/>
      <c r="G252" s="23"/>
      <c r="H252" s="23"/>
      <c r="I252" s="23"/>
      <c r="J252" s="72"/>
      <c r="K252" s="23"/>
      <c r="L252" s="128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129"/>
      <c r="X252" s="71"/>
      <c r="Y252" s="71"/>
      <c r="Z252" s="71"/>
      <c r="AA252" s="71"/>
      <c r="AB252" s="71"/>
      <c r="AC252" s="126"/>
      <c r="AD252" s="23"/>
      <c r="AE252" s="23"/>
      <c r="AF252" s="71"/>
      <c r="AG252" s="71"/>
      <c r="AH252" s="71"/>
      <c r="AI252" s="71"/>
      <c r="AJ252" s="71"/>
      <c r="AK252" s="71"/>
      <c r="AL252" s="71"/>
    </row>
    <row r="253" ht="13.5" customHeight="1">
      <c r="A253" s="97"/>
      <c r="B253" s="109"/>
      <c r="C253" s="126"/>
      <c r="D253" s="23"/>
      <c r="E253" s="23"/>
      <c r="F253" s="23"/>
      <c r="G253" s="23"/>
      <c r="H253" s="23"/>
      <c r="I253" s="23"/>
      <c r="J253" s="72"/>
      <c r="K253" s="23"/>
      <c r="L253" s="128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129"/>
      <c r="X253" s="71"/>
      <c r="Y253" s="71"/>
      <c r="Z253" s="71"/>
      <c r="AA253" s="71"/>
      <c r="AB253" s="71"/>
      <c r="AC253" s="126"/>
      <c r="AD253" s="23"/>
      <c r="AE253" s="23"/>
      <c r="AF253" s="71"/>
      <c r="AG253" s="71"/>
      <c r="AH253" s="71"/>
      <c r="AI253" s="71"/>
      <c r="AJ253" s="71"/>
      <c r="AK253" s="71"/>
      <c r="AL253" s="71"/>
    </row>
    <row r="254" ht="13.5" customHeight="1">
      <c r="A254" s="97"/>
      <c r="B254" s="109"/>
      <c r="C254" s="126"/>
      <c r="D254" s="23"/>
      <c r="E254" s="23"/>
      <c r="F254" s="23"/>
      <c r="G254" s="23"/>
      <c r="H254" s="23"/>
      <c r="I254" s="23"/>
      <c r="J254" s="72"/>
      <c r="K254" s="23"/>
      <c r="L254" s="128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129"/>
      <c r="X254" s="71"/>
      <c r="Y254" s="71"/>
      <c r="Z254" s="71"/>
      <c r="AA254" s="71"/>
      <c r="AB254" s="71"/>
      <c r="AC254" s="126"/>
      <c r="AD254" s="23"/>
      <c r="AE254" s="23"/>
      <c r="AF254" s="71"/>
      <c r="AG254" s="71"/>
      <c r="AH254" s="71"/>
      <c r="AI254" s="71"/>
      <c r="AJ254" s="71"/>
      <c r="AK254" s="71"/>
      <c r="AL254" s="71"/>
    </row>
    <row r="255" ht="13.5" customHeight="1">
      <c r="A255" s="97"/>
      <c r="B255" s="109"/>
      <c r="C255" s="126"/>
      <c r="D255" s="23"/>
      <c r="E255" s="23"/>
      <c r="F255" s="23"/>
      <c r="G255" s="23"/>
      <c r="H255" s="23"/>
      <c r="I255" s="23"/>
      <c r="J255" s="72"/>
      <c r="K255" s="23"/>
      <c r="L255" s="128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129"/>
      <c r="X255" s="71"/>
      <c r="Y255" s="71"/>
      <c r="Z255" s="71"/>
      <c r="AA255" s="71"/>
      <c r="AB255" s="71"/>
      <c r="AC255" s="126"/>
      <c r="AD255" s="23"/>
      <c r="AE255" s="23"/>
      <c r="AF255" s="71"/>
      <c r="AG255" s="71"/>
      <c r="AH255" s="71"/>
      <c r="AI255" s="71"/>
      <c r="AJ255" s="71"/>
      <c r="AK255" s="71"/>
      <c r="AL255" s="71"/>
    </row>
    <row r="256" ht="13.5" customHeight="1">
      <c r="A256" s="97"/>
      <c r="B256" s="109"/>
      <c r="C256" s="126"/>
      <c r="D256" s="23"/>
      <c r="E256" s="23"/>
      <c r="F256" s="23"/>
      <c r="G256" s="23"/>
      <c r="H256" s="23"/>
      <c r="I256" s="23"/>
      <c r="J256" s="72"/>
      <c r="K256" s="23"/>
      <c r="L256" s="128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129"/>
      <c r="X256" s="71"/>
      <c r="Y256" s="71"/>
      <c r="Z256" s="71"/>
      <c r="AA256" s="71"/>
      <c r="AB256" s="71"/>
      <c r="AC256" s="126"/>
      <c r="AD256" s="23"/>
      <c r="AE256" s="23"/>
      <c r="AF256" s="71"/>
      <c r="AG256" s="71"/>
      <c r="AH256" s="71"/>
      <c r="AI256" s="71"/>
      <c r="AJ256" s="71"/>
      <c r="AK256" s="71"/>
      <c r="AL256" s="71"/>
    </row>
    <row r="257" ht="13.5" customHeight="1">
      <c r="A257" s="97"/>
      <c r="B257" s="109"/>
      <c r="C257" s="126"/>
      <c r="D257" s="23"/>
      <c r="E257" s="23"/>
      <c r="F257" s="23"/>
      <c r="G257" s="23"/>
      <c r="H257" s="23"/>
      <c r="I257" s="23"/>
      <c r="J257" s="72"/>
      <c r="K257" s="23"/>
      <c r="L257" s="128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129"/>
      <c r="X257" s="71"/>
      <c r="Y257" s="71"/>
      <c r="Z257" s="71"/>
      <c r="AA257" s="71"/>
      <c r="AB257" s="71"/>
      <c r="AC257" s="126"/>
      <c r="AD257" s="23"/>
      <c r="AE257" s="23"/>
      <c r="AF257" s="71"/>
      <c r="AG257" s="71"/>
      <c r="AH257" s="71"/>
      <c r="AI257" s="71"/>
      <c r="AJ257" s="71"/>
      <c r="AK257" s="71"/>
      <c r="AL257" s="71"/>
    </row>
    <row r="258" ht="13.5" customHeight="1">
      <c r="A258" s="97"/>
      <c r="B258" s="109"/>
      <c r="C258" s="126"/>
      <c r="D258" s="23"/>
      <c r="E258" s="23"/>
      <c r="F258" s="23"/>
      <c r="G258" s="23"/>
      <c r="H258" s="23"/>
      <c r="I258" s="23"/>
      <c r="J258" s="72"/>
      <c r="K258" s="23"/>
      <c r="L258" s="128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129"/>
      <c r="X258" s="71"/>
      <c r="Y258" s="71"/>
      <c r="Z258" s="71"/>
      <c r="AA258" s="71"/>
      <c r="AB258" s="71"/>
      <c r="AC258" s="126"/>
      <c r="AD258" s="23"/>
      <c r="AE258" s="23"/>
      <c r="AF258" s="71"/>
      <c r="AG258" s="71"/>
      <c r="AH258" s="71"/>
      <c r="AI258" s="71"/>
      <c r="AJ258" s="71"/>
      <c r="AK258" s="71"/>
      <c r="AL258" s="71"/>
    </row>
    <row r="259" ht="13.5" customHeight="1">
      <c r="A259" s="97"/>
      <c r="B259" s="109"/>
      <c r="C259" s="126"/>
      <c r="D259" s="23"/>
      <c r="E259" s="23"/>
      <c r="F259" s="23"/>
      <c r="G259" s="23"/>
      <c r="H259" s="23"/>
      <c r="I259" s="23"/>
      <c r="J259" s="72"/>
      <c r="K259" s="23"/>
      <c r="L259" s="128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129"/>
      <c r="X259" s="71"/>
      <c r="Y259" s="71"/>
      <c r="Z259" s="71"/>
      <c r="AA259" s="71"/>
      <c r="AB259" s="71"/>
      <c r="AC259" s="126"/>
      <c r="AD259" s="23"/>
      <c r="AE259" s="23"/>
      <c r="AF259" s="71"/>
      <c r="AG259" s="71"/>
      <c r="AH259" s="71"/>
      <c r="AI259" s="71"/>
      <c r="AJ259" s="71"/>
      <c r="AK259" s="71"/>
      <c r="AL259" s="71"/>
    </row>
    <row r="260" ht="13.5" customHeight="1">
      <c r="A260" s="97"/>
      <c r="B260" s="109"/>
      <c r="C260" s="126"/>
      <c r="D260" s="23"/>
      <c r="E260" s="23"/>
      <c r="F260" s="23"/>
      <c r="G260" s="23"/>
      <c r="H260" s="23"/>
      <c r="I260" s="23"/>
      <c r="J260" s="72"/>
      <c r="K260" s="23"/>
      <c r="L260" s="128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129"/>
      <c r="X260" s="71"/>
      <c r="Y260" s="71"/>
      <c r="Z260" s="71"/>
      <c r="AA260" s="71"/>
      <c r="AB260" s="71"/>
      <c r="AC260" s="126"/>
      <c r="AD260" s="23"/>
      <c r="AE260" s="23"/>
      <c r="AF260" s="71"/>
      <c r="AG260" s="71"/>
      <c r="AH260" s="71"/>
      <c r="AI260" s="71"/>
      <c r="AJ260" s="71"/>
      <c r="AK260" s="71"/>
      <c r="AL260" s="71"/>
    </row>
    <row r="261" ht="13.5" customHeight="1">
      <c r="A261" s="97"/>
      <c r="B261" s="109"/>
      <c r="C261" s="126"/>
      <c r="D261" s="23"/>
      <c r="E261" s="23"/>
      <c r="F261" s="23"/>
      <c r="G261" s="23"/>
      <c r="H261" s="23"/>
      <c r="I261" s="23"/>
      <c r="J261" s="72"/>
      <c r="K261" s="23"/>
      <c r="L261" s="128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129"/>
      <c r="X261" s="71"/>
      <c r="Y261" s="71"/>
      <c r="Z261" s="71"/>
      <c r="AA261" s="71"/>
      <c r="AB261" s="71"/>
      <c r="AC261" s="126"/>
      <c r="AD261" s="23"/>
      <c r="AE261" s="23"/>
      <c r="AF261" s="71"/>
      <c r="AG261" s="71"/>
      <c r="AH261" s="71"/>
      <c r="AI261" s="71"/>
      <c r="AJ261" s="71"/>
      <c r="AK261" s="71"/>
      <c r="AL261" s="71"/>
    </row>
    <row r="262" ht="13.5" customHeight="1">
      <c r="A262" s="97"/>
      <c r="B262" s="109"/>
      <c r="C262" s="126"/>
      <c r="D262" s="23"/>
      <c r="E262" s="23"/>
      <c r="F262" s="23"/>
      <c r="G262" s="23"/>
      <c r="H262" s="23"/>
      <c r="I262" s="23"/>
      <c r="J262" s="72"/>
      <c r="K262" s="23"/>
      <c r="L262" s="128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129"/>
      <c r="X262" s="71"/>
      <c r="Y262" s="71"/>
      <c r="Z262" s="71"/>
      <c r="AA262" s="71"/>
      <c r="AB262" s="71"/>
      <c r="AC262" s="126"/>
      <c r="AD262" s="23"/>
      <c r="AE262" s="23"/>
      <c r="AF262" s="71"/>
      <c r="AG262" s="71"/>
      <c r="AH262" s="71"/>
      <c r="AI262" s="71"/>
      <c r="AJ262" s="71"/>
      <c r="AK262" s="71"/>
      <c r="AL262" s="71"/>
    </row>
    <row r="263" ht="13.5" customHeight="1">
      <c r="A263" s="97"/>
      <c r="B263" s="109"/>
      <c r="C263" s="126"/>
      <c r="D263" s="23"/>
      <c r="E263" s="23"/>
      <c r="F263" s="23"/>
      <c r="G263" s="23"/>
      <c r="H263" s="23"/>
      <c r="I263" s="23"/>
      <c r="J263" s="72"/>
      <c r="K263" s="23"/>
      <c r="L263" s="128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129"/>
      <c r="X263" s="71"/>
      <c r="Y263" s="71"/>
      <c r="Z263" s="71"/>
      <c r="AA263" s="71"/>
      <c r="AB263" s="71"/>
      <c r="AC263" s="126"/>
      <c r="AD263" s="23"/>
      <c r="AE263" s="23"/>
      <c r="AF263" s="71"/>
      <c r="AG263" s="71"/>
      <c r="AH263" s="71"/>
      <c r="AI263" s="71"/>
      <c r="AJ263" s="71"/>
      <c r="AK263" s="71"/>
      <c r="AL263" s="71"/>
    </row>
    <row r="264" ht="13.5" customHeight="1">
      <c r="A264" s="97"/>
      <c r="B264" s="109"/>
      <c r="C264" s="126"/>
      <c r="D264" s="23"/>
      <c r="E264" s="23"/>
      <c r="F264" s="23"/>
      <c r="G264" s="23"/>
      <c r="H264" s="23"/>
      <c r="I264" s="23"/>
      <c r="J264" s="72"/>
      <c r="K264" s="23"/>
      <c r="L264" s="128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129"/>
      <c r="X264" s="71"/>
      <c r="Y264" s="71"/>
      <c r="Z264" s="71"/>
      <c r="AA264" s="71"/>
      <c r="AB264" s="71"/>
      <c r="AC264" s="126"/>
      <c r="AD264" s="23"/>
      <c r="AE264" s="23"/>
      <c r="AF264" s="71"/>
      <c r="AG264" s="71"/>
      <c r="AH264" s="71"/>
      <c r="AI264" s="71"/>
      <c r="AJ264" s="71"/>
      <c r="AK264" s="71"/>
      <c r="AL264" s="71"/>
    </row>
    <row r="265" ht="13.5" customHeight="1">
      <c r="A265" s="97"/>
      <c r="B265" s="109"/>
      <c r="C265" s="126"/>
      <c r="D265" s="23"/>
      <c r="E265" s="23"/>
      <c r="F265" s="23"/>
      <c r="G265" s="23"/>
      <c r="H265" s="23"/>
      <c r="I265" s="23"/>
      <c r="J265" s="72"/>
      <c r="K265" s="23"/>
      <c r="L265" s="128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129"/>
      <c r="X265" s="71"/>
      <c r="Y265" s="71"/>
      <c r="Z265" s="71"/>
      <c r="AA265" s="71"/>
      <c r="AB265" s="71"/>
      <c r="AC265" s="126"/>
      <c r="AD265" s="23"/>
      <c r="AE265" s="23"/>
      <c r="AF265" s="71"/>
      <c r="AG265" s="71"/>
      <c r="AH265" s="71"/>
      <c r="AI265" s="71"/>
      <c r="AJ265" s="71"/>
      <c r="AK265" s="71"/>
      <c r="AL265" s="71"/>
    </row>
    <row r="266" ht="13.5" customHeight="1">
      <c r="A266" s="97"/>
      <c r="B266" s="109"/>
      <c r="C266" s="126"/>
      <c r="D266" s="23"/>
      <c r="E266" s="23"/>
      <c r="F266" s="23"/>
      <c r="G266" s="23"/>
      <c r="H266" s="23"/>
      <c r="I266" s="23"/>
      <c r="J266" s="72"/>
      <c r="K266" s="23"/>
      <c r="L266" s="128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129"/>
      <c r="X266" s="71"/>
      <c r="Y266" s="71"/>
      <c r="Z266" s="71"/>
      <c r="AA266" s="71"/>
      <c r="AB266" s="71"/>
      <c r="AC266" s="126"/>
      <c r="AD266" s="23"/>
      <c r="AE266" s="23"/>
      <c r="AF266" s="71"/>
      <c r="AG266" s="71"/>
      <c r="AH266" s="71"/>
      <c r="AI266" s="71"/>
      <c r="AJ266" s="71"/>
      <c r="AK266" s="71"/>
      <c r="AL266" s="71"/>
    </row>
    <row r="267" ht="13.5" customHeight="1">
      <c r="A267" s="97"/>
      <c r="B267" s="109"/>
      <c r="C267" s="126"/>
      <c r="D267" s="23"/>
      <c r="E267" s="23"/>
      <c r="F267" s="23"/>
      <c r="G267" s="23"/>
      <c r="H267" s="23"/>
      <c r="I267" s="23"/>
      <c r="J267" s="72"/>
      <c r="K267" s="23"/>
      <c r="L267" s="128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129"/>
      <c r="X267" s="71"/>
      <c r="Y267" s="71"/>
      <c r="Z267" s="71"/>
      <c r="AA267" s="71"/>
      <c r="AB267" s="71"/>
      <c r="AC267" s="126"/>
      <c r="AD267" s="23"/>
      <c r="AE267" s="23"/>
      <c r="AF267" s="71"/>
      <c r="AG267" s="71"/>
      <c r="AH267" s="71"/>
      <c r="AI267" s="71"/>
      <c r="AJ267" s="71"/>
      <c r="AK267" s="71"/>
      <c r="AL267" s="71"/>
    </row>
    <row r="268" ht="13.5" customHeight="1">
      <c r="A268" s="97"/>
      <c r="B268" s="109"/>
      <c r="C268" s="126"/>
      <c r="D268" s="23"/>
      <c r="E268" s="23"/>
      <c r="F268" s="23"/>
      <c r="G268" s="23"/>
      <c r="H268" s="23"/>
      <c r="I268" s="23"/>
      <c r="J268" s="72"/>
      <c r="K268" s="23"/>
      <c r="L268" s="128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129"/>
      <c r="X268" s="71"/>
      <c r="Y268" s="71"/>
      <c r="Z268" s="71"/>
      <c r="AA268" s="71"/>
      <c r="AB268" s="71"/>
      <c r="AC268" s="126"/>
      <c r="AD268" s="23"/>
      <c r="AE268" s="23"/>
      <c r="AF268" s="71"/>
      <c r="AG268" s="71"/>
      <c r="AH268" s="71"/>
      <c r="AI268" s="71"/>
      <c r="AJ268" s="71"/>
      <c r="AK268" s="71"/>
      <c r="AL268" s="71"/>
    </row>
    <row r="269" ht="13.5" customHeight="1">
      <c r="A269" s="97"/>
      <c r="B269" s="109"/>
      <c r="C269" s="126"/>
      <c r="D269" s="23"/>
      <c r="E269" s="23"/>
      <c r="F269" s="23"/>
      <c r="G269" s="23"/>
      <c r="H269" s="23"/>
      <c r="I269" s="23"/>
      <c r="J269" s="72"/>
      <c r="K269" s="23"/>
      <c r="L269" s="1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129"/>
      <c r="X269" s="71"/>
      <c r="Y269" s="71"/>
      <c r="Z269" s="71"/>
      <c r="AA269" s="71"/>
      <c r="AB269" s="71"/>
      <c r="AC269" s="126"/>
      <c r="AD269" s="23"/>
      <c r="AE269" s="23"/>
      <c r="AF269" s="71"/>
      <c r="AG269" s="71"/>
      <c r="AH269" s="71"/>
      <c r="AI269" s="71"/>
      <c r="AJ269" s="71"/>
      <c r="AK269" s="71"/>
      <c r="AL269" s="71"/>
    </row>
    <row r="270" ht="13.5" customHeight="1">
      <c r="A270" s="97"/>
      <c r="B270" s="109"/>
      <c r="C270" s="126"/>
      <c r="D270" s="23"/>
      <c r="E270" s="23"/>
      <c r="F270" s="23"/>
      <c r="G270" s="23"/>
      <c r="H270" s="23"/>
      <c r="I270" s="23"/>
      <c r="J270" s="72"/>
      <c r="K270" s="23"/>
      <c r="L270" s="1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129"/>
      <c r="X270" s="71"/>
      <c r="Y270" s="71"/>
      <c r="Z270" s="71"/>
      <c r="AA270" s="71"/>
      <c r="AB270" s="71"/>
      <c r="AC270" s="126"/>
      <c r="AD270" s="23"/>
      <c r="AE270" s="23"/>
      <c r="AF270" s="71"/>
      <c r="AG270" s="71"/>
      <c r="AH270" s="71"/>
      <c r="AI270" s="71"/>
      <c r="AJ270" s="71"/>
      <c r="AK270" s="71"/>
      <c r="AL270" s="71"/>
    </row>
    <row r="271" ht="13.5" customHeight="1">
      <c r="A271" s="97"/>
      <c r="B271" s="109"/>
      <c r="C271" s="126"/>
      <c r="D271" s="23"/>
      <c r="E271" s="23"/>
      <c r="F271" s="23"/>
      <c r="G271" s="23"/>
      <c r="H271" s="23"/>
      <c r="I271" s="23"/>
      <c r="J271" s="72"/>
      <c r="K271" s="23"/>
      <c r="L271" s="1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129"/>
      <c r="X271" s="71"/>
      <c r="Y271" s="71"/>
      <c r="Z271" s="71"/>
      <c r="AA271" s="71"/>
      <c r="AB271" s="71"/>
      <c r="AC271" s="126"/>
      <c r="AD271" s="23"/>
      <c r="AE271" s="23"/>
      <c r="AF271" s="71"/>
      <c r="AG271" s="71"/>
      <c r="AH271" s="71"/>
      <c r="AI271" s="71"/>
      <c r="AJ271" s="71"/>
      <c r="AK271" s="71"/>
      <c r="AL271" s="71"/>
    </row>
    <row r="272" ht="13.5" customHeight="1">
      <c r="A272" s="97"/>
      <c r="B272" s="109"/>
      <c r="C272" s="126"/>
      <c r="D272" s="23"/>
      <c r="E272" s="23"/>
      <c r="F272" s="23"/>
      <c r="G272" s="23"/>
      <c r="H272" s="23"/>
      <c r="I272" s="23"/>
      <c r="J272" s="72"/>
      <c r="K272" s="23"/>
      <c r="L272" s="1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129"/>
      <c r="X272" s="71"/>
      <c r="Y272" s="71"/>
      <c r="Z272" s="71"/>
      <c r="AA272" s="71"/>
      <c r="AB272" s="71"/>
      <c r="AC272" s="126"/>
      <c r="AD272" s="23"/>
      <c r="AE272" s="23"/>
      <c r="AF272" s="71"/>
      <c r="AG272" s="71"/>
      <c r="AH272" s="71"/>
      <c r="AI272" s="71"/>
      <c r="AJ272" s="71"/>
      <c r="AK272" s="71"/>
      <c r="AL272" s="71"/>
    </row>
    <row r="273" ht="13.5" customHeight="1">
      <c r="A273" s="97"/>
      <c r="B273" s="109"/>
      <c r="C273" s="126"/>
      <c r="D273" s="23"/>
      <c r="E273" s="23"/>
      <c r="F273" s="23"/>
      <c r="G273" s="23"/>
      <c r="H273" s="23"/>
      <c r="I273" s="23"/>
      <c r="J273" s="72"/>
      <c r="K273" s="23"/>
      <c r="L273" s="1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129"/>
      <c r="X273" s="71"/>
      <c r="Y273" s="71"/>
      <c r="Z273" s="71"/>
      <c r="AA273" s="71"/>
      <c r="AB273" s="71"/>
      <c r="AC273" s="126"/>
      <c r="AD273" s="23"/>
      <c r="AE273" s="23"/>
      <c r="AF273" s="71"/>
      <c r="AG273" s="71"/>
      <c r="AH273" s="71"/>
      <c r="AI273" s="71"/>
      <c r="AJ273" s="71"/>
      <c r="AK273" s="71"/>
      <c r="AL273" s="71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E$55"/>
  <mergeCells count="3">
    <mergeCell ref="A1:B1"/>
    <mergeCell ref="O1:Q1"/>
    <mergeCell ref="R1:T1"/>
  </mergeCells>
  <conditionalFormatting sqref="B3:B85">
    <cfRule type="expression" dxfId="0" priority="1">
      <formula>COUNTIF($B$3:$B$85, B3) &gt; 1</formula>
    </cfRule>
  </conditionalFormatting>
  <conditionalFormatting sqref="B48">
    <cfRule type="expression" dxfId="0" priority="2">
      <formula>COUNTIF($B$2:$B$98, B48) &gt; 1</formula>
    </cfRule>
  </conditionalFormatting>
  <conditionalFormatting sqref="E3:E55">
    <cfRule type="expression" dxfId="7" priority="3">
      <formula>E3&gt;=D3</formula>
    </cfRule>
  </conditionalFormatting>
  <conditionalFormatting sqref="G3:G55">
    <cfRule type="expression" dxfId="7" priority="4">
      <formula>G3&gt;=F3</formula>
    </cfRule>
  </conditionalFormatting>
  <conditionalFormatting sqref="I3:I55">
    <cfRule type="expression" dxfId="8" priority="5">
      <formula>I3&gt;=H3</formula>
    </cfRule>
  </conditionalFormatting>
  <conditionalFormatting sqref="J3:J55">
    <cfRule type="expression" dxfId="7" priority="6">
      <formula>AND(J3 &gt;= 80%,C3 &lt;&gt; "DSTV")</formula>
    </cfRule>
  </conditionalFormatting>
  <conditionalFormatting sqref="J3:J55">
    <cfRule type="expression" dxfId="0" priority="7">
      <formula>AND(J3 &lt; 60%,C3 &lt;&gt; "DSTV")</formula>
    </cfRule>
  </conditionalFormatting>
  <conditionalFormatting sqref="L3:L55">
    <cfRule type="expression" dxfId="0" priority="8">
      <formula>L3=0.8</formula>
    </cfRule>
  </conditionalFormatting>
  <conditionalFormatting sqref="W1 W3:W1000">
    <cfRule type="containsText" dxfId="9" priority="9" operator="containsText" text="pass">
      <formula>NOT(ISERROR(SEARCH(("pass"),(W1))))</formula>
    </cfRule>
  </conditionalFormatting>
  <dataValidations>
    <dataValidation type="list" allowBlank="1" showErrorMessage="1" sqref="C3:C55">
      <formula1>"CHT,BC,PT,DSHV,DSTV,Q.CHT,DSXC,DSCD,DSXC (TV),DSCD (TV)"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2.88"/>
    <col customWidth="1" min="2" max="2" width="15.0"/>
    <col customWidth="1" min="3" max="3" width="16.13"/>
    <col customWidth="1" min="4" max="4" width="15.63"/>
    <col customWidth="1" min="5" max="5" width="16.13"/>
    <col customWidth="1" min="6" max="7" width="13.13"/>
    <col customWidth="1" min="8" max="8" width="12.75"/>
    <col customWidth="1" min="9" max="10" width="12.63"/>
    <col customWidth="1" hidden="1" min="11" max="11" width="12.63"/>
    <col customWidth="1" min="12" max="21" width="12.63"/>
    <col customWidth="1" min="22" max="22" width="15.88"/>
    <col customWidth="1" min="23" max="23" width="14.25"/>
    <col customWidth="1" min="24" max="38" width="12.63"/>
  </cols>
  <sheetData>
    <row r="1" ht="20.25" customHeight="1">
      <c r="A1" s="1"/>
      <c r="B1" s="1"/>
      <c r="C1" s="3"/>
      <c r="D1" s="4" t="s">
        <v>1</v>
      </c>
      <c r="F1" s="13">
        <f>'kpi dược sĩ'!$C$1</f>
        <v>46265</v>
      </c>
      <c r="G1" s="3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3">
        <f>'kpi dược sĩ'!$C$1</f>
        <v>46265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39.75" customHeight="1">
      <c r="A2" s="34" t="s">
        <v>12</v>
      </c>
      <c r="B2" s="34" t="s">
        <v>0</v>
      </c>
      <c r="C2" s="34" t="s">
        <v>33</v>
      </c>
      <c r="D2" s="36" t="s">
        <v>35</v>
      </c>
      <c r="E2" s="39" t="s">
        <v>38</v>
      </c>
      <c r="F2" s="41" t="s">
        <v>41</v>
      </c>
      <c r="G2" s="41" t="s">
        <v>42</v>
      </c>
      <c r="H2" s="42" t="s">
        <v>44</v>
      </c>
      <c r="I2" s="42" t="s">
        <v>46</v>
      </c>
      <c r="J2" s="42" t="s">
        <v>47</v>
      </c>
      <c r="K2" s="42" t="s">
        <v>48</v>
      </c>
      <c r="L2" s="42" t="s">
        <v>48</v>
      </c>
      <c r="M2" s="43" t="s">
        <v>50</v>
      </c>
      <c r="N2" s="43" t="s">
        <v>52</v>
      </c>
      <c r="O2" s="43" t="s">
        <v>53</v>
      </c>
      <c r="P2" s="43" t="s">
        <v>55</v>
      </c>
      <c r="Q2" s="41" t="s">
        <v>57</v>
      </c>
      <c r="R2" s="41" t="s">
        <v>59</v>
      </c>
      <c r="S2" s="41" t="s">
        <v>60</v>
      </c>
      <c r="T2" s="41" t="s">
        <v>61</v>
      </c>
      <c r="U2" s="44" t="s">
        <v>62</v>
      </c>
      <c r="V2" s="36" t="s">
        <v>63</v>
      </c>
      <c r="W2" s="36" t="s">
        <v>64</v>
      </c>
      <c r="X2" s="36" t="s">
        <v>3</v>
      </c>
      <c r="Y2" s="36" t="s">
        <v>4</v>
      </c>
      <c r="Z2" s="36" t="s">
        <v>66</v>
      </c>
      <c r="AA2" s="47" t="s">
        <v>5</v>
      </c>
      <c r="AB2" s="47" t="s">
        <v>6</v>
      </c>
      <c r="AC2" s="47" t="s">
        <v>67</v>
      </c>
      <c r="AD2" s="50" t="s">
        <v>7</v>
      </c>
      <c r="AE2" s="50" t="s">
        <v>8</v>
      </c>
      <c r="AF2" s="50" t="s">
        <v>69</v>
      </c>
      <c r="AG2" s="51"/>
      <c r="AH2" s="51"/>
      <c r="AI2" s="51"/>
      <c r="AJ2" s="51"/>
      <c r="AK2" s="51"/>
      <c r="AL2" s="51"/>
    </row>
    <row r="3" ht="15.75" customHeight="1">
      <c r="A3" s="52" t="s">
        <v>70</v>
      </c>
      <c r="B3" s="53" t="s">
        <v>72</v>
      </c>
      <c r="C3" s="19">
        <v>6.4E8</v>
      </c>
      <c r="D3" s="25">
        <f t="shared" ref="D3:D13" si="2">AE3</f>
        <v>460597696</v>
      </c>
      <c r="E3" s="25">
        <f>D3/DAY('kpi dược sĩ'!$C$1)</f>
        <v>14857990.19</v>
      </c>
      <c r="F3" s="64">
        <f t="shared" ref="F3:F13" si="3">E3/T3</f>
        <v>0.7196839</v>
      </c>
      <c r="G3" s="25">
        <f t="shared" ref="G3:G13" si="4">IF(
    W3&lt;&gt;"Đạt",0,IF(E3&gt;=T3,D3*0.5%,IF(E3&gt;=P3,D3*0.4%,IF(E3&gt;=K3,D3*0.35%,0)))
)</f>
        <v>0</v>
      </c>
      <c r="H3" s="67">
        <v>0.8</v>
      </c>
      <c r="I3" s="25">
        <f t="shared" ref="I3:I13" si="5">J3*0.25</f>
        <v>128000000</v>
      </c>
      <c r="J3" s="25">
        <f t="shared" ref="J3:J13" si="6">C3*H3</f>
        <v>512000000</v>
      </c>
      <c r="K3" s="25">
        <f t="shared" ref="K3:K13" si="7">T3*H3</f>
        <v>16516129.03</v>
      </c>
      <c r="L3" s="25">
        <f t="shared" ref="L3:L13" si="8">CEILING(K3,100000)</f>
        <v>16600000</v>
      </c>
      <c r="M3" s="67">
        <v>0.9</v>
      </c>
      <c r="N3" s="25">
        <f t="shared" ref="N3:N13" si="9">O3*0.25</f>
        <v>144000000</v>
      </c>
      <c r="O3" s="25">
        <f t="shared" ref="O3:O13" si="10">C3*M3</f>
        <v>576000000</v>
      </c>
      <c r="P3" s="25">
        <f t="shared" ref="P3:P13" si="11">T3*M3</f>
        <v>18580645.16</v>
      </c>
      <c r="Q3" s="67">
        <v>1.0</v>
      </c>
      <c r="R3" s="25">
        <f t="shared" ref="R3:R13" si="12">S3*0.25</f>
        <v>160000000</v>
      </c>
      <c r="S3" s="25">
        <f t="shared" ref="S3:S13" si="13">C3*Q3</f>
        <v>640000000</v>
      </c>
      <c r="T3" s="25">
        <f t="shared" ref="T3:T13" si="14">C3/DAY($T$1)</f>
        <v>20645161.29</v>
      </c>
      <c r="U3" s="25">
        <f>SUMIF('Dự án T8'!$A:$A, B3, 'Dự án T8'!$D:$D)*DAY($F$1)</f>
        <v>147185243</v>
      </c>
      <c r="V3" s="64">
        <f t="shared" ref="V3:V13" si="15">U3/D3</f>
        <v>0.3195527122</v>
      </c>
      <c r="W3" s="25" t="str">
        <f t="shared" ref="W3:W13" si="16">IF(OR(F3="",V3=""),"",IF(AND(F3&gt;=80%,V3&gt;=25%),"Đạt","Không đạt"))</f>
        <v>Không đạt</v>
      </c>
      <c r="X3" s="25">
        <f>SUMIF(data!$A:$A,B3,data!$C:$C)</f>
        <v>2402</v>
      </c>
      <c r="Y3" s="25">
        <f>SUMIF(data!$A:$A,B3,data!$D:$D)</f>
        <v>187551655</v>
      </c>
      <c r="Z3" s="25">
        <f t="shared" ref="Z3:Z14" si="17">Y3/X3</f>
        <v>78081.45504</v>
      </c>
      <c r="AA3" s="25">
        <f>SUMIF(data!$A:$A,B3,data!$E:$E)</f>
        <v>1398</v>
      </c>
      <c r="AB3" s="25">
        <f>SUMIF(data!$A:$A,B3,data!$F:$F)</f>
        <v>273046041</v>
      </c>
      <c r="AC3" s="25">
        <f t="shared" ref="AC3:AC14" si="18">AB3/AA3</f>
        <v>195311.9034</v>
      </c>
      <c r="AD3" s="25">
        <f t="shared" ref="AD3:AE3" si="1">X3+AA3</f>
        <v>3800</v>
      </c>
      <c r="AE3" s="25">
        <f t="shared" si="1"/>
        <v>460597696</v>
      </c>
      <c r="AF3" s="25">
        <f t="shared" ref="AF3:AF14" si="20">AE3/AD3</f>
        <v>121209.92</v>
      </c>
      <c r="AG3" s="25"/>
      <c r="AH3" s="25"/>
      <c r="AI3" s="25"/>
      <c r="AJ3" s="25"/>
      <c r="AK3" s="25"/>
      <c r="AL3" s="25"/>
    </row>
    <row r="4" ht="15.75" customHeight="1">
      <c r="A4" s="52" t="s">
        <v>115</v>
      </c>
      <c r="B4" s="53" t="s">
        <v>116</v>
      </c>
      <c r="C4" s="19">
        <v>1.1E9</v>
      </c>
      <c r="D4" s="25">
        <f t="shared" si="2"/>
        <v>964404660</v>
      </c>
      <c r="E4" s="25">
        <f>D4/DAY('kpi dược sĩ'!$C$1)</f>
        <v>31109827.74</v>
      </c>
      <c r="F4" s="64">
        <f t="shared" si="3"/>
        <v>0.8767315091</v>
      </c>
      <c r="G4" s="25">
        <f t="shared" si="4"/>
        <v>0</v>
      </c>
      <c r="H4" s="67">
        <v>0.8</v>
      </c>
      <c r="I4" s="25">
        <f t="shared" si="5"/>
        <v>220000000</v>
      </c>
      <c r="J4" s="25">
        <f t="shared" si="6"/>
        <v>880000000</v>
      </c>
      <c r="K4" s="25">
        <f t="shared" si="7"/>
        <v>28387096.77</v>
      </c>
      <c r="L4" s="25">
        <f t="shared" si="8"/>
        <v>28400000</v>
      </c>
      <c r="M4" s="67">
        <v>0.9</v>
      </c>
      <c r="N4" s="25">
        <f t="shared" si="9"/>
        <v>247500000</v>
      </c>
      <c r="O4" s="25">
        <f t="shared" si="10"/>
        <v>990000000</v>
      </c>
      <c r="P4" s="25">
        <f t="shared" si="11"/>
        <v>31935483.87</v>
      </c>
      <c r="Q4" s="67">
        <v>1.0</v>
      </c>
      <c r="R4" s="25">
        <f t="shared" si="12"/>
        <v>275000000</v>
      </c>
      <c r="S4" s="25">
        <f t="shared" si="13"/>
        <v>1100000000</v>
      </c>
      <c r="T4" s="25">
        <f t="shared" si="14"/>
        <v>35483870.97</v>
      </c>
      <c r="U4" s="25">
        <f>SUMIF('Dự án T8'!$A:$A, B4, 'Dự án T8'!$D:$D)*DAY($F$1)</f>
        <v>80917585</v>
      </c>
      <c r="V4" s="64">
        <f t="shared" si="15"/>
        <v>0.08390418292</v>
      </c>
      <c r="W4" s="25" t="str">
        <f t="shared" si="16"/>
        <v>Không đạt</v>
      </c>
      <c r="X4" s="25">
        <f>SUMIF(data!$A:$A,B4,data!$C:$C)</f>
        <v>2944</v>
      </c>
      <c r="Y4" s="25">
        <f>SUMIF(data!$A:$A,B4,data!$D:$D)</f>
        <v>769412510</v>
      </c>
      <c r="Z4" s="25">
        <f t="shared" si="17"/>
        <v>261349.358</v>
      </c>
      <c r="AA4" s="25">
        <f>SUMIF(data!$A:$A,B4,data!$E:$E)</f>
        <v>905</v>
      </c>
      <c r="AB4" s="25">
        <f>SUMIF(data!$A:$A,B4,data!$F:$F)</f>
        <v>194992150</v>
      </c>
      <c r="AC4" s="25">
        <f t="shared" si="18"/>
        <v>215460.9392</v>
      </c>
      <c r="AD4" s="25">
        <f t="shared" ref="AD4:AE4" si="19">X4+AA4</f>
        <v>3849</v>
      </c>
      <c r="AE4" s="25">
        <f t="shared" si="19"/>
        <v>964404660</v>
      </c>
      <c r="AF4" s="25">
        <f t="shared" si="20"/>
        <v>250559.7973</v>
      </c>
      <c r="AG4" s="25"/>
      <c r="AH4" s="25"/>
      <c r="AI4" s="25"/>
      <c r="AJ4" s="25"/>
      <c r="AK4" s="25"/>
      <c r="AL4" s="25"/>
    </row>
    <row r="5" ht="15.75" customHeight="1">
      <c r="A5" s="52" t="s">
        <v>45</v>
      </c>
      <c r="B5" s="53" t="s">
        <v>39</v>
      </c>
      <c r="C5" s="19">
        <v>4.6E8</v>
      </c>
      <c r="D5" s="25">
        <f t="shared" si="2"/>
        <v>322605144</v>
      </c>
      <c r="E5" s="25">
        <f>D5/DAY('kpi dược sĩ'!$C$1)</f>
        <v>10406617.55</v>
      </c>
      <c r="F5" s="64">
        <f t="shared" si="3"/>
        <v>0.7013155304</v>
      </c>
      <c r="G5" s="25">
        <f t="shared" si="4"/>
        <v>0</v>
      </c>
      <c r="H5" s="67">
        <v>0.8</v>
      </c>
      <c r="I5" s="25">
        <f t="shared" si="5"/>
        <v>92000000</v>
      </c>
      <c r="J5" s="25">
        <f t="shared" si="6"/>
        <v>368000000</v>
      </c>
      <c r="K5" s="25">
        <f t="shared" si="7"/>
        <v>11870967.74</v>
      </c>
      <c r="L5" s="25">
        <f t="shared" si="8"/>
        <v>11900000</v>
      </c>
      <c r="M5" s="67">
        <v>0.9</v>
      </c>
      <c r="N5" s="25">
        <f t="shared" si="9"/>
        <v>103500000</v>
      </c>
      <c r="O5" s="25">
        <f t="shared" si="10"/>
        <v>414000000</v>
      </c>
      <c r="P5" s="25">
        <f t="shared" si="11"/>
        <v>13354838.71</v>
      </c>
      <c r="Q5" s="67">
        <v>1.0</v>
      </c>
      <c r="R5" s="25">
        <f t="shared" si="12"/>
        <v>115000000</v>
      </c>
      <c r="S5" s="25">
        <f t="shared" si="13"/>
        <v>460000000</v>
      </c>
      <c r="T5" s="25">
        <f t="shared" si="14"/>
        <v>14838709.68</v>
      </c>
      <c r="U5" s="25">
        <f>SUMIF('Dự án T8'!$A:$A, B5, 'Dự án T8'!$D:$D)*DAY($F$1)</f>
        <v>201883994</v>
      </c>
      <c r="V5" s="64">
        <f t="shared" si="15"/>
        <v>0.6257928547</v>
      </c>
      <c r="W5" s="25" t="str">
        <f t="shared" si="16"/>
        <v>Không đạt</v>
      </c>
      <c r="X5" s="25">
        <f>SUMIF(data!$A:$A,B5,data!$C:$C)</f>
        <v>2912</v>
      </c>
      <c r="Y5" s="25">
        <f>SUMIF(data!$A:$A,B5,data!$D:$D)</f>
        <v>237976194</v>
      </c>
      <c r="Z5" s="25">
        <f t="shared" si="17"/>
        <v>81722.59409</v>
      </c>
      <c r="AA5" s="25">
        <f>SUMIF(data!$A:$A,B5,data!$E:$E)</f>
        <v>540</v>
      </c>
      <c r="AB5" s="25">
        <f>SUMIF(data!$A:$A,B5,data!$F:$F)</f>
        <v>84628950</v>
      </c>
      <c r="AC5" s="25">
        <f t="shared" si="18"/>
        <v>156720.2778</v>
      </c>
      <c r="AD5" s="25">
        <f t="shared" ref="AD5:AE5" si="21">X5+AA5</f>
        <v>3452</v>
      </c>
      <c r="AE5" s="25">
        <f t="shared" si="21"/>
        <v>322605144</v>
      </c>
      <c r="AF5" s="25">
        <f t="shared" si="20"/>
        <v>93454.56083</v>
      </c>
      <c r="AG5" s="25"/>
      <c r="AH5" s="25"/>
      <c r="AI5" s="25"/>
      <c r="AJ5" s="25"/>
      <c r="AK5" s="25"/>
      <c r="AL5" s="25"/>
    </row>
    <row r="6" ht="15.75" customHeight="1">
      <c r="A6" s="52" t="s">
        <v>126</v>
      </c>
      <c r="B6" s="53" t="s">
        <v>54</v>
      </c>
      <c r="C6" s="19">
        <v>3.3E8</v>
      </c>
      <c r="D6" s="25">
        <f t="shared" si="2"/>
        <v>229673478</v>
      </c>
      <c r="E6" s="25">
        <f>D6/DAY('kpi dược sĩ'!$C$1)</f>
        <v>7408821.871</v>
      </c>
      <c r="F6" s="64">
        <f t="shared" si="3"/>
        <v>0.6959802364</v>
      </c>
      <c r="G6" s="25">
        <f t="shared" si="4"/>
        <v>0</v>
      </c>
      <c r="H6" s="67">
        <v>0.8</v>
      </c>
      <c r="I6" s="25">
        <f t="shared" si="5"/>
        <v>66000000</v>
      </c>
      <c r="J6" s="25">
        <f t="shared" si="6"/>
        <v>264000000</v>
      </c>
      <c r="K6" s="25">
        <f t="shared" si="7"/>
        <v>8516129.032</v>
      </c>
      <c r="L6" s="25">
        <f t="shared" si="8"/>
        <v>8600000</v>
      </c>
      <c r="M6" s="67">
        <v>0.9</v>
      </c>
      <c r="N6" s="25">
        <f t="shared" si="9"/>
        <v>74250000</v>
      </c>
      <c r="O6" s="25">
        <f t="shared" si="10"/>
        <v>297000000</v>
      </c>
      <c r="P6" s="25">
        <f t="shared" si="11"/>
        <v>9580645.161</v>
      </c>
      <c r="Q6" s="67">
        <v>1.0</v>
      </c>
      <c r="R6" s="25">
        <f t="shared" si="12"/>
        <v>82500000</v>
      </c>
      <c r="S6" s="25">
        <f t="shared" si="13"/>
        <v>330000000</v>
      </c>
      <c r="T6" s="25">
        <f t="shared" si="14"/>
        <v>10645161.29</v>
      </c>
      <c r="U6" s="25">
        <f>SUMIF('Dự án T8'!$A:$A, B6, 'Dự án T8'!$D:$D)*DAY($F$1)</f>
        <v>87116602</v>
      </c>
      <c r="V6" s="64">
        <f t="shared" si="15"/>
        <v>0.3793063211</v>
      </c>
      <c r="W6" s="25" t="str">
        <f t="shared" si="16"/>
        <v>Không đạt</v>
      </c>
      <c r="X6" s="25">
        <f>SUMIF(data!$A:$A,B6,data!$C:$C)</f>
        <v>1618</v>
      </c>
      <c r="Y6" s="25">
        <f>SUMIF(data!$A:$A,B6,data!$D:$D)</f>
        <v>120579128</v>
      </c>
      <c r="Z6" s="25">
        <f t="shared" si="17"/>
        <v>74523.56489</v>
      </c>
      <c r="AA6" s="25">
        <f>SUMIF(data!$A:$A,B6,data!$E:$E)</f>
        <v>528</v>
      </c>
      <c r="AB6" s="25">
        <f>SUMIF(data!$A:$A,B6,data!$F:$F)</f>
        <v>109094350</v>
      </c>
      <c r="AC6" s="25">
        <f t="shared" si="18"/>
        <v>206618.0871</v>
      </c>
      <c r="AD6" s="25">
        <f t="shared" ref="AD6:AE6" si="22">X6+AA6</f>
        <v>2146</v>
      </c>
      <c r="AE6" s="25">
        <f t="shared" si="22"/>
        <v>229673478</v>
      </c>
      <c r="AF6" s="25">
        <f t="shared" si="20"/>
        <v>107023.9879</v>
      </c>
      <c r="AG6" s="25"/>
      <c r="AH6" s="25"/>
      <c r="AI6" s="25"/>
      <c r="AJ6" s="25"/>
      <c r="AK6" s="25"/>
      <c r="AL6" s="25"/>
    </row>
    <row r="7" ht="15.75" customHeight="1">
      <c r="A7" s="52" t="s">
        <v>80</v>
      </c>
      <c r="B7" s="53" t="s">
        <v>79</v>
      </c>
      <c r="C7" s="19">
        <v>5.5E8</v>
      </c>
      <c r="D7" s="25">
        <f t="shared" si="2"/>
        <v>408015000</v>
      </c>
      <c r="E7" s="25">
        <f>D7/DAY('kpi dược sĩ'!$C$1)</f>
        <v>13161774.19</v>
      </c>
      <c r="F7" s="64">
        <f t="shared" si="3"/>
        <v>0.7418454545</v>
      </c>
      <c r="G7" s="25">
        <f t="shared" si="4"/>
        <v>0</v>
      </c>
      <c r="H7" s="67">
        <v>0.8</v>
      </c>
      <c r="I7" s="25">
        <f t="shared" si="5"/>
        <v>110000000</v>
      </c>
      <c r="J7" s="25">
        <f t="shared" si="6"/>
        <v>440000000</v>
      </c>
      <c r="K7" s="25">
        <f t="shared" si="7"/>
        <v>14193548.39</v>
      </c>
      <c r="L7" s="25">
        <f t="shared" si="8"/>
        <v>14200000</v>
      </c>
      <c r="M7" s="67">
        <v>0.9</v>
      </c>
      <c r="N7" s="25">
        <f t="shared" si="9"/>
        <v>123750000</v>
      </c>
      <c r="O7" s="25">
        <f t="shared" si="10"/>
        <v>495000000</v>
      </c>
      <c r="P7" s="25">
        <f t="shared" si="11"/>
        <v>15967741.94</v>
      </c>
      <c r="Q7" s="67">
        <v>1.0</v>
      </c>
      <c r="R7" s="25">
        <f t="shared" si="12"/>
        <v>137500000</v>
      </c>
      <c r="S7" s="25">
        <f t="shared" si="13"/>
        <v>550000000</v>
      </c>
      <c r="T7" s="25">
        <f t="shared" si="14"/>
        <v>17741935.48</v>
      </c>
      <c r="U7" s="25">
        <f>SUMIF('Dự án T8'!$A:$A, B7, 'Dự án T8'!$D:$D)*DAY($F$1)</f>
        <v>84077819</v>
      </c>
      <c r="V7" s="64">
        <f t="shared" si="15"/>
        <v>0.2060655098</v>
      </c>
      <c r="W7" s="25" t="str">
        <f t="shared" si="16"/>
        <v>Không đạt</v>
      </c>
      <c r="X7" s="25">
        <f>SUMIF(data!$A:$A,B7,data!$C:$C)</f>
        <v>2442</v>
      </c>
      <c r="Y7" s="25">
        <f>SUMIF(data!$A:$A,B7,data!$D:$D)</f>
        <v>204279225</v>
      </c>
      <c r="Z7" s="25">
        <f t="shared" si="17"/>
        <v>83652.42629</v>
      </c>
      <c r="AA7" s="25">
        <f>SUMIF(data!$A:$A,B7,data!$E:$E)</f>
        <v>786</v>
      </c>
      <c r="AB7" s="25">
        <f>SUMIF(data!$A:$A,B7,data!$F:$F)</f>
        <v>203735775</v>
      </c>
      <c r="AC7" s="25">
        <f t="shared" si="18"/>
        <v>259205.8206</v>
      </c>
      <c r="AD7" s="25">
        <f t="shared" ref="AD7:AE7" si="23">X7+AA7</f>
        <v>3228</v>
      </c>
      <c r="AE7" s="25">
        <f t="shared" si="23"/>
        <v>408015000</v>
      </c>
      <c r="AF7" s="25">
        <f t="shared" si="20"/>
        <v>126398.6989</v>
      </c>
      <c r="AG7" s="25"/>
      <c r="AH7" s="25"/>
      <c r="AI7" s="25"/>
      <c r="AJ7" s="25"/>
      <c r="AK7" s="25"/>
      <c r="AL7" s="25"/>
    </row>
    <row r="8" ht="15.75" customHeight="1">
      <c r="A8" s="52" t="s">
        <v>97</v>
      </c>
      <c r="B8" s="53" t="s">
        <v>93</v>
      </c>
      <c r="C8" s="19">
        <v>5.45E8</v>
      </c>
      <c r="D8" s="25">
        <f t="shared" si="2"/>
        <v>404616168</v>
      </c>
      <c r="E8" s="25">
        <f>D8/DAY('kpi dược sĩ'!$C$1)</f>
        <v>13052134.45</v>
      </c>
      <c r="F8" s="64">
        <f t="shared" si="3"/>
        <v>0.7424149872</v>
      </c>
      <c r="G8" s="25">
        <f t="shared" si="4"/>
        <v>0</v>
      </c>
      <c r="H8" s="67">
        <v>0.8</v>
      </c>
      <c r="I8" s="25">
        <f t="shared" si="5"/>
        <v>109000000</v>
      </c>
      <c r="J8" s="25">
        <f t="shared" si="6"/>
        <v>436000000</v>
      </c>
      <c r="K8" s="25">
        <f t="shared" si="7"/>
        <v>14064516.13</v>
      </c>
      <c r="L8" s="25">
        <f t="shared" si="8"/>
        <v>14100000</v>
      </c>
      <c r="M8" s="67">
        <v>0.9</v>
      </c>
      <c r="N8" s="25">
        <f t="shared" si="9"/>
        <v>122625000</v>
      </c>
      <c r="O8" s="25">
        <f t="shared" si="10"/>
        <v>490500000</v>
      </c>
      <c r="P8" s="25">
        <f t="shared" si="11"/>
        <v>15822580.65</v>
      </c>
      <c r="Q8" s="67">
        <v>1.0</v>
      </c>
      <c r="R8" s="25">
        <f t="shared" si="12"/>
        <v>136250000</v>
      </c>
      <c r="S8" s="25">
        <f t="shared" si="13"/>
        <v>545000000</v>
      </c>
      <c r="T8" s="25">
        <f t="shared" si="14"/>
        <v>17580645.16</v>
      </c>
      <c r="U8" s="25">
        <f>SUMIF('Dự án T8'!$A:$A, B8, 'Dự án T8'!$D:$D)*DAY($F$1)</f>
        <v>85915429</v>
      </c>
      <c r="V8" s="64">
        <f t="shared" si="15"/>
        <v>0.2123381016</v>
      </c>
      <c r="W8" s="25" t="str">
        <f t="shared" si="16"/>
        <v>Không đạt</v>
      </c>
      <c r="X8" s="25">
        <f>SUMIF(data!$A:$A,B8,data!$C:$C)</f>
        <v>1988</v>
      </c>
      <c r="Y8" s="25">
        <f>SUMIF(data!$A:$A,B8,data!$D:$D)</f>
        <v>137177700</v>
      </c>
      <c r="Z8" s="25">
        <f t="shared" si="17"/>
        <v>69002.8672</v>
      </c>
      <c r="AA8" s="25">
        <f>SUMIF(data!$A:$A,B8,data!$E:$E)</f>
        <v>1241</v>
      </c>
      <c r="AB8" s="25">
        <f>SUMIF(data!$A:$A,B8,data!$F:$F)</f>
        <v>267438468</v>
      </c>
      <c r="AC8" s="25">
        <f t="shared" si="18"/>
        <v>215502.3916</v>
      </c>
      <c r="AD8" s="25">
        <f t="shared" ref="AD8:AE8" si="24">X8+AA8</f>
        <v>3229</v>
      </c>
      <c r="AE8" s="25">
        <f t="shared" si="24"/>
        <v>404616168</v>
      </c>
      <c r="AF8" s="25">
        <f t="shared" si="20"/>
        <v>125306.9582</v>
      </c>
      <c r="AG8" s="25"/>
      <c r="AH8" s="25"/>
      <c r="AI8" s="25"/>
      <c r="AJ8" s="25"/>
      <c r="AK8" s="25"/>
      <c r="AL8" s="25"/>
    </row>
    <row r="9" ht="15.75" customHeight="1">
      <c r="A9" s="52" t="s">
        <v>103</v>
      </c>
      <c r="B9" s="53" t="s">
        <v>99</v>
      </c>
      <c r="C9" s="19">
        <v>4.0E8</v>
      </c>
      <c r="D9" s="25">
        <f t="shared" si="2"/>
        <v>275723150</v>
      </c>
      <c r="E9" s="25">
        <f>D9/DAY('kpi dược sĩ'!$C$1)</f>
        <v>8894295.161</v>
      </c>
      <c r="F9" s="64">
        <f t="shared" si="3"/>
        <v>0.689307875</v>
      </c>
      <c r="G9" s="25">
        <f t="shared" si="4"/>
        <v>0</v>
      </c>
      <c r="H9" s="67">
        <v>0.8</v>
      </c>
      <c r="I9" s="25">
        <f t="shared" si="5"/>
        <v>80000000</v>
      </c>
      <c r="J9" s="25">
        <f t="shared" si="6"/>
        <v>320000000</v>
      </c>
      <c r="K9" s="25">
        <f t="shared" si="7"/>
        <v>10322580.65</v>
      </c>
      <c r="L9" s="25">
        <f t="shared" si="8"/>
        <v>10400000</v>
      </c>
      <c r="M9" s="67">
        <v>0.9</v>
      </c>
      <c r="N9" s="25">
        <f t="shared" si="9"/>
        <v>90000000</v>
      </c>
      <c r="O9" s="25">
        <f t="shared" si="10"/>
        <v>360000000</v>
      </c>
      <c r="P9" s="25">
        <f t="shared" si="11"/>
        <v>11612903.23</v>
      </c>
      <c r="Q9" s="67">
        <v>1.0</v>
      </c>
      <c r="R9" s="25">
        <f t="shared" si="12"/>
        <v>100000000</v>
      </c>
      <c r="S9" s="25">
        <f t="shared" si="13"/>
        <v>400000000</v>
      </c>
      <c r="T9" s="25">
        <f t="shared" si="14"/>
        <v>12903225.81</v>
      </c>
      <c r="U9" s="25">
        <f>SUMIF('Dự án T8'!$A:$A, B9, 'Dự án T8'!$D:$D)*DAY($F$1)</f>
        <v>133295056</v>
      </c>
      <c r="V9" s="64">
        <f t="shared" si="15"/>
        <v>0.4834380283</v>
      </c>
      <c r="W9" s="25" t="str">
        <f t="shared" si="16"/>
        <v>Không đạt</v>
      </c>
      <c r="X9" s="25">
        <f>SUMIF(data!$A:$A,B9,data!$C:$C)</f>
        <v>2990</v>
      </c>
      <c r="Y9" s="25">
        <f>SUMIF(data!$A:$A,B9,data!$D:$D)</f>
        <v>198271700</v>
      </c>
      <c r="Z9" s="25">
        <f t="shared" si="17"/>
        <v>66311.60535</v>
      </c>
      <c r="AA9" s="25">
        <f>SUMIF(data!$A:$A,B9,data!$E:$E)</f>
        <v>569</v>
      </c>
      <c r="AB9" s="25">
        <f>SUMIF(data!$A:$A,B9,data!$F:$F)</f>
        <v>77451450</v>
      </c>
      <c r="AC9" s="25">
        <f t="shared" si="18"/>
        <v>136118.5413</v>
      </c>
      <c r="AD9" s="25">
        <f t="shared" ref="AD9:AE9" si="25">X9+AA9</f>
        <v>3559</v>
      </c>
      <c r="AE9" s="25">
        <f t="shared" si="25"/>
        <v>275723150</v>
      </c>
      <c r="AF9" s="25">
        <f t="shared" si="20"/>
        <v>77472.08486</v>
      </c>
      <c r="AG9" s="25"/>
      <c r="AH9" s="25"/>
      <c r="AI9" s="25"/>
      <c r="AJ9" s="25"/>
      <c r="AK9" s="25"/>
      <c r="AL9" s="25"/>
    </row>
    <row r="10" ht="15.75" customHeight="1">
      <c r="A10" s="52" t="s">
        <v>95</v>
      </c>
      <c r="B10" s="53" t="s">
        <v>104</v>
      </c>
      <c r="C10" s="19">
        <v>4.2E8</v>
      </c>
      <c r="D10" s="25">
        <f t="shared" si="2"/>
        <v>339106300</v>
      </c>
      <c r="E10" s="25">
        <f>D10/DAY('kpi dược sĩ'!$C$1)</f>
        <v>10938912.9</v>
      </c>
      <c r="F10" s="64">
        <f t="shared" si="3"/>
        <v>0.8073959524</v>
      </c>
      <c r="G10" s="25">
        <f t="shared" si="4"/>
        <v>1186872.05</v>
      </c>
      <c r="H10" s="67">
        <v>0.8</v>
      </c>
      <c r="I10" s="25">
        <f t="shared" si="5"/>
        <v>84000000</v>
      </c>
      <c r="J10" s="25">
        <f t="shared" si="6"/>
        <v>336000000</v>
      </c>
      <c r="K10" s="25">
        <f t="shared" si="7"/>
        <v>10838709.68</v>
      </c>
      <c r="L10" s="25">
        <f t="shared" si="8"/>
        <v>10900000</v>
      </c>
      <c r="M10" s="67">
        <v>0.9</v>
      </c>
      <c r="N10" s="25">
        <f t="shared" si="9"/>
        <v>94500000</v>
      </c>
      <c r="O10" s="25">
        <f t="shared" si="10"/>
        <v>378000000</v>
      </c>
      <c r="P10" s="25">
        <f t="shared" si="11"/>
        <v>12193548.39</v>
      </c>
      <c r="Q10" s="67">
        <v>1.0</v>
      </c>
      <c r="R10" s="25">
        <f t="shared" si="12"/>
        <v>105000000</v>
      </c>
      <c r="S10" s="25">
        <f t="shared" si="13"/>
        <v>420000000</v>
      </c>
      <c r="T10" s="25">
        <f t="shared" si="14"/>
        <v>13548387.1</v>
      </c>
      <c r="U10" s="25">
        <f>SUMIF('Dự án T8'!$A:$A, B10, 'Dự án T8'!$D:$D)*DAY($F$1)</f>
        <v>93881470</v>
      </c>
      <c r="V10" s="64">
        <f t="shared" si="15"/>
        <v>0.2768496781</v>
      </c>
      <c r="W10" s="25" t="str">
        <f t="shared" si="16"/>
        <v>Đạt</v>
      </c>
      <c r="X10" s="25">
        <f>SUMIF(data!$A:$A,B10,data!$C:$C)</f>
        <v>1809</v>
      </c>
      <c r="Y10" s="25">
        <f>SUMIF(data!$A:$A,B10,data!$D:$D)</f>
        <v>147571200</v>
      </c>
      <c r="Z10" s="25">
        <f t="shared" si="17"/>
        <v>81576.1194</v>
      </c>
      <c r="AA10" s="25">
        <f>SUMIF(data!$A:$A,B10,data!$E:$E)</f>
        <v>756</v>
      </c>
      <c r="AB10" s="25">
        <f>SUMIF(data!$A:$A,B10,data!$F:$F)</f>
        <v>191535100</v>
      </c>
      <c r="AC10" s="25">
        <f t="shared" si="18"/>
        <v>253353.3069</v>
      </c>
      <c r="AD10" s="25">
        <f t="shared" ref="AD10:AE10" si="26">X10+AA10</f>
        <v>2565</v>
      </c>
      <c r="AE10" s="25">
        <f t="shared" si="26"/>
        <v>339106300</v>
      </c>
      <c r="AF10" s="25">
        <f t="shared" si="20"/>
        <v>132205.1852</v>
      </c>
      <c r="AG10" s="25"/>
      <c r="AH10" s="25"/>
      <c r="AI10" s="25"/>
      <c r="AJ10" s="25"/>
      <c r="AK10" s="25"/>
      <c r="AL10" s="25"/>
    </row>
    <row r="11" ht="15.75" customHeight="1">
      <c r="A11" s="52" t="s">
        <v>30</v>
      </c>
      <c r="B11" s="53" t="s">
        <v>28</v>
      </c>
      <c r="C11" s="19">
        <v>3.255E8</v>
      </c>
      <c r="D11" s="25">
        <f t="shared" si="2"/>
        <v>186588770</v>
      </c>
      <c r="E11" s="25">
        <f>D11/DAY('kpi dược sĩ'!$C$1)</f>
        <v>6018992.581</v>
      </c>
      <c r="F11" s="64">
        <f t="shared" si="3"/>
        <v>0.5732373886</v>
      </c>
      <c r="G11" s="25">
        <f t="shared" si="4"/>
        <v>0</v>
      </c>
      <c r="H11" s="67">
        <v>0.8</v>
      </c>
      <c r="I11" s="25">
        <f t="shared" si="5"/>
        <v>65100000</v>
      </c>
      <c r="J11" s="25">
        <f t="shared" si="6"/>
        <v>260400000</v>
      </c>
      <c r="K11" s="25">
        <f t="shared" si="7"/>
        <v>8400000</v>
      </c>
      <c r="L11" s="25">
        <f t="shared" si="8"/>
        <v>8400000</v>
      </c>
      <c r="M11" s="67">
        <v>0.9</v>
      </c>
      <c r="N11" s="25">
        <f t="shared" si="9"/>
        <v>73237500</v>
      </c>
      <c r="O11" s="25">
        <f t="shared" si="10"/>
        <v>292950000</v>
      </c>
      <c r="P11" s="25">
        <f t="shared" si="11"/>
        <v>9450000</v>
      </c>
      <c r="Q11" s="67">
        <v>1.0</v>
      </c>
      <c r="R11" s="25">
        <f t="shared" si="12"/>
        <v>81375000</v>
      </c>
      <c r="S11" s="25">
        <f t="shared" si="13"/>
        <v>325500000</v>
      </c>
      <c r="T11" s="25">
        <f t="shared" si="14"/>
        <v>10500000</v>
      </c>
      <c r="U11" s="25">
        <f>SUMIF('Dự án T8'!$A:$A, B11, 'Dự án T8'!$D:$D)*DAY($F$1)</f>
        <v>78279840</v>
      </c>
      <c r="V11" s="64">
        <f t="shared" si="15"/>
        <v>0.4195313576</v>
      </c>
      <c r="W11" s="25" t="str">
        <f t="shared" si="16"/>
        <v>Không đạt</v>
      </c>
      <c r="X11" s="25">
        <f>SUMIF(data!$A:$A,B11,data!$C:$C)</f>
        <v>1121</v>
      </c>
      <c r="Y11" s="25">
        <f>SUMIF(data!$A:$A,B11,data!$D:$D)</f>
        <v>103002100</v>
      </c>
      <c r="Z11" s="25">
        <f t="shared" si="17"/>
        <v>91884.12132</v>
      </c>
      <c r="AA11" s="25">
        <f>SUMIF(data!$A:$A,B11,data!$E:$E)</f>
        <v>475</v>
      </c>
      <c r="AB11" s="25">
        <f>SUMIF(data!$A:$A,B11,data!$F:$F)</f>
        <v>83586670</v>
      </c>
      <c r="AC11" s="25">
        <f t="shared" si="18"/>
        <v>175971.9368</v>
      </c>
      <c r="AD11" s="25">
        <f t="shared" ref="AD11:AE11" si="27">X11+AA11</f>
        <v>1596</v>
      </c>
      <c r="AE11" s="25">
        <f t="shared" si="27"/>
        <v>186588770</v>
      </c>
      <c r="AF11" s="25">
        <f t="shared" si="20"/>
        <v>116910.2569</v>
      </c>
      <c r="AG11" s="25"/>
      <c r="AH11" s="25"/>
      <c r="AI11" s="25"/>
      <c r="AJ11" s="25"/>
      <c r="AK11" s="25"/>
      <c r="AL11" s="25"/>
    </row>
    <row r="12" ht="15.75" customHeight="1">
      <c r="A12" s="52" t="s">
        <v>114</v>
      </c>
      <c r="B12" s="53" t="s">
        <v>113</v>
      </c>
      <c r="C12" s="19">
        <v>9.8E8</v>
      </c>
      <c r="D12" s="25">
        <f t="shared" si="2"/>
        <v>786265501</v>
      </c>
      <c r="E12" s="25">
        <f>D12/DAY('kpi dược sĩ'!$C$1)</f>
        <v>25363403.26</v>
      </c>
      <c r="F12" s="64">
        <f t="shared" si="3"/>
        <v>0.8023117357</v>
      </c>
      <c r="G12" s="25">
        <f t="shared" si="4"/>
        <v>2751929.254</v>
      </c>
      <c r="H12" s="67">
        <v>0.8</v>
      </c>
      <c r="I12" s="25">
        <f t="shared" si="5"/>
        <v>196000000</v>
      </c>
      <c r="J12" s="25">
        <f t="shared" si="6"/>
        <v>784000000</v>
      </c>
      <c r="K12" s="25">
        <f t="shared" si="7"/>
        <v>25290322.58</v>
      </c>
      <c r="L12" s="25">
        <f t="shared" si="8"/>
        <v>25300000</v>
      </c>
      <c r="M12" s="67">
        <v>0.9</v>
      </c>
      <c r="N12" s="25">
        <f t="shared" si="9"/>
        <v>220500000</v>
      </c>
      <c r="O12" s="25">
        <f t="shared" si="10"/>
        <v>882000000</v>
      </c>
      <c r="P12" s="25">
        <f t="shared" si="11"/>
        <v>28451612.9</v>
      </c>
      <c r="Q12" s="67">
        <v>1.0</v>
      </c>
      <c r="R12" s="25">
        <f t="shared" si="12"/>
        <v>245000000</v>
      </c>
      <c r="S12" s="25">
        <f t="shared" si="13"/>
        <v>980000000</v>
      </c>
      <c r="T12" s="25">
        <f t="shared" si="14"/>
        <v>31612903.23</v>
      </c>
      <c r="U12" s="25">
        <f>SUMIF('Dự án T8'!$A:$A, B12, 'Dự án T8'!$D:$D)*DAY($F$1)</f>
        <v>313882475</v>
      </c>
      <c r="V12" s="64">
        <f t="shared" si="15"/>
        <v>0.3992067242</v>
      </c>
      <c r="W12" s="25" t="str">
        <f t="shared" si="16"/>
        <v>Đạt</v>
      </c>
      <c r="X12" s="25">
        <f>SUMIF(data!$A:$A,B12,data!$C:$C)</f>
        <v>2359</v>
      </c>
      <c r="Y12" s="25">
        <f>SUMIF(data!$A:$A,B12,data!$D:$D)</f>
        <v>273589392</v>
      </c>
      <c r="Z12" s="25">
        <f t="shared" si="17"/>
        <v>115976.8512</v>
      </c>
      <c r="AA12" s="25">
        <f>SUMIF(data!$A:$A,B12,data!$E:$E)</f>
        <v>2055</v>
      </c>
      <c r="AB12" s="25">
        <f>SUMIF(data!$A:$A,B12,data!$F:$F)</f>
        <v>512676109</v>
      </c>
      <c r="AC12" s="25">
        <f t="shared" si="18"/>
        <v>249477.4253</v>
      </c>
      <c r="AD12" s="25">
        <f t="shared" ref="AD12:AE12" si="28">X12+AA12</f>
        <v>4414</v>
      </c>
      <c r="AE12" s="25">
        <f t="shared" si="28"/>
        <v>786265501</v>
      </c>
      <c r="AF12" s="25">
        <f t="shared" si="20"/>
        <v>178129.9277</v>
      </c>
      <c r="AG12" s="25"/>
      <c r="AH12" s="25"/>
      <c r="AI12" s="25"/>
      <c r="AJ12" s="25"/>
      <c r="AK12" s="25"/>
      <c r="AL12" s="25"/>
    </row>
    <row r="13" ht="15.75" customHeight="1">
      <c r="A13" s="52" t="s">
        <v>27</v>
      </c>
      <c r="B13" s="53" t="s">
        <v>10</v>
      </c>
      <c r="C13" s="19">
        <v>1.27E9</v>
      </c>
      <c r="D13" s="25">
        <f t="shared" si="2"/>
        <v>1016271363</v>
      </c>
      <c r="E13" s="25">
        <f>D13/DAY('kpi dược sĩ'!$C$1)</f>
        <v>32782947.19</v>
      </c>
      <c r="F13" s="64">
        <f t="shared" si="3"/>
        <v>0.8002136717</v>
      </c>
      <c r="G13" s="25">
        <f t="shared" si="4"/>
        <v>3556949.771</v>
      </c>
      <c r="H13" s="67">
        <v>0.8</v>
      </c>
      <c r="I13" s="25">
        <f t="shared" si="5"/>
        <v>254000000</v>
      </c>
      <c r="J13" s="25">
        <f t="shared" si="6"/>
        <v>1016000000</v>
      </c>
      <c r="K13" s="25">
        <f t="shared" si="7"/>
        <v>32774193.55</v>
      </c>
      <c r="L13" s="25">
        <f t="shared" si="8"/>
        <v>32800000</v>
      </c>
      <c r="M13" s="67">
        <v>0.9</v>
      </c>
      <c r="N13" s="25">
        <f t="shared" si="9"/>
        <v>285750000</v>
      </c>
      <c r="O13" s="25">
        <f t="shared" si="10"/>
        <v>1143000000</v>
      </c>
      <c r="P13" s="25">
        <f t="shared" si="11"/>
        <v>36870967.74</v>
      </c>
      <c r="Q13" s="67">
        <v>1.0</v>
      </c>
      <c r="R13" s="25">
        <f t="shared" si="12"/>
        <v>317500000</v>
      </c>
      <c r="S13" s="25">
        <f t="shared" si="13"/>
        <v>1270000000</v>
      </c>
      <c r="T13" s="25">
        <f t="shared" si="14"/>
        <v>40967741.94</v>
      </c>
      <c r="U13" s="25">
        <f>SUMIF('Dự án T8'!$A:$A, B13, 'Dự án T8'!$D:$D)*DAY($F$1)</f>
        <v>369484238</v>
      </c>
      <c r="V13" s="64">
        <f t="shared" si="15"/>
        <v>0.3635684832</v>
      </c>
      <c r="W13" s="25" t="str">
        <f t="shared" si="16"/>
        <v>Đạt</v>
      </c>
      <c r="X13" s="25">
        <f>SUMIF(data!$A:$A,B13,data!$C:$C)</f>
        <v>3316</v>
      </c>
      <c r="Y13" s="25">
        <f>SUMIF(data!$A:$A,B13,data!$D:$D)</f>
        <v>797026738</v>
      </c>
      <c r="Z13" s="25">
        <f t="shared" si="17"/>
        <v>240357.8824</v>
      </c>
      <c r="AA13" s="25">
        <f>SUMIF(data!$A:$A,B13,data!$E:$E)</f>
        <v>1046</v>
      </c>
      <c r="AB13" s="25">
        <f>SUMIF(data!$A:$A,B13,data!$F:$F)</f>
        <v>219244625</v>
      </c>
      <c r="AC13" s="25">
        <f t="shared" si="18"/>
        <v>209602.892</v>
      </c>
      <c r="AD13" s="25">
        <f t="shared" ref="AD13:AE13" si="29">X13+AA13</f>
        <v>4362</v>
      </c>
      <c r="AE13" s="25">
        <f t="shared" si="29"/>
        <v>1016271363</v>
      </c>
      <c r="AF13" s="25">
        <f t="shared" si="20"/>
        <v>232982.8893</v>
      </c>
      <c r="AG13" s="25"/>
      <c r="AH13" s="25"/>
      <c r="AI13" s="25"/>
      <c r="AJ13" s="25"/>
      <c r="AK13" s="25"/>
      <c r="AL13" s="25"/>
    </row>
    <row r="14" ht="21.75" customHeight="1">
      <c r="A14" s="52"/>
      <c r="B14" s="53"/>
      <c r="C14" s="81">
        <f t="shared" ref="C14:E14" si="30">SUBTOTAL(109,C3:C13)</f>
        <v>7020500000</v>
      </c>
      <c r="D14" s="82">
        <f t="shared" si="30"/>
        <v>5393867230</v>
      </c>
      <c r="E14" s="82">
        <f t="shared" si="30"/>
        <v>173995717.1</v>
      </c>
      <c r="F14" s="83">
        <f>(D14/DAY(F1)*30)/C14</f>
        <v>0.7435184834</v>
      </c>
      <c r="G14" s="81">
        <f t="shared" ref="G14:H14" si="31">SUBTOTAL(109,G3:G13)</f>
        <v>7495751.074</v>
      </c>
      <c r="H14" s="84">
        <f t="shared" si="31"/>
        <v>8.8</v>
      </c>
      <c r="I14" s="84">
        <f>SUM(I3:I13)</f>
        <v>1404100000</v>
      </c>
      <c r="J14" s="84">
        <f t="shared" ref="J14:M14" si="32">SUBTOTAL(109,J3:J13)</f>
        <v>5616400000</v>
      </c>
      <c r="K14" s="84">
        <f t="shared" si="32"/>
        <v>181174193.5</v>
      </c>
      <c r="L14" s="84">
        <f t="shared" si="32"/>
        <v>181600000</v>
      </c>
      <c r="M14" s="85">
        <f t="shared" si="32"/>
        <v>9.9</v>
      </c>
      <c r="N14" s="85">
        <f>SUM(N3:N13)</f>
        <v>1579612500</v>
      </c>
      <c r="O14" s="85">
        <f t="shared" ref="O14:Q14" si="33">SUBTOTAL(109,O3:O13)</f>
        <v>6318450000</v>
      </c>
      <c r="P14" s="85">
        <f t="shared" si="33"/>
        <v>203820967.7</v>
      </c>
      <c r="Q14" s="86">
        <f t="shared" si="33"/>
        <v>11</v>
      </c>
      <c r="R14" s="86">
        <f>SUM(R3:R13)</f>
        <v>1755125000</v>
      </c>
      <c r="S14" s="86">
        <f t="shared" ref="S14:U14" si="34">SUBTOTAL(109,S3:S13)</f>
        <v>7020500000</v>
      </c>
      <c r="T14" s="86">
        <f t="shared" si="34"/>
        <v>226467741.9</v>
      </c>
      <c r="U14" s="87">
        <f t="shared" si="34"/>
        <v>1675919751</v>
      </c>
      <c r="V14" s="82"/>
      <c r="W14" s="82"/>
      <c r="X14" s="82">
        <f t="shared" ref="X14:Y14" si="35">SUBTOTAL(109,X3:X13)</f>
        <v>25901</v>
      </c>
      <c r="Y14" s="82">
        <f t="shared" si="35"/>
        <v>3176437542</v>
      </c>
      <c r="Z14" s="88">
        <f t="shared" si="17"/>
        <v>122637.6411</v>
      </c>
      <c r="AA14" s="89">
        <f t="shared" ref="AA14:AB14" si="36">SUBTOTAL(109,AA3:AA13)</f>
        <v>10299</v>
      </c>
      <c r="AB14" s="89">
        <f t="shared" si="36"/>
        <v>2217429688</v>
      </c>
      <c r="AC14" s="90">
        <f t="shared" si="18"/>
        <v>215305.3392</v>
      </c>
      <c r="AD14" s="91">
        <f t="shared" ref="AD14:AE14" si="37">SUBTOTAL(109,AD3:AD13)</f>
        <v>36200</v>
      </c>
      <c r="AE14" s="91">
        <f t="shared" si="37"/>
        <v>5393867230</v>
      </c>
      <c r="AF14" s="92">
        <f t="shared" si="20"/>
        <v>149001.8572</v>
      </c>
      <c r="AG14" s="25"/>
      <c r="AH14" s="25"/>
      <c r="AI14" s="25"/>
      <c r="AJ14" s="25"/>
      <c r="AK14" s="25"/>
      <c r="AL14" s="25"/>
    </row>
    <row r="15" ht="20.25" customHeight="1">
      <c r="A15" s="53"/>
      <c r="B15" s="53"/>
      <c r="C15" s="78"/>
      <c r="D15" s="78"/>
      <c r="E15" s="78"/>
      <c r="F15" s="78"/>
      <c r="G15" s="78"/>
      <c r="H15" s="93"/>
      <c r="I15" s="20"/>
      <c r="J15" s="20"/>
      <c r="K15" s="20"/>
      <c r="L15" s="22"/>
      <c r="M15" s="93"/>
      <c r="N15" s="20"/>
      <c r="O15" s="20"/>
      <c r="P15" s="22"/>
      <c r="Q15" s="93"/>
      <c r="R15" s="20"/>
      <c r="S15" s="20"/>
      <c r="T15" s="22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</row>
    <row r="16" ht="15.75" customHeight="1">
      <c r="A16" s="53"/>
      <c r="B16" s="53"/>
      <c r="C16" s="80"/>
      <c r="D16" s="19"/>
      <c r="E16" s="19"/>
      <c r="F16" s="95"/>
      <c r="G16" s="19"/>
      <c r="H16" s="95"/>
      <c r="I16" s="80"/>
      <c r="J16" s="80"/>
      <c r="K16" s="80"/>
      <c r="L16" s="80"/>
      <c r="M16" s="80"/>
      <c r="N16" s="80"/>
      <c r="O16" s="80"/>
      <c r="P16" s="53"/>
      <c r="Q16" s="96"/>
      <c r="R16" s="96"/>
      <c r="S16" s="96"/>
      <c r="T16" s="97"/>
      <c r="U16" s="96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</row>
    <row r="17" ht="15.75" customHeight="1">
      <c r="A17" s="53"/>
      <c r="B17" s="53"/>
      <c r="C17" s="80"/>
      <c r="D17" s="95"/>
      <c r="E17" s="19"/>
      <c r="F17" s="80"/>
      <c r="G17" s="19"/>
      <c r="H17" s="80"/>
      <c r="I17" s="19"/>
      <c r="J17" s="19"/>
      <c r="K17" s="80"/>
      <c r="L17" s="80"/>
      <c r="M17" s="80"/>
      <c r="N17" s="80"/>
      <c r="O17" s="80"/>
      <c r="P17" s="53"/>
      <c r="Q17" s="96"/>
      <c r="R17" s="96"/>
      <c r="S17" s="96"/>
      <c r="T17" s="96"/>
      <c r="U17" s="98"/>
      <c r="V17" s="97"/>
      <c r="W17" s="97"/>
      <c r="X17" s="97"/>
      <c r="Y17" s="96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</row>
    <row r="18" ht="15.75" customHeight="1">
      <c r="A18" s="53"/>
      <c r="B18" s="5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80"/>
      <c r="O18" s="80"/>
      <c r="P18" s="53"/>
      <c r="Q18" s="38"/>
      <c r="R18" s="52"/>
      <c r="S18" s="52"/>
      <c r="T18" s="96"/>
      <c r="U18" s="98"/>
      <c r="V18" s="99"/>
      <c r="W18" s="99"/>
      <c r="X18" s="99"/>
      <c r="Y18" s="38"/>
      <c r="Z18" s="99"/>
      <c r="AA18" s="99"/>
      <c r="AB18" s="99"/>
      <c r="AC18" s="99"/>
      <c r="AD18" s="100"/>
      <c r="AE18" s="99"/>
      <c r="AF18" s="99"/>
      <c r="AG18" s="99"/>
      <c r="AH18" s="99"/>
      <c r="AI18" s="99"/>
      <c r="AJ18" s="97"/>
      <c r="AK18" s="97"/>
      <c r="AL18" s="97"/>
    </row>
    <row r="19" ht="15.75" customHeight="1">
      <c r="A19" s="53"/>
      <c r="B19" s="51"/>
      <c r="C19" s="51"/>
      <c r="D19" s="19"/>
      <c r="E19" s="80"/>
      <c r="F19" s="80"/>
      <c r="G19" s="80"/>
      <c r="H19" s="80"/>
      <c r="I19" s="80"/>
      <c r="J19" s="80"/>
      <c r="K19" s="53"/>
      <c r="L19" s="80"/>
      <c r="M19" s="80"/>
      <c r="N19" s="80"/>
      <c r="O19" s="80"/>
      <c r="P19" s="53"/>
      <c r="Q19" s="96"/>
      <c r="R19" s="97"/>
      <c r="S19" s="97"/>
      <c r="T19" s="96"/>
      <c r="U19" s="98"/>
      <c r="V19" s="97"/>
      <c r="W19" s="97"/>
      <c r="X19" s="97"/>
      <c r="Y19" s="96"/>
      <c r="Z19" s="96"/>
      <c r="AA19" s="96"/>
      <c r="AB19" s="96"/>
      <c r="AC19" s="97"/>
      <c r="AD19" s="96"/>
      <c r="AE19" s="97"/>
      <c r="AF19" s="97"/>
      <c r="AG19" s="97"/>
      <c r="AH19" s="97"/>
      <c r="AI19" s="97"/>
      <c r="AJ19" s="97"/>
      <c r="AK19" s="97"/>
      <c r="AL19" s="97"/>
    </row>
    <row r="20" ht="15.75" customHeight="1">
      <c r="A20" s="53"/>
      <c r="B20" s="53"/>
      <c r="C20" s="53"/>
      <c r="D20" s="19"/>
      <c r="E20" s="19"/>
      <c r="F20" s="19"/>
      <c r="G20" s="19"/>
      <c r="H20" s="19"/>
      <c r="I20" s="19"/>
      <c r="J20" s="19"/>
      <c r="K20" s="101"/>
      <c r="L20" s="95"/>
      <c r="M20" s="95"/>
      <c r="N20" s="80"/>
      <c r="O20" s="80"/>
      <c r="P20" s="51"/>
      <c r="Q20" s="78"/>
      <c r="R20" s="78"/>
      <c r="S20" s="78"/>
      <c r="T20" s="96"/>
      <c r="U20" s="98"/>
      <c r="V20" s="97"/>
      <c r="W20" s="97"/>
      <c r="X20" s="97"/>
      <c r="Y20" s="102"/>
      <c r="Z20" s="103"/>
      <c r="AA20" s="103"/>
      <c r="AB20" s="103"/>
      <c r="AC20" s="97"/>
      <c r="AD20" s="103"/>
      <c r="AE20" s="97"/>
      <c r="AF20" s="97"/>
      <c r="AG20" s="97"/>
      <c r="AH20" s="97"/>
      <c r="AI20" s="97"/>
      <c r="AJ20" s="97"/>
      <c r="AK20" s="97"/>
      <c r="AL20" s="97"/>
    </row>
    <row r="21" ht="15.75" customHeight="1">
      <c r="A21" s="53"/>
      <c r="B21" s="53"/>
      <c r="C21" s="53"/>
      <c r="D21" s="19"/>
      <c r="E21" s="95"/>
      <c r="F21" s="19"/>
      <c r="G21" s="19"/>
      <c r="H21" s="19"/>
      <c r="I21" s="19"/>
      <c r="J21" s="19"/>
      <c r="K21" s="101"/>
      <c r="L21" s="95"/>
      <c r="M21" s="95"/>
      <c r="N21" s="80"/>
      <c r="O21" s="80"/>
      <c r="P21" s="51"/>
      <c r="Q21" s="25"/>
      <c r="R21" s="19"/>
      <c r="S21" s="19"/>
      <c r="T21" s="96"/>
      <c r="U21" s="96"/>
      <c r="V21" s="98"/>
      <c r="W21" s="98"/>
      <c r="X21" s="98"/>
      <c r="Y21" s="98"/>
      <c r="Z21" s="98"/>
      <c r="AA21" s="98"/>
      <c r="AB21" s="98"/>
      <c r="AC21" s="97"/>
      <c r="AD21" s="97"/>
      <c r="AE21" s="97"/>
      <c r="AF21" s="97"/>
      <c r="AG21" s="97"/>
      <c r="AH21" s="97"/>
      <c r="AI21" s="97"/>
      <c r="AJ21" s="97"/>
      <c r="AK21" s="97"/>
      <c r="AL21" s="97"/>
    </row>
    <row r="22" ht="15.75" customHeight="1">
      <c r="A22" s="53"/>
      <c r="B22" s="53"/>
      <c r="C22" s="53"/>
      <c r="D22" s="19"/>
      <c r="E22" s="19"/>
      <c r="F22" s="19"/>
      <c r="G22" s="19"/>
      <c r="H22" s="19"/>
      <c r="I22" s="19"/>
      <c r="J22" s="19"/>
      <c r="K22" s="101"/>
      <c r="L22" s="95"/>
      <c r="M22" s="95"/>
      <c r="N22" s="80"/>
      <c r="O22" s="80"/>
      <c r="P22" s="51"/>
      <c r="Q22" s="25"/>
      <c r="R22" s="19"/>
      <c r="S22" s="19"/>
      <c r="T22" s="96"/>
      <c r="U22" s="96"/>
      <c r="V22" s="98"/>
      <c r="W22" s="98"/>
      <c r="X22" s="98"/>
      <c r="Y22" s="98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</row>
    <row r="23" ht="15.75" customHeight="1">
      <c r="A23" s="53"/>
      <c r="B23" s="53"/>
      <c r="C23" s="53"/>
      <c r="D23" s="19"/>
      <c r="E23" s="19"/>
      <c r="F23" s="19"/>
      <c r="G23" s="19"/>
      <c r="H23" s="19"/>
      <c r="I23" s="19"/>
      <c r="J23" s="19"/>
      <c r="K23" s="101"/>
      <c r="L23" s="95"/>
      <c r="M23" s="95"/>
      <c r="N23" s="80"/>
      <c r="O23" s="80"/>
      <c r="P23" s="51"/>
      <c r="Q23" s="25"/>
      <c r="R23" s="19"/>
      <c r="S23" s="19"/>
      <c r="T23" s="96"/>
      <c r="U23" s="96"/>
      <c r="V23" s="98"/>
      <c r="W23" s="98"/>
      <c r="X23" s="98"/>
      <c r="Y23" s="98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</row>
    <row r="24" ht="15.75" customHeight="1">
      <c r="A24" s="53"/>
      <c r="B24" s="53"/>
      <c r="C24" s="53"/>
      <c r="D24" s="19"/>
      <c r="E24" s="19"/>
      <c r="F24" s="19"/>
      <c r="G24" s="19"/>
      <c r="H24" s="19"/>
      <c r="I24" s="19"/>
      <c r="J24" s="19"/>
      <c r="K24" s="101"/>
      <c r="L24" s="95"/>
      <c r="M24" s="95"/>
      <c r="N24" s="80"/>
      <c r="O24" s="80"/>
      <c r="P24" s="51"/>
      <c r="Q24" s="25"/>
      <c r="R24" s="19"/>
      <c r="S24" s="19"/>
      <c r="T24" s="96"/>
      <c r="U24" s="96"/>
      <c r="V24" s="98"/>
      <c r="W24" s="98"/>
      <c r="X24" s="98"/>
      <c r="Y24" s="98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</row>
    <row r="25" ht="15.75" customHeight="1">
      <c r="A25" s="53"/>
      <c r="B25" s="53"/>
      <c r="C25" s="53"/>
      <c r="D25" s="19"/>
      <c r="E25" s="19"/>
      <c r="F25" s="19"/>
      <c r="G25" s="19"/>
      <c r="H25" s="19"/>
      <c r="I25" s="19"/>
      <c r="J25" s="19"/>
      <c r="K25" s="101"/>
      <c r="L25" s="95"/>
      <c r="M25" s="95"/>
      <c r="N25" s="80"/>
      <c r="O25" s="80"/>
      <c r="P25" s="51"/>
      <c r="Q25" s="25"/>
      <c r="R25" s="19"/>
      <c r="S25" s="19"/>
      <c r="T25" s="96"/>
      <c r="U25" s="96"/>
      <c r="V25" s="98"/>
      <c r="W25" s="98"/>
      <c r="X25" s="98"/>
      <c r="Y25" s="98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</row>
    <row r="26" ht="15.75" customHeight="1">
      <c r="A26" s="53"/>
      <c r="B26" s="53"/>
      <c r="C26" s="53"/>
      <c r="D26" s="19"/>
      <c r="E26" s="19"/>
      <c r="F26" s="19"/>
      <c r="G26" s="19"/>
      <c r="H26" s="19"/>
      <c r="I26" s="19"/>
      <c r="J26" s="19"/>
      <c r="K26" s="101"/>
      <c r="L26" s="95"/>
      <c r="M26" s="95"/>
      <c r="N26" s="80"/>
      <c r="O26" s="80"/>
      <c r="P26" s="51"/>
      <c r="Q26" s="25"/>
      <c r="R26" s="19"/>
      <c r="S26" s="19"/>
      <c r="T26" s="96"/>
      <c r="U26" s="96"/>
      <c r="V26" s="98"/>
      <c r="W26" s="98"/>
      <c r="X26" s="98"/>
      <c r="Y26" s="98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</row>
    <row r="27" ht="15.75" customHeight="1">
      <c r="A27" s="53"/>
      <c r="B27" s="53"/>
      <c r="C27" s="53"/>
      <c r="D27" s="19"/>
      <c r="E27" s="19"/>
      <c r="F27" s="19"/>
      <c r="G27" s="19"/>
      <c r="H27" s="19"/>
      <c r="I27" s="19"/>
      <c r="J27" s="19"/>
      <c r="K27" s="101"/>
      <c r="L27" s="95"/>
      <c r="M27" s="95"/>
      <c r="N27" s="80"/>
      <c r="O27" s="80"/>
      <c r="P27" s="51"/>
      <c r="Q27" s="25"/>
      <c r="R27" s="19"/>
      <c r="S27" s="19"/>
      <c r="T27" s="96"/>
      <c r="U27" s="96"/>
      <c r="V27" s="98"/>
      <c r="W27" s="98"/>
      <c r="X27" s="98"/>
      <c r="Y27" s="98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</row>
    <row r="28" ht="15.75" customHeight="1">
      <c r="A28" s="53"/>
      <c r="B28" s="53"/>
      <c r="C28" s="53"/>
      <c r="D28" s="19"/>
      <c r="E28" s="19"/>
      <c r="F28" s="19"/>
      <c r="G28" s="19"/>
      <c r="H28" s="19"/>
      <c r="I28" s="19"/>
      <c r="J28" s="19"/>
      <c r="K28" s="101"/>
      <c r="L28" s="95"/>
      <c r="M28" s="95"/>
      <c r="N28" s="80"/>
      <c r="O28" s="80"/>
      <c r="P28" s="51"/>
      <c r="Q28" s="25"/>
      <c r="R28" s="19"/>
      <c r="S28" s="19"/>
      <c r="T28" s="96"/>
      <c r="U28" s="96"/>
      <c r="V28" s="98"/>
      <c r="W28" s="98"/>
      <c r="X28" s="98"/>
      <c r="Y28" s="98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</row>
    <row r="29" ht="15.75" customHeight="1">
      <c r="A29" s="53"/>
      <c r="B29" s="53"/>
      <c r="C29" s="53"/>
      <c r="D29" s="19"/>
      <c r="E29" s="19"/>
      <c r="F29" s="19"/>
      <c r="G29" s="19"/>
      <c r="H29" s="19"/>
      <c r="I29" s="19"/>
      <c r="J29" s="19"/>
      <c r="K29" s="101"/>
      <c r="L29" s="95"/>
      <c r="M29" s="95"/>
      <c r="N29" s="80"/>
      <c r="O29" s="80"/>
      <c r="P29" s="51"/>
      <c r="Q29" s="25"/>
      <c r="R29" s="19"/>
      <c r="S29" s="19"/>
      <c r="T29" s="96"/>
      <c r="U29" s="96"/>
      <c r="V29" s="98"/>
      <c r="W29" s="98"/>
      <c r="X29" s="98"/>
      <c r="Y29" s="98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</row>
    <row r="30" ht="15.75" customHeight="1">
      <c r="A30" s="53"/>
      <c r="B30" s="53"/>
      <c r="C30" s="80"/>
      <c r="D30" s="80"/>
      <c r="E30" s="80"/>
      <c r="F30" s="80"/>
      <c r="G30" s="53"/>
      <c r="H30" s="53"/>
      <c r="I30" s="53"/>
      <c r="J30" s="53"/>
      <c r="K30" s="53"/>
      <c r="L30" s="19"/>
      <c r="M30" s="19"/>
      <c r="N30" s="80"/>
      <c r="O30" s="80"/>
      <c r="P30" s="53"/>
      <c r="Q30" s="25"/>
      <c r="R30" s="25"/>
      <c r="S30" s="25"/>
      <c r="T30" s="96"/>
      <c r="U30" s="96"/>
      <c r="V30" s="98"/>
      <c r="W30" s="98"/>
      <c r="X30" s="98"/>
      <c r="Y30" s="98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</row>
    <row r="31" ht="15.75" customHeight="1">
      <c r="A31" s="53"/>
      <c r="B31" s="53"/>
      <c r="C31" s="104"/>
      <c r="D31" s="19"/>
      <c r="E31" s="19"/>
      <c r="F31" s="19"/>
      <c r="G31" s="53"/>
      <c r="H31" s="53"/>
      <c r="I31" s="53"/>
      <c r="J31" s="53"/>
      <c r="K31" s="53"/>
      <c r="L31" s="19"/>
      <c r="M31" s="19"/>
      <c r="N31" s="80"/>
      <c r="O31" s="80"/>
      <c r="P31" s="53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</row>
    <row r="32" ht="15.75" customHeight="1">
      <c r="A32" s="53"/>
      <c r="B32" s="53"/>
      <c r="C32" s="80"/>
      <c r="D32" s="19"/>
      <c r="E32" s="19"/>
      <c r="F32" s="19"/>
      <c r="G32" s="53"/>
      <c r="H32" s="53"/>
      <c r="I32" s="53"/>
      <c r="J32" s="53"/>
      <c r="K32" s="53"/>
      <c r="L32" s="19"/>
      <c r="M32" s="19"/>
      <c r="N32" s="80"/>
      <c r="O32" s="80"/>
      <c r="P32" s="105"/>
      <c r="Q32" s="96"/>
      <c r="R32" s="96"/>
      <c r="S32" s="96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</row>
    <row r="33" ht="15.75" customHeight="1">
      <c r="A33" s="53"/>
      <c r="B33" s="53"/>
      <c r="C33" s="80"/>
      <c r="D33" s="80"/>
      <c r="E33" s="19"/>
      <c r="F33" s="19"/>
      <c r="G33" s="19"/>
      <c r="H33" s="19"/>
      <c r="I33" s="19"/>
      <c r="J33" s="19"/>
      <c r="K33" s="19"/>
      <c r="L33" s="19"/>
      <c r="M33" s="19"/>
      <c r="N33" s="80"/>
      <c r="O33" s="80"/>
      <c r="P33" s="53"/>
      <c r="Q33" s="96"/>
      <c r="R33" s="96"/>
      <c r="S33" s="96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</row>
    <row r="34" ht="15.75" customHeight="1">
      <c r="A34" s="53"/>
      <c r="B34" s="53"/>
      <c r="C34" s="80"/>
      <c r="D34" s="53"/>
      <c r="E34" s="53"/>
      <c r="F34" s="19"/>
      <c r="G34" s="80"/>
      <c r="H34" s="45"/>
      <c r="I34" s="19"/>
      <c r="J34" s="19"/>
      <c r="K34" s="53"/>
      <c r="L34" s="80"/>
      <c r="M34" s="19"/>
      <c r="N34" s="53"/>
      <c r="O34" s="53"/>
      <c r="P34" s="53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</row>
    <row r="35" ht="15.75" customHeight="1">
      <c r="A35" s="53"/>
      <c r="B35" s="53"/>
      <c r="C35" s="78"/>
      <c r="D35" s="97"/>
      <c r="E35" s="97"/>
      <c r="F35" s="25"/>
      <c r="G35" s="25"/>
      <c r="H35" s="96"/>
      <c r="I35" s="98"/>
      <c r="J35" s="98"/>
      <c r="K35" s="97"/>
      <c r="L35" s="98"/>
      <c r="M35" s="96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</row>
    <row r="36" ht="15.75" customHeight="1">
      <c r="A36" s="53"/>
      <c r="B36" s="53"/>
      <c r="C36" s="78"/>
      <c r="D36" s="97"/>
      <c r="E36" s="97"/>
      <c r="F36" s="25"/>
      <c r="G36" s="25"/>
      <c r="H36" s="96"/>
      <c r="I36" s="98"/>
      <c r="J36" s="98"/>
      <c r="K36" s="97"/>
      <c r="L36" s="98"/>
      <c r="M36" s="96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</row>
    <row r="37" ht="15.75" customHeight="1">
      <c r="A37" s="53"/>
      <c r="B37" s="53"/>
      <c r="C37" s="78"/>
      <c r="D37" s="97"/>
      <c r="E37" s="97"/>
      <c r="F37" s="25"/>
      <c r="G37" s="25"/>
      <c r="H37" s="96"/>
      <c r="I37" s="98"/>
      <c r="J37" s="98"/>
      <c r="K37" s="97"/>
      <c r="L37" s="98"/>
      <c r="M37" s="96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</row>
    <row r="38" ht="15.75" customHeight="1">
      <c r="A38" s="53"/>
      <c r="B38" s="53"/>
      <c r="C38" s="78"/>
      <c r="D38" s="97"/>
      <c r="E38" s="97"/>
      <c r="F38" s="25"/>
      <c r="G38" s="25"/>
      <c r="H38" s="96"/>
      <c r="I38" s="98"/>
      <c r="J38" s="98"/>
      <c r="K38" s="97"/>
      <c r="L38" s="98"/>
      <c r="M38" s="96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</row>
    <row r="39" ht="15.75" customHeight="1">
      <c r="A39" s="53"/>
      <c r="B39" s="53"/>
      <c r="C39" s="78"/>
      <c r="D39" s="97"/>
      <c r="E39" s="97"/>
      <c r="F39" s="97"/>
      <c r="G39" s="97"/>
      <c r="H39" s="96"/>
      <c r="I39" s="97"/>
      <c r="J39" s="97"/>
      <c r="K39" s="97"/>
      <c r="L39" s="97"/>
      <c r="M39" s="96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</row>
    <row r="40" ht="15.75" customHeight="1">
      <c r="A40" s="53"/>
      <c r="B40" s="53"/>
      <c r="C40" s="78"/>
      <c r="D40" s="97"/>
      <c r="E40" s="97"/>
      <c r="F40" s="97"/>
      <c r="G40" s="98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</row>
    <row r="41" ht="15.75" customHeight="1">
      <c r="A41" s="53"/>
      <c r="B41" s="53"/>
      <c r="C41" s="78"/>
      <c r="D41" s="97"/>
      <c r="E41" s="97"/>
      <c r="F41" s="97"/>
      <c r="G41" s="97"/>
      <c r="H41" s="96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</row>
    <row r="42" ht="15.75" customHeight="1">
      <c r="A42" s="53"/>
      <c r="B42" s="53"/>
      <c r="C42" s="78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</row>
    <row r="43" ht="15.75" customHeight="1">
      <c r="A43" s="53"/>
      <c r="B43" s="53"/>
      <c r="C43" s="78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</row>
    <row r="44" ht="15.75" customHeight="1">
      <c r="A44" s="53"/>
      <c r="B44" s="53"/>
      <c r="C44" s="78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</row>
    <row r="45" ht="15.75" customHeight="1">
      <c r="A45" s="53"/>
      <c r="B45" s="53"/>
      <c r="C45" s="78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</row>
    <row r="46" ht="15.75" customHeight="1">
      <c r="A46" s="53"/>
      <c r="B46" s="53"/>
      <c r="C46" s="78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</row>
    <row r="47" ht="15.75" customHeight="1">
      <c r="A47" s="53"/>
      <c r="B47" s="53"/>
      <c r="C47" s="78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</row>
    <row r="48" ht="15.75" customHeight="1">
      <c r="A48" s="53"/>
      <c r="B48" s="53"/>
      <c r="C48" s="78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</row>
    <row r="49" ht="15.75" customHeight="1">
      <c r="A49" s="53"/>
      <c r="B49" s="53"/>
      <c r="C49" s="78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</row>
    <row r="50" ht="15.75" customHeight="1">
      <c r="A50" s="53"/>
      <c r="B50" s="53"/>
      <c r="C50" s="78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</row>
    <row r="51" ht="15.75" customHeight="1">
      <c r="A51" s="53"/>
      <c r="B51" s="53"/>
      <c r="C51" s="7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</row>
    <row r="52" ht="15.75" customHeight="1">
      <c r="A52" s="53"/>
      <c r="B52" s="53"/>
      <c r="C52" s="7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</row>
    <row r="53" ht="15.75" customHeight="1">
      <c r="A53" s="53"/>
      <c r="B53" s="53"/>
      <c r="C53" s="7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</row>
    <row r="54" ht="15.75" customHeight="1">
      <c r="A54" s="53"/>
      <c r="B54" s="53"/>
      <c r="C54" s="78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</row>
    <row r="55" ht="15.75" customHeight="1">
      <c r="A55" s="53"/>
      <c r="B55" s="53"/>
      <c r="C55" s="78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</row>
    <row r="56" ht="15.75" customHeight="1">
      <c r="A56" s="53"/>
      <c r="B56" s="53"/>
      <c r="C56" s="78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</row>
    <row r="57" ht="15.75" customHeight="1">
      <c r="A57" s="53"/>
      <c r="B57" s="53"/>
      <c r="C57" s="78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</row>
    <row r="58" ht="15.75" customHeight="1">
      <c r="A58" s="53"/>
      <c r="B58" s="53"/>
      <c r="C58" s="78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</row>
    <row r="59" ht="15.75" customHeight="1">
      <c r="A59" s="53"/>
      <c r="B59" s="53"/>
      <c r="C59" s="78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</row>
    <row r="60" ht="15.75" customHeight="1">
      <c r="A60" s="53"/>
      <c r="B60" s="53"/>
      <c r="C60" s="78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</row>
    <row r="61" ht="15.75" customHeight="1">
      <c r="A61" s="53"/>
      <c r="B61" s="53"/>
      <c r="C61" s="78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</row>
    <row r="62" ht="15.75" customHeight="1">
      <c r="A62" s="53"/>
      <c r="B62" s="53"/>
      <c r="C62" s="78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</row>
    <row r="63" ht="15.75" customHeight="1">
      <c r="A63" s="53"/>
      <c r="B63" s="53"/>
      <c r="C63" s="78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</row>
    <row r="64" ht="15.75" customHeight="1">
      <c r="A64" s="53"/>
      <c r="B64" s="53"/>
      <c r="C64" s="78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</row>
    <row r="65" ht="15.75" customHeight="1">
      <c r="A65" s="53"/>
      <c r="B65" s="53"/>
      <c r="C65" s="78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</row>
    <row r="66" ht="15.75" customHeight="1">
      <c r="A66" s="53"/>
      <c r="B66" s="53"/>
      <c r="C66" s="78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</row>
    <row r="67" ht="15.75" customHeight="1">
      <c r="A67" s="53"/>
      <c r="B67" s="53"/>
      <c r="C67" s="78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</row>
    <row r="68" ht="15.75" customHeight="1">
      <c r="A68" s="53"/>
      <c r="B68" s="53"/>
      <c r="C68" s="78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</row>
    <row r="69" ht="15.75" customHeight="1">
      <c r="A69" s="53"/>
      <c r="B69" s="53"/>
      <c r="C69" s="78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</row>
    <row r="70" ht="15.75" customHeight="1">
      <c r="A70" s="53"/>
      <c r="B70" s="53"/>
      <c r="C70" s="78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</row>
    <row r="71" ht="15.75" customHeight="1">
      <c r="A71" s="53"/>
      <c r="B71" s="53"/>
      <c r="C71" s="78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</row>
    <row r="72" ht="15.75" customHeight="1">
      <c r="A72" s="53"/>
      <c r="B72" s="53"/>
      <c r="C72" s="78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</row>
    <row r="73" ht="15.75" customHeight="1">
      <c r="A73" s="53"/>
      <c r="B73" s="53"/>
      <c r="C73" s="78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</row>
    <row r="74" ht="15.75" customHeight="1">
      <c r="A74" s="53"/>
      <c r="B74" s="53"/>
      <c r="C74" s="78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</row>
    <row r="75" ht="15.75" customHeight="1">
      <c r="A75" s="53"/>
      <c r="B75" s="53"/>
      <c r="C75" s="78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</row>
    <row r="76" ht="15.75" customHeight="1">
      <c r="A76" s="53"/>
      <c r="B76" s="53"/>
      <c r="C76" s="78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</row>
    <row r="77" ht="15.75" customHeight="1">
      <c r="A77" s="53"/>
      <c r="B77" s="53"/>
      <c r="C77" s="78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</row>
    <row r="78" ht="15.75" customHeight="1">
      <c r="A78" s="53"/>
      <c r="B78" s="53"/>
      <c r="C78" s="78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</row>
    <row r="79" ht="15.75" customHeight="1">
      <c r="A79" s="53"/>
      <c r="B79" s="53"/>
      <c r="C79" s="78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</row>
    <row r="80" ht="15.75" customHeight="1">
      <c r="A80" s="53"/>
      <c r="B80" s="53"/>
      <c r="C80" s="78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</row>
    <row r="81" ht="15.75" customHeight="1">
      <c r="A81" s="53"/>
      <c r="B81" s="53"/>
      <c r="C81" s="78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</row>
    <row r="82" ht="15.75" customHeight="1">
      <c r="A82" s="53"/>
      <c r="B82" s="53"/>
      <c r="C82" s="78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</row>
    <row r="83" ht="15.75" customHeight="1">
      <c r="A83" s="53"/>
      <c r="B83" s="53"/>
      <c r="C83" s="78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</row>
    <row r="84" ht="15.75" customHeight="1">
      <c r="A84" s="53"/>
      <c r="B84" s="53"/>
      <c r="C84" s="78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</row>
    <row r="85" ht="15.75" customHeight="1">
      <c r="A85" s="53"/>
      <c r="B85" s="53"/>
      <c r="C85" s="78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</row>
    <row r="86" ht="15.75" customHeight="1">
      <c r="A86" s="53"/>
      <c r="B86" s="53"/>
      <c r="C86" s="78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</row>
    <row r="87" ht="15.75" customHeight="1">
      <c r="A87" s="53"/>
      <c r="B87" s="53"/>
      <c r="C87" s="78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</row>
    <row r="88" ht="15.75" customHeight="1">
      <c r="A88" s="53"/>
      <c r="B88" s="53"/>
      <c r="C88" s="78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</row>
    <row r="89" ht="15.75" customHeight="1">
      <c r="A89" s="53"/>
      <c r="B89" s="53"/>
      <c r="C89" s="78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</row>
    <row r="90" ht="15.75" customHeight="1">
      <c r="A90" s="53"/>
      <c r="B90" s="53"/>
      <c r="C90" s="78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</row>
    <row r="91" ht="15.75" customHeight="1">
      <c r="A91" s="53"/>
      <c r="B91" s="53"/>
      <c r="C91" s="78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</row>
    <row r="92" ht="15.75" customHeight="1">
      <c r="A92" s="53"/>
      <c r="B92" s="53"/>
      <c r="C92" s="78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</row>
    <row r="93" ht="15.75" customHeight="1">
      <c r="A93" s="53"/>
      <c r="B93" s="53"/>
      <c r="C93" s="78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</row>
    <row r="94" ht="15.75" customHeight="1">
      <c r="A94" s="53"/>
      <c r="B94" s="53"/>
      <c r="C94" s="78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</row>
    <row r="95" ht="15.75" customHeight="1">
      <c r="A95" s="53"/>
      <c r="B95" s="53"/>
      <c r="C95" s="78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</row>
    <row r="96" ht="15.75" customHeight="1">
      <c r="A96" s="53"/>
      <c r="B96" s="53"/>
      <c r="C96" s="78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</row>
    <row r="97" ht="15.75" customHeight="1">
      <c r="A97" s="53"/>
      <c r="B97" s="53"/>
      <c r="C97" s="78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</row>
    <row r="98" ht="15.75" customHeight="1">
      <c r="A98" s="53"/>
      <c r="B98" s="53"/>
      <c r="C98" s="78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</row>
    <row r="99" ht="15.75" customHeight="1">
      <c r="A99" s="53"/>
      <c r="B99" s="53"/>
      <c r="C99" s="78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</row>
    <row r="100" ht="15.75" customHeight="1">
      <c r="A100" s="53"/>
      <c r="B100" s="53"/>
      <c r="C100" s="78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</row>
    <row r="101" ht="15.75" customHeight="1">
      <c r="A101" s="53"/>
      <c r="B101" s="53"/>
      <c r="C101" s="78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</row>
    <row r="102" ht="15.75" customHeight="1">
      <c r="A102" s="53"/>
      <c r="B102" s="53"/>
      <c r="C102" s="78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</row>
    <row r="103" ht="15.75" customHeight="1">
      <c r="A103" s="53"/>
      <c r="B103" s="53"/>
      <c r="C103" s="78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</row>
    <row r="104" ht="15.75" customHeight="1">
      <c r="A104" s="53"/>
      <c r="B104" s="53"/>
      <c r="C104" s="78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</row>
    <row r="105" ht="15.75" customHeight="1">
      <c r="A105" s="53"/>
      <c r="B105" s="53"/>
      <c r="C105" s="78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</row>
    <row r="106" ht="15.75" customHeight="1">
      <c r="A106" s="53"/>
      <c r="B106" s="53"/>
      <c r="C106" s="78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</row>
    <row r="107" ht="15.75" customHeight="1">
      <c r="A107" s="53"/>
      <c r="B107" s="53"/>
      <c r="C107" s="78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</row>
    <row r="108" ht="15.75" customHeight="1">
      <c r="A108" s="53"/>
      <c r="B108" s="53"/>
      <c r="C108" s="78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</row>
    <row r="109" ht="15.75" customHeight="1">
      <c r="A109" s="53"/>
      <c r="B109" s="53"/>
      <c r="C109" s="78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</row>
    <row r="110" ht="15.75" customHeight="1">
      <c r="A110" s="53"/>
      <c r="B110" s="53"/>
      <c r="C110" s="78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</row>
    <row r="111" ht="15.75" customHeight="1">
      <c r="A111" s="53"/>
      <c r="B111" s="53"/>
      <c r="C111" s="78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</row>
    <row r="112" ht="15.75" customHeight="1">
      <c r="A112" s="53"/>
      <c r="B112" s="53"/>
      <c r="C112" s="78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</row>
    <row r="113" ht="15.75" customHeight="1">
      <c r="A113" s="53"/>
      <c r="B113" s="53"/>
      <c r="C113" s="78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</row>
    <row r="114" ht="15.75" customHeight="1">
      <c r="A114" s="53"/>
      <c r="B114" s="53"/>
      <c r="C114" s="78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</row>
    <row r="115" ht="15.75" customHeight="1">
      <c r="A115" s="53"/>
      <c r="B115" s="53"/>
      <c r="C115" s="78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</row>
    <row r="116" ht="15.75" customHeight="1">
      <c r="A116" s="53"/>
      <c r="B116" s="53"/>
      <c r="C116" s="78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</row>
    <row r="117" ht="15.75" customHeight="1">
      <c r="A117" s="53"/>
      <c r="B117" s="53"/>
      <c r="C117" s="78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</row>
    <row r="118" ht="15.75" customHeight="1">
      <c r="A118" s="53"/>
      <c r="B118" s="53"/>
      <c r="C118" s="7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</row>
    <row r="119" ht="15.75" customHeight="1">
      <c r="A119" s="53"/>
      <c r="B119" s="53"/>
      <c r="C119" s="78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</row>
    <row r="120" ht="15.75" customHeight="1">
      <c r="A120" s="53"/>
      <c r="B120" s="53"/>
      <c r="C120" s="78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</row>
    <row r="121" ht="15.75" customHeight="1">
      <c r="A121" s="53"/>
      <c r="B121" s="53"/>
      <c r="C121" s="78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</row>
    <row r="122" ht="15.75" customHeight="1">
      <c r="A122" s="53"/>
      <c r="B122" s="53"/>
      <c r="C122" s="78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</row>
    <row r="123" ht="15.75" customHeight="1">
      <c r="A123" s="53"/>
      <c r="B123" s="53"/>
      <c r="C123" s="7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</row>
    <row r="124" ht="15.75" customHeight="1">
      <c r="A124" s="53"/>
      <c r="B124" s="53"/>
      <c r="C124" s="7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</row>
    <row r="125" ht="15.75" customHeight="1">
      <c r="A125" s="53"/>
      <c r="B125" s="53"/>
      <c r="C125" s="7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</row>
    <row r="126" ht="15.75" customHeight="1">
      <c r="A126" s="53"/>
      <c r="B126" s="53"/>
      <c r="C126" s="7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</row>
    <row r="127" ht="15.75" customHeight="1">
      <c r="A127" s="53"/>
      <c r="B127" s="53"/>
      <c r="C127" s="7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</row>
    <row r="128" ht="15.75" customHeight="1">
      <c r="A128" s="53"/>
      <c r="B128" s="53"/>
      <c r="C128" s="7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</row>
    <row r="129" ht="15.75" customHeight="1">
      <c r="A129" s="53"/>
      <c r="B129" s="53"/>
      <c r="C129" s="7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</row>
    <row r="130" ht="15.75" customHeight="1">
      <c r="A130" s="53"/>
      <c r="B130" s="53"/>
      <c r="C130" s="7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</row>
    <row r="131" ht="15.75" customHeight="1">
      <c r="A131" s="53"/>
      <c r="B131" s="53"/>
      <c r="C131" s="7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</row>
    <row r="132" ht="15.75" customHeight="1">
      <c r="A132" s="53"/>
      <c r="B132" s="53"/>
      <c r="C132" s="7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</row>
    <row r="133" ht="15.75" customHeight="1">
      <c r="A133" s="53"/>
      <c r="B133" s="53"/>
      <c r="C133" s="7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</row>
    <row r="134" ht="15.75" customHeight="1">
      <c r="A134" s="53"/>
      <c r="B134" s="53"/>
      <c r="C134" s="7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</row>
    <row r="135" ht="15.75" customHeight="1">
      <c r="A135" s="53"/>
      <c r="B135" s="53"/>
      <c r="C135" s="7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</row>
    <row r="136" ht="15.75" customHeight="1">
      <c r="A136" s="53"/>
      <c r="B136" s="53"/>
      <c r="C136" s="78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</row>
    <row r="137" ht="15.75" customHeight="1">
      <c r="A137" s="53"/>
      <c r="B137" s="53"/>
      <c r="C137" s="78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</row>
    <row r="138" ht="15.75" customHeight="1">
      <c r="A138" s="53"/>
      <c r="B138" s="53"/>
      <c r="C138" s="7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</row>
    <row r="139" ht="15.75" customHeight="1">
      <c r="A139" s="53"/>
      <c r="B139" s="53"/>
      <c r="C139" s="78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</row>
    <row r="140" ht="15.75" customHeight="1">
      <c r="A140" s="53"/>
      <c r="B140" s="53"/>
      <c r="C140" s="7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</row>
    <row r="141" ht="15.75" customHeight="1">
      <c r="A141" s="53"/>
      <c r="B141" s="53"/>
      <c r="C141" s="78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</row>
    <row r="142" ht="15.75" customHeight="1">
      <c r="A142" s="53"/>
      <c r="B142" s="53"/>
      <c r="C142" s="7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</row>
    <row r="143" ht="15.75" customHeight="1">
      <c r="A143" s="53"/>
      <c r="B143" s="53"/>
      <c r="C143" s="78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</row>
    <row r="144" ht="15.75" customHeight="1">
      <c r="A144" s="53"/>
      <c r="B144" s="53"/>
      <c r="C144" s="78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</row>
    <row r="145" ht="15.75" customHeight="1">
      <c r="A145" s="53"/>
      <c r="B145" s="53"/>
      <c r="C145" s="78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</row>
    <row r="146" ht="15.75" customHeight="1">
      <c r="A146" s="53"/>
      <c r="B146" s="53"/>
      <c r="C146" s="78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</row>
    <row r="147" ht="15.75" customHeight="1">
      <c r="A147" s="53"/>
      <c r="B147" s="53"/>
      <c r="C147" s="78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</row>
    <row r="148" ht="15.75" customHeight="1">
      <c r="A148" s="53"/>
      <c r="B148" s="53"/>
      <c r="C148" s="78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</row>
    <row r="149" ht="15.75" customHeight="1">
      <c r="A149" s="53"/>
      <c r="B149" s="53"/>
      <c r="C149" s="78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</row>
    <row r="150" ht="15.75" customHeight="1">
      <c r="A150" s="53"/>
      <c r="B150" s="53"/>
      <c r="C150" s="78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</row>
    <row r="151" ht="15.75" customHeight="1">
      <c r="A151" s="53"/>
      <c r="B151" s="53"/>
      <c r="C151" s="78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</row>
    <row r="152" ht="15.75" customHeight="1">
      <c r="A152" s="53"/>
      <c r="B152" s="53"/>
      <c r="C152" s="78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</row>
    <row r="153" ht="15.75" customHeight="1">
      <c r="A153" s="53"/>
      <c r="B153" s="53"/>
      <c r="C153" s="78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</row>
    <row r="154" ht="15.75" customHeight="1">
      <c r="A154" s="53"/>
      <c r="B154" s="53"/>
      <c r="C154" s="78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</row>
    <row r="155" ht="15.75" customHeight="1">
      <c r="A155" s="53"/>
      <c r="B155" s="53"/>
      <c r="C155" s="78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</row>
    <row r="156" ht="15.75" customHeight="1">
      <c r="A156" s="53"/>
      <c r="B156" s="53"/>
      <c r="C156" s="78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</row>
    <row r="157" ht="15.75" customHeight="1">
      <c r="A157" s="53"/>
      <c r="B157" s="53"/>
      <c r="C157" s="78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</row>
    <row r="158" ht="15.75" customHeight="1">
      <c r="A158" s="53"/>
      <c r="B158" s="53"/>
      <c r="C158" s="78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</row>
    <row r="159" ht="15.75" customHeight="1">
      <c r="A159" s="53"/>
      <c r="B159" s="53"/>
      <c r="C159" s="7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</row>
    <row r="160" ht="15.75" customHeight="1">
      <c r="A160" s="53"/>
      <c r="B160" s="53"/>
      <c r="C160" s="78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</row>
    <row r="161" ht="15.75" customHeight="1">
      <c r="A161" s="53"/>
      <c r="B161" s="53"/>
      <c r="C161" s="78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</row>
    <row r="162" ht="15.75" customHeight="1">
      <c r="A162" s="53"/>
      <c r="B162" s="53"/>
      <c r="C162" s="7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</row>
    <row r="163" ht="15.75" customHeight="1">
      <c r="A163" s="53"/>
      <c r="B163" s="53"/>
      <c r="C163" s="78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</row>
    <row r="164" ht="15.75" customHeight="1">
      <c r="A164" s="53"/>
      <c r="B164" s="53"/>
      <c r="C164" s="78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</row>
    <row r="165" ht="15.75" customHeight="1">
      <c r="A165" s="53"/>
      <c r="B165" s="53"/>
      <c r="C165" s="78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</row>
    <row r="166" ht="15.75" customHeight="1">
      <c r="A166" s="53"/>
      <c r="B166" s="53"/>
      <c r="C166" s="78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</row>
    <row r="167" ht="15.75" customHeight="1">
      <c r="A167" s="53"/>
      <c r="B167" s="53"/>
      <c r="C167" s="78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</row>
    <row r="168" ht="15.75" customHeight="1">
      <c r="A168" s="53"/>
      <c r="B168" s="53"/>
      <c r="C168" s="78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</row>
    <row r="169" ht="15.75" customHeight="1">
      <c r="A169" s="53"/>
      <c r="B169" s="53"/>
      <c r="C169" s="78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</row>
    <row r="170" ht="15.75" customHeight="1">
      <c r="A170" s="53"/>
      <c r="B170" s="53"/>
      <c r="C170" s="7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</row>
    <row r="171" ht="15.75" customHeight="1">
      <c r="A171" s="53"/>
      <c r="B171" s="53"/>
      <c r="C171" s="78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</row>
    <row r="172" ht="15.75" customHeight="1">
      <c r="A172" s="53"/>
      <c r="B172" s="53"/>
      <c r="C172" s="78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</row>
    <row r="173" ht="15.75" customHeight="1">
      <c r="A173" s="53"/>
      <c r="B173" s="53"/>
      <c r="C173" s="78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</row>
    <row r="174" ht="15.75" customHeight="1">
      <c r="A174" s="53"/>
      <c r="B174" s="53"/>
      <c r="C174" s="78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</row>
    <row r="175" ht="15.75" customHeight="1">
      <c r="A175" s="53"/>
      <c r="B175" s="53"/>
      <c r="C175" s="7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</row>
    <row r="176" ht="15.75" customHeight="1">
      <c r="A176" s="53"/>
      <c r="B176" s="53"/>
      <c r="C176" s="78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</row>
    <row r="177" ht="15.75" customHeight="1">
      <c r="A177" s="53"/>
      <c r="B177" s="53"/>
      <c r="C177" s="78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</row>
    <row r="178" ht="15.75" customHeight="1">
      <c r="A178" s="53"/>
      <c r="B178" s="53"/>
      <c r="C178" s="78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</row>
    <row r="179" ht="15.75" customHeight="1">
      <c r="A179" s="53"/>
      <c r="B179" s="53"/>
      <c r="C179" s="78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</row>
    <row r="180" ht="15.75" customHeight="1">
      <c r="A180" s="53"/>
      <c r="B180" s="53"/>
      <c r="C180" s="78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</row>
    <row r="181" ht="15.75" customHeight="1">
      <c r="A181" s="53"/>
      <c r="B181" s="53"/>
      <c r="C181" s="7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</row>
    <row r="182" ht="15.75" customHeight="1">
      <c r="A182" s="53"/>
      <c r="B182" s="53"/>
      <c r="C182" s="78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</row>
    <row r="183" ht="15.75" customHeight="1">
      <c r="A183" s="53"/>
      <c r="B183" s="53"/>
      <c r="C183" s="78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</row>
    <row r="184" ht="15.75" customHeight="1">
      <c r="A184" s="53"/>
      <c r="B184" s="53"/>
      <c r="C184" s="78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</row>
    <row r="185" ht="15.75" customHeight="1">
      <c r="A185" s="53"/>
      <c r="B185" s="53"/>
      <c r="C185" s="78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</row>
    <row r="186" ht="15.75" customHeight="1">
      <c r="A186" s="53"/>
      <c r="B186" s="53"/>
      <c r="C186" s="78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</row>
    <row r="187" ht="15.75" customHeight="1">
      <c r="A187" s="53"/>
      <c r="B187" s="53"/>
      <c r="C187" s="78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</row>
    <row r="188" ht="15.75" customHeight="1">
      <c r="A188" s="53"/>
      <c r="B188" s="53"/>
      <c r="C188" s="78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</row>
    <row r="189" ht="15.75" customHeight="1">
      <c r="A189" s="53"/>
      <c r="B189" s="53"/>
      <c r="C189" s="78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</row>
    <row r="190" ht="15.75" customHeight="1">
      <c r="A190" s="53"/>
      <c r="B190" s="53"/>
      <c r="C190" s="78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</row>
    <row r="191" ht="15.75" customHeight="1">
      <c r="A191" s="53"/>
      <c r="B191" s="53"/>
      <c r="C191" s="78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</row>
    <row r="192" ht="15.75" customHeight="1">
      <c r="A192" s="53"/>
      <c r="B192" s="53"/>
      <c r="C192" s="7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</row>
    <row r="193" ht="15.75" customHeight="1">
      <c r="A193" s="53"/>
      <c r="B193" s="53"/>
      <c r="C193" s="78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</row>
    <row r="194" ht="15.75" customHeight="1">
      <c r="A194" s="53"/>
      <c r="B194" s="53"/>
      <c r="C194" s="7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</row>
    <row r="195" ht="15.75" customHeight="1">
      <c r="A195" s="53"/>
      <c r="B195" s="53"/>
      <c r="C195" s="78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</row>
    <row r="196" ht="15.75" customHeight="1">
      <c r="A196" s="53"/>
      <c r="B196" s="53"/>
      <c r="C196" s="78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</row>
    <row r="197" ht="15.75" customHeight="1">
      <c r="A197" s="53"/>
      <c r="B197" s="53"/>
      <c r="C197" s="78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</row>
    <row r="198" ht="15.75" customHeight="1">
      <c r="A198" s="53"/>
      <c r="B198" s="53"/>
      <c r="C198" s="78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</row>
    <row r="199" ht="15.75" customHeight="1">
      <c r="A199" s="53"/>
      <c r="B199" s="53"/>
      <c r="C199" s="78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</row>
    <row r="200" ht="15.75" customHeight="1">
      <c r="A200" s="53"/>
      <c r="B200" s="53"/>
      <c r="C200" s="78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</row>
    <row r="201" ht="15.75" customHeight="1">
      <c r="A201" s="53"/>
      <c r="B201" s="53"/>
      <c r="C201" s="78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</row>
    <row r="202" ht="15.75" customHeight="1">
      <c r="A202" s="53"/>
      <c r="B202" s="53"/>
      <c r="C202" s="78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</row>
    <row r="203" ht="15.75" customHeight="1">
      <c r="A203" s="53"/>
      <c r="B203" s="53"/>
      <c r="C203" s="78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</row>
    <row r="204" ht="15.75" customHeight="1">
      <c r="A204" s="53"/>
      <c r="B204" s="53"/>
      <c r="C204" s="78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</row>
    <row r="205" ht="15.75" customHeight="1">
      <c r="A205" s="53"/>
      <c r="B205" s="53"/>
      <c r="C205" s="78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</row>
    <row r="206" ht="15.75" customHeight="1">
      <c r="A206" s="53"/>
      <c r="B206" s="53"/>
      <c r="C206" s="78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</row>
    <row r="207" ht="15.75" customHeight="1">
      <c r="A207" s="53"/>
      <c r="B207" s="53"/>
      <c r="C207" s="78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</row>
    <row r="208" ht="15.75" customHeight="1">
      <c r="A208" s="53"/>
      <c r="B208" s="53"/>
      <c r="C208" s="78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</row>
    <row r="209" ht="15.75" customHeight="1">
      <c r="A209" s="53"/>
      <c r="B209" s="53"/>
      <c r="C209" s="78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</row>
    <row r="210" ht="15.75" customHeight="1">
      <c r="A210" s="53"/>
      <c r="B210" s="53"/>
      <c r="C210" s="78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</row>
    <row r="211" ht="15.75" customHeight="1">
      <c r="A211" s="53"/>
      <c r="B211" s="53"/>
      <c r="C211" s="78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</row>
    <row r="212" ht="15.75" customHeight="1">
      <c r="A212" s="53"/>
      <c r="B212" s="53"/>
      <c r="C212" s="78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</row>
    <row r="213" ht="15.75" customHeight="1">
      <c r="A213" s="53"/>
      <c r="B213" s="53"/>
      <c r="C213" s="78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</row>
    <row r="214" ht="15.75" customHeight="1">
      <c r="A214" s="53"/>
      <c r="B214" s="53"/>
      <c r="C214" s="78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</row>
    <row r="215" ht="15.75" customHeight="1">
      <c r="A215" s="53"/>
      <c r="B215" s="53"/>
      <c r="C215" s="78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</row>
    <row r="216" ht="15.75" customHeight="1">
      <c r="A216" s="53"/>
      <c r="B216" s="53"/>
      <c r="C216" s="78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</row>
    <row r="217" ht="15.75" customHeight="1">
      <c r="A217" s="53"/>
      <c r="B217" s="53"/>
      <c r="C217" s="78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</row>
    <row r="218" ht="15.75" customHeight="1">
      <c r="A218" s="53"/>
      <c r="B218" s="53"/>
      <c r="C218" s="78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</row>
    <row r="219" ht="15.75" customHeight="1">
      <c r="A219" s="53"/>
      <c r="B219" s="53"/>
      <c r="C219" s="78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</row>
    <row r="220" ht="15.75" customHeight="1">
      <c r="A220" s="53"/>
      <c r="B220" s="53"/>
      <c r="C220" s="78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E1"/>
    <mergeCell ref="H15:L15"/>
    <mergeCell ref="M15:P15"/>
    <mergeCell ref="Q15:T15"/>
  </mergeCells>
  <conditionalFormatting sqref="F3:F13">
    <cfRule type="expression" dxfId="1" priority="1">
      <formula>F3 &gt;= 80%</formula>
    </cfRule>
  </conditionalFormatting>
  <conditionalFormatting sqref="F3:F13">
    <cfRule type="expression" dxfId="0" priority="2">
      <formula>F3 &lt; 60%</formula>
    </cfRule>
  </conditionalFormatting>
  <conditionalFormatting sqref="V3:V13">
    <cfRule type="expression" dxfId="0" priority="3">
      <formula>V3&gt;=30%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25.63"/>
    <col customWidth="1" hidden="1" min="3" max="3" width="13.0"/>
    <col customWidth="1" min="4" max="8" width="14.25"/>
    <col customWidth="1" min="9" max="9" width="15.5"/>
    <col customWidth="1" min="10" max="11" width="14.25"/>
    <col customWidth="1" hidden="1" min="12" max="12" width="22.63"/>
    <col customWidth="1" min="13" max="13" width="14.25"/>
  </cols>
  <sheetData>
    <row r="1" ht="19.5" customHeight="1">
      <c r="A1" s="8">
        <v>46265.0</v>
      </c>
      <c r="B1" s="11"/>
      <c r="C1" s="15"/>
      <c r="D1" s="17"/>
      <c r="E1" s="17"/>
      <c r="F1" s="17"/>
      <c r="G1" s="17"/>
      <c r="H1" s="17"/>
      <c r="I1" s="17"/>
      <c r="J1" s="17"/>
      <c r="K1" s="17"/>
      <c r="L1" s="17"/>
      <c r="M1" s="1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ht="33.75" customHeight="1">
      <c r="A2" s="27" t="s">
        <v>0</v>
      </c>
      <c r="B2" s="27" t="s">
        <v>13</v>
      </c>
      <c r="C2" s="27" t="s">
        <v>14</v>
      </c>
      <c r="D2" s="28" t="s">
        <v>15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9" t="s">
        <v>22</v>
      </c>
      <c r="K2" s="29" t="s">
        <v>23</v>
      </c>
      <c r="L2" s="29" t="s">
        <v>24</v>
      </c>
      <c r="M2" s="29" t="s">
        <v>25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ht="13.5" customHeight="1">
      <c r="A3" s="31" t="s">
        <v>10</v>
      </c>
      <c r="B3" s="32" t="s">
        <v>11</v>
      </c>
      <c r="C3" s="37" t="s">
        <v>36</v>
      </c>
      <c r="D3" s="54">
        <f t="shared" ref="D3:D54" si="2">SUM(F3:G3)/DAY($A$1)</f>
        <v>1913966.968</v>
      </c>
      <c r="E3" s="23">
        <v>0.0</v>
      </c>
      <c r="F3" s="23">
        <v>4.6975942E7</v>
      </c>
      <c r="G3" s="23">
        <v>1.2357034E7</v>
      </c>
      <c r="H3" s="54">
        <f t="shared" ref="H3:I3" si="1">F3/DAY($A$1)</f>
        <v>1515352.968</v>
      </c>
      <c r="I3" s="54">
        <f t="shared" si="1"/>
        <v>398614</v>
      </c>
      <c r="J3" s="54">
        <f t="shared" ref="J3:J54" si="4">IFERROR(IF(OR($A3="Hàng Bông",$A3="Đường Láng"),IFS(AND($H3&gt;=3400000,$I3&gt;=900000),4000000,AND($H3&gt;=3200000,$I3&gt;=750000),2800000,AND($H3&gt;=2800000,$I3&gt;=650000),2200000,AND($H3&gt;=2500000,$I3&gt;=520000),1600000,AND($H3&gt;=2200000,$I3&gt;=450000),1000000,TRUE,0),IFS(AND($H3&gt;=1500000,$I3&gt;=700000),4000000,AND($H3&gt;=1200000,$I3&gt;=650000),2800000,AND($H3&gt;=1000000,$I3&gt;=580000),2200000,AND($H3&gt;=850000,$I3&gt;=480000),1600000,AND($H3&gt;=630000,$I3&gt;=350000),1000000,TRUE,0)),0)</f>
        <v>0</v>
      </c>
      <c r="K3" s="54">
        <f t="shared" ref="K3:K54" si="5">IFERROR(IF(AND($J3=0, IF(OR($A3="Hàng Bông",$A3="Đường Láng"),$D3&gt;=2000000,$D3&gt;=950000)), 500000, 0), 0)</f>
        <v>0</v>
      </c>
      <c r="L3" s="54">
        <f>IFERROR(SUMIFS('Hot Bill HN'!$G:$G, 'Hot Bill HN'!$C:$C, $A3, 'Hot Bill HN'!$D:$D, $B3), 0)</f>
        <v>100000</v>
      </c>
      <c r="M3" s="70">
        <f t="shared" ref="M3:M54" si="6">IFERROR($J3+$K3+$L3, 0)</f>
        <v>100000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 ht="13.5" customHeight="1">
      <c r="A4" s="31" t="s">
        <v>10</v>
      </c>
      <c r="B4" s="32" t="s">
        <v>16</v>
      </c>
      <c r="C4" s="37" t="s">
        <v>36</v>
      </c>
      <c r="D4" s="54">
        <f t="shared" si="2"/>
        <v>4156945.355</v>
      </c>
      <c r="E4" s="23">
        <v>0.0</v>
      </c>
      <c r="F4" s="23">
        <v>1.13794177E8</v>
      </c>
      <c r="G4" s="23">
        <v>1.5071129E7</v>
      </c>
      <c r="H4" s="54">
        <f t="shared" ref="H4:I4" si="3">F4/DAY($A$1)</f>
        <v>3670779.903</v>
      </c>
      <c r="I4" s="54">
        <f t="shared" si="3"/>
        <v>486165.4516</v>
      </c>
      <c r="J4" s="54">
        <f t="shared" si="4"/>
        <v>1000000</v>
      </c>
      <c r="K4" s="54">
        <f t="shared" si="5"/>
        <v>0</v>
      </c>
      <c r="L4" s="54">
        <f>IFERROR(SUMIFS('Hot Bill HN'!$G:$G, 'Hot Bill HN'!$C:$C, $A4, 'Hot Bill HN'!$D:$D, $B4), 0)</f>
        <v>800000</v>
      </c>
      <c r="M4" s="70">
        <f t="shared" si="6"/>
        <v>1800000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ht="13.5" customHeight="1">
      <c r="A5" s="31" t="s">
        <v>10</v>
      </c>
      <c r="B5" s="32" t="s">
        <v>26</v>
      </c>
      <c r="C5" s="37" t="s">
        <v>36</v>
      </c>
      <c r="D5" s="54">
        <f t="shared" si="2"/>
        <v>3533822.903</v>
      </c>
      <c r="E5" s="23">
        <v>0.0</v>
      </c>
      <c r="F5" s="23">
        <v>9.9465023E7</v>
      </c>
      <c r="G5" s="23">
        <v>1.0083487E7</v>
      </c>
      <c r="H5" s="54">
        <f t="shared" ref="H5:I5" si="7">F5/DAY($A$1)</f>
        <v>3208549.129</v>
      </c>
      <c r="I5" s="54">
        <f t="shared" si="7"/>
        <v>325273.7742</v>
      </c>
      <c r="J5" s="54">
        <f t="shared" si="4"/>
        <v>0</v>
      </c>
      <c r="K5" s="54">
        <f t="shared" si="5"/>
        <v>500000</v>
      </c>
      <c r="L5" s="54">
        <f>IFERROR(SUMIFS('Hot Bill HN'!$G:$G, 'Hot Bill HN'!$C:$C, $A5, 'Hot Bill HN'!$D:$D, $B5), 0)</f>
        <v>150000</v>
      </c>
      <c r="M5" s="70">
        <f t="shared" si="6"/>
        <v>650000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ht="13.5" customHeight="1">
      <c r="A6" s="31" t="s">
        <v>10</v>
      </c>
      <c r="B6" s="32" t="s">
        <v>27</v>
      </c>
      <c r="C6" s="37" t="s">
        <v>96</v>
      </c>
      <c r="D6" s="54">
        <f t="shared" si="2"/>
        <v>2314111.161</v>
      </c>
      <c r="E6" s="23">
        <v>0.0</v>
      </c>
      <c r="F6" s="23">
        <v>6.2657629E7</v>
      </c>
      <c r="G6" s="23">
        <v>9079817.0</v>
      </c>
      <c r="H6" s="54">
        <f t="shared" ref="H6:I6" si="8">F6/DAY($A$1)</f>
        <v>2021213.839</v>
      </c>
      <c r="I6" s="54">
        <f t="shared" si="8"/>
        <v>292897.3226</v>
      </c>
      <c r="J6" s="54">
        <f t="shared" si="4"/>
        <v>0</v>
      </c>
      <c r="K6" s="54">
        <f t="shared" si="5"/>
        <v>500000</v>
      </c>
      <c r="L6" s="54">
        <f>IFERROR(SUMIFS('Hot Bill HN'!$G:$G, 'Hot Bill HN'!$C:$C, $A6, 'Hot Bill HN'!$D:$D, $B6), 0)</f>
        <v>100000</v>
      </c>
      <c r="M6" s="70">
        <f t="shared" si="6"/>
        <v>600000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ht="13.5" customHeight="1">
      <c r="A7" s="31" t="s">
        <v>28</v>
      </c>
      <c r="B7" s="32" t="s">
        <v>29</v>
      </c>
      <c r="C7" s="37" t="s">
        <v>36</v>
      </c>
      <c r="D7" s="54">
        <f t="shared" si="2"/>
        <v>737019.2258</v>
      </c>
      <c r="E7" s="23">
        <v>0.0</v>
      </c>
      <c r="F7" s="23">
        <v>1.6472518E7</v>
      </c>
      <c r="G7" s="23">
        <v>6375078.0</v>
      </c>
      <c r="H7" s="54">
        <f t="shared" ref="H7:I7" si="9">F7/DAY($A$1)</f>
        <v>531371.5484</v>
      </c>
      <c r="I7" s="54">
        <f t="shared" si="9"/>
        <v>205647.6774</v>
      </c>
      <c r="J7" s="54">
        <f t="shared" si="4"/>
        <v>0</v>
      </c>
      <c r="K7" s="54">
        <f t="shared" si="5"/>
        <v>0</v>
      </c>
      <c r="L7" s="54">
        <f>IFERROR(SUMIFS('Hot Bill HN'!$G:$G, 'Hot Bill HN'!$C:$C, $A7, 'Hot Bill HN'!$D:$D, $B7), 0)</f>
        <v>0</v>
      </c>
      <c r="M7" s="70">
        <f t="shared" si="6"/>
        <v>0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ht="13.5" customHeight="1">
      <c r="A8" s="31" t="s">
        <v>28</v>
      </c>
      <c r="B8" s="32" t="s">
        <v>30</v>
      </c>
      <c r="C8" s="37" t="s">
        <v>121</v>
      </c>
      <c r="D8" s="54">
        <f t="shared" si="2"/>
        <v>748722.6129</v>
      </c>
      <c r="E8" s="23">
        <v>0.0</v>
      </c>
      <c r="F8" s="23">
        <v>1.7422429E7</v>
      </c>
      <c r="G8" s="23">
        <v>5787972.0</v>
      </c>
      <c r="H8" s="54">
        <f t="shared" ref="H8:I8" si="10">F8/DAY($A$1)</f>
        <v>562013.8387</v>
      </c>
      <c r="I8" s="54">
        <f t="shared" si="10"/>
        <v>186708.7742</v>
      </c>
      <c r="J8" s="54">
        <f t="shared" si="4"/>
        <v>0</v>
      </c>
      <c r="K8" s="54">
        <f t="shared" si="5"/>
        <v>0</v>
      </c>
      <c r="L8" s="54">
        <f>IFERROR(SUMIFS('Hot Bill HN'!$G:$G, 'Hot Bill HN'!$C:$C, $A8, 'Hot Bill HN'!$D:$D, $B8), 0)</f>
        <v>0</v>
      </c>
      <c r="M8" s="70">
        <f t="shared" si="6"/>
        <v>0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ht="13.5" customHeight="1">
      <c r="A9" s="31" t="s">
        <v>28</v>
      </c>
      <c r="B9" s="32" t="s">
        <v>31</v>
      </c>
      <c r="C9" s="37" t="s">
        <v>121</v>
      </c>
      <c r="D9" s="54">
        <f t="shared" si="2"/>
        <v>406055.3871</v>
      </c>
      <c r="E9" s="23">
        <v>0.0</v>
      </c>
      <c r="F9" s="23">
        <v>6475157.0</v>
      </c>
      <c r="G9" s="23">
        <v>6112560.0</v>
      </c>
      <c r="H9" s="54">
        <f t="shared" ref="H9:I9" si="11">F9/DAY($A$1)</f>
        <v>208876.0323</v>
      </c>
      <c r="I9" s="54">
        <f t="shared" si="11"/>
        <v>197179.3548</v>
      </c>
      <c r="J9" s="54">
        <f t="shared" si="4"/>
        <v>0</v>
      </c>
      <c r="K9" s="54">
        <f t="shared" si="5"/>
        <v>0</v>
      </c>
      <c r="L9" s="54">
        <f>IFERROR(SUMIFS('Hot Bill HN'!$G:$G, 'Hot Bill HN'!$C:$C, $A9, 'Hot Bill HN'!$D:$D, $B9), 0)</f>
        <v>0</v>
      </c>
      <c r="M9" s="70">
        <f t="shared" si="6"/>
        <v>0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ht="13.5" customHeight="1">
      <c r="A10" s="31" t="s">
        <v>28</v>
      </c>
      <c r="B10" s="32" t="s">
        <v>37</v>
      </c>
      <c r="C10" s="37" t="s">
        <v>121</v>
      </c>
      <c r="D10" s="54">
        <f t="shared" si="2"/>
        <v>633358.9032</v>
      </c>
      <c r="E10" s="23">
        <v>0.0</v>
      </c>
      <c r="F10" s="23">
        <v>9937439.0</v>
      </c>
      <c r="G10" s="23">
        <v>9696687.0</v>
      </c>
      <c r="H10" s="54">
        <f t="shared" ref="H10:I10" si="12">F10/DAY($A$1)</f>
        <v>320562.5484</v>
      </c>
      <c r="I10" s="54">
        <f t="shared" si="12"/>
        <v>312796.3548</v>
      </c>
      <c r="J10" s="54">
        <f t="shared" si="4"/>
        <v>0</v>
      </c>
      <c r="K10" s="54">
        <f t="shared" si="5"/>
        <v>0</v>
      </c>
      <c r="L10" s="54">
        <f>IFERROR(SUMIFS('Hot Bill HN'!$G:$G, 'Hot Bill HN'!$C:$C, $A10, 'Hot Bill HN'!$D:$D, $B10), 0)</f>
        <v>0</v>
      </c>
      <c r="M10" s="70">
        <f t="shared" si="6"/>
        <v>0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ht="13.5" customHeight="1">
      <c r="A11" s="31" t="s">
        <v>39</v>
      </c>
      <c r="B11" s="32" t="s">
        <v>40</v>
      </c>
      <c r="C11" s="37" t="s">
        <v>121</v>
      </c>
      <c r="D11" s="54">
        <f t="shared" si="2"/>
        <v>168526.1935</v>
      </c>
      <c r="E11" s="23">
        <v>0.0</v>
      </c>
      <c r="F11" s="23">
        <v>2435272.0</v>
      </c>
      <c r="G11" s="23">
        <v>2789040.0</v>
      </c>
      <c r="H11" s="54">
        <f t="shared" ref="H11:I11" si="13">F11/DAY($A$1)</f>
        <v>78557.16129</v>
      </c>
      <c r="I11" s="54">
        <f t="shared" si="13"/>
        <v>89969.03226</v>
      </c>
      <c r="J11" s="54">
        <f t="shared" si="4"/>
        <v>0</v>
      </c>
      <c r="K11" s="54">
        <f t="shared" si="5"/>
        <v>0</v>
      </c>
      <c r="L11" s="54">
        <f>IFERROR(SUMIFS('Hot Bill HN'!$G:$G, 'Hot Bill HN'!$C:$C, $A11, 'Hot Bill HN'!$D:$D, $B11), 0)</f>
        <v>0</v>
      </c>
      <c r="M11" s="70">
        <f t="shared" si="6"/>
        <v>0</v>
      </c>
      <c r="N11" s="71"/>
      <c r="O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ht="13.5" customHeight="1">
      <c r="A12" s="73" t="s">
        <v>39</v>
      </c>
      <c r="B12" s="74" t="s">
        <v>43</v>
      </c>
      <c r="C12" s="75" t="s">
        <v>36</v>
      </c>
      <c r="D12" s="54">
        <f t="shared" si="2"/>
        <v>2494374.806</v>
      </c>
      <c r="E12" s="23">
        <v>0.0</v>
      </c>
      <c r="F12" s="23">
        <v>4.9644719E7</v>
      </c>
      <c r="G12" s="23">
        <v>2.76809E7</v>
      </c>
      <c r="H12" s="54">
        <f t="shared" ref="H12:I12" si="14">F12/DAY($A$1)</f>
        <v>1601442.548</v>
      </c>
      <c r="I12" s="54">
        <f t="shared" si="14"/>
        <v>892932.2581</v>
      </c>
      <c r="J12" s="54">
        <f t="shared" si="4"/>
        <v>4000000</v>
      </c>
      <c r="K12" s="54">
        <f t="shared" si="5"/>
        <v>0</v>
      </c>
      <c r="L12" s="54">
        <f>IFERROR(SUMIFS('Hot Bill HN'!$G:$G, 'Hot Bill HN'!$C:$C, $A12, 'Hot Bill HN'!$D:$D, $B12), 0)</f>
        <v>0</v>
      </c>
      <c r="M12" s="70">
        <f t="shared" si="6"/>
        <v>4000000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ht="13.5" customHeight="1">
      <c r="A13" s="73" t="s">
        <v>39</v>
      </c>
      <c r="B13" s="74" t="s">
        <v>45</v>
      </c>
      <c r="C13" s="37" t="s">
        <v>36</v>
      </c>
      <c r="D13" s="54">
        <f t="shared" si="2"/>
        <v>807276.9355</v>
      </c>
      <c r="E13" s="23">
        <v>0.0</v>
      </c>
      <c r="F13" s="23">
        <v>1.655884E7</v>
      </c>
      <c r="G13" s="23">
        <v>8466745.0</v>
      </c>
      <c r="H13" s="54">
        <f t="shared" ref="H13:I13" si="15">F13/DAY($A$1)</f>
        <v>534156.129</v>
      </c>
      <c r="I13" s="54">
        <f t="shared" si="15"/>
        <v>273120.8065</v>
      </c>
      <c r="J13" s="54">
        <f t="shared" si="4"/>
        <v>0</v>
      </c>
      <c r="K13" s="54">
        <f t="shared" si="5"/>
        <v>0</v>
      </c>
      <c r="L13" s="54">
        <f>IFERROR(SUMIFS('Hot Bill HN'!$G:$G, 'Hot Bill HN'!$C:$C, $A13, 'Hot Bill HN'!$D:$D, $B13), 0)</f>
        <v>0</v>
      </c>
      <c r="M13" s="70">
        <f t="shared" si="6"/>
        <v>0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ht="13.5" customHeight="1">
      <c r="A14" s="73" t="s">
        <v>39</v>
      </c>
      <c r="B14" s="74" t="s">
        <v>49</v>
      </c>
      <c r="C14" s="37" t="s">
        <v>96</v>
      </c>
      <c r="D14" s="54">
        <f t="shared" si="2"/>
        <v>1901524.129</v>
      </c>
      <c r="E14" s="23">
        <v>0.0</v>
      </c>
      <c r="F14" s="23">
        <v>3.4362209E7</v>
      </c>
      <c r="G14" s="23">
        <v>2.4585039E7</v>
      </c>
      <c r="H14" s="54">
        <f t="shared" ref="H14:I14" si="16">F14/DAY($A$1)</f>
        <v>1108458.355</v>
      </c>
      <c r="I14" s="54">
        <f t="shared" si="16"/>
        <v>793065.7742</v>
      </c>
      <c r="J14" s="54">
        <f t="shared" si="4"/>
        <v>2200000</v>
      </c>
      <c r="K14" s="54">
        <f t="shared" si="5"/>
        <v>0</v>
      </c>
      <c r="L14" s="54">
        <f>IFERROR(SUMIFS('Hot Bill HN'!$G:$G, 'Hot Bill HN'!$C:$C, $A14, 'Hot Bill HN'!$D:$D, $B14), 0)</f>
        <v>0</v>
      </c>
      <c r="M14" s="70">
        <f t="shared" si="6"/>
        <v>2200000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ht="13.5" customHeight="1">
      <c r="A15" s="73" t="s">
        <v>39</v>
      </c>
      <c r="B15" s="74" t="s">
        <v>51</v>
      </c>
      <c r="C15" s="37" t="s">
        <v>36</v>
      </c>
      <c r="D15" s="54">
        <f t="shared" si="2"/>
        <v>1140684.839</v>
      </c>
      <c r="E15" s="23">
        <v>0.0</v>
      </c>
      <c r="F15" s="23">
        <v>2.0133768E7</v>
      </c>
      <c r="G15" s="23">
        <v>1.5227462E7</v>
      </c>
      <c r="H15" s="54">
        <f t="shared" ref="H15:I15" si="17">F15/DAY($A$1)</f>
        <v>649476.3871</v>
      </c>
      <c r="I15" s="54">
        <f t="shared" si="17"/>
        <v>491208.4516</v>
      </c>
      <c r="J15" s="54">
        <f t="shared" si="4"/>
        <v>1000000</v>
      </c>
      <c r="K15" s="54">
        <f t="shared" si="5"/>
        <v>0</v>
      </c>
      <c r="L15" s="54">
        <f>IFERROR(SUMIFS('Hot Bill HN'!$G:$G, 'Hot Bill HN'!$C:$C, $A15, 'Hot Bill HN'!$D:$D, $B15), 0)</f>
        <v>0</v>
      </c>
      <c r="M15" s="70">
        <f t="shared" si="6"/>
        <v>1000000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ht="13.5" customHeight="1">
      <c r="A16" s="73" t="s">
        <v>54</v>
      </c>
      <c r="B16" s="74" t="s">
        <v>56</v>
      </c>
      <c r="C16" s="37" t="s">
        <v>96</v>
      </c>
      <c r="D16" s="54">
        <f t="shared" si="2"/>
        <v>548968.0323</v>
      </c>
      <c r="E16" s="23">
        <v>0.0</v>
      </c>
      <c r="F16" s="23">
        <v>8320341.0</v>
      </c>
      <c r="G16" s="23">
        <v>8697668.0</v>
      </c>
      <c r="H16" s="54">
        <f t="shared" ref="H16:I16" si="18">F16/DAY($A$1)</f>
        <v>268398.0968</v>
      </c>
      <c r="I16" s="54">
        <f t="shared" si="18"/>
        <v>280569.9355</v>
      </c>
      <c r="J16" s="54">
        <f t="shared" si="4"/>
        <v>0</v>
      </c>
      <c r="K16" s="54">
        <f t="shared" si="5"/>
        <v>0</v>
      </c>
      <c r="L16" s="54">
        <f>IFERROR(SUMIFS('Hot Bill HN'!$G:$G, 'Hot Bill HN'!$C:$C, $A16, 'Hot Bill HN'!$D:$D, $B16), 0)</f>
        <v>0</v>
      </c>
      <c r="M16" s="70">
        <f t="shared" si="6"/>
        <v>0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ht="13.5" customHeight="1">
      <c r="A17" s="73" t="s">
        <v>54</v>
      </c>
      <c r="B17" s="74" t="s">
        <v>58</v>
      </c>
      <c r="C17" s="37" t="s">
        <v>121</v>
      </c>
      <c r="D17" s="54">
        <f t="shared" si="2"/>
        <v>162390.3871</v>
      </c>
      <c r="E17" s="23">
        <v>0.0</v>
      </c>
      <c r="F17" s="23">
        <v>4846351.0</v>
      </c>
      <c r="G17" s="23">
        <v>187751.0</v>
      </c>
      <c r="H17" s="54">
        <f t="shared" ref="H17:I17" si="19">F17/DAY($A$1)</f>
        <v>156333.9032</v>
      </c>
      <c r="I17" s="54">
        <f t="shared" si="19"/>
        <v>6056.483871</v>
      </c>
      <c r="J17" s="54">
        <f t="shared" si="4"/>
        <v>0</v>
      </c>
      <c r="K17" s="54">
        <f t="shared" si="5"/>
        <v>0</v>
      </c>
      <c r="L17" s="54">
        <f>IFERROR(SUMIFS('Hot Bill HN'!$G:$G, 'Hot Bill HN'!$C:$C, $A17, 'Hot Bill HN'!$D:$D, $B17), 0)</f>
        <v>0</v>
      </c>
      <c r="M17" s="70">
        <f t="shared" si="6"/>
        <v>0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ht="13.5" customHeight="1">
      <c r="A18" s="73" t="s">
        <v>54</v>
      </c>
      <c r="B18" s="74" t="s">
        <v>32</v>
      </c>
      <c r="C18" s="37" t="s">
        <v>36</v>
      </c>
      <c r="D18" s="54">
        <f t="shared" si="2"/>
        <v>374797.4516</v>
      </c>
      <c r="E18" s="23">
        <v>0.0</v>
      </c>
      <c r="F18" s="23">
        <v>6362148.0</v>
      </c>
      <c r="G18" s="23">
        <v>5256573.0</v>
      </c>
      <c r="H18" s="54">
        <f t="shared" ref="H18:I18" si="20">F18/DAY($A$1)</f>
        <v>205230.5806</v>
      </c>
      <c r="I18" s="54">
        <f t="shared" si="20"/>
        <v>169566.871</v>
      </c>
      <c r="J18" s="54">
        <f t="shared" si="4"/>
        <v>0</v>
      </c>
      <c r="K18" s="54">
        <f t="shared" si="5"/>
        <v>0</v>
      </c>
      <c r="L18" s="54">
        <f>IFERROR(SUMIFS('Hot Bill HN'!$G:$G, 'Hot Bill HN'!$C:$C, $A18, 'Hot Bill HN'!$D:$D, $B18), 0)</f>
        <v>0</v>
      </c>
      <c r="M18" s="70">
        <f t="shared" si="6"/>
        <v>0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ht="13.5" customHeight="1">
      <c r="A19" s="73" t="s">
        <v>54</v>
      </c>
      <c r="B19" s="74" t="s">
        <v>68</v>
      </c>
      <c r="C19" s="37" t="s">
        <v>128</v>
      </c>
      <c r="D19" s="54">
        <f t="shared" si="2"/>
        <v>109565</v>
      </c>
      <c r="E19" s="23">
        <v>0.0</v>
      </c>
      <c r="F19" s="23">
        <v>3149415.0</v>
      </c>
      <c r="G19" s="23">
        <v>247100.0</v>
      </c>
      <c r="H19" s="54">
        <f t="shared" ref="H19:I19" si="21">F19/DAY($A$1)</f>
        <v>101594.0323</v>
      </c>
      <c r="I19" s="54">
        <f t="shared" si="21"/>
        <v>7970.967742</v>
      </c>
      <c r="J19" s="54">
        <f t="shared" si="4"/>
        <v>0</v>
      </c>
      <c r="K19" s="54">
        <f t="shared" si="5"/>
        <v>0</v>
      </c>
      <c r="L19" s="54">
        <f>IFERROR(SUMIFS('Hot Bill HN'!$G:$G, 'Hot Bill HN'!$C:$C, $A19, 'Hot Bill HN'!$D:$D, $B19), 0)</f>
        <v>0</v>
      </c>
      <c r="M19" s="70">
        <f t="shared" si="6"/>
        <v>0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ht="13.5" customHeight="1">
      <c r="A20" s="73" t="s">
        <v>54</v>
      </c>
      <c r="B20" s="74" t="s">
        <v>71</v>
      </c>
      <c r="C20" s="37" t="s">
        <v>121</v>
      </c>
      <c r="D20" s="54">
        <f t="shared" si="2"/>
        <v>1377500.387</v>
      </c>
      <c r="E20" s="23">
        <v>0.0</v>
      </c>
      <c r="F20" s="23">
        <v>2.7002397E7</v>
      </c>
      <c r="G20" s="23">
        <v>1.5700115E7</v>
      </c>
      <c r="H20" s="54">
        <f t="shared" ref="H20:I20" si="22">F20/DAY($A$1)</f>
        <v>871045.0645</v>
      </c>
      <c r="I20" s="54">
        <f t="shared" si="22"/>
        <v>506455.3226</v>
      </c>
      <c r="J20" s="54">
        <f t="shared" si="4"/>
        <v>1600000</v>
      </c>
      <c r="K20" s="54">
        <f t="shared" si="5"/>
        <v>0</v>
      </c>
      <c r="L20" s="54">
        <f>IFERROR(SUMIFS('Hot Bill HN'!$G:$G, 'Hot Bill HN'!$C:$C, $A20, 'Hot Bill HN'!$D:$D, $B20), 0)</f>
        <v>0</v>
      </c>
      <c r="M20" s="70">
        <f t="shared" si="6"/>
        <v>1600000</v>
      </c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ht="13.5" customHeight="1">
      <c r="A21" s="73" t="s">
        <v>54</v>
      </c>
      <c r="B21" s="74" t="s">
        <v>74</v>
      </c>
      <c r="C21" s="37" t="s">
        <v>121</v>
      </c>
      <c r="D21" s="54">
        <f t="shared" si="2"/>
        <v>236991.7097</v>
      </c>
      <c r="E21" s="23">
        <v>0.0</v>
      </c>
      <c r="F21" s="23">
        <v>4297821.0</v>
      </c>
      <c r="G21" s="23">
        <v>3048922.0</v>
      </c>
      <c r="H21" s="54">
        <f t="shared" ref="H21:I21" si="23">F21/DAY($A$1)</f>
        <v>138639.3871</v>
      </c>
      <c r="I21" s="54">
        <f t="shared" si="23"/>
        <v>98352.32258</v>
      </c>
      <c r="J21" s="54">
        <f t="shared" si="4"/>
        <v>0</v>
      </c>
      <c r="K21" s="54">
        <f t="shared" si="5"/>
        <v>0</v>
      </c>
      <c r="L21" s="54">
        <f>IFERROR(SUMIFS('Hot Bill HN'!$G:$G, 'Hot Bill HN'!$C:$C, $A21, 'Hot Bill HN'!$D:$D, $B21), 0)</f>
        <v>0</v>
      </c>
      <c r="M21" s="70">
        <f t="shared" si="6"/>
        <v>0</v>
      </c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ht="13.5" customHeight="1">
      <c r="A22" s="73" t="s">
        <v>79</v>
      </c>
      <c r="B22" s="74" t="s">
        <v>80</v>
      </c>
      <c r="C22" s="37" t="s">
        <v>36</v>
      </c>
      <c r="D22" s="54">
        <f t="shared" si="2"/>
        <v>291906.2258</v>
      </c>
      <c r="E22" s="23">
        <v>0.0</v>
      </c>
      <c r="F22" s="23">
        <v>4361760.0</v>
      </c>
      <c r="G22" s="23">
        <v>4687333.0</v>
      </c>
      <c r="H22" s="54">
        <f t="shared" ref="H22:I22" si="24">F22/DAY($A$1)</f>
        <v>140701.9355</v>
      </c>
      <c r="I22" s="54">
        <f t="shared" si="24"/>
        <v>151204.2903</v>
      </c>
      <c r="J22" s="54">
        <f t="shared" si="4"/>
        <v>0</v>
      </c>
      <c r="K22" s="54">
        <f t="shared" si="5"/>
        <v>0</v>
      </c>
      <c r="L22" s="54">
        <f>IFERROR(SUMIFS('Hot Bill HN'!$G:$G, 'Hot Bill HN'!$C:$C, $A22, 'Hot Bill HN'!$D:$D, $B22), 0)</f>
        <v>0</v>
      </c>
      <c r="M22" s="70">
        <f t="shared" si="6"/>
        <v>0</v>
      </c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ht="13.5" customHeight="1">
      <c r="A23" s="73" t="s">
        <v>79</v>
      </c>
      <c r="B23" s="74" t="s">
        <v>129</v>
      </c>
      <c r="C23" s="37" t="s">
        <v>96</v>
      </c>
      <c r="D23" s="54">
        <f t="shared" si="2"/>
        <v>0</v>
      </c>
      <c r="E23" s="23">
        <v>0.0</v>
      </c>
      <c r="F23" s="23">
        <v>0.0</v>
      </c>
      <c r="G23" s="23">
        <v>0.0</v>
      </c>
      <c r="H23" s="54">
        <f t="shared" ref="H23:I23" si="25">F23/DAY($A$1)</f>
        <v>0</v>
      </c>
      <c r="I23" s="54">
        <f t="shared" si="25"/>
        <v>0</v>
      </c>
      <c r="J23" s="54">
        <f t="shared" si="4"/>
        <v>0</v>
      </c>
      <c r="K23" s="54">
        <f t="shared" si="5"/>
        <v>0</v>
      </c>
      <c r="L23" s="54">
        <f>IFERROR(SUMIFS('Hot Bill HN'!$G:$G, 'Hot Bill HN'!$C:$C, $A23, 'Hot Bill HN'!$D:$D, $B23), 0)</f>
        <v>0</v>
      </c>
      <c r="M23" s="70">
        <f t="shared" si="6"/>
        <v>0</v>
      </c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ht="13.5" customHeight="1">
      <c r="A24" s="73" t="s">
        <v>79</v>
      </c>
      <c r="B24" s="74" t="s">
        <v>82</v>
      </c>
      <c r="C24" s="37" t="s">
        <v>121</v>
      </c>
      <c r="D24" s="54">
        <f t="shared" si="2"/>
        <v>861198.4194</v>
      </c>
      <c r="E24" s="23">
        <v>0.0</v>
      </c>
      <c r="F24" s="23">
        <v>1.5776635E7</v>
      </c>
      <c r="G24" s="23">
        <v>1.0920516E7</v>
      </c>
      <c r="H24" s="54">
        <f t="shared" ref="H24:I24" si="26">F24/DAY($A$1)</f>
        <v>508923.7097</v>
      </c>
      <c r="I24" s="54">
        <f t="shared" si="26"/>
        <v>352274.7097</v>
      </c>
      <c r="J24" s="54">
        <f t="shared" si="4"/>
        <v>0</v>
      </c>
      <c r="K24" s="54">
        <f t="shared" si="5"/>
        <v>0</v>
      </c>
      <c r="L24" s="54">
        <f>IFERROR(SUMIFS('Hot Bill HN'!$G:$G, 'Hot Bill HN'!$C:$C, $A24, 'Hot Bill HN'!$D:$D, $B24), 0)</f>
        <v>0</v>
      </c>
      <c r="M24" s="70">
        <f t="shared" si="6"/>
        <v>0</v>
      </c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ht="13.5" customHeight="1">
      <c r="A25" s="73" t="s">
        <v>79</v>
      </c>
      <c r="B25" s="74" t="s">
        <v>87</v>
      </c>
      <c r="C25" s="37" t="s">
        <v>36</v>
      </c>
      <c r="D25" s="54">
        <f t="shared" si="2"/>
        <v>1035643.29</v>
      </c>
      <c r="E25" s="23">
        <v>0.0</v>
      </c>
      <c r="F25" s="23">
        <v>1.873849E7</v>
      </c>
      <c r="G25" s="23">
        <v>1.3366452E7</v>
      </c>
      <c r="H25" s="54">
        <f t="shared" ref="H25:I25" si="27">F25/DAY($A$1)</f>
        <v>604467.4194</v>
      </c>
      <c r="I25" s="54">
        <f t="shared" si="27"/>
        <v>431175.871</v>
      </c>
      <c r="J25" s="54">
        <f t="shared" si="4"/>
        <v>0</v>
      </c>
      <c r="K25" s="54">
        <f t="shared" si="5"/>
        <v>500000</v>
      </c>
      <c r="L25" s="54">
        <f>IFERROR(SUMIFS('Hot Bill HN'!$G:$G, 'Hot Bill HN'!$C:$C, $A25, 'Hot Bill HN'!$D:$D, $B25), 0)</f>
        <v>0</v>
      </c>
      <c r="M25" s="70">
        <f t="shared" si="6"/>
        <v>500000</v>
      </c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ht="13.5" customHeight="1">
      <c r="A26" s="73" t="s">
        <v>79</v>
      </c>
      <c r="B26" s="74" t="s">
        <v>90</v>
      </c>
      <c r="C26" s="37" t="s">
        <v>36</v>
      </c>
      <c r="D26" s="54">
        <f t="shared" si="2"/>
        <v>523439.7742</v>
      </c>
      <c r="E26" s="23">
        <v>0.0</v>
      </c>
      <c r="F26" s="23">
        <v>7012844.0</v>
      </c>
      <c r="G26" s="23">
        <v>9213789.0</v>
      </c>
      <c r="H26" s="54">
        <f t="shared" ref="H26:I26" si="28">F26/DAY($A$1)</f>
        <v>226220.7742</v>
      </c>
      <c r="I26" s="54">
        <f t="shared" si="28"/>
        <v>297219</v>
      </c>
      <c r="J26" s="54">
        <f t="shared" si="4"/>
        <v>0</v>
      </c>
      <c r="K26" s="54">
        <f t="shared" si="5"/>
        <v>0</v>
      </c>
      <c r="L26" s="54">
        <f>IFERROR(SUMIFS('Hot Bill HN'!$G:$G, 'Hot Bill HN'!$C:$C, $A26, 'Hot Bill HN'!$D:$D, $B26), 0)</f>
        <v>0</v>
      </c>
      <c r="M26" s="70">
        <f t="shared" si="6"/>
        <v>0</v>
      </c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ht="13.5" customHeight="1">
      <c r="A27" s="73" t="s">
        <v>93</v>
      </c>
      <c r="B27" s="74" t="s">
        <v>94</v>
      </c>
      <c r="C27" s="37" t="s">
        <v>96</v>
      </c>
      <c r="D27" s="54">
        <f t="shared" si="2"/>
        <v>1054574.968</v>
      </c>
      <c r="E27" s="23">
        <v>0.0</v>
      </c>
      <c r="F27" s="23">
        <v>1.6999015E7</v>
      </c>
      <c r="G27" s="23">
        <v>1.5692809E7</v>
      </c>
      <c r="H27" s="54">
        <f t="shared" ref="H27:I27" si="29">F27/DAY($A$1)</f>
        <v>548355.3226</v>
      </c>
      <c r="I27" s="54">
        <f t="shared" si="29"/>
        <v>506219.6452</v>
      </c>
      <c r="J27" s="54">
        <f t="shared" si="4"/>
        <v>0</v>
      </c>
      <c r="K27" s="54">
        <f t="shared" si="5"/>
        <v>500000</v>
      </c>
      <c r="L27" s="54">
        <f>IFERROR(SUMIFS('Hot Bill HN'!$G:$G, 'Hot Bill HN'!$C:$C, $A27, 'Hot Bill HN'!$D:$D, $B27), 0)</f>
        <v>0</v>
      </c>
      <c r="M27" s="70">
        <f t="shared" si="6"/>
        <v>500000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ht="13.5" customHeight="1">
      <c r="A28" s="73" t="s">
        <v>93</v>
      </c>
      <c r="B28" s="74" t="s">
        <v>65</v>
      </c>
      <c r="C28" s="37" t="s">
        <v>36</v>
      </c>
      <c r="D28" s="54">
        <f t="shared" si="2"/>
        <v>273548.2903</v>
      </c>
      <c r="E28" s="23">
        <v>0.0</v>
      </c>
      <c r="F28" s="23">
        <v>3154721.0</v>
      </c>
      <c r="G28" s="23">
        <v>5325276.0</v>
      </c>
      <c r="H28" s="54">
        <f t="shared" ref="H28:I28" si="30">F28/DAY($A$1)</f>
        <v>101765.1935</v>
      </c>
      <c r="I28" s="54">
        <f t="shared" si="30"/>
        <v>171783.0968</v>
      </c>
      <c r="J28" s="54">
        <f t="shared" si="4"/>
        <v>0</v>
      </c>
      <c r="K28" s="54">
        <f t="shared" si="5"/>
        <v>0</v>
      </c>
      <c r="L28" s="54">
        <f>IFERROR(SUMIFS('Hot Bill HN'!$G:$G, 'Hot Bill HN'!$C:$C, $A28, 'Hot Bill HN'!$D:$D, $B28), 0)</f>
        <v>0</v>
      </c>
      <c r="M28" s="70">
        <f t="shared" si="6"/>
        <v>0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ht="13.5" customHeight="1">
      <c r="A29" s="73" t="s">
        <v>93</v>
      </c>
      <c r="B29" s="74" t="s">
        <v>97</v>
      </c>
      <c r="C29" s="37" t="s">
        <v>36</v>
      </c>
      <c r="D29" s="54">
        <f t="shared" si="2"/>
        <v>903216.8387</v>
      </c>
      <c r="E29" s="23">
        <v>0.0</v>
      </c>
      <c r="F29" s="23">
        <v>1.7450427E7</v>
      </c>
      <c r="G29" s="23">
        <v>1.0549295E7</v>
      </c>
      <c r="H29" s="54">
        <f t="shared" ref="H29:I29" si="31">F29/DAY($A$1)</f>
        <v>562917</v>
      </c>
      <c r="I29" s="54">
        <f t="shared" si="31"/>
        <v>340299.8387</v>
      </c>
      <c r="J29" s="54">
        <f t="shared" si="4"/>
        <v>0</v>
      </c>
      <c r="K29" s="54">
        <f t="shared" si="5"/>
        <v>0</v>
      </c>
      <c r="L29" s="54">
        <f>IFERROR(SUMIFS('Hot Bill HN'!$G:$G, 'Hot Bill HN'!$C:$C, $A29, 'Hot Bill HN'!$D:$D, $B29), 0)</f>
        <v>0</v>
      </c>
      <c r="M29" s="70">
        <f t="shared" si="6"/>
        <v>0</v>
      </c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ht="13.5" customHeight="1">
      <c r="A30" s="73" t="s">
        <v>93</v>
      </c>
      <c r="B30" s="74" t="s">
        <v>98</v>
      </c>
      <c r="C30" s="37" t="s">
        <v>36</v>
      </c>
      <c r="D30" s="54">
        <f t="shared" si="2"/>
        <v>540125.3548</v>
      </c>
      <c r="E30" s="23">
        <v>0.0</v>
      </c>
      <c r="F30" s="23">
        <v>6837660.0</v>
      </c>
      <c r="G30" s="23">
        <v>9906226.0</v>
      </c>
      <c r="H30" s="54">
        <f t="shared" ref="H30:I30" si="32">F30/DAY($A$1)</f>
        <v>220569.6774</v>
      </c>
      <c r="I30" s="54">
        <f t="shared" si="32"/>
        <v>319555.6774</v>
      </c>
      <c r="J30" s="54">
        <f t="shared" si="4"/>
        <v>0</v>
      </c>
      <c r="K30" s="54">
        <f t="shared" si="5"/>
        <v>0</v>
      </c>
      <c r="L30" s="54">
        <f>IFERROR(SUMIFS('Hot Bill HN'!$G:$G, 'Hot Bill HN'!$C:$C, $A30, 'Hot Bill HN'!$D:$D, $B30), 0)</f>
        <v>0</v>
      </c>
      <c r="M30" s="70">
        <f t="shared" si="6"/>
        <v>0</v>
      </c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ht="13.5" customHeight="1">
      <c r="A31" s="73" t="s">
        <v>99</v>
      </c>
      <c r="B31" s="74" t="s">
        <v>100</v>
      </c>
      <c r="C31" s="37" t="s">
        <v>36</v>
      </c>
      <c r="D31" s="54">
        <f t="shared" si="2"/>
        <v>1210332.968</v>
      </c>
      <c r="E31" s="23">
        <v>0.0</v>
      </c>
      <c r="F31" s="23">
        <v>2.2037323E7</v>
      </c>
      <c r="G31" s="23">
        <v>1.5482999E7</v>
      </c>
      <c r="H31" s="54">
        <f t="shared" ref="H31:I31" si="33">F31/DAY($A$1)</f>
        <v>710881.3871</v>
      </c>
      <c r="I31" s="54">
        <f t="shared" si="33"/>
        <v>499451.5806</v>
      </c>
      <c r="J31" s="54">
        <f t="shared" si="4"/>
        <v>1000000</v>
      </c>
      <c r="K31" s="54">
        <f t="shared" si="5"/>
        <v>0</v>
      </c>
      <c r="L31" s="54">
        <f>IFERROR(SUMIFS('Hot Bill HN'!$G:$G, 'Hot Bill HN'!$C:$C, $A31, 'Hot Bill HN'!$D:$D, $B31), 0)</f>
        <v>0</v>
      </c>
      <c r="M31" s="70">
        <f t="shared" si="6"/>
        <v>1000000</v>
      </c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ht="13.5" customHeight="1">
      <c r="A32" s="73" t="s">
        <v>99</v>
      </c>
      <c r="B32" s="74" t="s">
        <v>101</v>
      </c>
      <c r="C32" s="37" t="s">
        <v>96</v>
      </c>
      <c r="D32" s="54">
        <f t="shared" si="2"/>
        <v>1025005.645</v>
      </c>
      <c r="E32" s="23">
        <v>0.0</v>
      </c>
      <c r="F32" s="23">
        <v>1.7617487E7</v>
      </c>
      <c r="G32" s="23">
        <v>1.4157688E7</v>
      </c>
      <c r="H32" s="54">
        <f t="shared" ref="H32:I32" si="34">F32/DAY($A$1)</f>
        <v>568306.0323</v>
      </c>
      <c r="I32" s="54">
        <f t="shared" si="34"/>
        <v>456699.6129</v>
      </c>
      <c r="J32" s="54">
        <f t="shared" si="4"/>
        <v>0</v>
      </c>
      <c r="K32" s="54">
        <f t="shared" si="5"/>
        <v>500000</v>
      </c>
      <c r="L32" s="54">
        <f>IFERROR(SUMIFS('Hot Bill HN'!$G:$G, 'Hot Bill HN'!$C:$C, $A32, 'Hot Bill HN'!$D:$D, $B32), 0)</f>
        <v>0</v>
      </c>
      <c r="M32" s="70">
        <f t="shared" si="6"/>
        <v>500000</v>
      </c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ht="13.5" customHeight="1">
      <c r="A33" s="73" t="s">
        <v>99</v>
      </c>
      <c r="B33" s="74" t="s">
        <v>102</v>
      </c>
      <c r="C33" s="37" t="s">
        <v>36</v>
      </c>
      <c r="D33" s="54">
        <f t="shared" si="2"/>
        <v>1303415.935</v>
      </c>
      <c r="E33" s="23">
        <v>0.0</v>
      </c>
      <c r="F33" s="23">
        <v>2.0809531E7</v>
      </c>
      <c r="G33" s="23">
        <v>1.9596363E7</v>
      </c>
      <c r="H33" s="54">
        <f t="shared" ref="H33:I33" si="35">F33/DAY($A$1)</f>
        <v>671275.1935</v>
      </c>
      <c r="I33" s="54">
        <f t="shared" si="35"/>
        <v>632140.7419</v>
      </c>
      <c r="J33" s="54">
        <f t="shared" si="4"/>
        <v>1000000</v>
      </c>
      <c r="K33" s="54">
        <f t="shared" si="5"/>
        <v>0</v>
      </c>
      <c r="L33" s="54">
        <f>IFERROR(SUMIFS('Hot Bill HN'!$G:$G, 'Hot Bill HN'!$C:$C, $A33, 'Hot Bill HN'!$D:$D, $B33), 0)</f>
        <v>0</v>
      </c>
      <c r="M33" s="70">
        <f t="shared" si="6"/>
        <v>1000000</v>
      </c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ht="13.5" customHeight="1">
      <c r="A34" s="73" t="s">
        <v>99</v>
      </c>
      <c r="B34" s="74" t="s">
        <v>103</v>
      </c>
      <c r="C34" s="37" t="s">
        <v>36</v>
      </c>
      <c r="D34" s="54">
        <f t="shared" si="2"/>
        <v>761085.9677</v>
      </c>
      <c r="E34" s="23">
        <v>0.0</v>
      </c>
      <c r="F34" s="23">
        <v>1.5697477E7</v>
      </c>
      <c r="G34" s="23">
        <v>7896188.0</v>
      </c>
      <c r="H34" s="54">
        <f t="shared" ref="H34:I34" si="36">F34/DAY($A$1)</f>
        <v>506370.2258</v>
      </c>
      <c r="I34" s="54">
        <f t="shared" si="36"/>
        <v>254715.7419</v>
      </c>
      <c r="J34" s="54">
        <f t="shared" si="4"/>
        <v>0</v>
      </c>
      <c r="K34" s="54">
        <f t="shared" si="5"/>
        <v>0</v>
      </c>
      <c r="L34" s="54">
        <f>IFERROR(SUMIFS('Hot Bill HN'!$G:$G, 'Hot Bill HN'!$C:$C, $A34, 'Hot Bill HN'!$D:$D, $B34), 0)</f>
        <v>0</v>
      </c>
      <c r="M34" s="70">
        <f t="shared" si="6"/>
        <v>0</v>
      </c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ht="13.5" customHeight="1">
      <c r="A35" s="73" t="s">
        <v>104</v>
      </c>
      <c r="B35" s="74" t="s">
        <v>95</v>
      </c>
      <c r="C35" s="37" t="s">
        <v>121</v>
      </c>
      <c r="D35" s="54">
        <f t="shared" si="2"/>
        <v>627492.7742</v>
      </c>
      <c r="E35" s="23">
        <v>0.0</v>
      </c>
      <c r="F35" s="23">
        <v>8782260.0</v>
      </c>
      <c r="G35" s="23">
        <v>1.0670016E7</v>
      </c>
      <c r="H35" s="54">
        <f t="shared" ref="H35:I35" si="37">F35/DAY($A$1)</f>
        <v>283298.7097</v>
      </c>
      <c r="I35" s="54">
        <f t="shared" si="37"/>
        <v>344194.0645</v>
      </c>
      <c r="J35" s="54">
        <f t="shared" si="4"/>
        <v>0</v>
      </c>
      <c r="K35" s="54">
        <f t="shared" si="5"/>
        <v>0</v>
      </c>
      <c r="L35" s="54">
        <f>IFERROR(SUMIFS('Hot Bill HN'!$G:$G, 'Hot Bill HN'!$C:$C, $A35, 'Hot Bill HN'!$D:$D, $B35), 0)</f>
        <v>0</v>
      </c>
      <c r="M35" s="70">
        <f t="shared" si="6"/>
        <v>0</v>
      </c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ht="13.5" customHeight="1">
      <c r="A36" s="73" t="s">
        <v>104</v>
      </c>
      <c r="B36" s="74" t="s">
        <v>105</v>
      </c>
      <c r="C36" s="37" t="s">
        <v>121</v>
      </c>
      <c r="D36" s="54">
        <f t="shared" si="2"/>
        <v>956718.871</v>
      </c>
      <c r="E36" s="23">
        <v>0.0</v>
      </c>
      <c r="F36" s="23">
        <v>1.6881738E7</v>
      </c>
      <c r="G36" s="23">
        <v>1.2776547E7</v>
      </c>
      <c r="H36" s="54">
        <f t="shared" ref="H36:I36" si="38">F36/DAY($A$1)</f>
        <v>544572.1935</v>
      </c>
      <c r="I36" s="54">
        <f t="shared" si="38"/>
        <v>412146.6774</v>
      </c>
      <c r="J36" s="54">
        <f t="shared" si="4"/>
        <v>0</v>
      </c>
      <c r="K36" s="54">
        <f t="shared" si="5"/>
        <v>500000</v>
      </c>
      <c r="L36" s="54">
        <f>IFERROR(SUMIFS('Hot Bill HN'!$G:$G, 'Hot Bill HN'!$C:$C, $A36, 'Hot Bill HN'!$D:$D, $B36), 0)</f>
        <v>0</v>
      </c>
      <c r="M36" s="70">
        <f t="shared" si="6"/>
        <v>500000</v>
      </c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ht="13.5" customHeight="1">
      <c r="A37" s="73" t="s">
        <v>104</v>
      </c>
      <c r="B37" s="74" t="s">
        <v>106</v>
      </c>
      <c r="C37" s="37" t="s">
        <v>121</v>
      </c>
      <c r="D37" s="54">
        <f t="shared" si="2"/>
        <v>59435.48387</v>
      </c>
      <c r="E37" s="23">
        <v>0.0</v>
      </c>
      <c r="F37" s="23">
        <v>889100.0</v>
      </c>
      <c r="G37" s="23">
        <v>953400.0</v>
      </c>
      <c r="H37" s="54">
        <f t="shared" ref="H37:I37" si="39">F37/DAY($A$1)</f>
        <v>28680.64516</v>
      </c>
      <c r="I37" s="54">
        <f t="shared" si="39"/>
        <v>30754.83871</v>
      </c>
      <c r="J37" s="54">
        <f t="shared" si="4"/>
        <v>0</v>
      </c>
      <c r="K37" s="54">
        <f t="shared" si="5"/>
        <v>0</v>
      </c>
      <c r="L37" s="54">
        <f>IFERROR(SUMIFS('Hot Bill HN'!$G:$G, 'Hot Bill HN'!$C:$C, $A37, 'Hot Bill HN'!$D:$D, $B37), 0)</f>
        <v>0</v>
      </c>
      <c r="M37" s="70">
        <f t="shared" si="6"/>
        <v>0</v>
      </c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ht="13.5" customHeight="1">
      <c r="A38" s="73" t="s">
        <v>104</v>
      </c>
      <c r="B38" s="74" t="s">
        <v>107</v>
      </c>
      <c r="C38" s="37" t="s">
        <v>36</v>
      </c>
      <c r="D38" s="54">
        <f t="shared" si="2"/>
        <v>669802.0968</v>
      </c>
      <c r="E38" s="23">
        <v>0.0</v>
      </c>
      <c r="F38" s="23">
        <v>1.0251778E7</v>
      </c>
      <c r="G38" s="23">
        <v>1.0512087E7</v>
      </c>
      <c r="H38" s="54">
        <f t="shared" ref="H38:I38" si="40">F38/DAY($A$1)</f>
        <v>330702.5161</v>
      </c>
      <c r="I38" s="54">
        <f t="shared" si="40"/>
        <v>339099.5806</v>
      </c>
      <c r="J38" s="54">
        <f t="shared" si="4"/>
        <v>0</v>
      </c>
      <c r="K38" s="54">
        <f t="shared" si="5"/>
        <v>0</v>
      </c>
      <c r="L38" s="54">
        <f>IFERROR(SUMIFS('Hot Bill HN'!$G:$G, 'Hot Bill HN'!$C:$C, $A38, 'Hot Bill HN'!$D:$D, $B38), 0)</f>
        <v>0</v>
      </c>
      <c r="M38" s="70">
        <f t="shared" si="6"/>
        <v>0</v>
      </c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ht="13.5" customHeight="1">
      <c r="A39" s="73" t="s">
        <v>104</v>
      </c>
      <c r="B39" s="74" t="s">
        <v>108</v>
      </c>
      <c r="C39" s="37" t="s">
        <v>36</v>
      </c>
      <c r="D39" s="54">
        <f t="shared" si="2"/>
        <v>714985.2903</v>
      </c>
      <c r="E39" s="23">
        <v>0.0</v>
      </c>
      <c r="F39" s="23">
        <v>9304455.0</v>
      </c>
      <c r="G39" s="23">
        <v>1.2860089E7</v>
      </c>
      <c r="H39" s="54">
        <f t="shared" ref="H39:I39" si="41">F39/DAY($A$1)</f>
        <v>300143.7097</v>
      </c>
      <c r="I39" s="54">
        <f t="shared" si="41"/>
        <v>414841.5806</v>
      </c>
      <c r="J39" s="54">
        <f t="shared" si="4"/>
        <v>0</v>
      </c>
      <c r="K39" s="54">
        <f t="shared" si="5"/>
        <v>0</v>
      </c>
      <c r="L39" s="54">
        <f>IFERROR(SUMIFS('Hot Bill HN'!$G:$G, 'Hot Bill HN'!$C:$C, $A39, 'Hot Bill HN'!$D:$D, $B39), 0)</f>
        <v>0</v>
      </c>
      <c r="M39" s="70">
        <f t="shared" si="6"/>
        <v>0</v>
      </c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ht="13.5" customHeight="1">
      <c r="A40" s="73" t="s">
        <v>72</v>
      </c>
      <c r="B40" s="74" t="s">
        <v>110</v>
      </c>
      <c r="C40" s="37" t="s">
        <v>36</v>
      </c>
      <c r="D40" s="54">
        <f t="shared" si="2"/>
        <v>438028.871</v>
      </c>
      <c r="E40" s="23">
        <v>0.0</v>
      </c>
      <c r="F40" s="23">
        <v>7876044.0</v>
      </c>
      <c r="G40" s="23">
        <v>5702851.0</v>
      </c>
      <c r="H40" s="54">
        <f t="shared" ref="H40:I40" si="42">F40/DAY($A$1)</f>
        <v>254065.9355</v>
      </c>
      <c r="I40" s="54">
        <f t="shared" si="42"/>
        <v>183962.9355</v>
      </c>
      <c r="J40" s="54">
        <f t="shared" si="4"/>
        <v>0</v>
      </c>
      <c r="K40" s="54">
        <f t="shared" si="5"/>
        <v>0</v>
      </c>
      <c r="L40" s="54">
        <f>IFERROR(SUMIFS('Hot Bill HN'!$G:$G, 'Hot Bill HN'!$C:$C, $A40, 'Hot Bill HN'!$D:$D, $B40), 0)</f>
        <v>0</v>
      </c>
      <c r="M40" s="70">
        <f t="shared" si="6"/>
        <v>0</v>
      </c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ht="13.5" customHeight="1">
      <c r="A41" s="73" t="s">
        <v>72</v>
      </c>
      <c r="B41" s="74" t="s">
        <v>70</v>
      </c>
      <c r="C41" s="37" t="s">
        <v>96</v>
      </c>
      <c r="D41" s="54">
        <f t="shared" si="2"/>
        <v>783980</v>
      </c>
      <c r="E41" s="23">
        <v>0.0</v>
      </c>
      <c r="F41" s="23">
        <v>1.361914E7</v>
      </c>
      <c r="G41" s="23">
        <v>1.068424E7</v>
      </c>
      <c r="H41" s="54">
        <f t="shared" ref="H41:I41" si="43">F41/DAY($A$1)</f>
        <v>439327.0968</v>
      </c>
      <c r="I41" s="54">
        <f t="shared" si="43"/>
        <v>344652.9032</v>
      </c>
      <c r="J41" s="54">
        <f t="shared" si="4"/>
        <v>0</v>
      </c>
      <c r="K41" s="54">
        <f t="shared" si="5"/>
        <v>0</v>
      </c>
      <c r="L41" s="54">
        <f>IFERROR(SUMIFS('Hot Bill HN'!$G:$G, 'Hot Bill HN'!$C:$C, $A41, 'Hot Bill HN'!$D:$D, $B41), 0)</f>
        <v>0</v>
      </c>
      <c r="M41" s="70">
        <f t="shared" si="6"/>
        <v>0</v>
      </c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ht="13.5" customHeight="1">
      <c r="A42" s="73" t="s">
        <v>72</v>
      </c>
      <c r="B42" s="74" t="s">
        <v>111</v>
      </c>
      <c r="C42" s="37" t="s">
        <v>36</v>
      </c>
      <c r="D42" s="54">
        <f t="shared" si="2"/>
        <v>624747.5806</v>
      </c>
      <c r="E42" s="23">
        <v>0.0</v>
      </c>
      <c r="F42" s="23">
        <v>1.1495729E7</v>
      </c>
      <c r="G42" s="23">
        <v>7871446.0</v>
      </c>
      <c r="H42" s="54">
        <f t="shared" ref="H42:I42" si="44">F42/DAY($A$1)</f>
        <v>370829.9677</v>
      </c>
      <c r="I42" s="54">
        <f t="shared" si="44"/>
        <v>253917.6129</v>
      </c>
      <c r="J42" s="54">
        <f t="shared" si="4"/>
        <v>0</v>
      </c>
      <c r="K42" s="54">
        <f t="shared" si="5"/>
        <v>0</v>
      </c>
      <c r="L42" s="54">
        <f>IFERROR(SUMIFS('Hot Bill HN'!$G:$G, 'Hot Bill HN'!$C:$C, $A42, 'Hot Bill HN'!$D:$D, $B42), 0)</f>
        <v>0</v>
      </c>
      <c r="M42" s="70">
        <f t="shared" si="6"/>
        <v>0</v>
      </c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ht="13.5" customHeight="1">
      <c r="A43" s="106" t="s">
        <v>72</v>
      </c>
      <c r="B43" s="107" t="s">
        <v>34</v>
      </c>
      <c r="C43" s="37" t="s">
        <v>36</v>
      </c>
      <c r="D43" s="54">
        <f t="shared" si="2"/>
        <v>905201.2903</v>
      </c>
      <c r="E43" s="23">
        <v>0.0</v>
      </c>
      <c r="F43" s="23">
        <v>1.6450041E7</v>
      </c>
      <c r="G43" s="23">
        <v>1.1611199E7</v>
      </c>
      <c r="H43" s="54">
        <f t="shared" ref="H43:I43" si="45">F43/DAY($A$1)</f>
        <v>530646.4839</v>
      </c>
      <c r="I43" s="54">
        <f t="shared" si="45"/>
        <v>374554.8065</v>
      </c>
      <c r="J43" s="54">
        <f t="shared" si="4"/>
        <v>0</v>
      </c>
      <c r="K43" s="54">
        <f t="shared" si="5"/>
        <v>0</v>
      </c>
      <c r="L43" s="54">
        <f>IFERROR(SUMIFS('Hot Bill HN'!$G:$G, 'Hot Bill HN'!$C:$C, $A43, 'Hot Bill HN'!$D:$D, $B43), 0)</f>
        <v>0</v>
      </c>
      <c r="M43" s="70">
        <f t="shared" si="6"/>
        <v>0</v>
      </c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ht="13.5" customHeight="1">
      <c r="A44" s="106" t="s">
        <v>72</v>
      </c>
      <c r="B44" s="107" t="s">
        <v>112</v>
      </c>
      <c r="C44" s="37" t="s">
        <v>36</v>
      </c>
      <c r="D44" s="54">
        <f t="shared" si="2"/>
        <v>1995953.323</v>
      </c>
      <c r="E44" s="23">
        <v>0.0</v>
      </c>
      <c r="F44" s="23">
        <v>4.0411029E7</v>
      </c>
      <c r="G44" s="23">
        <v>2.1463524E7</v>
      </c>
      <c r="H44" s="54">
        <f t="shared" ref="H44:I44" si="46">F44/DAY($A$1)</f>
        <v>1303581.581</v>
      </c>
      <c r="I44" s="54">
        <f t="shared" si="46"/>
        <v>692371.7419</v>
      </c>
      <c r="J44" s="54">
        <f t="shared" si="4"/>
        <v>2800000</v>
      </c>
      <c r="K44" s="54">
        <f t="shared" si="5"/>
        <v>0</v>
      </c>
      <c r="L44" s="54">
        <f>IFERROR(SUMIFS('Hot Bill HN'!$G:$G, 'Hot Bill HN'!$C:$C, $A44, 'Hot Bill HN'!$D:$D, $B44), 0)</f>
        <v>0</v>
      </c>
      <c r="M44" s="70">
        <f t="shared" si="6"/>
        <v>2800000</v>
      </c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ht="13.5" customHeight="1">
      <c r="A45" s="106" t="s">
        <v>113</v>
      </c>
      <c r="B45" s="107" t="s">
        <v>114</v>
      </c>
      <c r="C45" s="37" t="s">
        <v>96</v>
      </c>
      <c r="D45" s="54">
        <f t="shared" si="2"/>
        <v>240027.5484</v>
      </c>
      <c r="E45" s="23">
        <v>0.0</v>
      </c>
      <c r="F45" s="23">
        <v>6282536.0</v>
      </c>
      <c r="G45" s="23">
        <v>1158318.0</v>
      </c>
      <c r="H45" s="54">
        <f t="shared" ref="H45:I45" si="47">F45/DAY($A$1)</f>
        <v>202662.4516</v>
      </c>
      <c r="I45" s="54">
        <f t="shared" si="47"/>
        <v>37365.09677</v>
      </c>
      <c r="J45" s="54">
        <f t="shared" si="4"/>
        <v>0</v>
      </c>
      <c r="K45" s="54">
        <f t="shared" si="5"/>
        <v>0</v>
      </c>
      <c r="L45" s="54">
        <f>IFERROR(SUMIFS('Hot Bill HN'!$G:$G, 'Hot Bill HN'!$C:$C, $A45, 'Hot Bill HN'!$D:$D, $B45), 0)</f>
        <v>0</v>
      </c>
      <c r="M45" s="70">
        <f t="shared" si="6"/>
        <v>0</v>
      </c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ht="13.5" customHeight="1">
      <c r="A46" s="106" t="s">
        <v>113</v>
      </c>
      <c r="B46" s="107" t="s">
        <v>117</v>
      </c>
      <c r="C46" s="37" t="s">
        <v>36</v>
      </c>
      <c r="D46" s="54">
        <f t="shared" si="2"/>
        <v>3249223.323</v>
      </c>
      <c r="E46" s="23">
        <v>0.0</v>
      </c>
      <c r="F46" s="23">
        <v>8.2438611E7</v>
      </c>
      <c r="G46" s="23">
        <v>1.8287312E7</v>
      </c>
      <c r="H46" s="54">
        <f t="shared" ref="H46:I46" si="48">F46/DAY($A$1)</f>
        <v>2659310.032</v>
      </c>
      <c r="I46" s="54">
        <f t="shared" si="48"/>
        <v>589913.2903</v>
      </c>
      <c r="J46" s="54">
        <f t="shared" si="4"/>
        <v>1600000</v>
      </c>
      <c r="K46" s="54">
        <f t="shared" si="5"/>
        <v>0</v>
      </c>
      <c r="L46" s="54">
        <f>IFERROR(SUMIFS('Hot Bill HN'!$G:$G, 'Hot Bill HN'!$C:$C, $A46, 'Hot Bill HN'!$D:$D, $B46), 0)</f>
        <v>50000</v>
      </c>
      <c r="M46" s="70">
        <f t="shared" si="6"/>
        <v>1650000</v>
      </c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ht="13.5" customHeight="1">
      <c r="A47" s="106" t="s">
        <v>113</v>
      </c>
      <c r="B47" s="108" t="s">
        <v>118</v>
      </c>
      <c r="C47" s="37" t="s">
        <v>36</v>
      </c>
      <c r="D47" s="54">
        <f t="shared" si="2"/>
        <v>2869824.387</v>
      </c>
      <c r="E47" s="23">
        <v>0.0</v>
      </c>
      <c r="F47" s="23">
        <v>7.2408953E7</v>
      </c>
      <c r="G47" s="23">
        <v>1.6555603E7</v>
      </c>
      <c r="H47" s="54">
        <f t="shared" ref="H47:I47" si="49">F47/DAY($A$1)</f>
        <v>2335772.677</v>
      </c>
      <c r="I47" s="54">
        <f t="shared" si="49"/>
        <v>534051.7097</v>
      </c>
      <c r="J47" s="54">
        <f t="shared" si="4"/>
        <v>1000000</v>
      </c>
      <c r="K47" s="54">
        <f t="shared" si="5"/>
        <v>0</v>
      </c>
      <c r="L47" s="54">
        <f>IFERROR(SUMIFS('Hot Bill HN'!$G:$G, 'Hot Bill HN'!$C:$C, $A47, 'Hot Bill HN'!$D:$D, $B47), 0)</f>
        <v>350000</v>
      </c>
      <c r="M47" s="70">
        <f t="shared" si="6"/>
        <v>1350000</v>
      </c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ht="13.5" customHeight="1">
      <c r="A48" s="106" t="s">
        <v>113</v>
      </c>
      <c r="B48" s="107" t="s">
        <v>119</v>
      </c>
      <c r="C48" s="37" t="s">
        <v>36</v>
      </c>
      <c r="D48" s="54">
        <f t="shared" si="2"/>
        <v>2992485.323</v>
      </c>
      <c r="E48" s="23">
        <v>0.0</v>
      </c>
      <c r="F48" s="23">
        <v>7.5129084E7</v>
      </c>
      <c r="G48" s="23">
        <v>1.7637961E7</v>
      </c>
      <c r="H48" s="54">
        <f t="shared" ref="H48:I48" si="50">F48/DAY($A$1)</f>
        <v>2423518.839</v>
      </c>
      <c r="I48" s="54">
        <f t="shared" si="50"/>
        <v>568966.4839</v>
      </c>
      <c r="J48" s="54">
        <f t="shared" si="4"/>
        <v>1000000</v>
      </c>
      <c r="K48" s="54">
        <f t="shared" si="5"/>
        <v>0</v>
      </c>
      <c r="L48" s="54">
        <f>IFERROR(SUMIFS('Hot Bill HN'!$G:$G, 'Hot Bill HN'!$C:$C, $A48, 'Hot Bill HN'!$D:$D, $B48), 0)</f>
        <v>50000</v>
      </c>
      <c r="M48" s="70">
        <f t="shared" si="6"/>
        <v>1050000</v>
      </c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ht="13.5" customHeight="1">
      <c r="A49" s="106" t="s">
        <v>113</v>
      </c>
      <c r="B49" s="107" t="s">
        <v>120</v>
      </c>
      <c r="C49" s="37" t="s">
        <v>36</v>
      </c>
      <c r="D49" s="54">
        <f t="shared" si="2"/>
        <v>773680.5484</v>
      </c>
      <c r="E49" s="23">
        <v>0.0</v>
      </c>
      <c r="F49" s="23">
        <v>1.9396428E7</v>
      </c>
      <c r="G49" s="23">
        <v>4587669.0</v>
      </c>
      <c r="H49" s="54">
        <f t="shared" ref="H49:I49" si="51">F49/DAY($A$1)</f>
        <v>625691.2258</v>
      </c>
      <c r="I49" s="54">
        <f t="shared" si="51"/>
        <v>147989.3226</v>
      </c>
      <c r="J49" s="54">
        <f t="shared" si="4"/>
        <v>0</v>
      </c>
      <c r="K49" s="54">
        <f t="shared" si="5"/>
        <v>0</v>
      </c>
      <c r="L49" s="54">
        <f>IFERROR(SUMIFS('Hot Bill HN'!$G:$G, 'Hot Bill HN'!$C:$C, $A49, 'Hot Bill HN'!$D:$D, $B49), 0)</f>
        <v>0</v>
      </c>
      <c r="M49" s="70">
        <f t="shared" si="6"/>
        <v>0</v>
      </c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ht="13.5" customHeight="1">
      <c r="A50" s="106" t="s">
        <v>116</v>
      </c>
      <c r="B50" s="107" t="s">
        <v>122</v>
      </c>
      <c r="C50" s="37" t="s">
        <v>36</v>
      </c>
      <c r="D50" s="54">
        <f t="shared" si="2"/>
        <v>888176.5484</v>
      </c>
      <c r="E50" s="23">
        <v>0.0</v>
      </c>
      <c r="F50" s="23">
        <v>1.868662E7</v>
      </c>
      <c r="G50" s="23">
        <v>8846853.0</v>
      </c>
      <c r="H50" s="54">
        <f t="shared" ref="H50:I50" si="52">F50/DAY($A$1)</f>
        <v>602794.1935</v>
      </c>
      <c r="I50" s="54">
        <f t="shared" si="52"/>
        <v>285382.3548</v>
      </c>
      <c r="J50" s="54">
        <f t="shared" si="4"/>
        <v>0</v>
      </c>
      <c r="K50" s="54">
        <f t="shared" si="5"/>
        <v>0</v>
      </c>
      <c r="L50" s="54">
        <f>IFERROR(SUMIFS('Hot Bill HN'!$G:$G, 'Hot Bill HN'!$C:$C, $A50, 'Hot Bill HN'!$D:$D, $B50), 0)</f>
        <v>0</v>
      </c>
      <c r="M50" s="70">
        <f t="shared" si="6"/>
        <v>0</v>
      </c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ht="13.5" customHeight="1">
      <c r="A51" s="106" t="s">
        <v>116</v>
      </c>
      <c r="B51" s="107" t="s">
        <v>123</v>
      </c>
      <c r="C51" s="37" t="s">
        <v>96</v>
      </c>
      <c r="D51" s="54">
        <f t="shared" si="2"/>
        <v>569838.0968</v>
      </c>
      <c r="E51" s="23">
        <v>0.0</v>
      </c>
      <c r="F51" s="23">
        <v>1.2293852E7</v>
      </c>
      <c r="G51" s="23">
        <v>5371129.0</v>
      </c>
      <c r="H51" s="54">
        <f t="shared" ref="H51:I51" si="53">F51/DAY($A$1)</f>
        <v>396575.871</v>
      </c>
      <c r="I51" s="54">
        <f t="shared" si="53"/>
        <v>173262.2258</v>
      </c>
      <c r="J51" s="54">
        <f t="shared" si="4"/>
        <v>0</v>
      </c>
      <c r="K51" s="54">
        <f t="shared" si="5"/>
        <v>0</v>
      </c>
      <c r="L51" s="54">
        <f>IFERROR(SUMIFS('Hot Bill HN'!$G:$G, 'Hot Bill HN'!$C:$C, $A51, 'Hot Bill HN'!$D:$D, $B51), 0)</f>
        <v>0</v>
      </c>
      <c r="M51" s="70">
        <f t="shared" si="6"/>
        <v>0</v>
      </c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ht="13.5" customHeight="1">
      <c r="A52" s="106" t="s">
        <v>116</v>
      </c>
      <c r="B52" s="107" t="s">
        <v>115</v>
      </c>
      <c r="C52" s="37" t="s">
        <v>36</v>
      </c>
      <c r="D52" s="54">
        <f t="shared" si="2"/>
        <v>289685.5806</v>
      </c>
      <c r="E52" s="23">
        <v>0.0</v>
      </c>
      <c r="F52" s="23">
        <v>5269627.0</v>
      </c>
      <c r="G52" s="23">
        <v>3710626.0</v>
      </c>
      <c r="H52" s="54">
        <f t="shared" ref="H52:I52" si="54">F52/DAY($A$1)</f>
        <v>169987.9677</v>
      </c>
      <c r="I52" s="54">
        <f t="shared" si="54"/>
        <v>119697.6129</v>
      </c>
      <c r="J52" s="54">
        <f t="shared" si="4"/>
        <v>0</v>
      </c>
      <c r="K52" s="54">
        <f t="shared" si="5"/>
        <v>0</v>
      </c>
      <c r="L52" s="54">
        <f>IFERROR(SUMIFS('Hot Bill HN'!$G:$G, 'Hot Bill HN'!$C:$C, $A52, 'Hot Bill HN'!$D:$D, $B52), 0)</f>
        <v>0</v>
      </c>
      <c r="M52" s="70">
        <f t="shared" si="6"/>
        <v>0</v>
      </c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ht="13.5" customHeight="1">
      <c r="A53" s="106" t="s">
        <v>116</v>
      </c>
      <c r="B53" s="107" t="s">
        <v>124</v>
      </c>
      <c r="C53" s="37" t="s">
        <v>36</v>
      </c>
      <c r="D53" s="54">
        <f t="shared" si="2"/>
        <v>367421.6129</v>
      </c>
      <c r="E53" s="23">
        <v>0.0</v>
      </c>
      <c r="F53" s="23">
        <v>9083411.0</v>
      </c>
      <c r="G53" s="23">
        <v>2306659.0</v>
      </c>
      <c r="H53" s="54">
        <f t="shared" ref="H53:I53" si="55">F53/DAY($A$1)</f>
        <v>293013.2581</v>
      </c>
      <c r="I53" s="54">
        <f t="shared" si="55"/>
        <v>74408.35484</v>
      </c>
      <c r="J53" s="54">
        <f t="shared" si="4"/>
        <v>0</v>
      </c>
      <c r="K53" s="54">
        <f t="shared" si="5"/>
        <v>0</v>
      </c>
      <c r="L53" s="54">
        <f>IFERROR(SUMIFS('Hot Bill HN'!$G:$G, 'Hot Bill HN'!$C:$C, $A53, 'Hot Bill HN'!$D:$D, $B53), 0)</f>
        <v>0</v>
      </c>
      <c r="M53" s="70">
        <f t="shared" si="6"/>
        <v>0</v>
      </c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ht="13.5" customHeight="1">
      <c r="A54" s="97" t="s">
        <v>116</v>
      </c>
      <c r="B54" s="109" t="s">
        <v>125</v>
      </c>
      <c r="C54" s="109" t="s">
        <v>36</v>
      </c>
      <c r="D54" s="23">
        <f t="shared" si="2"/>
        <v>495122.8387</v>
      </c>
      <c r="E54" s="23">
        <v>0.0</v>
      </c>
      <c r="F54" s="23">
        <v>1.1365733E7</v>
      </c>
      <c r="G54" s="23">
        <v>3983075.0</v>
      </c>
      <c r="H54" s="23">
        <f t="shared" ref="H54:I54" si="56">F54/DAY($A$1)</f>
        <v>366636.5484</v>
      </c>
      <c r="I54" s="23">
        <f t="shared" si="56"/>
        <v>128486.2903</v>
      </c>
      <c r="J54" s="23">
        <f t="shared" si="4"/>
        <v>0</v>
      </c>
      <c r="K54" s="23">
        <f t="shared" si="5"/>
        <v>0</v>
      </c>
      <c r="L54" s="23">
        <f>IFERROR(SUMIFS('Hot Bill HN'!$G:$G, 'Hot Bill HN'!$C:$C, $A54, 'Hot Bill HN'!$D:$D, $B54), 0)</f>
        <v>0</v>
      </c>
      <c r="M54" s="23">
        <f t="shared" si="6"/>
        <v>0</v>
      </c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ht="13.5" customHeight="1">
      <c r="A55" s="97"/>
      <c r="B55" s="109"/>
      <c r="C55" s="10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ht="13.5" customHeight="1">
      <c r="A56" s="97"/>
      <c r="B56" s="109"/>
      <c r="C56" s="10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ht="13.5" customHeight="1">
      <c r="A57" s="97"/>
      <c r="B57" s="109"/>
      <c r="C57" s="109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ht="13.5" customHeight="1">
      <c r="A58" s="97"/>
      <c r="B58" s="109"/>
      <c r="C58" s="109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ht="13.5" customHeight="1">
      <c r="A59" s="97"/>
      <c r="B59" s="109"/>
      <c r="C59" s="109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ht="13.5" customHeight="1">
      <c r="A60" s="97"/>
      <c r="B60" s="109"/>
      <c r="C60" s="109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ht="13.5" customHeight="1">
      <c r="A61" s="97"/>
      <c r="B61" s="109"/>
      <c r="C61" s="109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ht="13.5" customHeight="1">
      <c r="A62" s="97"/>
      <c r="B62" s="109"/>
      <c r="C62" s="109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ht="13.5" customHeight="1">
      <c r="A63" s="97"/>
      <c r="B63" s="109"/>
      <c r="C63" s="109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ht="13.5" customHeight="1">
      <c r="A64" s="97"/>
      <c r="B64" s="109"/>
      <c r="C64" s="109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ht="13.5" customHeight="1">
      <c r="A65" s="97"/>
      <c r="B65" s="109"/>
      <c r="C65" s="109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ht="13.5" customHeight="1">
      <c r="A66" s="97"/>
      <c r="B66" s="109"/>
      <c r="C66" s="109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ht="13.5" customHeight="1">
      <c r="A67" s="97"/>
      <c r="B67" s="109"/>
      <c r="C67" s="109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ht="13.5" customHeight="1">
      <c r="A68" s="97"/>
      <c r="B68" s="109"/>
      <c r="C68" s="109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ht="13.5" customHeight="1">
      <c r="A69" s="97"/>
      <c r="B69" s="109"/>
      <c r="C69" s="109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 ht="13.5" customHeight="1">
      <c r="A70" s="97"/>
      <c r="B70" s="109"/>
      <c r="C70" s="109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 ht="13.5" customHeight="1">
      <c r="A71" s="97"/>
      <c r="B71" s="109"/>
      <c r="C71" s="109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</row>
    <row r="72" ht="13.5" customHeight="1">
      <c r="A72" s="97"/>
      <c r="B72" s="109"/>
      <c r="C72" s="109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</row>
    <row r="73" ht="13.5" customHeight="1">
      <c r="A73" s="97"/>
      <c r="B73" s="109"/>
      <c r="C73" s="109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</row>
    <row r="74" ht="13.5" customHeight="1">
      <c r="A74" s="97"/>
      <c r="B74" s="109"/>
      <c r="C74" s="109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</row>
    <row r="75" ht="13.5" customHeight="1">
      <c r="A75" s="97"/>
      <c r="B75" s="109"/>
      <c r="C75" s="109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</row>
    <row r="76" ht="13.5" customHeight="1">
      <c r="A76" s="97"/>
      <c r="B76" s="109"/>
      <c r="C76" s="109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</row>
    <row r="77" ht="13.5" customHeight="1">
      <c r="A77" s="97"/>
      <c r="B77" s="109"/>
      <c r="C77" s="109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</row>
    <row r="78" ht="13.5" customHeight="1">
      <c r="A78" s="97"/>
      <c r="B78" s="109"/>
      <c r="C78" s="109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</row>
    <row r="79" ht="13.5" customHeight="1">
      <c r="A79" s="97"/>
      <c r="B79" s="109"/>
      <c r="C79" s="109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</row>
    <row r="80" ht="13.5" customHeight="1">
      <c r="A80" s="97"/>
      <c r="B80" s="109"/>
      <c r="C80" s="109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</row>
    <row r="81" ht="13.5" customHeight="1">
      <c r="A81" s="97"/>
      <c r="B81" s="109"/>
      <c r="C81" s="109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</row>
    <row r="82" ht="13.5" customHeight="1">
      <c r="A82" s="97"/>
      <c r="B82" s="109"/>
      <c r="C82" s="109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</row>
    <row r="83" ht="13.5" customHeight="1">
      <c r="A83" s="97"/>
      <c r="B83" s="109"/>
      <c r="C83" s="109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</row>
    <row r="84" ht="13.5" customHeight="1">
      <c r="A84" s="97"/>
      <c r="B84" s="109"/>
      <c r="C84" s="109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</row>
    <row r="85" ht="13.5" customHeight="1">
      <c r="A85" s="97"/>
      <c r="B85" s="109"/>
      <c r="C85" s="109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</row>
    <row r="86" ht="13.5" customHeight="1">
      <c r="A86" s="97"/>
      <c r="B86" s="109"/>
      <c r="C86" s="109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</row>
    <row r="87" ht="13.5" customHeight="1">
      <c r="A87" s="97"/>
      <c r="B87" s="109"/>
      <c r="C87" s="109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</row>
    <row r="88" ht="13.5" customHeight="1">
      <c r="A88" s="97"/>
      <c r="B88" s="109"/>
      <c r="C88" s="109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</row>
    <row r="89" ht="13.5" customHeight="1">
      <c r="A89" s="97"/>
      <c r="B89" s="109"/>
      <c r="C89" s="109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</row>
    <row r="90" ht="13.5" customHeight="1">
      <c r="A90" s="97"/>
      <c r="B90" s="109"/>
      <c r="C90" s="109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</row>
    <row r="91" ht="13.5" customHeight="1">
      <c r="A91" s="97"/>
      <c r="B91" s="109"/>
      <c r="C91" s="109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</row>
    <row r="92" ht="13.5" customHeight="1">
      <c r="A92" s="97"/>
      <c r="B92" s="109"/>
      <c r="C92" s="109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</row>
    <row r="93" ht="13.5" customHeight="1">
      <c r="A93" s="97"/>
      <c r="B93" s="109"/>
      <c r="C93" s="109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</row>
    <row r="94" ht="13.5" customHeight="1">
      <c r="A94" s="97"/>
      <c r="B94" s="109"/>
      <c r="C94" s="109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</row>
    <row r="95" ht="13.5" customHeight="1">
      <c r="A95" s="97"/>
      <c r="B95" s="109"/>
      <c r="C95" s="109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</row>
    <row r="96" ht="13.5" customHeight="1">
      <c r="A96" s="97"/>
      <c r="B96" s="109"/>
      <c r="C96" s="109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</row>
    <row r="97" ht="13.5" customHeight="1">
      <c r="A97" s="97"/>
      <c r="B97" s="109"/>
      <c r="C97" s="109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</row>
    <row r="98" ht="13.5" customHeight="1">
      <c r="A98" s="97"/>
      <c r="B98" s="109"/>
      <c r="C98" s="109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</row>
    <row r="99" ht="13.5" customHeight="1">
      <c r="A99" s="97"/>
      <c r="B99" s="109"/>
      <c r="C99" s="109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</row>
    <row r="100" ht="13.5" customHeight="1">
      <c r="A100" s="97"/>
      <c r="B100" s="109"/>
      <c r="C100" s="109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</row>
    <row r="101" ht="13.5" customHeight="1">
      <c r="A101" s="97"/>
      <c r="B101" s="109"/>
      <c r="C101" s="109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</row>
    <row r="102" ht="13.5" customHeight="1">
      <c r="A102" s="97"/>
      <c r="B102" s="109"/>
      <c r="C102" s="109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</row>
    <row r="103" ht="13.5" customHeight="1">
      <c r="A103" s="97"/>
      <c r="B103" s="109"/>
      <c r="C103" s="109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</row>
    <row r="104" ht="13.5" customHeight="1">
      <c r="A104" s="97"/>
      <c r="B104" s="109"/>
      <c r="C104" s="109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</row>
    <row r="105" ht="13.5" customHeight="1">
      <c r="A105" s="97"/>
      <c r="B105" s="109"/>
      <c r="C105" s="109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</row>
    <row r="106" ht="13.5" customHeight="1">
      <c r="A106" s="97"/>
      <c r="B106" s="109"/>
      <c r="C106" s="109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</row>
    <row r="107" ht="13.5" customHeight="1">
      <c r="A107" s="97"/>
      <c r="B107" s="109"/>
      <c r="C107" s="109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</row>
    <row r="108" ht="13.5" customHeight="1">
      <c r="A108" s="97"/>
      <c r="B108" s="109"/>
      <c r="C108" s="109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</row>
    <row r="109" ht="13.5" customHeight="1">
      <c r="A109" s="97"/>
      <c r="B109" s="109"/>
      <c r="C109" s="109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</row>
    <row r="110" ht="13.5" customHeight="1">
      <c r="A110" s="97"/>
      <c r="B110" s="109"/>
      <c r="C110" s="109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</row>
    <row r="111" ht="13.5" customHeight="1">
      <c r="A111" s="97"/>
      <c r="B111" s="109"/>
      <c r="C111" s="109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</row>
    <row r="112" ht="13.5" customHeight="1">
      <c r="A112" s="97"/>
      <c r="B112" s="109"/>
      <c r="C112" s="109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</row>
    <row r="113" ht="13.5" customHeight="1">
      <c r="A113" s="97"/>
      <c r="B113" s="109"/>
      <c r="C113" s="109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</row>
    <row r="114" ht="13.5" customHeight="1">
      <c r="A114" s="97"/>
      <c r="B114" s="109"/>
      <c r="C114" s="109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</row>
    <row r="115" ht="13.5" customHeight="1">
      <c r="A115" s="97"/>
      <c r="B115" s="109"/>
      <c r="C115" s="109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</row>
    <row r="116" ht="13.5" customHeight="1">
      <c r="A116" s="97"/>
      <c r="B116" s="109"/>
      <c r="C116" s="109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</row>
    <row r="117" ht="13.5" customHeight="1">
      <c r="A117" s="97"/>
      <c r="B117" s="109"/>
      <c r="C117" s="109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</row>
    <row r="118" ht="13.5" customHeight="1">
      <c r="A118" s="97"/>
      <c r="B118" s="109"/>
      <c r="C118" s="109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</row>
    <row r="119" ht="13.5" customHeight="1">
      <c r="A119" s="97"/>
      <c r="B119" s="109"/>
      <c r="C119" s="109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</row>
    <row r="120" ht="13.5" customHeight="1">
      <c r="A120" s="97"/>
      <c r="B120" s="109"/>
      <c r="C120" s="109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</row>
    <row r="121" ht="13.5" customHeight="1">
      <c r="A121" s="97"/>
      <c r="B121" s="109"/>
      <c r="C121" s="109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</row>
    <row r="122" ht="13.5" customHeight="1">
      <c r="A122" s="97"/>
      <c r="B122" s="109"/>
      <c r="C122" s="109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</row>
    <row r="123" ht="13.5" customHeight="1">
      <c r="A123" s="97"/>
      <c r="B123" s="109"/>
      <c r="C123" s="109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</row>
    <row r="124" ht="13.5" customHeight="1">
      <c r="A124" s="97"/>
      <c r="B124" s="109"/>
      <c r="C124" s="109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</row>
    <row r="125" ht="13.5" customHeight="1">
      <c r="A125" s="97"/>
      <c r="B125" s="109"/>
      <c r="C125" s="109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</row>
    <row r="126" ht="13.5" customHeight="1">
      <c r="A126" s="97"/>
      <c r="B126" s="109"/>
      <c r="C126" s="109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</row>
    <row r="127" ht="13.5" customHeight="1">
      <c r="A127" s="97"/>
      <c r="B127" s="109"/>
      <c r="C127" s="109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</row>
    <row r="128" ht="13.5" customHeight="1">
      <c r="A128" s="97"/>
      <c r="B128" s="109"/>
      <c r="C128" s="109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</row>
    <row r="129" ht="13.5" customHeight="1">
      <c r="A129" s="97"/>
      <c r="B129" s="109"/>
      <c r="C129" s="109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</row>
    <row r="130" ht="13.5" customHeight="1">
      <c r="A130" s="97"/>
      <c r="B130" s="109"/>
      <c r="C130" s="109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</row>
    <row r="131" ht="13.5" customHeight="1">
      <c r="A131" s="97"/>
      <c r="B131" s="109"/>
      <c r="C131" s="109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</row>
    <row r="132" ht="13.5" customHeight="1">
      <c r="A132" s="97"/>
      <c r="B132" s="109"/>
      <c r="C132" s="109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</row>
    <row r="133" ht="13.5" customHeight="1">
      <c r="A133" s="97"/>
      <c r="B133" s="109"/>
      <c r="C133" s="109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</row>
    <row r="134" ht="13.5" customHeight="1">
      <c r="A134" s="97"/>
      <c r="B134" s="109"/>
      <c r="C134" s="109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</row>
    <row r="135" ht="13.5" customHeight="1">
      <c r="A135" s="97"/>
      <c r="B135" s="109"/>
      <c r="C135" s="109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</row>
    <row r="136" ht="13.5" customHeight="1">
      <c r="A136" s="97"/>
      <c r="B136" s="109"/>
      <c r="C136" s="109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</row>
    <row r="137" ht="13.5" customHeight="1">
      <c r="A137" s="97"/>
      <c r="B137" s="109"/>
      <c r="C137" s="109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</row>
    <row r="138" ht="13.5" customHeight="1">
      <c r="A138" s="97"/>
      <c r="B138" s="109"/>
      <c r="C138" s="109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</row>
    <row r="139" ht="13.5" customHeight="1">
      <c r="A139" s="97"/>
      <c r="B139" s="109"/>
      <c r="C139" s="109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</row>
    <row r="140" ht="13.5" customHeight="1">
      <c r="A140" s="97"/>
      <c r="B140" s="109"/>
      <c r="C140" s="109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</row>
    <row r="141" ht="13.5" customHeight="1">
      <c r="A141" s="97"/>
      <c r="B141" s="109"/>
      <c r="C141" s="109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</row>
    <row r="142" ht="13.5" customHeight="1">
      <c r="A142" s="97"/>
      <c r="B142" s="109"/>
      <c r="C142" s="109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</row>
    <row r="143" ht="13.5" customHeight="1">
      <c r="A143" s="97"/>
      <c r="B143" s="109"/>
      <c r="C143" s="109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</row>
    <row r="144" ht="13.5" customHeight="1">
      <c r="A144" s="97"/>
      <c r="B144" s="109"/>
      <c r="C144" s="109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</row>
    <row r="145" ht="13.5" customHeight="1">
      <c r="A145" s="97"/>
      <c r="B145" s="109"/>
      <c r="C145" s="109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</row>
    <row r="146" ht="13.5" customHeight="1">
      <c r="A146" s="97"/>
      <c r="B146" s="109"/>
      <c r="C146" s="109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</row>
    <row r="147" ht="13.5" customHeight="1">
      <c r="A147" s="97"/>
      <c r="B147" s="109"/>
      <c r="C147" s="109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</row>
    <row r="148" ht="13.5" customHeight="1">
      <c r="A148" s="97"/>
      <c r="B148" s="109"/>
      <c r="C148" s="109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</row>
    <row r="149" ht="13.5" customHeight="1">
      <c r="A149" s="97"/>
      <c r="B149" s="109"/>
      <c r="C149" s="109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</row>
    <row r="150" ht="13.5" customHeight="1">
      <c r="A150" s="97"/>
      <c r="B150" s="109"/>
      <c r="C150" s="109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</row>
    <row r="151" ht="13.5" customHeight="1">
      <c r="A151" s="97"/>
      <c r="B151" s="109"/>
      <c r="C151" s="109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</row>
    <row r="152" ht="13.5" customHeight="1">
      <c r="A152" s="97"/>
      <c r="B152" s="109"/>
      <c r="C152" s="109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</row>
    <row r="153" ht="13.5" customHeight="1">
      <c r="A153" s="97"/>
      <c r="B153" s="109"/>
      <c r="C153" s="109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</row>
    <row r="154" ht="13.5" customHeight="1">
      <c r="A154" s="97"/>
      <c r="B154" s="109"/>
      <c r="C154" s="109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</row>
    <row r="155" ht="13.5" customHeight="1">
      <c r="A155" s="97"/>
      <c r="B155" s="109"/>
      <c r="C155" s="109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</row>
    <row r="156" ht="13.5" customHeight="1">
      <c r="A156" s="97"/>
      <c r="B156" s="109"/>
      <c r="C156" s="109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</row>
    <row r="157" ht="13.5" customHeight="1">
      <c r="A157" s="97"/>
      <c r="B157" s="109"/>
      <c r="C157" s="109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</row>
    <row r="158" ht="13.5" customHeight="1">
      <c r="A158" s="97"/>
      <c r="B158" s="109"/>
      <c r="C158" s="109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</row>
    <row r="159" ht="13.5" customHeight="1">
      <c r="A159" s="97"/>
      <c r="B159" s="109"/>
      <c r="C159" s="109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</row>
    <row r="160" ht="13.5" customHeight="1">
      <c r="A160" s="97"/>
      <c r="B160" s="109"/>
      <c r="C160" s="109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</row>
    <row r="161" ht="13.5" customHeight="1">
      <c r="A161" s="97"/>
      <c r="B161" s="109"/>
      <c r="C161" s="109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</row>
    <row r="162" ht="13.5" customHeight="1">
      <c r="A162" s="97"/>
      <c r="B162" s="109"/>
      <c r="C162" s="109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</row>
    <row r="163" ht="13.5" customHeight="1">
      <c r="A163" s="97"/>
      <c r="B163" s="109"/>
      <c r="C163" s="109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</row>
    <row r="164" ht="13.5" customHeight="1">
      <c r="A164" s="97"/>
      <c r="B164" s="109"/>
      <c r="C164" s="109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</row>
    <row r="165" ht="13.5" customHeight="1">
      <c r="A165" s="97"/>
      <c r="B165" s="109"/>
      <c r="C165" s="109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</row>
    <row r="166" ht="13.5" customHeight="1">
      <c r="A166" s="97"/>
      <c r="B166" s="109"/>
      <c r="C166" s="109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</row>
    <row r="167" ht="13.5" customHeight="1">
      <c r="A167" s="97"/>
      <c r="B167" s="109"/>
      <c r="C167" s="109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</row>
    <row r="168" ht="13.5" customHeight="1">
      <c r="A168" s="97"/>
      <c r="B168" s="109"/>
      <c r="C168" s="109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</row>
    <row r="169" ht="13.5" customHeight="1">
      <c r="A169" s="97"/>
      <c r="B169" s="109"/>
      <c r="C169" s="109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</row>
    <row r="170" ht="13.5" customHeight="1">
      <c r="A170" s="97"/>
      <c r="B170" s="109"/>
      <c r="C170" s="109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</row>
    <row r="171" ht="13.5" customHeight="1">
      <c r="A171" s="97"/>
      <c r="B171" s="109"/>
      <c r="C171" s="109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</row>
    <row r="172" ht="13.5" customHeight="1">
      <c r="A172" s="97"/>
      <c r="B172" s="109"/>
      <c r="C172" s="109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</row>
    <row r="173" ht="13.5" customHeight="1">
      <c r="A173" s="97"/>
      <c r="B173" s="109"/>
      <c r="C173" s="109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</row>
    <row r="174" ht="13.5" customHeight="1">
      <c r="A174" s="97"/>
      <c r="B174" s="109"/>
      <c r="C174" s="109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</row>
    <row r="175" ht="13.5" customHeight="1">
      <c r="A175" s="97"/>
      <c r="B175" s="109"/>
      <c r="C175" s="109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</row>
    <row r="176" ht="13.5" customHeight="1">
      <c r="A176" s="97"/>
      <c r="B176" s="109"/>
      <c r="C176" s="109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</row>
    <row r="177" ht="13.5" customHeight="1">
      <c r="A177" s="97"/>
      <c r="B177" s="109"/>
      <c r="C177" s="109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</row>
    <row r="178" ht="13.5" customHeight="1">
      <c r="A178" s="97"/>
      <c r="B178" s="109"/>
      <c r="C178" s="109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</row>
    <row r="179" ht="13.5" customHeight="1">
      <c r="A179" s="97"/>
      <c r="B179" s="109"/>
      <c r="C179" s="109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</row>
    <row r="180" ht="13.5" customHeight="1">
      <c r="A180" s="97"/>
      <c r="B180" s="109"/>
      <c r="C180" s="109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</row>
    <row r="181" ht="13.5" customHeight="1">
      <c r="A181" s="97"/>
      <c r="B181" s="109"/>
      <c r="C181" s="109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</row>
    <row r="182" ht="13.5" customHeight="1">
      <c r="A182" s="97"/>
      <c r="B182" s="109"/>
      <c r="C182" s="109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</row>
    <row r="183" ht="13.5" customHeight="1">
      <c r="A183" s="97"/>
      <c r="B183" s="109"/>
      <c r="C183" s="109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</row>
    <row r="184" ht="13.5" customHeight="1">
      <c r="A184" s="97"/>
      <c r="B184" s="109"/>
      <c r="C184" s="109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</row>
    <row r="185" ht="13.5" customHeight="1">
      <c r="A185" s="97"/>
      <c r="B185" s="109"/>
      <c r="C185" s="109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</row>
    <row r="186" ht="13.5" customHeight="1">
      <c r="A186" s="97"/>
      <c r="B186" s="109"/>
      <c r="C186" s="109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</row>
    <row r="187" ht="13.5" customHeight="1">
      <c r="A187" s="97"/>
      <c r="B187" s="109"/>
      <c r="C187" s="109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</row>
    <row r="188" ht="13.5" customHeight="1">
      <c r="A188" s="97"/>
      <c r="B188" s="109"/>
      <c r="C188" s="109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</row>
    <row r="189" ht="13.5" customHeight="1">
      <c r="A189" s="97"/>
      <c r="B189" s="109"/>
      <c r="C189" s="109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</row>
    <row r="190" ht="13.5" customHeight="1">
      <c r="A190" s="97"/>
      <c r="B190" s="109"/>
      <c r="C190" s="109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</row>
    <row r="191" ht="13.5" customHeight="1">
      <c r="A191" s="97"/>
      <c r="B191" s="109"/>
      <c r="C191" s="109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</row>
    <row r="192" ht="13.5" customHeight="1">
      <c r="A192" s="97"/>
      <c r="B192" s="109"/>
      <c r="C192" s="109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</row>
    <row r="193" ht="13.5" customHeight="1">
      <c r="A193" s="97"/>
      <c r="B193" s="109"/>
      <c r="C193" s="109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</row>
    <row r="194" ht="13.5" customHeight="1">
      <c r="A194" s="97"/>
      <c r="B194" s="109"/>
      <c r="C194" s="109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</row>
    <row r="195" ht="13.5" customHeight="1">
      <c r="A195" s="97"/>
      <c r="B195" s="109"/>
      <c r="C195" s="109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</row>
    <row r="196" ht="13.5" customHeight="1">
      <c r="A196" s="97"/>
      <c r="B196" s="109"/>
      <c r="C196" s="109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</row>
    <row r="197" ht="13.5" customHeight="1">
      <c r="A197" s="97"/>
      <c r="B197" s="109"/>
      <c r="C197" s="109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</row>
    <row r="198" ht="13.5" customHeight="1">
      <c r="A198" s="97"/>
      <c r="B198" s="109"/>
      <c r="C198" s="109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</row>
    <row r="199" ht="13.5" customHeight="1">
      <c r="A199" s="97"/>
      <c r="B199" s="109"/>
      <c r="C199" s="109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</row>
    <row r="200" ht="13.5" customHeight="1">
      <c r="A200" s="97"/>
      <c r="B200" s="109"/>
      <c r="C200" s="109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</row>
    <row r="201" ht="13.5" customHeight="1">
      <c r="A201" s="97"/>
      <c r="B201" s="109"/>
      <c r="C201" s="109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</row>
    <row r="202" ht="13.5" customHeight="1">
      <c r="A202" s="97"/>
      <c r="B202" s="109"/>
      <c r="C202" s="109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</row>
    <row r="203" ht="13.5" customHeight="1">
      <c r="A203" s="97"/>
      <c r="B203" s="109"/>
      <c r="C203" s="109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</row>
    <row r="204" ht="13.5" customHeight="1">
      <c r="A204" s="97"/>
      <c r="B204" s="109"/>
      <c r="C204" s="109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</row>
    <row r="205" ht="13.5" customHeight="1">
      <c r="A205" s="97"/>
      <c r="B205" s="109"/>
      <c r="C205" s="109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</row>
    <row r="206" ht="13.5" customHeight="1">
      <c r="A206" s="97"/>
      <c r="B206" s="109"/>
      <c r="C206" s="109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</row>
    <row r="207" ht="13.5" customHeight="1">
      <c r="A207" s="97"/>
      <c r="B207" s="109"/>
      <c r="C207" s="109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</row>
    <row r="208" ht="13.5" customHeight="1">
      <c r="A208" s="97"/>
      <c r="B208" s="109"/>
      <c r="C208" s="109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</row>
    <row r="209" ht="13.5" customHeight="1">
      <c r="A209" s="97"/>
      <c r="B209" s="109"/>
      <c r="C209" s="109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</row>
    <row r="210" ht="13.5" customHeight="1">
      <c r="A210" s="97"/>
      <c r="B210" s="109"/>
      <c r="C210" s="109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</row>
    <row r="211" ht="13.5" customHeight="1">
      <c r="A211" s="97"/>
      <c r="B211" s="109"/>
      <c r="C211" s="109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</row>
    <row r="212" ht="13.5" customHeight="1">
      <c r="A212" s="97"/>
      <c r="B212" s="109"/>
      <c r="C212" s="109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</row>
    <row r="213" ht="13.5" customHeight="1">
      <c r="A213" s="97"/>
      <c r="B213" s="109"/>
      <c r="C213" s="109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</row>
    <row r="214" ht="13.5" customHeight="1">
      <c r="A214" s="97"/>
      <c r="B214" s="109"/>
      <c r="C214" s="109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</row>
    <row r="215" ht="13.5" customHeight="1">
      <c r="A215" s="97"/>
      <c r="B215" s="109"/>
      <c r="C215" s="109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</row>
    <row r="216" ht="13.5" customHeight="1">
      <c r="A216" s="97"/>
      <c r="B216" s="109"/>
      <c r="C216" s="109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</row>
    <row r="217" ht="13.5" customHeight="1">
      <c r="A217" s="97"/>
      <c r="B217" s="109"/>
      <c r="C217" s="109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</row>
    <row r="218" ht="13.5" customHeight="1">
      <c r="A218" s="97"/>
      <c r="B218" s="109"/>
      <c r="C218" s="109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</row>
    <row r="219" ht="13.5" customHeight="1">
      <c r="A219" s="97"/>
      <c r="B219" s="109"/>
      <c r="C219" s="109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</row>
    <row r="220" ht="13.5" customHeight="1">
      <c r="A220" s="97"/>
      <c r="B220" s="109"/>
      <c r="C220" s="109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</row>
    <row r="221" ht="13.5" customHeight="1">
      <c r="A221" s="97"/>
      <c r="B221" s="109"/>
      <c r="C221" s="109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</row>
    <row r="222" ht="13.5" customHeight="1">
      <c r="A222" s="97"/>
      <c r="B222" s="109"/>
      <c r="C222" s="109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</row>
    <row r="223" ht="13.5" customHeight="1">
      <c r="A223" s="97"/>
      <c r="B223" s="109"/>
      <c r="C223" s="109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</row>
    <row r="224" ht="13.5" customHeight="1">
      <c r="A224" s="97"/>
      <c r="B224" s="109"/>
      <c r="C224" s="109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</row>
    <row r="225" ht="13.5" customHeight="1">
      <c r="A225" s="97"/>
      <c r="B225" s="109"/>
      <c r="C225" s="109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</row>
    <row r="226" ht="13.5" customHeight="1">
      <c r="A226" s="97"/>
      <c r="B226" s="109"/>
      <c r="C226" s="109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</row>
    <row r="227" ht="13.5" customHeight="1">
      <c r="A227" s="97"/>
      <c r="B227" s="109"/>
      <c r="C227" s="109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</row>
    <row r="228" ht="13.5" customHeight="1">
      <c r="A228" s="97"/>
      <c r="B228" s="109"/>
      <c r="C228" s="109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</row>
    <row r="229" ht="13.5" customHeight="1">
      <c r="A229" s="97"/>
      <c r="B229" s="109"/>
      <c r="C229" s="109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</row>
    <row r="230" ht="13.5" customHeight="1">
      <c r="A230" s="97"/>
      <c r="B230" s="109"/>
      <c r="C230" s="109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</row>
    <row r="231" ht="13.5" customHeight="1">
      <c r="A231" s="97"/>
      <c r="B231" s="109"/>
      <c r="C231" s="109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</row>
    <row r="232" ht="13.5" customHeight="1">
      <c r="A232" s="97"/>
      <c r="B232" s="109"/>
      <c r="C232" s="109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</row>
    <row r="233" ht="13.5" customHeight="1">
      <c r="A233" s="97"/>
      <c r="B233" s="109"/>
      <c r="C233" s="109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</row>
    <row r="234" ht="13.5" customHeight="1">
      <c r="A234" s="97"/>
      <c r="B234" s="109"/>
      <c r="C234" s="109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</row>
    <row r="235" ht="13.5" customHeight="1">
      <c r="A235" s="97"/>
      <c r="B235" s="109"/>
      <c r="C235" s="109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</row>
    <row r="236" ht="13.5" customHeight="1">
      <c r="A236" s="97"/>
      <c r="B236" s="109"/>
      <c r="C236" s="109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</row>
    <row r="237" ht="13.5" customHeight="1">
      <c r="A237" s="97"/>
      <c r="B237" s="109"/>
      <c r="C237" s="109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</row>
    <row r="238" ht="13.5" customHeight="1">
      <c r="A238" s="97"/>
      <c r="B238" s="109"/>
      <c r="C238" s="109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</row>
    <row r="239" ht="13.5" customHeight="1">
      <c r="A239" s="97"/>
      <c r="B239" s="109"/>
      <c r="C239" s="109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</row>
    <row r="240" ht="13.5" customHeight="1">
      <c r="A240" s="97"/>
      <c r="B240" s="109"/>
      <c r="C240" s="109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</row>
    <row r="241" ht="13.5" customHeight="1">
      <c r="A241" s="97"/>
      <c r="B241" s="109"/>
      <c r="C241" s="109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</row>
    <row r="242" ht="13.5" customHeight="1">
      <c r="A242" s="97"/>
      <c r="B242" s="109"/>
      <c r="C242" s="109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</row>
    <row r="243" ht="13.5" customHeight="1">
      <c r="A243" s="97"/>
      <c r="B243" s="109"/>
      <c r="C243" s="109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</row>
    <row r="244" ht="13.5" customHeight="1">
      <c r="A244" s="97"/>
      <c r="B244" s="109"/>
      <c r="C244" s="109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</row>
    <row r="245" ht="13.5" customHeight="1">
      <c r="A245" s="97"/>
      <c r="B245" s="109"/>
      <c r="C245" s="109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</row>
    <row r="246" ht="13.5" customHeight="1">
      <c r="A246" s="97"/>
      <c r="B246" s="109"/>
      <c r="C246" s="109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</row>
    <row r="247" ht="13.5" customHeight="1">
      <c r="A247" s="97"/>
      <c r="B247" s="109"/>
      <c r="C247" s="109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</row>
    <row r="248" ht="13.5" customHeight="1">
      <c r="A248" s="97"/>
      <c r="B248" s="109"/>
      <c r="C248" s="109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</row>
    <row r="249" ht="13.5" customHeight="1">
      <c r="A249" s="97"/>
      <c r="B249" s="109"/>
      <c r="C249" s="109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</row>
    <row r="250" ht="13.5" customHeight="1">
      <c r="A250" s="97"/>
      <c r="B250" s="109"/>
      <c r="C250" s="109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</row>
    <row r="251" ht="13.5" customHeight="1">
      <c r="A251" s="97"/>
      <c r="B251" s="109"/>
      <c r="C251" s="109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</row>
    <row r="252" ht="13.5" customHeight="1">
      <c r="A252" s="97"/>
      <c r="B252" s="109"/>
      <c r="C252" s="109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</row>
    <row r="253" ht="13.5" customHeight="1">
      <c r="A253" s="97"/>
      <c r="B253" s="109"/>
      <c r="C253" s="109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</row>
    <row r="254" ht="13.5" customHeight="1">
      <c r="A254" s="97"/>
      <c r="B254" s="109"/>
      <c r="C254" s="109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55"/>
  <conditionalFormatting sqref="D3:E53 H3:H53 J3:J53">
    <cfRule type="expression" dxfId="2" priority="1">
      <formula>D3 = 4000000</formula>
    </cfRule>
  </conditionalFormatting>
  <conditionalFormatting sqref="D3:E53 H3:H53 J3:J53">
    <cfRule type="expression" dxfId="3" priority="2">
      <formula>D3 = 2800000</formula>
    </cfRule>
  </conditionalFormatting>
  <conditionalFormatting sqref="D3:E53 H3:H53 J3:J53">
    <cfRule type="expression" dxfId="4" priority="3">
      <formula>D3 = 2000000</formula>
    </cfRule>
  </conditionalFormatting>
  <conditionalFormatting sqref="D3:E53 H3:H53 J3:J53">
    <cfRule type="expression" dxfId="5" priority="4">
      <formula>D3 = 1200000</formula>
    </cfRule>
  </conditionalFormatting>
  <conditionalFormatting sqref="D11:D48 H11:H44 J11:J44">
    <cfRule type="expression" dxfId="6" priority="5">
      <formula>D11 = 4000000</formula>
    </cfRule>
  </conditionalFormatting>
  <conditionalFormatting sqref="D11:D48 H11:H44 J11:J44">
    <cfRule type="expression" dxfId="3" priority="6">
      <formula>D11 = 2800000</formula>
    </cfRule>
  </conditionalFormatting>
  <conditionalFormatting sqref="D11:D48 H11:H44 J11:J44">
    <cfRule type="expression" dxfId="4" priority="7">
      <formula>D11 = 2200000</formula>
    </cfRule>
  </conditionalFormatting>
  <conditionalFormatting sqref="D11:D48 H11:H44 J11:J44">
    <cfRule type="expression" dxfId="2" priority="8">
      <formula>D11 = 1600000</formula>
    </cfRule>
  </conditionalFormatting>
  <conditionalFormatting sqref="D11:D48 H11:H44 J11:J44">
    <cfRule type="expression" dxfId="5" priority="9">
      <formula>D11 = 1000000</formula>
    </cfRule>
  </conditionalFormatting>
  <dataValidations>
    <dataValidation type="list" allowBlank="1" showErrorMessage="1" sqref="C3:C53">
      <formula1>"CHT,BC,PT,DSHV,DSTV,Q.CHT"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0"/>
    <col customWidth="1" min="3" max="3" width="16.75"/>
    <col customWidth="1" min="4" max="4" width="18.38"/>
    <col customWidth="1" min="5" max="5" width="16.25"/>
    <col customWidth="1" min="6" max="6" width="29.5"/>
    <col customWidth="1" min="7" max="7" width="19.5"/>
    <col customWidth="1" min="8" max="8" width="62.5"/>
  </cols>
  <sheetData>
    <row r="1" ht="12.75" customHeight="1">
      <c r="A1" s="110" t="s">
        <v>131</v>
      </c>
      <c r="B1" s="111" t="s">
        <v>132</v>
      </c>
      <c r="C1" s="111" t="s">
        <v>133</v>
      </c>
      <c r="D1" s="112" t="s">
        <v>134</v>
      </c>
      <c r="E1" s="111" t="s">
        <v>135</v>
      </c>
      <c r="F1" s="112" t="s">
        <v>136</v>
      </c>
      <c r="G1" s="111" t="s">
        <v>137</v>
      </c>
      <c r="H1" s="113" t="s">
        <v>138</v>
      </c>
    </row>
    <row r="2" ht="39.0" customHeight="1">
      <c r="A2" s="114" t="s">
        <v>139</v>
      </c>
      <c r="B2" s="115">
        <v>46265.78682774305</v>
      </c>
      <c r="C2" s="116" t="s">
        <v>113</v>
      </c>
      <c r="D2" s="116" t="s">
        <v>119</v>
      </c>
      <c r="E2" s="116">
        <v>2.0</v>
      </c>
      <c r="F2" s="116">
        <v>1215000.0</v>
      </c>
      <c r="G2" s="116">
        <v>50000.0</v>
      </c>
      <c r="H2" s="117" t="s">
        <v>140</v>
      </c>
    </row>
    <row r="3" ht="26.25" customHeight="1">
      <c r="A3" s="114" t="s">
        <v>141</v>
      </c>
      <c r="B3" s="115">
        <v>46265.70634513889</v>
      </c>
      <c r="C3" s="116" t="s">
        <v>10</v>
      </c>
      <c r="D3" s="116" t="s">
        <v>27</v>
      </c>
      <c r="E3" s="116">
        <v>2.0</v>
      </c>
      <c r="F3" s="116">
        <v>1111000.0</v>
      </c>
      <c r="G3" s="116">
        <v>50000.0</v>
      </c>
      <c r="H3" s="117" t="s">
        <v>142</v>
      </c>
    </row>
    <row r="4" ht="39.0" customHeight="1">
      <c r="A4" s="114" t="s">
        <v>143</v>
      </c>
      <c r="B4" s="115">
        <v>46265.65659490741</v>
      </c>
      <c r="C4" s="116" t="s">
        <v>10</v>
      </c>
      <c r="D4" s="116" t="s">
        <v>16</v>
      </c>
      <c r="E4" s="116">
        <v>3.0</v>
      </c>
      <c r="F4" s="116">
        <v>1005000.0</v>
      </c>
      <c r="G4" s="116">
        <v>50000.0</v>
      </c>
      <c r="H4" s="117" t="s">
        <v>144</v>
      </c>
    </row>
    <row r="5" ht="39.0" customHeight="1">
      <c r="A5" s="114" t="s">
        <v>145</v>
      </c>
      <c r="B5" s="115">
        <v>46263.67483804398</v>
      </c>
      <c r="C5" s="116" t="s">
        <v>10</v>
      </c>
      <c r="D5" s="116" t="s">
        <v>16</v>
      </c>
      <c r="E5" s="116">
        <v>3.0</v>
      </c>
      <c r="F5" s="116">
        <v>1780000.0</v>
      </c>
      <c r="G5" s="116">
        <v>50000.0</v>
      </c>
      <c r="H5" s="117" t="s">
        <v>146</v>
      </c>
    </row>
    <row r="6" ht="52.5" customHeight="1">
      <c r="A6" s="114" t="s">
        <v>147</v>
      </c>
      <c r="B6" s="115">
        <v>46262.77724482639</v>
      </c>
      <c r="C6" s="116" t="s">
        <v>10</v>
      </c>
      <c r="D6" s="116" t="s">
        <v>16</v>
      </c>
      <c r="E6" s="116">
        <v>10.0</v>
      </c>
      <c r="F6" s="116">
        <v>1200000.0</v>
      </c>
      <c r="G6" s="116">
        <v>50000.0</v>
      </c>
      <c r="H6" s="117" t="s">
        <v>148</v>
      </c>
    </row>
    <row r="7" ht="39.0" customHeight="1">
      <c r="A7" s="114" t="s">
        <v>149</v>
      </c>
      <c r="B7" s="115">
        <v>46262.65150297454</v>
      </c>
      <c r="C7" s="116" t="s">
        <v>10</v>
      </c>
      <c r="D7" s="116" t="s">
        <v>16</v>
      </c>
      <c r="E7" s="116">
        <v>2.0</v>
      </c>
      <c r="F7" s="116">
        <v>1158000.0</v>
      </c>
      <c r="G7" s="116">
        <v>50000.0</v>
      </c>
      <c r="H7" s="117" t="s">
        <v>150</v>
      </c>
    </row>
    <row r="8" ht="39.0" customHeight="1">
      <c r="A8" s="114" t="s">
        <v>151</v>
      </c>
      <c r="B8" s="115">
        <v>46261.63576875</v>
      </c>
      <c r="C8" s="116" t="s">
        <v>113</v>
      </c>
      <c r="D8" s="116" t="s">
        <v>118</v>
      </c>
      <c r="E8" s="116">
        <v>1.0</v>
      </c>
      <c r="F8" s="116">
        <v>1080000.0</v>
      </c>
      <c r="G8" s="116">
        <v>50000.0</v>
      </c>
      <c r="H8" s="117" t="s">
        <v>152</v>
      </c>
    </row>
    <row r="9" ht="15.0" customHeight="1">
      <c r="A9" s="118" t="s">
        <v>153</v>
      </c>
      <c r="B9" s="119">
        <v>46261.41022612269</v>
      </c>
      <c r="C9" s="120" t="s">
        <v>10</v>
      </c>
      <c r="D9" s="120" t="s">
        <v>26</v>
      </c>
      <c r="E9" s="120">
        <v>3.0</v>
      </c>
      <c r="F9" s="120">
        <v>1248000.0</v>
      </c>
      <c r="G9" s="120">
        <v>50000.0</v>
      </c>
      <c r="H9" s="121" t="s">
        <v>154</v>
      </c>
    </row>
    <row r="10" ht="15.0" customHeight="1">
      <c r="A10" s="118" t="s">
        <v>155</v>
      </c>
      <c r="B10" s="119">
        <v>46259.70374305556</v>
      </c>
      <c r="C10" s="120" t="s">
        <v>10</v>
      </c>
      <c r="D10" s="120" t="s">
        <v>26</v>
      </c>
      <c r="E10" s="120">
        <v>3.0</v>
      </c>
      <c r="F10" s="120">
        <v>1003000.0</v>
      </c>
      <c r="G10" s="120">
        <v>50000.0</v>
      </c>
      <c r="H10" s="121" t="s">
        <v>156</v>
      </c>
    </row>
    <row r="11" ht="15.0" customHeight="1">
      <c r="A11" s="118" t="s">
        <v>157</v>
      </c>
      <c r="B11" s="119">
        <v>46259.67409120371</v>
      </c>
      <c r="C11" s="120" t="s">
        <v>113</v>
      </c>
      <c r="D11" s="120" t="s">
        <v>118</v>
      </c>
      <c r="E11" s="120">
        <v>2.0</v>
      </c>
      <c r="F11" s="120">
        <v>1192000.0</v>
      </c>
      <c r="G11" s="120">
        <v>50000.0</v>
      </c>
      <c r="H11" s="121" t="s">
        <v>158</v>
      </c>
    </row>
    <row r="12" ht="15.0" customHeight="1">
      <c r="A12" s="118" t="s">
        <v>159</v>
      </c>
      <c r="B12" s="119">
        <v>46259.67397789352</v>
      </c>
      <c r="C12" s="120" t="s">
        <v>113</v>
      </c>
      <c r="D12" s="120" t="s">
        <v>118</v>
      </c>
      <c r="E12" s="120">
        <v>2.0</v>
      </c>
      <c r="F12" s="120">
        <v>1192000.0</v>
      </c>
      <c r="G12" s="120">
        <v>50000.0</v>
      </c>
      <c r="H12" s="121" t="s">
        <v>158</v>
      </c>
    </row>
    <row r="13" ht="15.0" customHeight="1">
      <c r="A13" s="118" t="s">
        <v>160</v>
      </c>
      <c r="B13" s="119">
        <v>46259.67009355324</v>
      </c>
      <c r="C13" s="120" t="s">
        <v>10</v>
      </c>
      <c r="D13" s="120" t="s">
        <v>16</v>
      </c>
      <c r="E13" s="120">
        <v>5.0</v>
      </c>
      <c r="F13" s="120">
        <v>1928000.0</v>
      </c>
      <c r="G13" s="120">
        <v>50000.0</v>
      </c>
      <c r="H13" s="121" t="s">
        <v>161</v>
      </c>
    </row>
    <row r="14" ht="15.0" customHeight="1">
      <c r="A14" s="118" t="s">
        <v>162</v>
      </c>
      <c r="B14" s="119">
        <v>46259.65979984953</v>
      </c>
      <c r="C14" s="120" t="s">
        <v>113</v>
      </c>
      <c r="D14" s="120" t="s">
        <v>118</v>
      </c>
      <c r="E14" s="120">
        <v>2.0</v>
      </c>
      <c r="F14" s="120">
        <v>1192000.0</v>
      </c>
      <c r="G14" s="120">
        <v>50000.0</v>
      </c>
      <c r="H14" s="121" t="s">
        <v>158</v>
      </c>
    </row>
    <row r="15" ht="15.0" customHeight="1">
      <c r="A15" s="118" t="s">
        <v>163</v>
      </c>
      <c r="B15" s="119">
        <v>46259.65942017361</v>
      </c>
      <c r="C15" s="120" t="s">
        <v>113</v>
      </c>
      <c r="D15" s="120" t="s">
        <v>118</v>
      </c>
      <c r="E15" s="120">
        <v>2.0</v>
      </c>
      <c r="F15" s="120">
        <v>1192000.0</v>
      </c>
      <c r="G15" s="120">
        <v>50000.0</v>
      </c>
      <c r="H15" s="121" t="s">
        <v>158</v>
      </c>
    </row>
    <row r="16" ht="15.0" customHeight="1">
      <c r="A16" s="118" t="s">
        <v>164</v>
      </c>
      <c r="B16" s="119">
        <v>46259.65444302083</v>
      </c>
      <c r="C16" s="120" t="s">
        <v>113</v>
      </c>
      <c r="D16" s="120" t="s">
        <v>118</v>
      </c>
      <c r="E16" s="120">
        <v>2.0</v>
      </c>
      <c r="F16" s="120">
        <v>1192000.0</v>
      </c>
      <c r="G16" s="120">
        <v>50000.0</v>
      </c>
      <c r="H16" s="121" t="s">
        <v>158</v>
      </c>
    </row>
    <row r="17" ht="15.0" customHeight="1">
      <c r="A17" s="118" t="s">
        <v>165</v>
      </c>
      <c r="B17" s="119">
        <v>46259.65234560185</v>
      </c>
      <c r="C17" s="120" t="s">
        <v>113</v>
      </c>
      <c r="D17" s="120" t="s">
        <v>118</v>
      </c>
      <c r="E17" s="120">
        <v>6.0</v>
      </c>
      <c r="F17" s="120">
        <v>3576000.0</v>
      </c>
      <c r="G17" s="120">
        <v>50000.0</v>
      </c>
      <c r="H17" s="121" t="s">
        <v>166</v>
      </c>
    </row>
    <row r="18" ht="15.0" customHeight="1">
      <c r="A18" s="118" t="s">
        <v>167</v>
      </c>
      <c r="B18" s="119">
        <v>46258.52722048611</v>
      </c>
      <c r="C18" s="120" t="s">
        <v>10</v>
      </c>
      <c r="D18" s="120" t="s">
        <v>16</v>
      </c>
      <c r="E18" s="120">
        <v>1.0</v>
      </c>
      <c r="F18" s="120">
        <v>1080000.0</v>
      </c>
      <c r="G18" s="120">
        <v>50000.0</v>
      </c>
      <c r="H18" s="121" t="s">
        <v>152</v>
      </c>
    </row>
    <row r="19" ht="15.0" customHeight="1">
      <c r="A19" s="118" t="s">
        <v>168</v>
      </c>
      <c r="B19" s="119">
        <v>46257.85716091435</v>
      </c>
      <c r="C19" s="120" t="s">
        <v>10</v>
      </c>
      <c r="D19" s="120" t="s">
        <v>16</v>
      </c>
      <c r="E19" s="120">
        <v>4.0</v>
      </c>
      <c r="F19" s="120">
        <v>1060000.0</v>
      </c>
      <c r="G19" s="120">
        <v>50000.0</v>
      </c>
      <c r="H19" s="121" t="s">
        <v>169</v>
      </c>
    </row>
    <row r="20" ht="15.0" customHeight="1">
      <c r="A20" s="118" t="s">
        <v>170</v>
      </c>
      <c r="B20" s="119">
        <v>46257.82873417824</v>
      </c>
      <c r="C20" s="120" t="s">
        <v>10</v>
      </c>
      <c r="D20" s="120" t="s">
        <v>16</v>
      </c>
      <c r="E20" s="120">
        <v>3.0</v>
      </c>
      <c r="F20" s="120">
        <v>1097000.0</v>
      </c>
      <c r="G20" s="120">
        <v>50000.0</v>
      </c>
      <c r="H20" s="121" t="s">
        <v>171</v>
      </c>
    </row>
    <row r="21" ht="15.0" customHeight="1">
      <c r="A21" s="118" t="s">
        <v>172</v>
      </c>
      <c r="B21" s="119">
        <v>46255.86530818287</v>
      </c>
      <c r="C21" s="120" t="s">
        <v>10</v>
      </c>
      <c r="D21" s="120" t="s">
        <v>16</v>
      </c>
      <c r="E21" s="120">
        <v>3.0</v>
      </c>
      <c r="F21" s="120">
        <v>1223000.0</v>
      </c>
      <c r="G21" s="120">
        <v>50000.0</v>
      </c>
      <c r="H21" s="121" t="s">
        <v>173</v>
      </c>
    </row>
    <row r="22" ht="15.0" customHeight="1">
      <c r="A22" s="118" t="s">
        <v>174</v>
      </c>
      <c r="B22" s="119">
        <v>46255.7161866551</v>
      </c>
      <c r="C22" s="120" t="s">
        <v>10</v>
      </c>
      <c r="D22" s="120" t="s">
        <v>16</v>
      </c>
      <c r="E22" s="120">
        <v>3.0</v>
      </c>
      <c r="F22" s="120">
        <v>1022000.0</v>
      </c>
      <c r="G22" s="120">
        <v>50000.0</v>
      </c>
      <c r="H22" s="121" t="s">
        <v>175</v>
      </c>
    </row>
    <row r="23" ht="15.0" customHeight="1">
      <c r="A23" s="118" t="s">
        <v>176</v>
      </c>
      <c r="B23" s="119">
        <v>46255.31858043982</v>
      </c>
      <c r="C23" s="120" t="s">
        <v>10</v>
      </c>
      <c r="D23" s="120" t="s">
        <v>16</v>
      </c>
      <c r="E23" s="120">
        <v>2.0</v>
      </c>
      <c r="F23" s="120">
        <v>1240000.0</v>
      </c>
      <c r="G23" s="120">
        <v>50000.0</v>
      </c>
      <c r="H23" s="121" t="s">
        <v>177</v>
      </c>
    </row>
    <row r="24" ht="15.0" customHeight="1">
      <c r="A24" s="118" t="s">
        <v>178</v>
      </c>
      <c r="B24" s="119">
        <v>46254.09651076389</v>
      </c>
      <c r="C24" s="120" t="s">
        <v>10</v>
      </c>
      <c r="D24" s="120" t="s">
        <v>11</v>
      </c>
      <c r="E24" s="120">
        <v>6.0</v>
      </c>
      <c r="F24" s="120">
        <v>1029600.0</v>
      </c>
      <c r="G24" s="120">
        <v>50000.0</v>
      </c>
      <c r="H24" s="121" t="s">
        <v>179</v>
      </c>
    </row>
    <row r="25" ht="28.5" customHeight="1">
      <c r="A25" s="118" t="s">
        <v>180</v>
      </c>
      <c r="B25" s="119">
        <v>46252.87685633102</v>
      </c>
      <c r="C25" s="120" t="s">
        <v>10</v>
      </c>
      <c r="D25" s="120" t="s">
        <v>16</v>
      </c>
      <c r="E25" s="120">
        <v>2.0</v>
      </c>
      <c r="F25" s="120">
        <v>1111000.0</v>
      </c>
      <c r="G25" s="120">
        <v>50000.0</v>
      </c>
      <c r="H25" s="121" t="s">
        <v>181</v>
      </c>
    </row>
    <row r="26" ht="42.75" customHeight="1">
      <c r="A26" s="118" t="s">
        <v>182</v>
      </c>
      <c r="B26" s="119">
        <v>46252.68514186343</v>
      </c>
      <c r="C26" s="120" t="s">
        <v>10</v>
      </c>
      <c r="D26" s="120" t="s">
        <v>16</v>
      </c>
      <c r="E26" s="120">
        <v>2.0</v>
      </c>
      <c r="F26" s="120">
        <v>1111000.0</v>
      </c>
      <c r="G26" s="120">
        <v>50000.0</v>
      </c>
      <c r="H26" s="121" t="s">
        <v>181</v>
      </c>
    </row>
    <row r="27" ht="14.25" customHeight="1">
      <c r="A27" s="118" t="s">
        <v>183</v>
      </c>
      <c r="B27" s="119">
        <v>46251.89516269676</v>
      </c>
      <c r="C27" s="120" t="s">
        <v>10</v>
      </c>
      <c r="D27" s="120" t="s">
        <v>26</v>
      </c>
      <c r="E27" s="120">
        <v>3.0</v>
      </c>
      <c r="F27" s="120">
        <v>2226000.0</v>
      </c>
      <c r="G27" s="120">
        <v>50000.0</v>
      </c>
      <c r="H27" s="121" t="s">
        <v>184</v>
      </c>
    </row>
    <row r="28" ht="28.5" customHeight="1">
      <c r="A28" s="118" t="s">
        <v>185</v>
      </c>
      <c r="B28" s="119">
        <v>46250.90793383102</v>
      </c>
      <c r="C28" s="120" t="s">
        <v>10</v>
      </c>
      <c r="D28" s="120" t="s">
        <v>16</v>
      </c>
      <c r="E28" s="120">
        <v>2.0</v>
      </c>
      <c r="F28" s="120">
        <v>1114000.0</v>
      </c>
      <c r="G28" s="120">
        <v>50000.0</v>
      </c>
      <c r="H28" s="121" t="s">
        <v>186</v>
      </c>
    </row>
    <row r="29" ht="28.5" customHeight="1">
      <c r="A29" s="118" t="s">
        <v>187</v>
      </c>
      <c r="B29" s="119">
        <v>46250.71940228009</v>
      </c>
      <c r="C29" s="120" t="s">
        <v>10</v>
      </c>
      <c r="D29" s="120" t="s">
        <v>16</v>
      </c>
      <c r="E29" s="120">
        <v>1.0</v>
      </c>
      <c r="F29" s="120">
        <v>1080000.0</v>
      </c>
      <c r="G29" s="120">
        <v>50000.0</v>
      </c>
      <c r="H29" s="121" t="s">
        <v>152</v>
      </c>
    </row>
    <row r="30" ht="42.75" customHeight="1">
      <c r="A30" s="118" t="s">
        <v>188</v>
      </c>
      <c r="B30" s="119">
        <v>46250.33163020833</v>
      </c>
      <c r="C30" s="120" t="s">
        <v>10</v>
      </c>
      <c r="D30" s="120" t="s">
        <v>27</v>
      </c>
      <c r="E30" s="120">
        <v>3.0</v>
      </c>
      <c r="F30" s="120">
        <v>1011000.0</v>
      </c>
      <c r="G30" s="120">
        <v>50000.0</v>
      </c>
      <c r="H30" s="121" t="s">
        <v>189</v>
      </c>
    </row>
    <row r="31" ht="42.75" customHeight="1">
      <c r="A31" s="118" t="s">
        <v>190</v>
      </c>
      <c r="B31" s="119">
        <v>46250.2188090625</v>
      </c>
      <c r="C31" s="120" t="s">
        <v>10</v>
      </c>
      <c r="D31" s="120" t="s">
        <v>11</v>
      </c>
      <c r="E31" s="120">
        <v>6.0</v>
      </c>
      <c r="F31" s="120">
        <v>1092000.0</v>
      </c>
      <c r="G31" s="120">
        <v>50000.0</v>
      </c>
      <c r="H31" s="121" t="s">
        <v>191</v>
      </c>
    </row>
    <row r="32" ht="72.0" customHeight="1">
      <c r="A32" s="118" t="s">
        <v>192</v>
      </c>
      <c r="B32" s="119">
        <v>46249.73487997685</v>
      </c>
      <c r="C32" s="120" t="s">
        <v>10</v>
      </c>
      <c r="D32" s="120" t="s">
        <v>16</v>
      </c>
      <c r="E32" s="120">
        <v>3.0</v>
      </c>
      <c r="F32" s="120">
        <v>1209000.0</v>
      </c>
      <c r="G32" s="120">
        <v>50000.0</v>
      </c>
      <c r="H32" s="121" t="s">
        <v>193</v>
      </c>
    </row>
    <row r="33" ht="42.75" customHeight="1">
      <c r="A33" s="118" t="s">
        <v>194</v>
      </c>
      <c r="B33" s="119">
        <v>46249.16760887732</v>
      </c>
      <c r="C33" s="120" t="s">
        <v>113</v>
      </c>
      <c r="D33" s="120" t="s">
        <v>117</v>
      </c>
      <c r="E33" s="120">
        <v>2.0</v>
      </c>
      <c r="F33" s="120">
        <v>1320000.0</v>
      </c>
      <c r="G33" s="120">
        <v>50000.0</v>
      </c>
      <c r="H33" s="121" t="s">
        <v>195</v>
      </c>
    </row>
    <row r="34" ht="57.0" customHeight="1">
      <c r="A34" s="118"/>
      <c r="B34" s="119"/>
      <c r="C34" s="120"/>
      <c r="D34" s="120"/>
      <c r="E34" s="120"/>
      <c r="F34" s="120"/>
      <c r="G34" s="120"/>
      <c r="H34" s="121"/>
    </row>
    <row r="35" ht="28.5" customHeight="1">
      <c r="A35" s="118"/>
      <c r="B35" s="119"/>
      <c r="C35" s="120"/>
      <c r="D35" s="120"/>
      <c r="E35" s="120"/>
      <c r="F35" s="120"/>
      <c r="G35" s="120"/>
      <c r="H35" s="121"/>
    </row>
    <row r="36" ht="52.5" customHeight="1">
      <c r="A36" s="114"/>
      <c r="B36" s="115"/>
      <c r="C36" s="116"/>
      <c r="D36" s="116"/>
      <c r="E36" s="116"/>
      <c r="F36" s="116"/>
      <c r="G36" s="116"/>
      <c r="H36" s="117"/>
    </row>
    <row r="37" ht="39.0" customHeight="1">
      <c r="A37" s="114"/>
      <c r="B37" s="115"/>
      <c r="C37" s="116"/>
      <c r="D37" s="116"/>
      <c r="E37" s="116"/>
      <c r="F37" s="116"/>
      <c r="G37" s="116"/>
      <c r="H37" s="117"/>
    </row>
    <row r="38" ht="12.75" customHeight="1">
      <c r="B38" s="116"/>
      <c r="C38" s="116"/>
      <c r="D38" s="116"/>
      <c r="E38" s="116"/>
      <c r="F38" s="116"/>
      <c r="G38" s="116"/>
      <c r="H38" s="117"/>
    </row>
    <row r="39" ht="12.75" customHeight="1">
      <c r="B39" s="116"/>
      <c r="C39" s="116"/>
      <c r="D39" s="116"/>
      <c r="E39" s="116"/>
      <c r="F39" s="116"/>
      <c r="G39" s="116"/>
      <c r="H39" s="117"/>
    </row>
    <row r="40" ht="12.75" customHeight="1">
      <c r="B40" s="116"/>
      <c r="C40" s="116"/>
      <c r="D40" s="116"/>
      <c r="E40" s="116"/>
      <c r="F40" s="116"/>
      <c r="G40" s="116"/>
      <c r="H40" s="117"/>
    </row>
    <row r="41" ht="12.75" customHeight="1">
      <c r="B41" s="116"/>
      <c r="C41" s="116"/>
      <c r="D41" s="116"/>
      <c r="E41" s="116"/>
      <c r="F41" s="116"/>
      <c r="G41" s="116"/>
      <c r="H41" s="117"/>
    </row>
    <row r="42" ht="12.75" customHeight="1">
      <c r="B42" s="116"/>
      <c r="C42" s="116"/>
      <c r="D42" s="116"/>
      <c r="E42" s="116"/>
      <c r="F42" s="116"/>
      <c r="G42" s="116"/>
      <c r="H42" s="117"/>
    </row>
    <row r="43" ht="12.75" customHeight="1">
      <c r="B43" s="116"/>
      <c r="C43" s="116"/>
      <c r="D43" s="116"/>
      <c r="E43" s="116"/>
      <c r="F43" s="116"/>
      <c r="G43" s="116"/>
      <c r="H43" s="117"/>
    </row>
    <row r="44" ht="12.75" customHeight="1">
      <c r="B44" s="116"/>
      <c r="C44" s="116"/>
      <c r="D44" s="116"/>
      <c r="E44" s="116"/>
      <c r="F44" s="116"/>
      <c r="G44" s="116"/>
      <c r="H44" s="117"/>
    </row>
    <row r="45" ht="12.75" customHeight="1">
      <c r="B45" s="116"/>
      <c r="C45" s="116"/>
      <c r="D45" s="116"/>
      <c r="E45" s="116"/>
      <c r="F45" s="116"/>
      <c r="G45" s="116"/>
      <c r="H45" s="117"/>
    </row>
    <row r="46" ht="12.75" customHeight="1">
      <c r="B46" s="116"/>
      <c r="C46" s="116"/>
      <c r="D46" s="116"/>
      <c r="E46" s="116"/>
      <c r="F46" s="116"/>
      <c r="G46" s="116"/>
      <c r="H46" s="117"/>
    </row>
    <row r="47" ht="12.75" customHeight="1">
      <c r="B47" s="116"/>
      <c r="C47" s="116"/>
      <c r="D47" s="116"/>
      <c r="E47" s="116"/>
      <c r="F47" s="116"/>
      <c r="G47" s="116"/>
      <c r="H47" s="117"/>
    </row>
    <row r="48" ht="12.75" customHeight="1">
      <c r="B48" s="116"/>
      <c r="C48" s="116"/>
      <c r="D48" s="116"/>
      <c r="E48" s="116"/>
      <c r="F48" s="116"/>
      <c r="G48" s="116"/>
      <c r="H48" s="117"/>
    </row>
    <row r="49" ht="12.75" customHeight="1">
      <c r="B49" s="116"/>
      <c r="C49" s="116"/>
      <c r="D49" s="116"/>
      <c r="E49" s="116"/>
      <c r="F49" s="116"/>
      <c r="G49" s="116"/>
      <c r="H49" s="117"/>
    </row>
    <row r="50" ht="12.75" customHeight="1">
      <c r="B50" s="116"/>
      <c r="C50" s="116"/>
      <c r="D50" s="116"/>
      <c r="E50" s="116"/>
      <c r="F50" s="116"/>
      <c r="G50" s="116"/>
      <c r="H50" s="117"/>
    </row>
    <row r="51" ht="12.75" customHeight="1">
      <c r="B51" s="116"/>
      <c r="C51" s="116"/>
      <c r="D51" s="116"/>
      <c r="E51" s="116"/>
      <c r="F51" s="116"/>
      <c r="G51" s="116"/>
      <c r="H51" s="117"/>
    </row>
    <row r="52" ht="12.75" customHeight="1">
      <c r="B52" s="116"/>
      <c r="C52" s="116"/>
      <c r="D52" s="116"/>
      <c r="E52" s="116"/>
      <c r="F52" s="116"/>
      <c r="G52" s="116"/>
      <c r="H52" s="117"/>
    </row>
    <row r="53" ht="12.75" customHeight="1">
      <c r="B53" s="116"/>
      <c r="C53" s="116"/>
      <c r="D53" s="116"/>
      <c r="E53" s="116"/>
      <c r="F53" s="116"/>
      <c r="G53" s="116"/>
      <c r="H53" s="117"/>
    </row>
    <row r="54" ht="12.75" customHeight="1">
      <c r="B54" s="116"/>
      <c r="C54" s="116"/>
      <c r="D54" s="116"/>
      <c r="E54" s="116"/>
      <c r="F54" s="116"/>
      <c r="G54" s="116"/>
      <c r="H54" s="117"/>
    </row>
    <row r="55" ht="12.75" customHeight="1">
      <c r="B55" s="116"/>
      <c r="C55" s="116"/>
      <c r="D55" s="116"/>
      <c r="E55" s="116"/>
      <c r="F55" s="116"/>
      <c r="G55" s="116"/>
      <c r="H55" s="117"/>
    </row>
    <row r="56" ht="12.75" customHeight="1">
      <c r="B56" s="116"/>
      <c r="C56" s="116"/>
      <c r="D56" s="116"/>
      <c r="E56" s="116"/>
      <c r="F56" s="116"/>
      <c r="G56" s="116"/>
      <c r="H56" s="117"/>
    </row>
    <row r="57" ht="12.75" customHeight="1">
      <c r="B57" s="116"/>
      <c r="C57" s="116"/>
      <c r="D57" s="116"/>
      <c r="E57" s="116"/>
      <c r="F57" s="116"/>
      <c r="G57" s="116"/>
      <c r="H57" s="117"/>
    </row>
    <row r="58" ht="12.75" customHeight="1">
      <c r="B58" s="116"/>
      <c r="C58" s="116"/>
      <c r="D58" s="116"/>
      <c r="E58" s="116"/>
      <c r="F58" s="116"/>
      <c r="G58" s="116"/>
      <c r="H58" s="117"/>
    </row>
    <row r="59" ht="12.75" customHeight="1">
      <c r="B59" s="116"/>
      <c r="C59" s="116"/>
      <c r="D59" s="116"/>
      <c r="E59" s="116"/>
      <c r="F59" s="116"/>
      <c r="G59" s="116"/>
      <c r="H59" s="117"/>
    </row>
    <row r="60" ht="12.75" customHeight="1">
      <c r="B60" s="116"/>
      <c r="C60" s="116"/>
      <c r="D60" s="116"/>
      <c r="E60" s="116"/>
      <c r="F60" s="116"/>
      <c r="G60" s="116"/>
      <c r="H60" s="117"/>
    </row>
    <row r="61" ht="12.75" customHeight="1">
      <c r="B61" s="116"/>
      <c r="C61" s="116"/>
      <c r="D61" s="116"/>
      <c r="E61" s="116"/>
      <c r="F61" s="116"/>
      <c r="G61" s="116"/>
      <c r="H61" s="117"/>
    </row>
    <row r="62" ht="12.75" customHeight="1">
      <c r="B62" s="116"/>
      <c r="C62" s="116"/>
      <c r="D62" s="116"/>
      <c r="E62" s="116"/>
      <c r="F62" s="116"/>
      <c r="G62" s="116"/>
      <c r="H62" s="117"/>
    </row>
    <row r="63" ht="12.75" customHeight="1">
      <c r="B63" s="116"/>
      <c r="C63" s="116"/>
      <c r="D63" s="116"/>
      <c r="E63" s="116"/>
      <c r="F63" s="116"/>
      <c r="G63" s="116"/>
      <c r="H63" s="117"/>
    </row>
    <row r="64" ht="12.75" customHeight="1">
      <c r="B64" s="116"/>
      <c r="C64" s="116"/>
      <c r="D64" s="116"/>
      <c r="E64" s="116"/>
      <c r="F64" s="116"/>
      <c r="G64" s="116"/>
      <c r="H64" s="117"/>
    </row>
    <row r="65" ht="12.75" customHeight="1">
      <c r="B65" s="116"/>
      <c r="C65" s="116"/>
      <c r="D65" s="116"/>
      <c r="E65" s="116"/>
      <c r="F65" s="116"/>
      <c r="G65" s="116"/>
      <c r="H65" s="117"/>
    </row>
    <row r="66" ht="12.75" customHeight="1">
      <c r="B66" s="116"/>
      <c r="C66" s="116"/>
      <c r="D66" s="116"/>
      <c r="E66" s="116"/>
      <c r="F66" s="116"/>
      <c r="G66" s="116"/>
      <c r="H66" s="117"/>
    </row>
    <row r="67" ht="12.75" customHeight="1">
      <c r="B67" s="116"/>
      <c r="C67" s="116"/>
      <c r="D67" s="116"/>
      <c r="E67" s="116"/>
      <c r="F67" s="116"/>
      <c r="G67" s="116"/>
      <c r="H67" s="117"/>
    </row>
    <row r="68" ht="12.75" customHeight="1">
      <c r="B68" s="116"/>
      <c r="C68" s="116"/>
      <c r="D68" s="116"/>
      <c r="E68" s="116"/>
      <c r="F68" s="116"/>
      <c r="G68" s="116"/>
      <c r="H68" s="117"/>
    </row>
    <row r="69" ht="12.75" customHeight="1">
      <c r="B69" s="116"/>
      <c r="C69" s="116"/>
      <c r="D69" s="116"/>
      <c r="E69" s="116"/>
      <c r="F69" s="116"/>
      <c r="G69" s="116"/>
      <c r="H69" s="117"/>
    </row>
    <row r="70" ht="12.75" customHeight="1">
      <c r="B70" s="116"/>
      <c r="C70" s="116"/>
      <c r="D70" s="116"/>
      <c r="E70" s="116"/>
      <c r="F70" s="116"/>
      <c r="G70" s="116"/>
      <c r="H70" s="117"/>
    </row>
    <row r="71" ht="12.75" customHeight="1">
      <c r="B71" s="116"/>
      <c r="C71" s="116"/>
      <c r="D71" s="116"/>
      <c r="E71" s="116"/>
      <c r="F71" s="116"/>
      <c r="G71" s="116"/>
      <c r="H71" s="117"/>
    </row>
    <row r="72" ht="12.75" customHeight="1">
      <c r="B72" s="116"/>
      <c r="C72" s="116"/>
      <c r="D72" s="116"/>
      <c r="E72" s="116"/>
      <c r="F72" s="116"/>
      <c r="G72" s="116"/>
      <c r="H72" s="117"/>
    </row>
    <row r="73" ht="12.75" customHeight="1">
      <c r="B73" s="116"/>
      <c r="C73" s="116"/>
      <c r="D73" s="116"/>
      <c r="E73" s="116"/>
      <c r="F73" s="116"/>
      <c r="G73" s="116"/>
      <c r="H73" s="117"/>
    </row>
    <row r="74" ht="12.75" customHeight="1">
      <c r="B74" s="116"/>
      <c r="C74" s="116"/>
      <c r="D74" s="116"/>
      <c r="E74" s="116"/>
      <c r="F74" s="116"/>
      <c r="G74" s="116"/>
      <c r="H74" s="117"/>
    </row>
    <row r="75" ht="12.75" customHeight="1">
      <c r="B75" s="116"/>
      <c r="C75" s="116"/>
      <c r="D75" s="116"/>
      <c r="E75" s="116"/>
      <c r="F75" s="116"/>
      <c r="G75" s="116"/>
      <c r="H75" s="117"/>
    </row>
    <row r="76" ht="12.75" customHeight="1">
      <c r="B76" s="116"/>
      <c r="C76" s="116"/>
      <c r="D76" s="116"/>
      <c r="E76" s="116"/>
      <c r="F76" s="116"/>
      <c r="G76" s="116"/>
      <c r="H76" s="117"/>
    </row>
    <row r="77" ht="12.75" customHeight="1">
      <c r="B77" s="116"/>
      <c r="C77" s="116"/>
      <c r="D77" s="116"/>
      <c r="E77" s="116"/>
      <c r="F77" s="116"/>
      <c r="G77" s="116"/>
      <c r="H77" s="117"/>
    </row>
    <row r="78" ht="12.75" customHeight="1">
      <c r="B78" s="116"/>
      <c r="C78" s="116"/>
      <c r="D78" s="116"/>
      <c r="E78" s="116"/>
      <c r="F78" s="116"/>
      <c r="G78" s="116"/>
      <c r="H78" s="117"/>
    </row>
    <row r="79" ht="12.75" customHeight="1">
      <c r="B79" s="116"/>
      <c r="C79" s="116"/>
      <c r="D79" s="116"/>
      <c r="E79" s="116"/>
      <c r="F79" s="116"/>
      <c r="G79" s="116"/>
      <c r="H79" s="117"/>
    </row>
    <row r="80" ht="12.75" customHeight="1">
      <c r="B80" s="116"/>
      <c r="C80" s="116"/>
      <c r="D80" s="116"/>
      <c r="E80" s="116"/>
      <c r="F80" s="116"/>
      <c r="G80" s="116"/>
      <c r="H80" s="117"/>
    </row>
    <row r="81" ht="12.75" customHeight="1">
      <c r="B81" s="116"/>
      <c r="C81" s="116"/>
      <c r="D81" s="116"/>
      <c r="E81" s="116"/>
      <c r="F81" s="116"/>
      <c r="G81" s="116"/>
      <c r="H81" s="117"/>
    </row>
    <row r="82" ht="12.75" customHeight="1">
      <c r="B82" s="116"/>
      <c r="C82" s="116"/>
      <c r="D82" s="116"/>
      <c r="E82" s="116"/>
      <c r="F82" s="116"/>
      <c r="G82" s="116"/>
      <c r="H82" s="117"/>
    </row>
    <row r="83" ht="12.75" customHeight="1">
      <c r="B83" s="116"/>
      <c r="C83" s="116"/>
      <c r="D83" s="116"/>
      <c r="E83" s="116"/>
      <c r="F83" s="116"/>
      <c r="G83" s="116"/>
      <c r="H83" s="117"/>
    </row>
    <row r="84" ht="12.75" customHeight="1">
      <c r="B84" s="116"/>
      <c r="C84" s="116"/>
      <c r="D84" s="116"/>
      <c r="E84" s="116"/>
      <c r="F84" s="116"/>
      <c r="G84" s="116"/>
      <c r="H84" s="117"/>
    </row>
    <row r="85" ht="12.75" customHeight="1">
      <c r="B85" s="116"/>
      <c r="C85" s="116"/>
      <c r="D85" s="116"/>
      <c r="E85" s="116"/>
      <c r="F85" s="116"/>
      <c r="G85" s="116"/>
      <c r="H85" s="117"/>
    </row>
    <row r="86" ht="12.75" customHeight="1">
      <c r="B86" s="116"/>
      <c r="C86" s="116"/>
      <c r="D86" s="116"/>
      <c r="E86" s="116"/>
      <c r="F86" s="116"/>
      <c r="G86" s="116"/>
      <c r="H86" s="117"/>
    </row>
    <row r="87" ht="12.75" customHeight="1">
      <c r="B87" s="116"/>
      <c r="C87" s="116"/>
      <c r="D87" s="116"/>
      <c r="E87" s="116"/>
      <c r="F87" s="116"/>
      <c r="G87" s="116"/>
      <c r="H87" s="117"/>
    </row>
    <row r="88" ht="12.75" customHeight="1">
      <c r="B88" s="116"/>
      <c r="C88" s="116"/>
      <c r="D88" s="116"/>
      <c r="E88" s="116"/>
      <c r="F88" s="116"/>
      <c r="G88" s="116"/>
      <c r="H88" s="117"/>
    </row>
    <row r="89" ht="12.75" customHeight="1">
      <c r="B89" s="116"/>
      <c r="C89" s="116"/>
      <c r="D89" s="116"/>
      <c r="E89" s="116"/>
      <c r="F89" s="116"/>
      <c r="G89" s="116"/>
      <c r="H89" s="117"/>
    </row>
    <row r="90" ht="12.75" customHeight="1">
      <c r="B90" s="116"/>
      <c r="C90" s="116"/>
      <c r="D90" s="116"/>
      <c r="E90" s="116"/>
      <c r="F90" s="116"/>
      <c r="G90" s="116"/>
      <c r="H90" s="117"/>
    </row>
    <row r="91" ht="12.75" customHeight="1">
      <c r="B91" s="116"/>
      <c r="C91" s="116"/>
      <c r="D91" s="116"/>
      <c r="E91" s="116"/>
      <c r="F91" s="116"/>
      <c r="G91" s="116"/>
      <c r="H91" s="117"/>
    </row>
    <row r="92" ht="12.75" customHeight="1">
      <c r="B92" s="116"/>
      <c r="C92" s="116"/>
      <c r="D92" s="116"/>
      <c r="E92" s="116"/>
      <c r="F92" s="116"/>
      <c r="G92" s="116"/>
      <c r="H92" s="117"/>
    </row>
    <row r="93" ht="12.75" customHeight="1">
      <c r="B93" s="116"/>
      <c r="C93" s="116"/>
      <c r="D93" s="116"/>
      <c r="E93" s="116"/>
      <c r="F93" s="116"/>
      <c r="G93" s="116"/>
      <c r="H93" s="117"/>
    </row>
    <row r="94" ht="12.75" customHeight="1">
      <c r="B94" s="116"/>
      <c r="C94" s="116"/>
      <c r="D94" s="116"/>
      <c r="E94" s="116"/>
      <c r="F94" s="116"/>
      <c r="G94" s="116"/>
      <c r="H94" s="117"/>
    </row>
    <row r="95" ht="12.75" customHeight="1">
      <c r="B95" s="116"/>
      <c r="C95" s="116"/>
      <c r="D95" s="116"/>
      <c r="E95" s="116"/>
      <c r="F95" s="116"/>
      <c r="G95" s="116"/>
      <c r="H95" s="117"/>
    </row>
    <row r="96" ht="12.75" customHeight="1">
      <c r="B96" s="116"/>
      <c r="C96" s="116"/>
      <c r="D96" s="116"/>
      <c r="E96" s="116"/>
      <c r="F96" s="116"/>
      <c r="G96" s="116"/>
      <c r="H96" s="117"/>
    </row>
    <row r="97" ht="12.75" customHeight="1">
      <c r="B97" s="116"/>
      <c r="C97" s="116"/>
      <c r="D97" s="116"/>
      <c r="E97" s="116"/>
      <c r="F97" s="116"/>
      <c r="G97" s="116"/>
      <c r="H97" s="117"/>
    </row>
    <row r="98" ht="12.75" customHeight="1">
      <c r="B98" s="116"/>
      <c r="C98" s="116"/>
      <c r="D98" s="116"/>
      <c r="E98" s="116"/>
      <c r="F98" s="116"/>
      <c r="G98" s="116"/>
      <c r="H98" s="117"/>
    </row>
    <row r="99" ht="12.75" customHeight="1">
      <c r="B99" s="116"/>
      <c r="C99" s="116"/>
      <c r="D99" s="116"/>
      <c r="E99" s="116"/>
      <c r="F99" s="116"/>
      <c r="G99" s="116"/>
      <c r="H99" s="117"/>
    </row>
    <row r="100" ht="12.75" customHeight="1">
      <c r="B100" s="116"/>
      <c r="C100" s="116"/>
      <c r="D100" s="116"/>
      <c r="E100" s="116"/>
      <c r="F100" s="116"/>
      <c r="G100" s="116"/>
      <c r="H100" s="117"/>
    </row>
    <row r="101" ht="12.75" customHeight="1">
      <c r="B101" s="116"/>
      <c r="C101" s="116"/>
      <c r="D101" s="116"/>
      <c r="E101" s="116"/>
      <c r="F101" s="116"/>
      <c r="G101" s="116"/>
      <c r="H101" s="117"/>
    </row>
    <row r="102" ht="12.75" customHeight="1">
      <c r="B102" s="116"/>
      <c r="C102" s="116"/>
      <c r="D102" s="116"/>
      <c r="E102" s="116"/>
      <c r="F102" s="116"/>
      <c r="G102" s="116"/>
      <c r="H102" s="117"/>
    </row>
    <row r="103" ht="12.75" customHeight="1">
      <c r="B103" s="116"/>
      <c r="C103" s="116"/>
      <c r="D103" s="116"/>
      <c r="E103" s="116"/>
      <c r="F103" s="116"/>
      <c r="G103" s="116"/>
      <c r="H103" s="117"/>
    </row>
    <row r="104" ht="12.75" customHeight="1">
      <c r="B104" s="116"/>
      <c r="C104" s="116"/>
      <c r="D104" s="116"/>
      <c r="E104" s="116"/>
      <c r="F104" s="116"/>
      <c r="G104" s="116"/>
      <c r="H104" s="117"/>
    </row>
    <row r="105" ht="12.75" customHeight="1">
      <c r="B105" s="116"/>
      <c r="C105" s="116"/>
      <c r="D105" s="116"/>
      <c r="E105" s="116"/>
      <c r="F105" s="116"/>
      <c r="G105" s="116"/>
      <c r="H105" s="117"/>
    </row>
    <row r="106" ht="12.75" customHeight="1">
      <c r="B106" s="116"/>
      <c r="C106" s="116"/>
      <c r="D106" s="116"/>
      <c r="E106" s="116"/>
      <c r="F106" s="116"/>
      <c r="G106" s="116"/>
      <c r="H106" s="117"/>
    </row>
    <row r="107" ht="12.75" customHeight="1">
      <c r="B107" s="116"/>
      <c r="C107" s="116"/>
      <c r="D107" s="116"/>
      <c r="E107" s="116"/>
      <c r="F107" s="116"/>
      <c r="G107" s="116"/>
      <c r="H107" s="117"/>
    </row>
    <row r="108" ht="12.75" customHeight="1">
      <c r="B108" s="116"/>
      <c r="C108" s="116"/>
      <c r="D108" s="116"/>
      <c r="E108" s="116"/>
      <c r="F108" s="116"/>
      <c r="G108" s="116"/>
      <c r="H108" s="117"/>
    </row>
    <row r="109" ht="12.75" customHeight="1">
      <c r="B109" s="116"/>
      <c r="C109" s="116"/>
      <c r="D109" s="116"/>
      <c r="E109" s="116"/>
      <c r="F109" s="116"/>
      <c r="G109" s="116"/>
      <c r="H109" s="117"/>
    </row>
    <row r="110" ht="12.75" customHeight="1">
      <c r="B110" s="116"/>
      <c r="C110" s="116"/>
      <c r="D110" s="116"/>
      <c r="E110" s="116"/>
      <c r="F110" s="116"/>
      <c r="G110" s="116"/>
      <c r="H110" s="117"/>
    </row>
    <row r="111" ht="12.75" customHeight="1">
      <c r="B111" s="116"/>
      <c r="C111" s="116"/>
      <c r="D111" s="116"/>
      <c r="E111" s="116"/>
      <c r="F111" s="116"/>
      <c r="G111" s="116"/>
      <c r="H111" s="117"/>
    </row>
    <row r="112" ht="12.75" customHeight="1">
      <c r="B112" s="116"/>
      <c r="C112" s="116"/>
      <c r="D112" s="116"/>
      <c r="E112" s="116"/>
      <c r="F112" s="116"/>
      <c r="G112" s="116"/>
      <c r="H112" s="117"/>
    </row>
    <row r="113" ht="12.75" customHeight="1">
      <c r="B113" s="116"/>
      <c r="C113" s="116"/>
      <c r="D113" s="116"/>
      <c r="E113" s="116"/>
      <c r="F113" s="116"/>
      <c r="G113" s="116"/>
      <c r="H113" s="117"/>
    </row>
    <row r="114" ht="12.75" customHeight="1">
      <c r="B114" s="116"/>
      <c r="C114" s="116"/>
      <c r="D114" s="116"/>
      <c r="E114" s="116"/>
      <c r="F114" s="116"/>
      <c r="G114" s="116"/>
      <c r="H114" s="117"/>
    </row>
    <row r="115" ht="12.75" customHeight="1">
      <c r="B115" s="116"/>
      <c r="C115" s="116"/>
      <c r="D115" s="116"/>
      <c r="E115" s="116"/>
      <c r="F115" s="116"/>
      <c r="G115" s="116"/>
      <c r="H115" s="117"/>
    </row>
    <row r="116" ht="12.75" customHeight="1">
      <c r="B116" s="116"/>
      <c r="C116" s="116"/>
      <c r="D116" s="116"/>
      <c r="E116" s="116"/>
      <c r="F116" s="116"/>
      <c r="G116" s="116"/>
      <c r="H116" s="117"/>
    </row>
    <row r="117" ht="12.75" customHeight="1">
      <c r="B117" s="116"/>
      <c r="C117" s="116"/>
      <c r="D117" s="116"/>
      <c r="E117" s="116"/>
      <c r="F117" s="116"/>
      <c r="G117" s="116"/>
      <c r="H117" s="117"/>
    </row>
    <row r="118" ht="12.75" customHeight="1">
      <c r="B118" s="116"/>
      <c r="C118" s="116"/>
      <c r="D118" s="116"/>
      <c r="E118" s="116"/>
      <c r="F118" s="116"/>
      <c r="G118" s="116"/>
      <c r="H118" s="117"/>
    </row>
    <row r="119" ht="12.75" customHeight="1">
      <c r="B119" s="116"/>
      <c r="C119" s="116"/>
      <c r="D119" s="116"/>
      <c r="E119" s="116"/>
      <c r="F119" s="116"/>
      <c r="G119" s="116"/>
      <c r="H119" s="117"/>
    </row>
    <row r="120" ht="12.75" customHeight="1">
      <c r="B120" s="116"/>
      <c r="C120" s="116"/>
      <c r="D120" s="116"/>
      <c r="E120" s="116"/>
      <c r="F120" s="116"/>
      <c r="G120" s="116"/>
      <c r="H120" s="117"/>
    </row>
    <row r="121" ht="12.75" customHeight="1">
      <c r="B121" s="116"/>
      <c r="C121" s="116"/>
      <c r="D121" s="116"/>
      <c r="E121" s="116"/>
      <c r="F121" s="116"/>
      <c r="G121" s="116"/>
      <c r="H121" s="117"/>
    </row>
    <row r="122" ht="12.75" customHeight="1">
      <c r="B122" s="116"/>
      <c r="C122" s="116"/>
      <c r="D122" s="116"/>
      <c r="E122" s="116"/>
      <c r="F122" s="116"/>
      <c r="G122" s="116"/>
      <c r="H122" s="117"/>
    </row>
    <row r="123" ht="12.75" customHeight="1">
      <c r="B123" s="116"/>
      <c r="C123" s="116"/>
      <c r="D123" s="116"/>
      <c r="E123" s="116"/>
      <c r="F123" s="116"/>
      <c r="G123" s="116"/>
      <c r="H123" s="117"/>
    </row>
    <row r="124" ht="12.75" customHeight="1">
      <c r="B124" s="116"/>
      <c r="C124" s="116"/>
      <c r="D124" s="116"/>
      <c r="E124" s="116"/>
      <c r="F124" s="116"/>
      <c r="G124" s="116"/>
      <c r="H124" s="117"/>
    </row>
    <row r="125" ht="12.75" customHeight="1">
      <c r="B125" s="116"/>
      <c r="C125" s="116"/>
      <c r="D125" s="116"/>
      <c r="E125" s="116"/>
      <c r="F125" s="116"/>
      <c r="G125" s="116"/>
      <c r="H125" s="117"/>
    </row>
    <row r="126" ht="12.75" customHeight="1">
      <c r="B126" s="116"/>
      <c r="C126" s="116"/>
      <c r="D126" s="116"/>
      <c r="E126" s="116"/>
      <c r="F126" s="116"/>
      <c r="G126" s="116"/>
      <c r="H126" s="117"/>
    </row>
    <row r="127" ht="12.75" customHeight="1">
      <c r="B127" s="116"/>
      <c r="C127" s="116"/>
      <c r="D127" s="116"/>
      <c r="E127" s="116"/>
      <c r="F127" s="116"/>
      <c r="G127" s="116"/>
      <c r="H127" s="117"/>
    </row>
    <row r="128" ht="12.75" customHeight="1">
      <c r="B128" s="116"/>
      <c r="C128" s="116"/>
      <c r="D128" s="116"/>
      <c r="E128" s="116"/>
      <c r="F128" s="116"/>
      <c r="G128" s="116"/>
      <c r="H128" s="117"/>
    </row>
    <row r="129" ht="12.75" customHeight="1">
      <c r="B129" s="116"/>
      <c r="C129" s="116"/>
      <c r="D129" s="116"/>
      <c r="E129" s="116"/>
      <c r="F129" s="116"/>
      <c r="G129" s="116"/>
      <c r="H129" s="117"/>
    </row>
    <row r="130" ht="12.75" customHeight="1">
      <c r="B130" s="116"/>
      <c r="C130" s="116"/>
      <c r="D130" s="116"/>
      <c r="E130" s="116"/>
      <c r="F130" s="116"/>
      <c r="G130" s="116"/>
      <c r="H130" s="117"/>
    </row>
    <row r="131" ht="12.75" customHeight="1">
      <c r="B131" s="116"/>
      <c r="C131" s="116"/>
      <c r="D131" s="116"/>
      <c r="E131" s="116"/>
      <c r="F131" s="116"/>
      <c r="G131" s="116"/>
      <c r="H131" s="117"/>
    </row>
    <row r="132" ht="12.75" customHeight="1">
      <c r="B132" s="116"/>
      <c r="C132" s="116"/>
      <c r="D132" s="116"/>
      <c r="E132" s="116"/>
      <c r="F132" s="116"/>
      <c r="G132" s="116"/>
      <c r="H132" s="117"/>
    </row>
    <row r="133" ht="12.75" customHeight="1">
      <c r="B133" s="116"/>
      <c r="C133" s="116"/>
      <c r="D133" s="116"/>
      <c r="E133" s="116"/>
      <c r="F133" s="116"/>
      <c r="G133" s="116"/>
      <c r="H133" s="117"/>
    </row>
    <row r="134" ht="12.75" customHeight="1">
      <c r="B134" s="116"/>
      <c r="C134" s="116"/>
      <c r="D134" s="116"/>
      <c r="E134" s="116"/>
      <c r="F134" s="116"/>
      <c r="G134" s="116"/>
      <c r="H134" s="117"/>
    </row>
    <row r="135" ht="12.75" customHeight="1">
      <c r="B135" s="116"/>
      <c r="C135" s="116"/>
      <c r="D135" s="116"/>
      <c r="E135" s="116"/>
      <c r="F135" s="116"/>
      <c r="G135" s="116"/>
      <c r="H135" s="117"/>
    </row>
    <row r="136" ht="12.75" customHeight="1">
      <c r="B136" s="116"/>
      <c r="C136" s="116"/>
      <c r="D136" s="116"/>
      <c r="E136" s="116"/>
      <c r="F136" s="116"/>
      <c r="G136" s="116"/>
      <c r="H136" s="117"/>
    </row>
    <row r="137" ht="12.75" customHeight="1">
      <c r="B137" s="116"/>
      <c r="C137" s="116"/>
      <c r="D137" s="116"/>
      <c r="E137" s="116"/>
      <c r="F137" s="116"/>
      <c r="G137" s="116"/>
      <c r="H137" s="117"/>
    </row>
    <row r="138" ht="12.75" customHeight="1">
      <c r="B138" s="116"/>
      <c r="C138" s="116"/>
      <c r="D138" s="116"/>
      <c r="E138" s="116"/>
      <c r="F138" s="116"/>
      <c r="G138" s="116"/>
      <c r="H138" s="117"/>
    </row>
    <row r="139" ht="12.75" customHeight="1">
      <c r="B139" s="116"/>
      <c r="C139" s="116"/>
      <c r="D139" s="116"/>
      <c r="E139" s="116"/>
      <c r="F139" s="116"/>
      <c r="G139" s="116"/>
      <c r="H139" s="117"/>
    </row>
    <row r="140" ht="12.75" customHeight="1">
      <c r="B140" s="116"/>
      <c r="C140" s="116"/>
      <c r="D140" s="116"/>
      <c r="E140" s="116"/>
      <c r="F140" s="116"/>
      <c r="G140" s="116"/>
      <c r="H140" s="117"/>
    </row>
    <row r="141" ht="12.75" customHeight="1">
      <c r="B141" s="116"/>
      <c r="C141" s="116"/>
      <c r="D141" s="116"/>
      <c r="E141" s="116"/>
      <c r="F141" s="116"/>
      <c r="G141" s="116"/>
      <c r="H141" s="117"/>
    </row>
    <row r="142" ht="12.75" customHeight="1">
      <c r="B142" s="116"/>
      <c r="C142" s="116"/>
      <c r="D142" s="116"/>
      <c r="E142" s="116"/>
      <c r="F142" s="116"/>
      <c r="G142" s="116"/>
      <c r="H142" s="117"/>
    </row>
    <row r="143" ht="12.75" customHeight="1">
      <c r="B143" s="116"/>
      <c r="C143" s="116"/>
      <c r="D143" s="116"/>
      <c r="E143" s="116"/>
      <c r="F143" s="116"/>
      <c r="G143" s="116"/>
      <c r="H143" s="117"/>
    </row>
    <row r="144" ht="12.75" customHeight="1">
      <c r="B144" s="116"/>
      <c r="C144" s="116"/>
      <c r="D144" s="116"/>
      <c r="E144" s="116"/>
      <c r="F144" s="116"/>
      <c r="G144" s="116"/>
      <c r="H144" s="117"/>
    </row>
    <row r="145" ht="12.75" customHeight="1">
      <c r="B145" s="116"/>
      <c r="C145" s="116"/>
      <c r="D145" s="116"/>
      <c r="E145" s="116"/>
      <c r="F145" s="116"/>
      <c r="G145" s="116"/>
      <c r="H145" s="117"/>
    </row>
    <row r="146" ht="12.75" customHeight="1">
      <c r="B146" s="116"/>
      <c r="C146" s="116"/>
      <c r="D146" s="116"/>
      <c r="E146" s="116"/>
      <c r="F146" s="116"/>
      <c r="G146" s="116"/>
      <c r="H146" s="117"/>
    </row>
    <row r="147" ht="12.75" customHeight="1">
      <c r="B147" s="116"/>
      <c r="C147" s="116"/>
      <c r="D147" s="116"/>
      <c r="E147" s="116"/>
      <c r="F147" s="116"/>
      <c r="G147" s="116"/>
      <c r="H147" s="117"/>
    </row>
    <row r="148" ht="12.75" customHeight="1">
      <c r="B148" s="116"/>
      <c r="C148" s="116"/>
      <c r="D148" s="116"/>
      <c r="E148" s="116"/>
      <c r="F148" s="116"/>
      <c r="G148" s="116"/>
      <c r="H148" s="117"/>
    </row>
    <row r="149" ht="12.75" customHeight="1">
      <c r="B149" s="116"/>
      <c r="C149" s="116"/>
      <c r="D149" s="116"/>
      <c r="E149" s="116"/>
      <c r="F149" s="116"/>
      <c r="G149" s="116"/>
      <c r="H149" s="117"/>
    </row>
    <row r="150" ht="12.75" customHeight="1">
      <c r="B150" s="116"/>
      <c r="C150" s="116"/>
      <c r="D150" s="116"/>
      <c r="E150" s="116"/>
      <c r="F150" s="116"/>
      <c r="G150" s="116"/>
      <c r="H150" s="117"/>
    </row>
    <row r="151" ht="12.75" customHeight="1">
      <c r="B151" s="116"/>
      <c r="C151" s="116"/>
      <c r="D151" s="116"/>
      <c r="E151" s="116"/>
      <c r="F151" s="116"/>
      <c r="G151" s="116"/>
      <c r="H151" s="117"/>
    </row>
    <row r="152" ht="12.75" customHeight="1">
      <c r="B152" s="116"/>
      <c r="C152" s="116"/>
      <c r="D152" s="116"/>
      <c r="E152" s="116"/>
      <c r="F152" s="116"/>
      <c r="G152" s="116"/>
      <c r="H152" s="117"/>
    </row>
    <row r="153" ht="12.75" customHeight="1">
      <c r="B153" s="116"/>
      <c r="C153" s="116"/>
      <c r="D153" s="116"/>
      <c r="E153" s="116"/>
      <c r="F153" s="116"/>
      <c r="G153" s="116"/>
      <c r="H153" s="117"/>
    </row>
    <row r="154" ht="12.75" customHeight="1">
      <c r="B154" s="116"/>
      <c r="C154" s="116"/>
      <c r="D154" s="116"/>
      <c r="E154" s="116"/>
      <c r="F154" s="116"/>
      <c r="G154" s="116"/>
      <c r="H154" s="117"/>
    </row>
    <row r="155" ht="12.75" customHeight="1">
      <c r="B155" s="116"/>
      <c r="C155" s="116"/>
      <c r="D155" s="116"/>
      <c r="E155" s="116"/>
      <c r="F155" s="116"/>
      <c r="G155" s="116"/>
      <c r="H155" s="117"/>
    </row>
    <row r="156" ht="12.75" customHeight="1">
      <c r="B156" s="116"/>
      <c r="C156" s="116"/>
      <c r="D156" s="116"/>
      <c r="E156" s="116"/>
      <c r="F156" s="116"/>
      <c r="G156" s="116"/>
      <c r="H156" s="117"/>
    </row>
    <row r="157" ht="12.75" customHeight="1">
      <c r="B157" s="116"/>
      <c r="C157" s="116"/>
      <c r="D157" s="116"/>
      <c r="E157" s="116"/>
      <c r="F157" s="116"/>
      <c r="G157" s="116"/>
      <c r="H157" s="117"/>
    </row>
    <row r="158" ht="12.75" customHeight="1">
      <c r="B158" s="116"/>
      <c r="C158" s="116"/>
      <c r="D158" s="116"/>
      <c r="E158" s="116"/>
      <c r="F158" s="116"/>
      <c r="G158" s="116"/>
      <c r="H158" s="117"/>
    </row>
    <row r="159" ht="12.75" customHeight="1">
      <c r="B159" s="116"/>
      <c r="C159" s="116"/>
      <c r="D159" s="116"/>
      <c r="E159" s="116"/>
      <c r="F159" s="116"/>
      <c r="G159" s="116"/>
      <c r="H159" s="117"/>
    </row>
    <row r="160" ht="12.75" customHeight="1">
      <c r="B160" s="116"/>
      <c r="C160" s="116"/>
      <c r="D160" s="116"/>
      <c r="E160" s="116"/>
      <c r="F160" s="116"/>
      <c r="G160" s="116"/>
      <c r="H160" s="117"/>
    </row>
    <row r="161" ht="12.75" customHeight="1">
      <c r="B161" s="116"/>
      <c r="C161" s="116"/>
      <c r="D161" s="116"/>
      <c r="E161" s="116"/>
      <c r="F161" s="116"/>
      <c r="G161" s="116"/>
      <c r="H161" s="117"/>
    </row>
    <row r="162" ht="12.75" customHeight="1">
      <c r="B162" s="116"/>
      <c r="C162" s="116"/>
      <c r="D162" s="116"/>
      <c r="E162" s="116"/>
      <c r="F162" s="116"/>
      <c r="G162" s="116"/>
      <c r="H162" s="117"/>
    </row>
    <row r="163" ht="12.75" customHeight="1">
      <c r="B163" s="116"/>
      <c r="C163" s="116"/>
      <c r="D163" s="116"/>
      <c r="E163" s="116"/>
      <c r="F163" s="116"/>
      <c r="G163" s="116"/>
      <c r="H163" s="117"/>
    </row>
    <row r="164" ht="12.75" customHeight="1">
      <c r="B164" s="116"/>
      <c r="C164" s="116"/>
      <c r="D164" s="116"/>
      <c r="E164" s="116"/>
      <c r="F164" s="116"/>
      <c r="G164" s="116"/>
      <c r="H164" s="117"/>
    </row>
    <row r="165" ht="12.75" customHeight="1">
      <c r="B165" s="116"/>
      <c r="C165" s="116"/>
      <c r="D165" s="116"/>
      <c r="E165" s="116"/>
      <c r="F165" s="116"/>
      <c r="G165" s="116"/>
      <c r="H165" s="117"/>
    </row>
    <row r="166" ht="12.75" customHeight="1">
      <c r="B166" s="116"/>
      <c r="C166" s="116"/>
      <c r="D166" s="116"/>
      <c r="E166" s="116"/>
      <c r="F166" s="116"/>
      <c r="G166" s="116"/>
      <c r="H166" s="117"/>
    </row>
    <row r="167" ht="12.75" customHeight="1">
      <c r="B167" s="116"/>
      <c r="C167" s="116"/>
      <c r="D167" s="116"/>
      <c r="E167" s="116"/>
      <c r="F167" s="116"/>
      <c r="G167" s="116"/>
      <c r="H167" s="117"/>
    </row>
    <row r="168" ht="12.75" customHeight="1">
      <c r="B168" s="116"/>
      <c r="C168" s="116"/>
      <c r="D168" s="116"/>
      <c r="E168" s="116"/>
      <c r="F168" s="116"/>
      <c r="G168" s="116"/>
      <c r="H168" s="117"/>
    </row>
    <row r="169" ht="12.75" customHeight="1">
      <c r="B169" s="116"/>
      <c r="C169" s="116"/>
      <c r="D169" s="116"/>
      <c r="E169" s="116"/>
      <c r="F169" s="116"/>
      <c r="G169" s="116"/>
      <c r="H169" s="117"/>
    </row>
    <row r="170" ht="12.75" customHeight="1">
      <c r="B170" s="116"/>
      <c r="C170" s="116"/>
      <c r="D170" s="116"/>
      <c r="E170" s="116"/>
      <c r="F170" s="116"/>
      <c r="G170" s="116"/>
      <c r="H170" s="117"/>
    </row>
    <row r="171" ht="12.75" customHeight="1">
      <c r="B171" s="116"/>
      <c r="C171" s="116"/>
      <c r="D171" s="116"/>
      <c r="E171" s="116"/>
      <c r="F171" s="116"/>
      <c r="G171" s="116"/>
      <c r="H171" s="117"/>
    </row>
    <row r="172" ht="12.75" customHeight="1">
      <c r="B172" s="116"/>
      <c r="C172" s="116"/>
      <c r="D172" s="116"/>
      <c r="E172" s="116"/>
      <c r="F172" s="116"/>
      <c r="G172" s="116"/>
      <c r="H172" s="117"/>
    </row>
    <row r="173" ht="12.75" customHeight="1">
      <c r="B173" s="116"/>
      <c r="C173" s="116"/>
      <c r="D173" s="116"/>
      <c r="E173" s="116"/>
      <c r="F173" s="116"/>
      <c r="G173" s="116"/>
      <c r="H173" s="117"/>
    </row>
    <row r="174" ht="12.75" customHeight="1">
      <c r="B174" s="116"/>
      <c r="C174" s="116"/>
      <c r="D174" s="116"/>
      <c r="E174" s="116"/>
      <c r="F174" s="116"/>
      <c r="G174" s="116"/>
      <c r="H174" s="117"/>
    </row>
    <row r="175" ht="12.75" customHeight="1">
      <c r="B175" s="116"/>
      <c r="C175" s="116"/>
      <c r="D175" s="116"/>
      <c r="E175" s="116"/>
      <c r="F175" s="116"/>
      <c r="G175" s="116"/>
      <c r="H175" s="117"/>
    </row>
    <row r="176" ht="12.75" customHeight="1">
      <c r="B176" s="116"/>
      <c r="C176" s="116"/>
      <c r="D176" s="116"/>
      <c r="E176" s="116"/>
      <c r="F176" s="116"/>
      <c r="G176" s="116"/>
      <c r="H176" s="117"/>
    </row>
    <row r="177" ht="12.75" customHeight="1">
      <c r="B177" s="116"/>
      <c r="C177" s="116"/>
      <c r="D177" s="116"/>
      <c r="E177" s="116"/>
      <c r="F177" s="116"/>
      <c r="G177" s="116"/>
      <c r="H177" s="117"/>
    </row>
    <row r="178" ht="12.75" customHeight="1">
      <c r="B178" s="116"/>
      <c r="C178" s="116"/>
      <c r="D178" s="116"/>
      <c r="E178" s="116"/>
      <c r="F178" s="116"/>
      <c r="G178" s="116"/>
      <c r="H178" s="117"/>
    </row>
    <row r="179" ht="12.75" customHeight="1">
      <c r="B179" s="116"/>
      <c r="C179" s="116"/>
      <c r="D179" s="116"/>
      <c r="E179" s="116"/>
      <c r="F179" s="116"/>
      <c r="G179" s="116"/>
      <c r="H179" s="117"/>
    </row>
    <row r="180" ht="12.75" customHeight="1">
      <c r="B180" s="116"/>
      <c r="C180" s="116"/>
      <c r="D180" s="116"/>
      <c r="E180" s="116"/>
      <c r="F180" s="116"/>
      <c r="G180" s="116"/>
      <c r="H180" s="117"/>
    </row>
    <row r="181" ht="12.75" customHeight="1">
      <c r="B181" s="116"/>
      <c r="C181" s="116"/>
      <c r="D181" s="116"/>
      <c r="E181" s="116"/>
      <c r="F181" s="116"/>
      <c r="G181" s="116"/>
      <c r="H181" s="117"/>
    </row>
    <row r="182" ht="12.75" customHeight="1">
      <c r="B182" s="116"/>
      <c r="C182" s="116"/>
      <c r="D182" s="116"/>
      <c r="E182" s="116"/>
      <c r="F182" s="116"/>
      <c r="G182" s="116"/>
      <c r="H182" s="117"/>
    </row>
    <row r="183" ht="12.75" customHeight="1">
      <c r="B183" s="116"/>
      <c r="C183" s="116"/>
      <c r="D183" s="116"/>
      <c r="E183" s="116"/>
      <c r="F183" s="116"/>
      <c r="G183" s="116"/>
      <c r="H183" s="117"/>
    </row>
    <row r="184" ht="12.75" customHeight="1">
      <c r="B184" s="116"/>
      <c r="C184" s="116"/>
      <c r="D184" s="116"/>
      <c r="E184" s="116"/>
      <c r="F184" s="116"/>
      <c r="G184" s="116"/>
      <c r="H184" s="117"/>
    </row>
    <row r="185" ht="12.75" customHeight="1">
      <c r="B185" s="116"/>
      <c r="C185" s="116"/>
      <c r="D185" s="116"/>
      <c r="E185" s="116"/>
      <c r="F185" s="116"/>
      <c r="G185" s="116"/>
      <c r="H185" s="117"/>
    </row>
    <row r="186" ht="12.75" customHeight="1">
      <c r="B186" s="116"/>
      <c r="C186" s="116"/>
      <c r="D186" s="116"/>
      <c r="E186" s="116"/>
      <c r="F186" s="116"/>
      <c r="G186" s="116"/>
      <c r="H186" s="117"/>
    </row>
    <row r="187" ht="12.75" customHeight="1">
      <c r="B187" s="116"/>
      <c r="C187" s="116"/>
      <c r="D187" s="116"/>
      <c r="E187" s="116"/>
      <c r="F187" s="116"/>
      <c r="G187" s="116"/>
      <c r="H187" s="117"/>
    </row>
    <row r="188" ht="12.75" customHeight="1">
      <c r="B188" s="116"/>
      <c r="C188" s="116"/>
      <c r="D188" s="116"/>
      <c r="E188" s="116"/>
      <c r="F188" s="116"/>
      <c r="G188" s="116"/>
      <c r="H188" s="117"/>
    </row>
    <row r="189" ht="12.75" customHeight="1">
      <c r="B189" s="116"/>
      <c r="C189" s="116"/>
      <c r="D189" s="116"/>
      <c r="E189" s="116"/>
      <c r="F189" s="116"/>
      <c r="G189" s="116"/>
      <c r="H189" s="117"/>
    </row>
    <row r="190" ht="12.75" customHeight="1">
      <c r="B190" s="116"/>
      <c r="C190" s="116"/>
      <c r="D190" s="116"/>
      <c r="E190" s="116"/>
      <c r="F190" s="116"/>
      <c r="G190" s="116"/>
      <c r="H190" s="117"/>
    </row>
    <row r="191" ht="12.75" customHeight="1">
      <c r="B191" s="116"/>
      <c r="C191" s="116"/>
      <c r="D191" s="116"/>
      <c r="E191" s="116"/>
      <c r="F191" s="116"/>
      <c r="G191" s="116"/>
      <c r="H191" s="117"/>
    </row>
    <row r="192" ht="12.75" customHeight="1">
      <c r="B192" s="116"/>
      <c r="C192" s="116"/>
      <c r="D192" s="116"/>
      <c r="E192" s="116"/>
      <c r="F192" s="116"/>
      <c r="G192" s="116"/>
      <c r="H192" s="117"/>
    </row>
    <row r="193" ht="12.75" customHeight="1">
      <c r="B193" s="116"/>
      <c r="C193" s="116"/>
      <c r="D193" s="116"/>
      <c r="E193" s="116"/>
      <c r="F193" s="116"/>
      <c r="G193" s="116"/>
      <c r="H193" s="117"/>
    </row>
    <row r="194" ht="12.75" customHeight="1">
      <c r="B194" s="116"/>
      <c r="C194" s="116"/>
      <c r="D194" s="116"/>
      <c r="E194" s="116"/>
      <c r="F194" s="116"/>
      <c r="G194" s="116"/>
      <c r="H194" s="117"/>
    </row>
    <row r="195" ht="12.75" customHeight="1">
      <c r="B195" s="116"/>
      <c r="C195" s="116"/>
      <c r="D195" s="116"/>
      <c r="E195" s="116"/>
      <c r="F195" s="116"/>
      <c r="G195" s="116"/>
      <c r="H195" s="117"/>
    </row>
    <row r="196" ht="12.75" customHeight="1">
      <c r="B196" s="116"/>
      <c r="C196" s="116"/>
      <c r="D196" s="116"/>
      <c r="E196" s="116"/>
      <c r="F196" s="116"/>
      <c r="G196" s="116"/>
      <c r="H196" s="117"/>
    </row>
    <row r="197" ht="12.75" customHeight="1">
      <c r="B197" s="116"/>
      <c r="C197" s="116"/>
      <c r="D197" s="116"/>
      <c r="E197" s="116"/>
      <c r="F197" s="116"/>
      <c r="G197" s="116"/>
      <c r="H197" s="117"/>
    </row>
    <row r="198" ht="12.75" customHeight="1">
      <c r="B198" s="116"/>
      <c r="C198" s="116"/>
      <c r="D198" s="116"/>
      <c r="E198" s="116"/>
      <c r="F198" s="116"/>
      <c r="G198" s="116"/>
      <c r="H198" s="117"/>
    </row>
    <row r="199" ht="12.75" customHeight="1">
      <c r="B199" s="116"/>
      <c r="C199" s="116"/>
      <c r="D199" s="116"/>
      <c r="E199" s="116"/>
      <c r="F199" s="116"/>
      <c r="G199" s="116"/>
      <c r="H199" s="117"/>
    </row>
    <row r="200" ht="12.75" customHeight="1">
      <c r="B200" s="116"/>
      <c r="C200" s="116"/>
      <c r="D200" s="116"/>
      <c r="E200" s="116"/>
      <c r="F200" s="116"/>
      <c r="G200" s="116"/>
      <c r="H200" s="117"/>
    </row>
    <row r="201" ht="12.75" customHeight="1">
      <c r="B201" s="116"/>
      <c r="C201" s="116"/>
      <c r="D201" s="116"/>
      <c r="E201" s="116"/>
      <c r="F201" s="116"/>
      <c r="G201" s="116"/>
      <c r="H201" s="117"/>
    </row>
    <row r="202" ht="12.75" customHeight="1">
      <c r="B202" s="116"/>
      <c r="C202" s="116"/>
      <c r="D202" s="116"/>
      <c r="E202" s="116"/>
      <c r="F202" s="116"/>
      <c r="G202" s="116"/>
      <c r="H202" s="117"/>
    </row>
    <row r="203" ht="12.75" customHeight="1">
      <c r="B203" s="116"/>
      <c r="C203" s="116"/>
      <c r="D203" s="116"/>
      <c r="E203" s="116"/>
      <c r="F203" s="116"/>
      <c r="G203" s="116"/>
      <c r="H203" s="117"/>
    </row>
    <row r="204" ht="12.75" customHeight="1">
      <c r="B204" s="116"/>
      <c r="C204" s="116"/>
      <c r="D204" s="116"/>
      <c r="E204" s="116"/>
      <c r="F204" s="116"/>
      <c r="G204" s="116"/>
      <c r="H204" s="117"/>
    </row>
    <row r="205" ht="12.75" customHeight="1">
      <c r="B205" s="116"/>
      <c r="C205" s="116"/>
      <c r="D205" s="116"/>
      <c r="E205" s="116"/>
      <c r="F205" s="116"/>
      <c r="G205" s="116"/>
      <c r="H205" s="117"/>
    </row>
    <row r="206" ht="12.75" customHeight="1">
      <c r="B206" s="116"/>
      <c r="C206" s="116"/>
      <c r="D206" s="116"/>
      <c r="E206" s="116"/>
      <c r="F206" s="116"/>
      <c r="G206" s="116"/>
      <c r="H206" s="117"/>
    </row>
    <row r="207" ht="12.75" customHeight="1">
      <c r="B207" s="116"/>
      <c r="C207" s="116"/>
      <c r="D207" s="116"/>
      <c r="E207" s="116"/>
      <c r="F207" s="116"/>
      <c r="G207" s="116"/>
      <c r="H207" s="117"/>
    </row>
    <row r="208" ht="12.75" customHeight="1">
      <c r="B208" s="116"/>
      <c r="C208" s="116"/>
      <c r="D208" s="116"/>
      <c r="E208" s="116"/>
      <c r="F208" s="116"/>
      <c r="G208" s="116"/>
      <c r="H208" s="117"/>
    </row>
    <row r="209" ht="12.75" customHeight="1">
      <c r="B209" s="116"/>
      <c r="C209" s="116"/>
      <c r="D209" s="116"/>
      <c r="E209" s="116"/>
      <c r="F209" s="116"/>
      <c r="G209" s="116"/>
      <c r="H209" s="117"/>
    </row>
    <row r="210" ht="12.75" customHeight="1">
      <c r="B210" s="116"/>
      <c r="C210" s="116"/>
      <c r="D210" s="116"/>
      <c r="E210" s="116"/>
      <c r="F210" s="116"/>
      <c r="G210" s="116"/>
      <c r="H210" s="117"/>
    </row>
    <row r="211" ht="12.75" customHeight="1">
      <c r="B211" s="116"/>
      <c r="C211" s="116"/>
      <c r="D211" s="116"/>
      <c r="E211" s="116"/>
      <c r="F211" s="116"/>
      <c r="G211" s="116"/>
      <c r="H211" s="117"/>
    </row>
    <row r="212" ht="12.75" customHeight="1">
      <c r="B212" s="116"/>
      <c r="C212" s="116"/>
      <c r="D212" s="116"/>
      <c r="E212" s="116"/>
      <c r="F212" s="116"/>
      <c r="G212" s="116"/>
      <c r="H212" s="117"/>
    </row>
    <row r="213" ht="12.75" customHeight="1">
      <c r="B213" s="116"/>
      <c r="C213" s="116"/>
      <c r="D213" s="116"/>
      <c r="E213" s="116"/>
      <c r="F213" s="116"/>
      <c r="G213" s="116"/>
      <c r="H213" s="117"/>
    </row>
    <row r="214" ht="12.75" customHeight="1">
      <c r="B214" s="116"/>
      <c r="C214" s="116"/>
      <c r="D214" s="116"/>
      <c r="E214" s="116"/>
      <c r="F214" s="116"/>
      <c r="G214" s="116"/>
      <c r="H214" s="117"/>
    </row>
    <row r="215" ht="12.75" customHeight="1">
      <c r="B215" s="116"/>
      <c r="C215" s="116"/>
      <c r="D215" s="116"/>
      <c r="E215" s="116"/>
      <c r="F215" s="116"/>
      <c r="G215" s="116"/>
      <c r="H215" s="117"/>
    </row>
    <row r="216" ht="12.75" customHeight="1">
      <c r="B216" s="116"/>
      <c r="C216" s="116"/>
      <c r="D216" s="116"/>
      <c r="E216" s="116"/>
      <c r="F216" s="116"/>
      <c r="G216" s="116"/>
      <c r="H216" s="117"/>
    </row>
    <row r="217" ht="12.75" customHeight="1">
      <c r="B217" s="116"/>
      <c r="C217" s="116"/>
      <c r="D217" s="116"/>
      <c r="E217" s="116"/>
      <c r="F217" s="116"/>
      <c r="G217" s="116"/>
      <c r="H217" s="117"/>
    </row>
    <row r="218" ht="12.75" customHeight="1">
      <c r="B218" s="116"/>
      <c r="C218" s="116"/>
      <c r="D218" s="116"/>
      <c r="E218" s="116"/>
      <c r="F218" s="116"/>
      <c r="G218" s="116"/>
      <c r="H218" s="117"/>
    </row>
    <row r="219" ht="12.75" customHeight="1">
      <c r="B219" s="116"/>
      <c r="C219" s="116"/>
      <c r="D219" s="116"/>
      <c r="E219" s="116"/>
      <c r="F219" s="116"/>
      <c r="G219" s="116"/>
      <c r="H219" s="117"/>
    </row>
    <row r="220" ht="12.75" customHeight="1">
      <c r="B220" s="116"/>
      <c r="C220" s="116"/>
      <c r="D220" s="116"/>
      <c r="E220" s="116"/>
      <c r="F220" s="116"/>
      <c r="G220" s="116"/>
      <c r="H220" s="117"/>
    </row>
    <row r="221" ht="12.75" customHeight="1">
      <c r="B221" s="116"/>
      <c r="C221" s="116"/>
      <c r="D221" s="116"/>
      <c r="E221" s="116"/>
      <c r="F221" s="116"/>
      <c r="G221" s="116"/>
      <c r="H221" s="117"/>
    </row>
    <row r="222" ht="12.75" customHeight="1">
      <c r="B222" s="116"/>
      <c r="C222" s="116"/>
      <c r="D222" s="116"/>
      <c r="E222" s="116"/>
      <c r="F222" s="116"/>
      <c r="G222" s="116"/>
      <c r="H222" s="117"/>
    </row>
    <row r="223" ht="12.75" customHeight="1">
      <c r="B223" s="116"/>
      <c r="C223" s="116"/>
      <c r="D223" s="116"/>
      <c r="E223" s="116"/>
      <c r="F223" s="116"/>
      <c r="G223" s="116"/>
      <c r="H223" s="117"/>
    </row>
    <row r="224" ht="12.75" customHeight="1">
      <c r="B224" s="116"/>
      <c r="C224" s="116"/>
      <c r="D224" s="116"/>
      <c r="E224" s="116"/>
      <c r="F224" s="116"/>
      <c r="G224" s="116"/>
      <c r="H224" s="117"/>
    </row>
    <row r="225" ht="12.75" customHeight="1">
      <c r="B225" s="116"/>
      <c r="C225" s="116"/>
      <c r="D225" s="116"/>
      <c r="E225" s="116"/>
      <c r="F225" s="116"/>
      <c r="G225" s="116"/>
      <c r="H225" s="117"/>
    </row>
    <row r="226" ht="12.75" customHeight="1">
      <c r="B226" s="116"/>
      <c r="C226" s="116"/>
      <c r="D226" s="116"/>
      <c r="E226" s="116"/>
      <c r="F226" s="116"/>
      <c r="G226" s="116"/>
      <c r="H226" s="117"/>
    </row>
    <row r="227" ht="12.75" customHeight="1">
      <c r="B227" s="116"/>
      <c r="C227" s="116"/>
      <c r="D227" s="116"/>
      <c r="E227" s="116"/>
      <c r="F227" s="116"/>
      <c r="G227" s="116"/>
      <c r="H227" s="117"/>
    </row>
    <row r="228" ht="12.75" customHeight="1">
      <c r="B228" s="116"/>
      <c r="C228" s="116"/>
      <c r="D228" s="116"/>
      <c r="E228" s="116"/>
      <c r="F228" s="116"/>
      <c r="G228" s="116"/>
      <c r="H228" s="117"/>
    </row>
    <row r="229" ht="12.75" customHeight="1">
      <c r="B229" s="116"/>
      <c r="C229" s="116"/>
      <c r="D229" s="116"/>
      <c r="E229" s="116"/>
      <c r="F229" s="116"/>
      <c r="G229" s="116"/>
      <c r="H229" s="117"/>
    </row>
    <row r="230" ht="12.75" customHeight="1">
      <c r="B230" s="116"/>
      <c r="C230" s="116"/>
      <c r="D230" s="116"/>
      <c r="E230" s="116"/>
      <c r="F230" s="116"/>
      <c r="G230" s="116"/>
      <c r="H230" s="117"/>
    </row>
    <row r="231" ht="12.75" customHeight="1">
      <c r="B231" s="116"/>
      <c r="C231" s="116"/>
      <c r="D231" s="116"/>
      <c r="E231" s="116"/>
      <c r="F231" s="116"/>
      <c r="G231" s="116"/>
      <c r="H231" s="117"/>
    </row>
    <row r="232" ht="12.75" customHeight="1">
      <c r="B232" s="116"/>
      <c r="C232" s="116"/>
      <c r="D232" s="116"/>
      <c r="E232" s="116"/>
      <c r="F232" s="116"/>
      <c r="G232" s="116"/>
      <c r="H232" s="117"/>
    </row>
    <row r="233" ht="12.75" customHeight="1">
      <c r="B233" s="116"/>
      <c r="C233" s="116"/>
      <c r="D233" s="116"/>
      <c r="E233" s="116"/>
      <c r="F233" s="116"/>
      <c r="G233" s="116"/>
      <c r="H233" s="117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7"/>
  <printOptions/>
  <pageMargins bottom="0.75" footer="0.0" header="0.0" left="0.7" right="0.7" top="0.75"/>
  <pageSetup orientation="landscape"/>
  <drawing r:id="rId1"/>
</worksheet>
</file>