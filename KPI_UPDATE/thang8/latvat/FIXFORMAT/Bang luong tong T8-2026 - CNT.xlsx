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6440" tabRatio="855" firstSheet="0" activeTab="0" autoFilterDateGrouping="1"/>
  </bookViews>
  <sheets>
    <sheet name="BẢNG CC" sheetId="1" state="visible" r:id="rId1"/>
    <sheet name="Med Service" sheetId="2" state="visible" r:id="rId2"/>
    <sheet name="CNT" sheetId="3" state="visible" r:id="rId3"/>
    <sheet name="TTCK VP " sheetId="4" state="visible" r:id="rId4"/>
    <sheet name="TTCK CNT" sheetId="5" state="visible" r:id="rId5"/>
    <sheet name="PL MDG" sheetId="6" state="hidden" r:id="rId6"/>
    <sheet name="Bản sao của PL MDG" sheetId="7" state="hidden" r:id="rId7"/>
    <sheet name="PL MED" sheetId="8" state="hidden" r:id="rId8"/>
    <sheet name="PL CNT" sheetId="9" state="hidden" r:id="rId9"/>
    <sheet name="TT CK LƯƠNG" sheetId="10" state="hidden" r:id="rId10"/>
    <sheet name="TT CK CNT" sheetId="11" state="hidden" r:id="rId11"/>
    <sheet name="CTVKHO - Bảng lương chi tiết" sheetId="12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'BẢNG CC'!$A$6:$AR$668</definedName>
    <definedName name="_xlnm._FilterDatabase" localSheetId="2" hidden="1">'CNT'!$A$4:$AT$81</definedName>
    <definedName name="_xlnm._FilterDatabase" localSheetId="4" hidden="1">'TTCK CNT'!$A$1:$I$91</definedName>
    <definedName name="_xlnm._FilterDatabase" localSheetId="9" hidden="1">'TT CK LƯƠNG'!$B$1:$Y$1</definedName>
  </definedNames>
  <calcPr calcId="191029" fullCalcOnLoad="1"/>
</workbook>
</file>

<file path=xl/styles.xml><?xml version="1.0" encoding="utf-8"?>
<styleSheet xmlns="http://schemas.openxmlformats.org/spreadsheetml/2006/main">
  <numFmts count="22">
    <numFmt numFmtId="164" formatCode="#,##0\ [$đ-42A]"/>
    <numFmt numFmtId="165" formatCode="_-* #,##0\ _₫_-;\-* #,##0\ _₫_-;_-* &quot;-&quot;??\ _₫_-;_-@"/>
    <numFmt numFmtId="166" formatCode="_-* #,##0_-;\-* #,##0_-;_-* &quot;-&quot;??_-;_-@"/>
    <numFmt numFmtId="167" formatCode="_(* #,##0_);_(* \(#,##0\);_(* &quot;-&quot;??_);_(@_)"/>
    <numFmt numFmtId="168" formatCode="00"/>
    <numFmt numFmtId="169" formatCode="_-* #,##0_-;\-* #,##0_-;_-* &quot;-&quot;??_-;_-@_-"/>
    <numFmt numFmtId="170" formatCode="_(* #,##0.0_);_(* \(#,##0.0\);_(* &quot;-&quot;?_);_(@_)"/>
    <numFmt numFmtId="171" formatCode="dd"/>
    <numFmt numFmtId="172" formatCode="_(* #,##0.0_);_(* \(#,##0.0\);_(* &quot;-&quot;??_);_(@_)"/>
    <numFmt numFmtId="173" formatCode="#,##0.00\ &quot;₫&quot;"/>
    <numFmt numFmtId="174" formatCode="#,##0.00000000"/>
    <numFmt numFmtId="175" formatCode="#,##0.0"/>
    <numFmt numFmtId="176" formatCode="_(* #,##0.00_);_(* \(#,##0.00\);_(* &quot;-&quot;??.00_);_(@_)"/>
    <numFmt numFmtId="177" formatCode="#,##0.0000000"/>
    <numFmt numFmtId="178" formatCode="_-* #,##0.00\ _₫_-;\-* #,##0.00\ _₫_-;_-* &quot;-&quot;??\ _₫_-;_-@"/>
    <numFmt numFmtId="179" formatCode="_-* #,##0.000_-;\-* #,##0.000_-;_-* &quot;-&quot;??_-;_-@_-"/>
    <numFmt numFmtId="180" formatCode="_-* #,##0.0_-;\-* #,##0.0_-;_-* &quot;-&quot;??_-;_-@_-"/>
    <numFmt numFmtId="181" formatCode="_-* #,##0.00_-;\-* #,##0.00_-;_-* &quot;-&quot;??_-;_-@_-"/>
    <numFmt numFmtId="182" formatCode="&quot;$&quot;#,##0.00"/>
    <numFmt numFmtId="183" formatCode="0_);\(0\)"/>
    <numFmt numFmtId="184" formatCode="#,##0.000"/>
    <numFmt numFmtId="185" formatCode="yyyy-mm-dd h:mm:ss"/>
  </numFmts>
  <fonts count="140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sz val="11"/>
    </font>
    <font>
      <name val="Cambria"/>
      <charset val="134"/>
      <color theme="1"/>
      <sz val="10"/>
    </font>
    <font>
      <name val="Calibri"/>
      <charset val="134"/>
      <color theme="1"/>
      <sz val="11"/>
    </font>
    <font>
      <name val="Times New Roman"/>
      <charset val="134"/>
      <b val="1"/>
      <color rgb="FF000000"/>
      <sz val="10"/>
    </font>
    <font>
      <name val="Times New Roman"/>
      <charset val="134"/>
      <b val="1"/>
      <color theme="1"/>
      <sz val="10"/>
    </font>
    <font>
      <name val="Times New Roman"/>
      <charset val="134"/>
      <color theme="1"/>
      <sz val="10"/>
    </font>
    <font>
      <name val="Times New Roman"/>
      <charset val="134"/>
      <color rgb="FF000000"/>
      <sz val="10"/>
    </font>
    <font>
      <name val="Times New Roman"/>
      <charset val="134"/>
      <b val="1"/>
      <color rgb="FFFF0000"/>
      <sz val="10"/>
    </font>
    <font>
      <name val="Times New Roman"/>
      <charset val="134"/>
      <b val="1"/>
      <color rgb="FF0000FF"/>
      <sz val="10"/>
    </font>
    <font>
      <name val="Times New Roman"/>
      <charset val="134"/>
      <color theme="1"/>
      <sz val="11"/>
    </font>
    <font>
      <name val="Times New Roman"/>
      <charset val="134"/>
      <b val="1"/>
      <color rgb="FFFF0000"/>
      <sz val="11"/>
    </font>
    <font>
      <name val="Times New Roman"/>
      <charset val="134"/>
      <b val="1"/>
      <color theme="1"/>
      <sz val="11"/>
    </font>
    <font>
      <name val="Times New Roman"/>
      <charset val="134"/>
      <color rgb="FFFF0000"/>
      <sz val="10"/>
    </font>
    <font>
      <name val="Times New Roman"/>
      <charset val="134"/>
      <b val="1"/>
      <color theme="1"/>
      <sz val="13"/>
    </font>
    <font>
      <name val="Times New Roman"/>
      <charset val="134"/>
      <color theme="1"/>
      <sz val="13"/>
    </font>
    <font>
      <name val="Times New Roman"/>
      <charset val="134"/>
      <b val="1"/>
      <color rgb="FFFF0000"/>
      <sz val="13"/>
    </font>
    <font>
      <name val="Times New Roman"/>
      <charset val="134"/>
      <b val="1"/>
      <color theme="1"/>
      <sz val="18"/>
    </font>
    <font>
      <name val="Arial"/>
      <charset val="134"/>
      <b val="1"/>
      <color theme="1"/>
      <sz val="13"/>
    </font>
    <font>
      <name val="Calibri"/>
      <charset val="134"/>
      <color theme="1"/>
      <sz val="11"/>
      <scheme val="minor"/>
    </font>
    <font>
      <name val="Arial"/>
      <charset val="134"/>
      <b val="1"/>
      <color rgb="FFFF0000"/>
      <sz val="10"/>
    </font>
    <font>
      <name val="Arial"/>
      <charset val="134"/>
      <b val="1"/>
      <color theme="1"/>
      <sz val="10"/>
    </font>
    <font>
      <name val="Calibri"/>
      <charset val="134"/>
      <b val="1"/>
      <color theme="1"/>
      <sz val="11"/>
      <scheme val="minor"/>
    </font>
    <font>
      <name val="Arial"/>
      <charset val="134"/>
      <color theme="1"/>
      <sz val="10"/>
    </font>
    <font>
      <name val="Times New Roman"/>
      <charset val="134"/>
      <b val="1"/>
      <color theme="1"/>
      <sz val="16"/>
    </font>
    <font>
      <name val="Times New Roman"/>
      <charset val="134"/>
      <color theme="1"/>
      <sz val="12"/>
    </font>
    <font>
      <name val="Times New Roman"/>
      <charset val="134"/>
      <b val="1"/>
      <sz val="12"/>
    </font>
    <font>
      <name val="Times New Roman"/>
      <charset val="134"/>
      <sz val="12"/>
    </font>
    <font>
      <name val="Times New Roman"/>
      <charset val="134"/>
      <b val="1"/>
      <color rgb="FFFF0000"/>
      <sz val="12"/>
    </font>
    <font>
      <name val="Arial"/>
      <charset val="134"/>
      <b val="1"/>
      <color rgb="FF000000"/>
      <sz val="10"/>
    </font>
    <font>
      <name val="Arial"/>
      <charset val="134"/>
      <color rgb="FF000000"/>
      <sz val="10"/>
    </font>
    <font>
      <name val="Calibri"/>
      <charset val="134"/>
      <color rgb="FF000000"/>
      <sz val="11"/>
    </font>
    <font>
      <name val="Calibri"/>
      <charset val="134"/>
      <color theme="1"/>
      <sz val="10"/>
      <scheme val="minor"/>
    </font>
    <font>
      <name val="Times New Roman"/>
      <charset val="134"/>
      <b val="1"/>
      <color theme="1"/>
      <sz val="12"/>
    </font>
    <font>
      <name val="Times New Roman"/>
      <charset val="134"/>
      <i val="1"/>
      <color theme="1"/>
      <sz val="10"/>
    </font>
    <font>
      <name val="Times New Roman"/>
      <charset val="134"/>
      <b val="1"/>
      <sz val="10"/>
    </font>
    <font>
      <name val="Times New Roman"/>
      <charset val="134"/>
      <sz val="10"/>
    </font>
    <font>
      <name val="Times New Roman"/>
      <charset val="134"/>
      <color rgb="FF434343"/>
      <sz val="10"/>
    </font>
    <font>
      <name val="Times New Roman"/>
      <charset val="134"/>
      <color rgb="FF5A3286"/>
      <sz val="10"/>
    </font>
    <font>
      <name val="Times New Roman"/>
      <charset val="134"/>
      <sz val="11"/>
    </font>
    <font>
      <name val="Times New Roman"/>
      <charset val="134"/>
      <color rgb="FFFF66FF"/>
      <sz val="11"/>
    </font>
    <font>
      <name val="Times New Roman"/>
      <charset val="134"/>
      <color rgb="FFFF00FF"/>
      <sz val="11"/>
    </font>
    <font>
      <name val="Roboto"/>
      <charset val="134"/>
      <color rgb="FF434343"/>
      <sz val="10"/>
    </font>
    <font>
      <name val="Times New Roman"/>
      <charset val="134"/>
      <b val="1"/>
      <color rgb="FF081B3A"/>
      <sz val="11"/>
    </font>
    <font>
      <name val="Times New Roman"/>
      <charset val="134"/>
      <color rgb="FF081B3A"/>
      <sz val="11"/>
    </font>
    <font>
      <name val="Calibri"/>
      <charset val="134"/>
      <color rgb="FFFF6699"/>
      <sz val="11"/>
      <scheme val="minor"/>
    </font>
    <font>
      <name val="Calibri"/>
      <charset val="134"/>
      <sz val="11"/>
      <scheme val="minor"/>
    </font>
    <font>
      <name val="Times New Roman"/>
      <charset val="134"/>
      <b val="1"/>
      <color rgb="FF000000"/>
      <sz val="16"/>
    </font>
    <font>
      <name val="Times New Roman"/>
      <charset val="134"/>
      <color rgb="FF000000"/>
      <sz val="11"/>
    </font>
    <font>
      <name val="Times New Roman"/>
      <charset val="134"/>
      <color rgb="FF000000"/>
      <sz val="12"/>
    </font>
    <font>
      <name val="Times New Roman"/>
      <charset val="134"/>
      <b val="1"/>
      <color rgb="FF000000"/>
      <sz val="13"/>
    </font>
    <font>
      <name val="Times New Roman"/>
      <charset val="134"/>
      <color rgb="FF000000"/>
      <sz val="13"/>
    </font>
    <font>
      <name val="Times New Roman"/>
      <charset val="134"/>
      <color rgb="FFC00000"/>
      <sz val="11"/>
    </font>
    <font>
      <name val="Times"/>
      <charset val="134"/>
      <b val="1"/>
      <color theme="1"/>
      <sz val="10"/>
    </font>
    <font>
      <name val="Times New Roman"/>
      <charset val="134"/>
      <color rgb="FFFF6699"/>
      <sz val="10"/>
    </font>
    <font>
      <name val="Times New Roman"/>
      <charset val="134"/>
      <color rgb="FFFF6699"/>
      <sz val="12"/>
    </font>
    <font>
      <name val="Times New Roman"/>
      <charset val="134"/>
      <b val="1"/>
      <color rgb="FFFF6699"/>
      <sz val="10"/>
    </font>
    <font>
      <name val="Times New Roman"/>
      <charset val="134"/>
      <color rgb="FFFF6699"/>
      <sz val="11"/>
    </font>
    <font>
      <name val="Times New Roman"/>
      <charset val="134"/>
      <sz val="12"/>
    </font>
    <font>
      <name val="Times New Roman"/>
      <charset val="134"/>
      <sz val="13"/>
    </font>
    <font>
      <name val="Arial"/>
      <charset val="134"/>
      <color rgb="FF1F1F1F"/>
      <sz val="10"/>
    </font>
    <font>
      <name val="Arial"/>
      <charset val="134"/>
      <color theme="1"/>
      <sz val="11"/>
    </font>
    <font>
      <name val="Arial"/>
      <charset val="134"/>
      <color rgb="FF5E5E5E"/>
      <sz val="10"/>
    </font>
    <font>
      <name val="Docs-Roboto"/>
      <charset val="134"/>
      <color rgb="FF434343"/>
      <sz val="10"/>
    </font>
    <font>
      <name val="Times New Roman"/>
      <charset val="134"/>
      <b val="1"/>
      <color rgb="FFC00000"/>
      <sz val="12"/>
    </font>
    <font>
      <name val="Calibri"/>
      <charset val="134"/>
      <b val="1"/>
      <color rgb="FFC00000"/>
      <sz val="11"/>
      <scheme val="minor"/>
    </font>
    <font>
      <name val="Calibri"/>
      <charset val="134"/>
      <b val="1"/>
      <sz val="10"/>
      <scheme val="minor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color rgb="FFC00000"/>
      <sz val="12"/>
    </font>
    <font>
      <name val="Times New Roman"/>
      <charset val="134"/>
      <b val="1"/>
      <i val="1"/>
      <color theme="1"/>
      <sz val="12"/>
    </font>
    <font>
      <name val="Times New Roman"/>
      <charset val="134"/>
      <b val="1"/>
      <i val="1"/>
      <color rgb="FF0000FF"/>
      <sz val="12"/>
    </font>
    <font>
      <name val="Times New Roman"/>
      <charset val="134"/>
      <b val="1"/>
      <i val="1"/>
      <sz val="12"/>
    </font>
    <font>
      <name val="Times New Roman"/>
      <charset val="134"/>
      <b val="1"/>
      <i val="1"/>
      <color rgb="FFC00000"/>
      <sz val="10"/>
    </font>
    <font>
      <name val="Times New Roman"/>
      <charset val="134"/>
      <color theme="1"/>
      <sz val="12"/>
    </font>
    <font>
      <name val="Times New Roman"/>
      <charset val="134"/>
      <color rgb="FFFFCFC9"/>
      <sz val="12"/>
    </font>
    <font>
      <name val="Times New Roman"/>
      <charset val="134"/>
      <color rgb="FF15171A"/>
      <sz val="12"/>
    </font>
    <font>
      <name val="Times New Roman"/>
      <charset val="134"/>
      <color rgb="FF5A3286"/>
      <sz val="12"/>
    </font>
    <font>
      <name val="Times New Roman"/>
      <charset val="134"/>
      <color rgb="FFFFC8AA"/>
      <sz val="12"/>
    </font>
    <font>
      <name val="Times New Roman"/>
      <charset val="134"/>
      <color rgb="FF473821"/>
      <sz val="12"/>
    </font>
    <font>
      <name val="Times New Roman"/>
      <charset val="134"/>
      <color rgb="FF215A6C"/>
      <sz val="12"/>
    </font>
    <font>
      <name val="Times New Roman"/>
      <charset val="134"/>
      <color rgb="FFB10202"/>
      <sz val="12"/>
    </font>
    <font>
      <name val="Times New Roman"/>
      <charset val="134"/>
      <color rgb="FF0A53A8"/>
      <sz val="12"/>
    </font>
    <font>
      <name val="Times New Roman"/>
      <charset val="134"/>
      <color rgb="FF11734B"/>
      <sz val="12"/>
    </font>
    <font>
      <name val="Calibri"/>
      <charset val="134"/>
      <b val="1"/>
      <color rgb="FFC00000"/>
      <sz val="10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rgb="FFC00000"/>
      <sz val="10"/>
      <scheme val="minor"/>
    </font>
    <font>
      <name val="Calibri"/>
      <charset val="134"/>
      <color rgb="FF7030A0"/>
      <sz val="10"/>
      <scheme val="minor"/>
    </font>
    <font>
      <name val="Calibri"/>
      <charset val="134"/>
      <sz val="10"/>
      <scheme val="minor"/>
    </font>
    <font>
      <name val="Calibri"/>
      <charset val="134"/>
      <b val="1"/>
      <color rgb="FF00B0F0"/>
      <sz val="10"/>
      <scheme val="minor"/>
    </font>
    <font>
      <name val="Times New Roman"/>
      <charset val="134"/>
      <b val="1"/>
      <i val="1"/>
      <color theme="1"/>
      <sz val="10"/>
    </font>
    <font>
      <name val="Times New Roman"/>
      <charset val="134"/>
      <b val="1"/>
      <i val="1"/>
      <color rgb="FF000000"/>
      <sz val="10"/>
    </font>
    <font>
      <name val="Times New Roman"/>
      <charset val="134"/>
      <b val="1"/>
      <i val="1"/>
      <color rgb="FFFF0000"/>
      <sz val="10"/>
    </font>
    <font>
      <name val="Times New Roman"/>
      <charset val="134"/>
      <b val="1"/>
      <sz val="11"/>
    </font>
    <font>
      <name val="Times New Roman"/>
      <charset val="134"/>
      <i val="1"/>
      <color rgb="FFC00000"/>
      <sz val="10"/>
    </font>
    <font>
      <name val="Times New Roman"/>
      <charset val="134"/>
      <i val="1"/>
      <color rgb="FFFF0000"/>
      <sz val="10"/>
    </font>
    <font>
      <name val="Times New Roman"/>
      <charset val="134"/>
      <color rgb="FF0000FF"/>
      <sz val="10"/>
    </font>
    <font>
      <name val="Times New Roman"/>
      <charset val="134"/>
      <i val="1"/>
      <color rgb="FF000000"/>
      <sz val="10"/>
    </font>
    <font>
      <name val="Times New Roman"/>
      <charset val="134"/>
      <b val="1"/>
      <i val="1"/>
      <color rgb="FF0000FF"/>
      <sz val="10"/>
    </font>
    <font>
      <name val="Times New Roman"/>
      <charset val="134"/>
      <i val="1"/>
      <color rgb="FF0000FF"/>
      <sz val="10"/>
    </font>
    <font>
      <name val="Arial"/>
      <charset val="134"/>
      <sz val="10"/>
    </font>
    <font>
      <name val="Times New Roman"/>
      <charset val="134"/>
      <b val="1"/>
      <color rgb="FFC00000"/>
      <sz val="10"/>
    </font>
    <font>
      <name val="Times New Roman"/>
      <charset val="134"/>
      <color rgb="FFC00000"/>
      <sz val="10"/>
    </font>
    <font>
      <name val="Calibri"/>
      <charset val="134"/>
      <color theme="10"/>
      <sz val="11"/>
      <u val="single"/>
      <scheme val="minor"/>
    </font>
    <font>
      <name val="Times New Roman"/>
      <charset val="134"/>
      <color rgb="FF7030A0"/>
      <sz val="10"/>
    </font>
    <font>
      <name val="Times New Roman"/>
      <charset val="134"/>
      <color rgb="FF473821"/>
      <sz val="10"/>
    </font>
    <font>
      <name val="Times New Roman"/>
      <charset val="134"/>
      <color rgb="FF753800"/>
      <sz val="10"/>
    </font>
    <font>
      <name val="Times New Roman"/>
      <charset val="134"/>
      <b val="1"/>
      <color rgb="FF7030A0"/>
      <sz val="10"/>
    </font>
    <font>
      <name val="Calibri"/>
      <charset val="134"/>
      <color rgb="FF7030A0"/>
      <sz val="11"/>
      <u val="single"/>
      <scheme val="minor"/>
    </font>
    <font>
      <name val="Times New Roman"/>
      <charset val="134"/>
      <color rgb="FFB10202"/>
      <sz val="10"/>
    </font>
    <font>
      <name val="Calibri"/>
      <charset val="134"/>
      <sz val="11"/>
      <u val="single"/>
      <scheme val="minor"/>
    </font>
    <font>
      <name val="Times New Roman"/>
      <charset val="134"/>
      <color rgb="FF00B0F0"/>
      <sz val="10"/>
    </font>
    <font>
      <name val="Times New Roman"/>
      <charset val="134"/>
      <b val="1"/>
      <color rgb="FF00B0F0"/>
      <sz val="10"/>
    </font>
    <font>
      <name val="Calibri"/>
      <charset val="134"/>
      <color rgb="FF00B0F0"/>
      <sz val="11"/>
      <u val="single"/>
      <scheme val="minor"/>
    </font>
    <font>
      <name val="Calibri"/>
      <charset val="134"/>
      <b val="1"/>
      <color rgb="FF00B0F0"/>
      <sz val="11"/>
      <scheme val="minor"/>
    </font>
    <font>
      <name val="Calibri"/>
      <charset val="134"/>
      <color rgb="FF00B0F0"/>
      <sz val="10"/>
      <scheme val="minor"/>
    </font>
    <font>
      <name val="Calibri"/>
      <charset val="134"/>
      <color rgb="FFC00000"/>
      <sz val="11"/>
      <u val="single"/>
      <scheme val="minor"/>
    </font>
    <font>
      <name val="Times New Roman"/>
      <charset val="134"/>
      <color rgb="FF215A6C"/>
      <sz val="10"/>
    </font>
    <font>
      <name val="Times New Roman"/>
      <charset val="134"/>
      <color rgb="FF11734B"/>
      <sz val="10"/>
    </font>
    <font>
      <name val="Times New Roman"/>
      <charset val="134"/>
      <color rgb="FF0A53A8"/>
      <sz val="10"/>
    </font>
    <font>
      <name val="Times New Roman"/>
      <charset val="134"/>
      <color theme="10"/>
      <sz val="10"/>
      <u val="single"/>
    </font>
    <font>
      <name val="Calibri"/>
      <charset val="134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  <scheme val="minor"/>
    </font>
    <font>
      <name val="Tahoma"/>
      <charset val="134"/>
      <b val="1"/>
      <sz val="9"/>
    </font>
    <font>
      <name val="Tahoma"/>
      <charset val="134"/>
      <sz val="9"/>
    </font>
    <font>
      <name val="Calibri"/>
      <charset val="1"/>
      <color rgb="FF000000"/>
      <sz val="11"/>
      <scheme val="minor"/>
    </font>
    <font>
      <name val="Calibri"/>
      <charset val="1"/>
      <color rgb="FF000000"/>
      <sz val="10"/>
      <scheme val="minor"/>
    </font>
    <font>
      <name val="Times New Roman"/>
      <family val="1"/>
      <color rgb="FF00B0F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C00000"/>
      <sz val="10"/>
    </font>
    <font>
      <name val="Times New Roman"/>
      <family val="1"/>
      <color rgb="FF473821"/>
      <sz val="10"/>
    </font>
    <font>
      <name val="Times New Roman"/>
      <family val="1"/>
      <b val="1"/>
      <color theme="1"/>
      <sz val="10"/>
    </font>
    <font>
      <name val="Times New Roman"/>
      <family val="1"/>
      <sz val="10"/>
    </font>
    <font>
      <name val="Calibri"/>
      <family val="2"/>
      <color theme="1"/>
      <sz val="10"/>
      <scheme val="minor"/>
    </font>
    <font>
      <name val="Times New Roman"/>
      <family val="1"/>
      <color rgb="FF753800"/>
      <sz val="10"/>
    </font>
    <font>
      <name val="Times New Roman"/>
      <family val="1"/>
      <b val="1"/>
      <sz val="10"/>
    </font>
    <font>
      <name val="Times New Roman"/>
      <family val="1"/>
      <color rgb="FF7030A0"/>
      <sz val="10"/>
    </font>
    <font>
      <name val="Times New Roman"/>
      <charset val="134"/>
      <b val="1"/>
      <i val="1"/>
      <sz val="10"/>
    </font>
  </fonts>
  <fills count="117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7" tint="0.5999938962981048"/>
        <bgColor rgb="FFFFFFFF"/>
      </patternFill>
    </fill>
    <fill>
      <patternFill patternType="solid">
        <fgColor rgb="FFFFF2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BD9D7"/>
        <bgColor indexed="64"/>
      </patternFill>
    </fill>
    <fill>
      <patternFill patternType="solid">
        <fgColor theme="9" tint="0.7999511703848384"/>
        <bgColor rgb="FFB6D7A8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9" tint="0.7999511703848384"/>
        <bgColor rgb="FFFFFFFF"/>
      </patternFill>
    </fill>
    <fill>
      <patternFill patternType="solid">
        <fgColor theme="9" tint="0.7999511703848384"/>
        <bgColor rgb="FFFFE599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99FF"/>
        <bgColor rgb="FFFF99FF"/>
      </patternFill>
    </fill>
    <fill>
      <patternFill patternType="solid">
        <fgColor theme="9" tint="0.5999938962981048"/>
        <bgColor theme="0"/>
      </patternFill>
    </fill>
    <fill>
      <patternFill patternType="solid">
        <fgColor theme="4" tint="0.7999511703848384"/>
        <bgColor rgb="FFBDD6EE"/>
      </patternFill>
    </fill>
    <fill>
      <patternFill patternType="solid">
        <fgColor rgb="FFFFCCFF"/>
        <bgColor rgb="FFFFCCFF"/>
      </patternFill>
    </fill>
    <fill>
      <patternFill patternType="solid">
        <fgColor rgb="FFFFCCFF"/>
        <bgColor rgb="FF00FFFF"/>
      </patternFill>
    </fill>
    <fill>
      <patternFill patternType="solid">
        <fgColor theme="9" tint="0.7999511703848384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F8FAFD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C000"/>
      </patternFill>
    </fill>
    <fill>
      <patternFill patternType="solid">
        <fgColor rgb="FFEA9999"/>
        <bgColor rgb="FFEA9999"/>
      </patternFill>
    </fill>
    <fill>
      <patternFill patternType="solid">
        <fgColor rgb="FFFFCCFF"/>
        <bgColor rgb="FFD9EAD3"/>
      </patternFill>
    </fill>
    <fill>
      <patternFill patternType="solid">
        <fgColor theme="0"/>
        <bgColor rgb="FFB6D7A8"/>
      </patternFill>
    </fill>
    <fill>
      <patternFill patternType="solid">
        <fgColor rgb="FFC0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7" tint="0.7999511703848384"/>
        <bgColor rgb="FFFEF2CB"/>
      </patternFill>
    </fill>
    <fill>
      <patternFill patternType="solid">
        <fgColor rgb="FFC000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4" tint="0.3999450666829432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CCFF"/>
        <bgColor rgb="FFEA9999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CFE2F3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48"/>
        <bgColor rgb="FFCFE2F3"/>
      </patternFill>
    </fill>
    <fill>
      <patternFill patternType="solid">
        <fgColor rgb="FFFFFF00"/>
        <bgColor rgb="FFCFE2F3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theme="6" tint="0.5999938962981048"/>
        <bgColor rgb="FF00FFFF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7" tint="0.7999511703848384"/>
        <bgColor rgb="FFFFFFFF"/>
      </patternFill>
    </fill>
    <fill>
      <patternFill patternType="solid">
        <fgColor theme="5" tint="0.7999511703848384"/>
        <bgColor theme="0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FEFEF"/>
      </patternFill>
    </fill>
    <fill>
      <patternFill patternType="solid">
        <fgColor theme="7" tint="0.5999938962981048"/>
        <bgColor rgb="FFFFE599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rgb="FFFFFFFF"/>
      </patternFill>
    </fill>
    <fill>
      <patternFill patternType="solid">
        <fgColor theme="2" tint="-0.0499893185216834"/>
        <bgColor rgb="FFFFFFFF"/>
      </patternFill>
    </fill>
    <fill>
      <patternFill patternType="solid">
        <fgColor theme="2"/>
        <bgColor rgb="FF00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C9DAF8"/>
      </patternFill>
    </fill>
    <fill>
      <patternFill patternType="solid">
        <fgColor theme="2"/>
        <bgColor rgb="FFEFEFEF"/>
      </patternFill>
    </fill>
    <fill>
      <patternFill patternType="solid">
        <fgColor theme="2"/>
        <bgColor rgb="FFFFE599"/>
      </patternFill>
    </fill>
    <fill>
      <patternFill patternType="solid">
        <fgColor theme="2"/>
        <bgColor rgb="FFEA9999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2" tint="-0.1499679555650502"/>
        <bgColor rgb="FF00FFFF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C9DAF8"/>
      </patternFill>
    </fill>
    <fill>
      <patternFill patternType="solid">
        <fgColor rgb="FFFFCCFF"/>
        <bgColor rgb="FFEFEFEF"/>
      </patternFill>
    </fill>
    <fill>
      <patternFill patternType="solid">
        <fgColor theme="6" tint="0.3999450666829432"/>
        <bgColor rgb="FF00FFFF"/>
      </patternFill>
    </fill>
    <fill>
      <patternFill patternType="solid">
        <fgColor rgb="FFFF66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2"/>
        <bgColor rgb="FFFEF2CB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rgb="FFFEF2CB"/>
      </patternFill>
    </fill>
    <fill>
      <patternFill patternType="solid">
        <fgColor theme="4" tint="0.399975585192419"/>
        <bgColor rgb="FFFFFFFF"/>
      </patternFill>
    </fill>
    <fill>
      <patternFill patternType="solid">
        <fgColor theme="8" tint="0.599993896298105"/>
        <bgColor rgb="FFCFE2F3"/>
      </patternFill>
    </fill>
    <fill>
      <patternFill patternType="solid">
        <fgColor theme="4" tint="-0.249977111117893"/>
        <bgColor rgb="FFCFE2F3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rgb="FFFFE599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rgb="FFFFFFFF"/>
      </patternFill>
    </fill>
  </fills>
  <borders count="91">
    <border>
      <left/>
      <right/>
      <top/>
      <bottom/>
      <diagonal/>
    </border>
    <border>
      <left style="thin">
        <color rgb="FF2E75B5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/>
      <top style="thin">
        <color rgb="FF2E75B5"/>
      </top>
      <bottom style="hair">
        <color rgb="FF000000"/>
      </bottom>
      <diagonal/>
    </border>
    <border>
      <left/>
      <right/>
      <top style="thin">
        <color rgb="FF2E75B5"/>
      </top>
      <bottom style="hair">
        <color rgb="FF000000"/>
      </bottom>
      <diagonal/>
    </border>
    <border>
      <left/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/>
      <top style="thin">
        <color rgb="FF2E75B5"/>
      </top>
      <bottom/>
      <diagonal/>
    </border>
    <border>
      <left/>
      <right/>
      <top style="thin">
        <color rgb="FF2E75B5"/>
      </top>
      <bottom/>
      <diagonal/>
    </border>
    <border>
      <left/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/>
      <diagonal/>
    </border>
    <border>
      <left style="thin">
        <color rgb="FF2E75B5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/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000000"/>
      </bottom>
      <diagonal/>
    </border>
    <border>
      <left style="thin">
        <color rgb="FF7030A0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/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/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000000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000000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rgb="FFC4C7C5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2E75B5"/>
      </left>
      <right/>
      <top/>
      <bottom/>
      <diagonal/>
    </border>
    <border>
      <left style="thin">
        <color rgb="FF2E75B5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 style="thin">
        <color rgb="FF000000"/>
      </bottom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/>
      <diagonal/>
    </border>
  </borders>
  <cellStyleXfs count="12">
    <xf numFmtId="0" fontId="20" fillId="0" borderId="0"/>
    <xf numFmtId="181" fontId="20" fillId="0" borderId="0"/>
    <xf numFmtId="0" fontId="103" fillId="0" borderId="0"/>
    <xf numFmtId="181" fontId="20" fillId="0" borderId="0"/>
    <xf numFmtId="181" fontId="20" fillId="0" borderId="0"/>
    <xf numFmtId="0" fontId="103" fillId="0" borderId="0"/>
    <xf numFmtId="0" fontId="123" fillId="0" borderId="0"/>
    <xf numFmtId="0" fontId="20" fillId="0" borderId="0"/>
    <xf numFmtId="0" fontId="20" fillId="0" borderId="0"/>
    <xf numFmtId="0" fontId="24" fillId="0" borderId="0"/>
    <xf numFmtId="0" fontId="123" fillId="0" borderId="0"/>
    <xf numFmtId="0" fontId="123" fillId="0" borderId="0"/>
  </cellStyleXfs>
  <cellXfs count="1593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1" fillId="3" borderId="11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165" fontId="1" fillId="0" borderId="18" applyAlignment="1" pivotButton="0" quotePrefix="0" xfId="0">
      <alignment horizontal="center" vertical="center"/>
    </xf>
    <xf numFmtId="165" fontId="1" fillId="2" borderId="18" applyAlignment="1" pivotButton="0" quotePrefix="0" xfId="0">
      <alignment horizontal="center" vertical="center"/>
    </xf>
    <xf numFmtId="0" fontId="4" fillId="4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4" fontId="4" fillId="2" borderId="20" applyAlignment="1" pivotButton="0" quotePrefix="0" xfId="0">
      <alignment vertical="center"/>
    </xf>
    <xf numFmtId="3" fontId="4" fillId="0" borderId="21" applyAlignment="1" pivotButton="0" quotePrefix="0" xfId="0">
      <alignment vertical="center"/>
    </xf>
    <xf numFmtId="0" fontId="4" fillId="0" borderId="19" pivotButton="0" quotePrefix="0" xfId="0"/>
    <xf numFmtId="0" fontId="4" fillId="0" borderId="20" pivotButton="0" quotePrefix="0" xfId="0"/>
    <xf numFmtId="0" fontId="4" fillId="0" borderId="22" pivotButton="0" quotePrefix="0" xfId="0"/>
    <xf numFmtId="0" fontId="4" fillId="0" borderId="11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2" borderId="25" pivotButton="0" quotePrefix="0" xfId="0"/>
    <xf numFmtId="0" fontId="4" fillId="0" borderId="26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6" fillId="5" borderId="2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5" fontId="9" fillId="0" borderId="0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/>
    </xf>
    <xf numFmtId="3" fontId="6" fillId="3" borderId="27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4" fillId="4" borderId="29" applyAlignment="1" pivotButton="0" quotePrefix="0" xfId="0">
      <alignment wrapText="1"/>
    </xf>
    <xf numFmtId="0" fontId="4" fillId="0" borderId="28" applyAlignment="1" pivotButton="0" quotePrefix="0" xfId="0">
      <alignment wrapText="1"/>
    </xf>
    <xf numFmtId="0" fontId="4" fillId="0" borderId="33" applyAlignment="1" pivotButton="0" quotePrefix="0" xfId="0">
      <alignment vertical="center" wrapText="1"/>
    </xf>
    <xf numFmtId="0" fontId="15" fillId="4" borderId="27" applyAlignment="1" pivotButton="0" quotePrefix="0" xfId="0">
      <alignment horizontal="center" vertical="center" wrapText="1"/>
    </xf>
    <xf numFmtId="164" fontId="15" fillId="4" borderId="27" applyAlignment="1" pivotButton="0" quotePrefix="0" xfId="0">
      <alignment horizontal="center" vertical="center" wrapText="1"/>
    </xf>
    <xf numFmtId="0" fontId="4" fillId="4" borderId="27" applyAlignment="1" pivotButton="0" quotePrefix="0" xfId="0">
      <alignment vertical="center" wrapText="1"/>
    </xf>
    <xf numFmtId="0" fontId="16" fillId="4" borderId="27" applyAlignment="1" pivotButton="0" quotePrefix="0" xfId="0">
      <alignment vertical="center" wrapText="1"/>
    </xf>
    <xf numFmtId="0" fontId="16" fillId="4" borderId="27" applyAlignment="1" pivotButton="0" quotePrefix="0" xfId="0">
      <alignment horizontal="center" vertical="center" wrapText="1"/>
    </xf>
    <xf numFmtId="43" fontId="16" fillId="4" borderId="27" applyAlignment="1" pivotButton="0" quotePrefix="0" xfId="0">
      <alignment horizontal="center" vertical="center" wrapText="1"/>
    </xf>
    <xf numFmtId="0" fontId="15" fillId="4" borderId="27" applyAlignment="1" pivotButton="0" quotePrefix="0" xfId="0">
      <alignment vertical="center" wrapText="1"/>
    </xf>
    <xf numFmtId="167" fontId="15" fillId="4" borderId="27" applyAlignment="1" pivotButton="0" quotePrefix="0" xfId="0">
      <alignment horizontal="center" vertical="center" wrapText="1"/>
    </xf>
    <xf numFmtId="167" fontId="16" fillId="4" borderId="27" applyAlignment="1" pivotButton="0" quotePrefix="0" xfId="0">
      <alignment horizontal="center" vertical="center" wrapText="1"/>
    </xf>
    <xf numFmtId="0" fontId="15" fillId="4" borderId="34" applyAlignment="1" pivotButton="0" quotePrefix="0" xfId="0">
      <alignment horizontal="center" vertical="center" wrapText="1"/>
    </xf>
    <xf numFmtId="3" fontId="15" fillId="4" borderId="27" applyAlignment="1" pivotButton="0" quotePrefix="0" xfId="0">
      <alignment horizontal="center" vertical="center"/>
    </xf>
    <xf numFmtId="3" fontId="15" fillId="4" borderId="27" applyAlignment="1" pivotButton="0" quotePrefix="0" xfId="0">
      <alignment horizontal="center" vertical="center" wrapText="1"/>
    </xf>
    <xf numFmtId="0" fontId="17" fillId="4" borderId="27" applyAlignment="1" pivotButton="0" quotePrefix="0" xfId="0">
      <alignment vertical="center" wrapText="1"/>
    </xf>
    <xf numFmtId="0" fontId="4" fillId="0" borderId="27" pivotButton="0" quotePrefix="0" xfId="0"/>
    <xf numFmtId="0" fontId="16" fillId="0" borderId="28" applyAlignment="1" pivotButton="0" quotePrefix="0" xfId="0">
      <alignment vertical="center" wrapText="1"/>
    </xf>
    <xf numFmtId="0" fontId="16" fillId="7" borderId="28" applyAlignment="1" pivotButton="0" quotePrefix="0" xfId="0">
      <alignment horizontal="right" vertical="center" wrapText="1"/>
    </xf>
    <xf numFmtId="0" fontId="4" fillId="3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4" fillId="0" borderId="35" applyAlignment="1" pivotButton="0" quotePrefix="0" xfId="0">
      <alignment vertical="center" wrapText="1"/>
    </xf>
    <xf numFmtId="0" fontId="15" fillId="0" borderId="37" applyAlignment="1" pivotButton="0" quotePrefix="0" xfId="0">
      <alignment horizontal="center" vertical="center" wrapText="1"/>
    </xf>
    <xf numFmtId="3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6" fillId="0" borderId="40" applyAlignment="1" pivotButton="0" quotePrefix="0" xfId="0">
      <alignment vertical="center" wrapText="1"/>
    </xf>
    <xf numFmtId="0" fontId="16" fillId="0" borderId="27" applyAlignment="1" pivotButton="0" quotePrefix="0" xfId="0">
      <alignment horizontal="center" vertical="center" wrapText="1"/>
    </xf>
    <xf numFmtId="0" fontId="4" fillId="0" borderId="41" applyAlignment="1" pivotButton="0" quotePrefix="0" xfId="0">
      <alignment vertical="center" wrapText="1"/>
    </xf>
    <xf numFmtId="43" fontId="16" fillId="0" borderId="27" applyAlignment="1" pivotButton="0" quotePrefix="0" xfId="0">
      <alignment horizontal="left" vertical="center" wrapText="1"/>
    </xf>
    <xf numFmtId="167" fontId="16" fillId="0" borderId="27" applyAlignment="1" pivotButton="0" quotePrefix="0" xfId="0">
      <alignment horizontal="left" vertical="center" wrapText="1"/>
    </xf>
    <xf numFmtId="0" fontId="15" fillId="0" borderId="40" applyAlignment="1" pivotButton="0" quotePrefix="0" xfId="0">
      <alignment vertical="center" wrapText="1"/>
    </xf>
    <xf numFmtId="165" fontId="15" fillId="0" borderId="27" applyAlignment="1" pivotButton="0" quotePrefix="0" xfId="0">
      <alignment horizontal="right" vertical="center" wrapText="1"/>
    </xf>
    <xf numFmtId="167" fontId="15" fillId="0" borderId="27" applyAlignment="1" pivotButton="0" quotePrefix="0" xfId="0">
      <alignment horizontal="right" vertical="center" wrapText="1"/>
    </xf>
    <xf numFmtId="165" fontId="15" fillId="0" borderId="27" applyAlignment="1" pivotButton="0" quotePrefix="0" xfId="0">
      <alignment horizontal="center" vertical="center" wrapText="1"/>
    </xf>
    <xf numFmtId="0" fontId="16" fillId="0" borderId="42" applyAlignment="1" pivotButton="0" quotePrefix="0" xfId="0">
      <alignment vertical="center" wrapText="1"/>
    </xf>
    <xf numFmtId="167" fontId="16" fillId="0" borderId="43" applyAlignment="1" pivotButton="0" quotePrefix="0" xfId="0">
      <alignment horizontal="left" vertical="center" wrapText="1"/>
    </xf>
    <xf numFmtId="0" fontId="4" fillId="0" borderId="44" applyAlignment="1" pivotButton="0" quotePrefix="0" xfId="0">
      <alignment vertical="center" wrapText="1"/>
    </xf>
    <xf numFmtId="0" fontId="15" fillId="0" borderId="45" applyAlignment="1" pivotButton="0" quotePrefix="0" xfId="0">
      <alignment vertical="center" wrapText="1"/>
    </xf>
    <xf numFmtId="165" fontId="15" fillId="0" borderId="46" applyAlignment="1" pivotButton="0" quotePrefix="0" xfId="0">
      <alignment horizontal="center" vertical="center" wrapText="1"/>
    </xf>
    <xf numFmtId="0" fontId="4" fillId="0" borderId="47" applyAlignment="1" pivotButton="0" quotePrefix="0" xfId="0">
      <alignment vertical="center" wrapText="1"/>
    </xf>
    <xf numFmtId="0" fontId="4" fillId="0" borderId="48" applyAlignment="1" pivotButton="0" quotePrefix="0" xfId="0">
      <alignment vertical="center" wrapText="1"/>
    </xf>
    <xf numFmtId="0" fontId="4" fillId="0" borderId="49" applyAlignment="1" pivotButton="0" quotePrefix="0" xfId="0">
      <alignment vertical="center" wrapText="1"/>
    </xf>
    <xf numFmtId="0" fontId="16" fillId="0" borderId="49" applyAlignment="1" pivotButton="0" quotePrefix="0" xfId="0">
      <alignment horizontal="center" vertical="center" wrapText="1"/>
    </xf>
    <xf numFmtId="0" fontId="4" fillId="8" borderId="28" applyAlignment="1" pivotButton="0" quotePrefix="0" xfId="0">
      <alignment vertical="center" wrapText="1"/>
    </xf>
    <xf numFmtId="0" fontId="15" fillId="0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0" borderId="50" applyAlignment="1" pivotButton="0" quotePrefix="0" xfId="0">
      <alignment horizontal="center" vertical="center"/>
    </xf>
    <xf numFmtId="0" fontId="22" fillId="0" borderId="50" applyAlignment="1" pivotButton="0" quotePrefix="0" xfId="0">
      <alignment horizontal="left" vertical="center" wrapText="1"/>
    </xf>
    <xf numFmtId="0" fontId="23" fillId="0" borderId="50" pivotButton="0" quotePrefix="0" xfId="0"/>
    <xf numFmtId="0" fontId="0" fillId="0" borderId="50" applyAlignment="1" pivotButton="0" quotePrefix="0" xfId="0">
      <alignment horizontal="center"/>
    </xf>
    <xf numFmtId="0" fontId="24" fillId="0" borderId="50" applyAlignment="1" pivotButton="0" quotePrefix="0" xfId="0">
      <alignment vertical="center"/>
    </xf>
    <xf numFmtId="0" fontId="0" fillId="0" borderId="50" applyAlignment="1" pivotButton="0" quotePrefix="0" xfId="0">
      <alignment horizontal="center" vertical="center"/>
    </xf>
    <xf numFmtId="0" fontId="24" fillId="0" borderId="50" applyAlignment="1" pivotButton="0" quotePrefix="0" xfId="0">
      <alignment horizontal="left" vertical="center" wrapText="1"/>
    </xf>
    <xf numFmtId="0" fontId="0" fillId="0" borderId="50" pivotButton="0" quotePrefix="0" xfId="0"/>
    <xf numFmtId="0" fontId="20" fillId="0" borderId="50" pivotButton="0" quotePrefix="0" xfId="0"/>
    <xf numFmtId="0" fontId="22" fillId="0" borderId="50" applyAlignment="1" pivotButton="0" quotePrefix="0" xfId="0">
      <alignment vertical="center"/>
    </xf>
    <xf numFmtId="0" fontId="25" fillId="0" borderId="0" applyAlignment="1" pivotButton="0" quotePrefix="0" xfId="9">
      <alignment horizontal="center" vertical="center" wrapText="1"/>
    </xf>
    <xf numFmtId="0" fontId="26" fillId="0" borderId="0" applyAlignment="1" pivotButton="0" quotePrefix="0" xfId="9">
      <alignment horizontal="center" vertical="center" wrapText="1"/>
    </xf>
    <xf numFmtId="0" fontId="24" fillId="9" borderId="0" pivotButton="0" quotePrefix="0" xfId="9"/>
    <xf numFmtId="0" fontId="24" fillId="0" borderId="0" pivotButton="0" quotePrefix="0" xfId="9"/>
    <xf numFmtId="0" fontId="24" fillId="10" borderId="0" pivotButton="0" quotePrefix="0" xfId="9"/>
    <xf numFmtId="0" fontId="27" fillId="11" borderId="43" applyAlignment="1" pivotButton="0" quotePrefix="0" xfId="9">
      <alignment vertical="center" wrapText="1"/>
    </xf>
    <xf numFmtId="0" fontId="27" fillId="11" borderId="30" applyAlignment="1" pivotButton="0" quotePrefix="0" xfId="9">
      <alignment vertical="center" wrapText="1"/>
    </xf>
    <xf numFmtId="0" fontId="27" fillId="11" borderId="31" applyAlignment="1" pivotButton="0" quotePrefix="0" xfId="9">
      <alignment vertical="center" wrapText="1"/>
    </xf>
    <xf numFmtId="0" fontId="27" fillId="11" borderId="32" applyAlignment="1" pivotButton="0" quotePrefix="0" xfId="9">
      <alignment vertical="center" wrapText="1"/>
    </xf>
    <xf numFmtId="0" fontId="27" fillId="10" borderId="31" applyAlignment="1" pivotButton="0" quotePrefix="0" xfId="9">
      <alignment vertical="center" wrapText="1"/>
    </xf>
    <xf numFmtId="0" fontId="27" fillId="11" borderId="51" applyAlignment="1" pivotButton="0" quotePrefix="0" xfId="9">
      <alignment vertical="center" wrapText="1"/>
    </xf>
    <xf numFmtId="0" fontId="27" fillId="11" borderId="27" applyAlignment="1" pivotButton="0" quotePrefix="0" xfId="9">
      <alignment horizontal="center" vertical="center" wrapText="1"/>
    </xf>
    <xf numFmtId="0" fontId="27" fillId="9" borderId="27" applyAlignment="1" pivotButton="0" quotePrefix="0" xfId="9">
      <alignment horizontal="center" vertical="center" wrapText="1"/>
    </xf>
    <xf numFmtId="0" fontId="27" fillId="10" borderId="27" applyAlignment="1" pivotButton="0" quotePrefix="0" xfId="9">
      <alignment horizontal="center" vertical="center" wrapText="1"/>
    </xf>
    <xf numFmtId="3" fontId="28" fillId="0" borderId="27" applyAlignment="1" pivotButton="0" quotePrefix="0" xfId="9">
      <alignment horizontal="center" wrapText="1"/>
    </xf>
    <xf numFmtId="0" fontId="28" fillId="0" borderId="27" applyAlignment="1" pivotButton="0" quotePrefix="0" xfId="9">
      <alignment horizontal="left" wrapText="1"/>
    </xf>
    <xf numFmtId="4" fontId="28" fillId="0" borderId="27" applyAlignment="1" pivotButton="0" quotePrefix="0" xfId="9">
      <alignment horizontal="right" wrapText="1"/>
    </xf>
    <xf numFmtId="0" fontId="28" fillId="0" borderId="27" applyAlignment="1" pivotButton="0" quotePrefix="0" xfId="9">
      <alignment horizontal="right" wrapText="1"/>
    </xf>
    <xf numFmtId="0" fontId="28" fillId="10" borderId="27" applyAlignment="1" pivotButton="0" quotePrefix="0" xfId="9">
      <alignment horizontal="right" wrapText="1"/>
    </xf>
    <xf numFmtId="0" fontId="28" fillId="10" borderId="27" applyAlignment="1" pivotButton="0" quotePrefix="0" xfId="9">
      <alignment horizontal="left" wrapText="1"/>
    </xf>
    <xf numFmtId="0" fontId="29" fillId="10" borderId="27" applyAlignment="1" pivotButton="0" quotePrefix="0" xfId="9">
      <alignment horizontal="right" wrapText="1"/>
    </xf>
    <xf numFmtId="3" fontId="28" fillId="9" borderId="27" applyAlignment="1" pivotButton="0" quotePrefix="0" xfId="9">
      <alignment horizontal="center" wrapText="1"/>
    </xf>
    <xf numFmtId="0" fontId="28" fillId="9" borderId="27" applyAlignment="1" pivotButton="0" quotePrefix="0" xfId="9">
      <alignment horizontal="left" wrapText="1"/>
    </xf>
    <xf numFmtId="4" fontId="28" fillId="9" borderId="27" applyAlignment="1" pivotButton="0" quotePrefix="0" xfId="9">
      <alignment horizontal="right" wrapText="1"/>
    </xf>
    <xf numFmtId="0" fontId="28" fillId="9" borderId="27" applyAlignment="1" pivotButton="0" quotePrefix="0" xfId="9">
      <alignment horizontal="right" wrapText="1"/>
    </xf>
    <xf numFmtId="0" fontId="0" fillId="12" borderId="0" pivotButton="0" quotePrefix="0" xfId="0"/>
    <xf numFmtId="0" fontId="20" fillId="0" borderId="52" applyAlignment="1" pivotButton="0" quotePrefix="0" xfId="0">
      <alignment horizontal="left" vertical="center" wrapText="1"/>
    </xf>
    <xf numFmtId="0" fontId="22" fillId="0" borderId="50" applyAlignment="1" pivotButton="0" quotePrefix="0" xfId="0">
      <alignment horizontal="left" vertical="center"/>
    </xf>
    <xf numFmtId="0" fontId="30" fillId="13" borderId="54" applyAlignment="1" pivotButton="0" quotePrefix="0" xfId="0">
      <alignment horizontal="center" vertical="center" wrapText="1"/>
    </xf>
    <xf numFmtId="0" fontId="31" fillId="13" borderId="54" applyAlignment="1" pivotButton="0" quotePrefix="0" xfId="0">
      <alignment vertical="center" wrapText="1"/>
    </xf>
    <xf numFmtId="0" fontId="24" fillId="12" borderId="50" applyAlignment="1" pivotButton="0" quotePrefix="0" xfId="0">
      <alignment vertical="center"/>
    </xf>
    <xf numFmtId="0" fontId="32" fillId="13" borderId="54" applyAlignment="1" pivotButton="0" quotePrefix="0" xfId="0">
      <alignment wrapText="1"/>
    </xf>
    <xf numFmtId="0" fontId="23" fillId="0" borderId="0" pivotButton="0" quotePrefix="0" xfId="0"/>
    <xf numFmtId="0" fontId="4" fillId="0" borderId="0" applyAlignment="1" pivotButton="0" quotePrefix="0" xfId="0">
      <alignment wrapText="1"/>
    </xf>
    <xf numFmtId="0" fontId="22" fillId="0" borderId="50" applyAlignment="1" pivotButton="0" quotePrefix="0" xfId="0">
      <alignment horizontal="center" vertical="center" wrapText="1"/>
    </xf>
    <xf numFmtId="0" fontId="24" fillId="0" borderId="50" applyAlignment="1" pivotButton="0" quotePrefix="0" xfId="0">
      <alignment horizontal="center" vertical="center" wrapText="1"/>
    </xf>
    <xf numFmtId="0" fontId="33" fillId="0" borderId="0" pivotButton="0" quotePrefix="0" xfId="0"/>
    <xf numFmtId="0" fontId="33" fillId="12" borderId="0" pivotButton="0" quotePrefix="0" xfId="0"/>
    <xf numFmtId="0" fontId="34" fillId="0" borderId="0" applyAlignment="1" pivotButton="0" quotePrefix="0" xfId="0">
      <alignment horizontal="center" vertical="center"/>
    </xf>
    <xf numFmtId="0" fontId="7" fillId="12" borderId="0" applyAlignment="1" pivotButton="0" quotePrefix="0" xfId="0">
      <alignment vertical="center"/>
    </xf>
    <xf numFmtId="49" fontId="35" fillId="0" borderId="0" applyAlignment="1" pivotButton="0" quotePrefix="0" xfId="0">
      <alignment horizontal="left" vertical="center"/>
    </xf>
    <xf numFmtId="0" fontId="35" fillId="12" borderId="0" applyAlignment="1" pivotButton="0" quotePrefix="0" xfId="0">
      <alignment horizontal="left" vertical="center"/>
    </xf>
    <xf numFmtId="4" fontId="6" fillId="12" borderId="0" applyAlignment="1" pivotButton="0" quotePrefix="0" xfId="0">
      <alignment horizontal="right" vertical="center"/>
    </xf>
    <xf numFmtId="3" fontId="14" fillId="12" borderId="0" applyAlignment="1" pivotButton="0" quotePrefix="0" xfId="0">
      <alignment horizontal="right" vertical="center"/>
    </xf>
    <xf numFmtId="3" fontId="7" fillId="12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168" fontId="6" fillId="0" borderId="50" applyAlignment="1" pivotButton="0" quotePrefix="0" xfId="0">
      <alignment horizontal="center" vertical="center" wrapText="1"/>
    </xf>
    <xf numFmtId="0" fontId="6" fillId="14" borderId="50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49" fontId="6" fillId="4" borderId="50" applyAlignment="1" pivotButton="0" quotePrefix="0" xfId="0">
      <alignment horizontal="center" vertical="center" wrapText="1"/>
    </xf>
    <xf numFmtId="3" fontId="6" fillId="15" borderId="50" applyAlignment="1" pivotButton="0" quotePrefix="0" xfId="0">
      <alignment horizontal="center" vertical="center" wrapText="1"/>
    </xf>
    <xf numFmtId="3" fontId="9" fillId="12" borderId="50" applyAlignment="1" pivotButton="0" quotePrefix="0" xfId="0">
      <alignment horizontal="center" vertical="center" wrapText="1"/>
    </xf>
    <xf numFmtId="3" fontId="6" fillId="14" borderId="50" applyAlignment="1" pivotButton="0" quotePrefix="0" xfId="0">
      <alignment horizontal="center" vertical="center" wrapText="1"/>
    </xf>
    <xf numFmtId="0" fontId="6" fillId="16" borderId="50" applyAlignment="1" pivotButton="0" quotePrefix="0" xfId="0">
      <alignment horizontal="center" vertical="center" wrapText="1"/>
    </xf>
    <xf numFmtId="3" fontId="6" fillId="0" borderId="50" applyAlignment="1" pivotButton="0" quotePrefix="0" xfId="0">
      <alignment horizontal="center" vertical="center"/>
    </xf>
    <xf numFmtId="168" fontId="7" fillId="0" borderId="50" applyAlignment="1" pivotButton="0" quotePrefix="0" xfId="0">
      <alignment horizontal="center" vertical="center"/>
    </xf>
    <xf numFmtId="0" fontId="6" fillId="17" borderId="50" applyAlignment="1" pivotButton="0" quotePrefix="0" xfId="0">
      <alignment vertical="center"/>
    </xf>
    <xf numFmtId="0" fontId="7" fillId="0" borderId="50" applyAlignment="1" pivotButton="0" quotePrefix="0" xfId="0">
      <alignment vertical="center" wrapText="1"/>
    </xf>
    <xf numFmtId="49" fontId="7" fillId="0" borderId="50" applyAlignment="1" pivotButton="0" quotePrefix="0" xfId="0">
      <alignment horizontal="left" vertical="center"/>
    </xf>
    <xf numFmtId="3" fontId="7" fillId="12" borderId="50" applyAlignment="1" pivotButton="0" quotePrefix="0" xfId="0">
      <alignment horizontal="left" vertical="center"/>
    </xf>
    <xf numFmtId="3" fontId="6" fillId="15" borderId="50" applyAlignment="1" pivotButton="0" quotePrefix="0" xfId="0">
      <alignment horizontal="right" vertical="center"/>
    </xf>
    <xf numFmtId="167" fontId="8" fillId="12" borderId="50" applyAlignment="1" pivotButton="0" quotePrefix="0" xfId="0">
      <alignment horizontal="right" vertical="center"/>
    </xf>
    <xf numFmtId="167" fontId="5" fillId="14" borderId="50" applyAlignment="1" pivotButton="0" quotePrefix="0" xfId="0">
      <alignment horizontal="right" vertical="center"/>
    </xf>
    <xf numFmtId="164" fontId="10" fillId="4" borderId="50" applyAlignment="1" pivotButton="0" quotePrefix="0" xfId="0">
      <alignment vertical="center"/>
    </xf>
    <xf numFmtId="168" fontId="7" fillId="4" borderId="50" applyAlignment="1" pivotButton="0" quotePrefix="0" xfId="0">
      <alignment horizontal="center" vertical="center"/>
    </xf>
    <xf numFmtId="0" fontId="7" fillId="4" borderId="50" applyAlignment="1" pivotButton="0" quotePrefix="0" xfId="0">
      <alignment vertical="center" wrapText="1"/>
    </xf>
    <xf numFmtId="49" fontId="7" fillId="4" borderId="50" applyAlignment="1" pivotButton="0" quotePrefix="0" xfId="0">
      <alignment horizontal="left" vertical="center"/>
    </xf>
    <xf numFmtId="3" fontId="7" fillId="14" borderId="50" applyAlignment="1" pivotButton="0" quotePrefix="0" xfId="0">
      <alignment horizontal="left" vertical="center"/>
    </xf>
    <xf numFmtId="164" fontId="6" fillId="17" borderId="50" applyAlignment="1" pivotButton="0" quotePrefix="0" xfId="0">
      <alignment vertical="center" wrapText="1"/>
    </xf>
    <xf numFmtId="164" fontId="10" fillId="18" borderId="50" applyAlignment="1" pivotButton="0" quotePrefix="0" xfId="0">
      <alignment vertical="center"/>
    </xf>
    <xf numFmtId="49" fontId="8" fillId="12" borderId="50" pivotButton="0" quotePrefix="0" xfId="0"/>
    <xf numFmtId="49" fontId="5" fillId="12" borderId="50" pivotButton="0" quotePrefix="0" xfId="0"/>
    <xf numFmtId="3" fontId="6" fillId="12" borderId="50" pivotButton="0" quotePrefix="0" xfId="0"/>
    <xf numFmtId="0" fontId="24" fillId="0" borderId="28" applyAlignment="1" pivotButton="0" quotePrefix="0" xfId="0">
      <alignment vertical="center"/>
    </xf>
    <xf numFmtId="0" fontId="24" fillId="0" borderId="28" applyAlignment="1" pivotButton="0" quotePrefix="0" xfId="0">
      <alignment wrapText="1"/>
    </xf>
    <xf numFmtId="0" fontId="24" fillId="0" borderId="56" applyAlignment="1" pivotButton="0" quotePrefix="0" xfId="0">
      <alignment wrapText="1"/>
    </xf>
    <xf numFmtId="0" fontId="24" fillId="0" borderId="34" applyAlignment="1" pivotButton="0" quotePrefix="0" xfId="0">
      <alignment wrapText="1"/>
    </xf>
    <xf numFmtId="0" fontId="24" fillId="0" borderId="57" applyAlignment="1" pivotButton="0" quotePrefix="0" xfId="0">
      <alignment wrapText="1"/>
    </xf>
    <xf numFmtId="0" fontId="22" fillId="19" borderId="58" applyAlignment="1" pivotButton="0" quotePrefix="0" xfId="0">
      <alignment wrapText="1"/>
    </xf>
    <xf numFmtId="0" fontId="22" fillId="19" borderId="34" applyAlignment="1" pivotButton="0" quotePrefix="0" xfId="0">
      <alignment wrapText="1"/>
    </xf>
    <xf numFmtId="0" fontId="22" fillId="0" borderId="56" applyAlignment="1" pivotButton="0" quotePrefix="0" xfId="0">
      <alignment wrapText="1"/>
    </xf>
    <xf numFmtId="0" fontId="22" fillId="0" borderId="28" applyAlignment="1" pivotButton="0" quotePrefix="0" xfId="0">
      <alignment wrapText="1"/>
    </xf>
    <xf numFmtId="22" fontId="24" fillId="20" borderId="58" applyAlignment="1" pivotButton="0" quotePrefix="0" xfId="0">
      <alignment horizontal="right" wrapText="1"/>
    </xf>
    <xf numFmtId="22" fontId="24" fillId="20" borderId="34" applyAlignment="1" pivotButton="0" quotePrefix="0" xfId="0">
      <alignment horizontal="right" wrapText="1"/>
    </xf>
    <xf numFmtId="0" fontId="24" fillId="20" borderId="34" applyAlignment="1" pivotButton="0" quotePrefix="0" xfId="0">
      <alignment wrapText="1"/>
    </xf>
    <xf numFmtId="0" fontId="24" fillId="20" borderId="34" applyAlignment="1" pivotButton="0" quotePrefix="0" xfId="0">
      <alignment horizontal="right" wrapText="1"/>
    </xf>
    <xf numFmtId="3" fontId="24" fillId="20" borderId="34" applyAlignment="1" pivotButton="0" quotePrefix="0" xfId="0">
      <alignment horizontal="right" wrapText="1"/>
    </xf>
    <xf numFmtId="0" fontId="24" fillId="0" borderId="49" applyAlignment="1" pivotButton="0" quotePrefix="0" xfId="0">
      <alignment horizontal="right" wrapText="1"/>
    </xf>
    <xf numFmtId="0" fontId="22" fillId="9" borderId="34" applyAlignment="1" pivotButton="0" quotePrefix="0" xfId="0">
      <alignment horizontal="center" wrapText="1"/>
    </xf>
    <xf numFmtId="0" fontId="22" fillId="9" borderId="34" applyAlignment="1" pivotButton="0" quotePrefix="0" xfId="0">
      <alignment wrapText="1"/>
    </xf>
    <xf numFmtId="0" fontId="24" fillId="9" borderId="34" applyAlignment="1" pivotButton="0" quotePrefix="0" xfId="0">
      <alignment horizontal="right" wrapText="1"/>
    </xf>
    <xf numFmtId="0" fontId="24" fillId="0" borderId="28" applyAlignment="1" pivotButton="0" quotePrefix="0" xfId="0">
      <alignment horizontal="right" wrapText="1"/>
    </xf>
    <xf numFmtId="0" fontId="20" fillId="0" borderId="0" pivotButton="0" quotePrefix="0" xfId="0"/>
    <xf numFmtId="0" fontId="31" fillId="0" borderId="59" applyAlignment="1" pivotButton="0" quotePrefix="0" xfId="0">
      <alignment wrapText="1"/>
    </xf>
    <xf numFmtId="0" fontId="31" fillId="0" borderId="59" applyAlignment="1" pivotButton="0" quotePrefix="0" xfId="0">
      <alignment horizontal="center" wrapText="1"/>
    </xf>
    <xf numFmtId="0" fontId="31" fillId="0" borderId="59" applyAlignment="1" pivotButton="0" quotePrefix="0" xfId="0">
      <alignment horizontal="right" wrapText="1"/>
    </xf>
    <xf numFmtId="16" fontId="31" fillId="0" borderId="59" applyAlignment="1" pivotButton="0" quotePrefix="0" xfId="0">
      <alignment horizontal="right" wrapText="1"/>
    </xf>
    <xf numFmtId="0" fontId="31" fillId="10" borderId="59" applyAlignment="1" pivotButton="0" quotePrefix="0" xfId="0">
      <alignment horizontal="right" wrapText="1"/>
    </xf>
    <xf numFmtId="16" fontId="31" fillId="10" borderId="59" applyAlignment="1" pivotButton="0" quotePrefix="0" xfId="0">
      <alignment horizontal="right" wrapText="1"/>
    </xf>
    <xf numFmtId="0" fontId="31" fillId="10" borderId="59" applyAlignment="1" pivotButton="0" quotePrefix="0" xfId="0">
      <alignment horizontal="center" wrapText="1"/>
    </xf>
    <xf numFmtId="0" fontId="31" fillId="21" borderId="59" applyAlignment="1" pivotButton="0" quotePrefix="0" xfId="0">
      <alignment horizontal="center" wrapText="1"/>
    </xf>
    <xf numFmtId="3" fontId="31" fillId="21" borderId="59" applyAlignment="1" pivotButton="0" quotePrefix="0" xfId="0">
      <alignment horizontal="right" wrapText="1"/>
    </xf>
    <xf numFmtId="0" fontId="36" fillId="12" borderId="0" pivotButton="0" quotePrefix="0" xfId="0"/>
    <xf numFmtId="0" fontId="7" fillId="12" borderId="0" pivotButton="0" quotePrefix="0" xfId="0"/>
    <xf numFmtId="0" fontId="37" fillId="0" borderId="0" pivotButton="0" quotePrefix="0" xfId="0"/>
    <xf numFmtId="0" fontId="6" fillId="12" borderId="0" pivotButton="0" quotePrefix="0" xfId="0"/>
    <xf numFmtId="0" fontId="37" fillId="12" borderId="0" pivotButton="0" quotePrefix="0" xfId="0"/>
    <xf numFmtId="165" fontId="36" fillId="22" borderId="50" applyAlignment="1" pivotButton="0" quotePrefix="0" xfId="0">
      <alignment horizontal="center" vertical="center" wrapText="1"/>
    </xf>
    <xf numFmtId="0" fontId="6" fillId="23" borderId="50" applyAlignment="1" pivotButton="0" quotePrefix="0" xfId="0">
      <alignment horizontal="center" vertical="center"/>
    </xf>
    <xf numFmtId="0" fontId="36" fillId="12" borderId="0" applyAlignment="1" pivotButton="0" quotePrefix="0" xfId="0">
      <alignment vertical="center"/>
    </xf>
    <xf numFmtId="0" fontId="8" fillId="12" borderId="50" applyAlignment="1" pivotButton="0" quotePrefix="0" xfId="0">
      <alignment horizontal="center" vertical="center" wrapText="1"/>
    </xf>
    <xf numFmtId="0" fontId="37" fillId="12" borderId="50" applyAlignment="1" pivotButton="0" quotePrefix="0" xfId="0">
      <alignment vertical="center"/>
    </xf>
    <xf numFmtId="0" fontId="7" fillId="12" borderId="50" applyAlignment="1" pivotButton="0" quotePrefix="0" xfId="0">
      <alignment vertical="center"/>
    </xf>
    <xf numFmtId="165" fontId="37" fillId="14" borderId="50" applyAlignment="1" pivotButton="0" quotePrefix="0" xfId="0">
      <alignment horizontal="left" vertical="center"/>
    </xf>
    <xf numFmtId="3" fontId="8" fillId="24" borderId="50" applyAlignment="1" pivotButton="0" quotePrefix="0" xfId="0">
      <alignment vertical="center"/>
    </xf>
    <xf numFmtId="0" fontId="37" fillId="12" borderId="0" applyAlignment="1" pivotButton="0" quotePrefix="0" xfId="0">
      <alignment vertical="center"/>
    </xf>
    <xf numFmtId="0" fontId="8" fillId="23" borderId="50" applyAlignment="1" pivotButton="0" quotePrefix="0" xfId="0">
      <alignment horizontal="center" vertical="center" wrapText="1"/>
    </xf>
    <xf numFmtId="0" fontId="36" fillId="23" borderId="50" applyAlignment="1" pivotButton="0" quotePrefix="0" xfId="0">
      <alignment vertical="center"/>
    </xf>
    <xf numFmtId="0" fontId="7" fillId="23" borderId="50" applyAlignment="1" pivotButton="0" quotePrefix="0" xfId="0">
      <alignment vertical="center" wrapText="1"/>
    </xf>
    <xf numFmtId="0" fontId="7" fillId="23" borderId="50" applyAlignment="1" pivotButton="0" quotePrefix="0" xfId="0">
      <alignment vertical="center"/>
    </xf>
    <xf numFmtId="165" fontId="37" fillId="25" borderId="50" applyAlignment="1" pivotButton="0" quotePrefix="0" xfId="0">
      <alignment horizontal="left" vertical="center"/>
    </xf>
    <xf numFmtId="3" fontId="5" fillId="26" borderId="50" applyAlignment="1" pivotButton="0" quotePrefix="0" xfId="0">
      <alignment vertical="center"/>
    </xf>
    <xf numFmtId="0" fontId="8" fillId="12" borderId="50" applyAlignment="1" pivotButton="0" quotePrefix="0" xfId="0">
      <alignment vertical="center"/>
    </xf>
    <xf numFmtId="0" fontId="38" fillId="23" borderId="50" applyAlignment="1" pivotButton="0" quotePrefix="0" xfId="0">
      <alignment horizontal="left" vertical="center" wrapText="1"/>
    </xf>
    <xf numFmtId="0" fontId="6" fillId="23" borderId="50" applyAlignment="1" pivotButton="0" quotePrefix="0" xfId="0">
      <alignment vertical="center"/>
    </xf>
    <xf numFmtId="165" fontId="8" fillId="12" borderId="50" applyAlignment="1" pivotButton="0" quotePrefix="0" xfId="0">
      <alignment horizontal="center" vertical="center" wrapText="1"/>
    </xf>
    <xf numFmtId="0" fontId="37" fillId="23" borderId="50" applyAlignment="1" pivotButton="0" quotePrefix="0" xfId="0">
      <alignment vertical="center"/>
    </xf>
    <xf numFmtId="0" fontId="37" fillId="0" borderId="50" applyAlignment="1" pivotButton="0" quotePrefix="0" xfId="0">
      <alignment horizontal="center" vertical="center" wrapText="1"/>
    </xf>
    <xf numFmtId="0" fontId="8" fillId="0" borderId="50" applyAlignment="1" pivotButton="0" quotePrefix="0" xfId="0">
      <alignment horizontal="center" vertical="center" wrapText="1"/>
    </xf>
    <xf numFmtId="0" fontId="37" fillId="27" borderId="50" applyAlignment="1" pivotButton="0" quotePrefix="0" xfId="0">
      <alignment horizontal="left" vertical="center" wrapText="1"/>
    </xf>
    <xf numFmtId="3" fontId="6" fillId="17" borderId="60" applyAlignment="1" pivotButton="0" quotePrefix="0" xfId="0">
      <alignment vertical="center"/>
    </xf>
    <xf numFmtId="0" fontId="39" fillId="23" borderId="50" applyAlignment="1" pivotButton="0" quotePrefix="0" xfId="0">
      <alignment horizontal="center" vertical="center" wrapText="1"/>
    </xf>
    <xf numFmtId="165" fontId="37" fillId="23" borderId="50" applyAlignment="1" pivotButton="0" quotePrefix="0" xfId="0">
      <alignment vertical="center"/>
    </xf>
    <xf numFmtId="165" fontId="37" fillId="12" borderId="50" applyAlignment="1" pivotButton="0" quotePrefix="0" xfId="0">
      <alignment vertical="center"/>
    </xf>
    <xf numFmtId="165" fontId="36" fillId="10" borderId="50" applyAlignment="1" pivotButton="0" quotePrefix="0" xfId="0">
      <alignment vertical="center"/>
    </xf>
    <xf numFmtId="3" fontId="36" fillId="28" borderId="50" applyAlignment="1" pivotButton="0" quotePrefix="0" xfId="0">
      <alignment vertical="center"/>
    </xf>
    <xf numFmtId="165" fontId="37" fillId="12" borderId="0" applyAlignment="1" pivotButton="0" quotePrefix="0" xfId="0">
      <alignment vertical="center"/>
    </xf>
    <xf numFmtId="0" fontId="11" fillId="23" borderId="0" applyAlignment="1" pivotButton="0" quotePrefix="0" xfId="0">
      <alignment vertical="center"/>
    </xf>
    <xf numFmtId="0" fontId="13" fillId="6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69" fontId="11" fillId="0" borderId="0" applyAlignment="1" pivotButton="0" quotePrefix="0" xfId="1">
      <alignment horizontal="left" vertical="center"/>
    </xf>
    <xf numFmtId="0" fontId="11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/>
    </xf>
    <xf numFmtId="0" fontId="11" fillId="23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/>
    </xf>
    <xf numFmtId="169" fontId="41" fillId="0" borderId="0" applyAlignment="1" pivotButton="0" quotePrefix="0" xfId="1">
      <alignment horizontal="left" vertical="center"/>
    </xf>
    <xf numFmtId="3" fontId="13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9" fontId="11" fillId="0" borderId="0" applyAlignment="1" pivotButton="0" quotePrefix="0" xfId="1">
      <alignment horizontal="left" vertical="center"/>
    </xf>
    <xf numFmtId="3" fontId="12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right" vertical="center"/>
    </xf>
    <xf numFmtId="49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left" vertical="center"/>
    </xf>
    <xf numFmtId="0" fontId="11" fillId="29" borderId="0" applyAlignment="1" pivotButton="0" quotePrefix="0" xfId="0">
      <alignment vertical="center" wrapText="1"/>
    </xf>
    <xf numFmtId="0" fontId="11" fillId="29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/>
    </xf>
    <xf numFmtId="3" fontId="36" fillId="10" borderId="60" applyAlignment="1" pivotButton="0" quotePrefix="0" xfId="7">
      <alignment vertical="center"/>
    </xf>
    <xf numFmtId="0" fontId="43" fillId="13" borderId="62" applyAlignment="1" pivotButton="0" quotePrefix="0" xfId="0">
      <alignment vertical="center" wrapText="1"/>
    </xf>
    <xf numFmtId="0" fontId="43" fillId="13" borderId="61" applyAlignment="1" pivotButton="0" quotePrefix="0" xfId="0">
      <alignment horizontal="right" vertical="center" wrapText="1"/>
    </xf>
    <xf numFmtId="3" fontId="36" fillId="0" borderId="60" applyAlignment="1" pivotButton="0" quotePrefix="0" xfId="7">
      <alignment vertical="center" wrapText="1"/>
    </xf>
    <xf numFmtId="0" fontId="43" fillId="30" borderId="63" applyAlignment="1" pivotButton="0" quotePrefix="0" xfId="0">
      <alignment horizontal="right" vertical="center" wrapText="1"/>
    </xf>
    <xf numFmtId="0" fontId="43" fillId="30" borderId="64" applyAlignment="1" pivotButton="0" quotePrefix="0" xfId="0">
      <alignment vertical="center" wrapText="1"/>
    </xf>
    <xf numFmtId="3" fontId="36" fillId="0" borderId="50" applyAlignment="1" pivotButton="0" quotePrefix="0" xfId="7">
      <alignment vertical="center"/>
    </xf>
    <xf numFmtId="0" fontId="43" fillId="30" borderId="65" applyAlignment="1" pivotButton="0" quotePrefix="0" xfId="0">
      <alignment horizontal="right" vertical="center" wrapText="1"/>
    </xf>
    <xf numFmtId="0" fontId="43" fillId="30" borderId="66" applyAlignment="1" pivotButton="0" quotePrefix="0" xfId="0">
      <alignment vertical="center" wrapText="1"/>
    </xf>
    <xf numFmtId="0" fontId="11" fillId="0" borderId="50" applyAlignment="1" pivotButton="0" quotePrefix="0" xfId="0">
      <alignment vertical="center"/>
    </xf>
    <xf numFmtId="3" fontId="11" fillId="0" borderId="50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3" fontId="44" fillId="4" borderId="50" applyAlignment="1" pivotButton="0" quotePrefix="0" xfId="0">
      <alignment vertical="center"/>
    </xf>
    <xf numFmtId="3" fontId="45" fillId="4" borderId="0" applyAlignment="1" pivotButton="0" quotePrefix="0" xfId="0">
      <alignment vertical="center"/>
    </xf>
    <xf numFmtId="164" fontId="8" fillId="4" borderId="0" applyAlignment="1" pivotButton="0" quotePrefix="0" xfId="0">
      <alignment horizontal="right" vertical="center"/>
    </xf>
    <xf numFmtId="3" fontId="36" fillId="0" borderId="60" applyAlignment="1" pivotButton="0" quotePrefix="0" xfId="7">
      <alignment vertical="center"/>
    </xf>
    <xf numFmtId="0" fontId="0" fillId="31" borderId="0" pivotButton="0" quotePrefix="0" xfId="0"/>
    <xf numFmtId="0" fontId="0" fillId="32" borderId="0" pivotButton="0" quotePrefix="0" xfId="0"/>
    <xf numFmtId="0" fontId="0" fillId="10" borderId="0" pivotButton="0" quotePrefix="0" xfId="0"/>
    <xf numFmtId="0" fontId="46" fillId="0" borderId="0" pivotButton="0" quotePrefix="0" xfId="0"/>
    <xf numFmtId="0" fontId="4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49" fillId="0" borderId="0" applyAlignment="1" pivotButton="0" quotePrefix="0" xfId="0">
      <alignment vertical="center"/>
    </xf>
    <xf numFmtId="0" fontId="48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wrapText="1"/>
    </xf>
    <xf numFmtId="0" fontId="5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70" fontId="8" fillId="0" borderId="0" applyAlignment="1" pivotButton="0" quotePrefix="0" xfId="0">
      <alignment vertical="center" wrapText="1"/>
    </xf>
    <xf numFmtId="0" fontId="49" fillId="0" borderId="0" pivotButton="0" quotePrefix="0" xfId="0"/>
    <xf numFmtId="0" fontId="51" fillId="0" borderId="50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52" fillId="0" borderId="0" applyAlignment="1" pivotButton="0" quotePrefix="0" xfId="0">
      <alignment vertical="center"/>
    </xf>
    <xf numFmtId="171" fontId="5" fillId="0" borderId="50" applyAlignment="1" pivotButton="0" quotePrefix="0" xfId="0">
      <alignment horizontal="left" vertical="center" wrapText="1"/>
    </xf>
    <xf numFmtId="171" fontId="5" fillId="0" borderId="50" applyAlignment="1" pivotButton="0" quotePrefix="0" xfId="0">
      <alignment horizontal="center" vertical="center" wrapText="1"/>
    </xf>
    <xf numFmtId="0" fontId="4" fillId="0" borderId="50" pivotButton="0" quotePrefix="0" xfId="0"/>
    <xf numFmtId="0" fontId="5" fillId="33" borderId="50" applyAlignment="1" pivotButton="0" quotePrefix="0" xfId="0">
      <alignment horizontal="left" vertical="center"/>
    </xf>
    <xf numFmtId="0" fontId="5" fillId="9" borderId="50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3" fontId="6" fillId="34" borderId="50" applyAlignment="1" pivotButton="0" quotePrefix="0" xfId="0">
      <alignment vertical="center"/>
    </xf>
    <xf numFmtId="3" fontId="6" fillId="34" borderId="50" applyAlignment="1" pivotButton="0" quotePrefix="0" xfId="0">
      <alignment horizontal="left" vertical="center"/>
    </xf>
    <xf numFmtId="0" fontId="6" fillId="0" borderId="50" applyAlignment="1" pivotButton="0" quotePrefix="0" xfId="0">
      <alignment vertical="center"/>
    </xf>
    <xf numFmtId="0" fontId="53" fillId="0" borderId="50" applyAlignment="1" pivotButton="0" quotePrefix="0" xfId="0">
      <alignment horizontal="left" vertical="center"/>
    </xf>
    <xf numFmtId="0" fontId="53" fillId="0" borderId="50" applyAlignment="1" pivotButton="0" quotePrefix="0" xfId="0">
      <alignment horizontal="center" vertical="center"/>
    </xf>
    <xf numFmtId="172" fontId="8" fillId="0" borderId="50" applyAlignment="1" pivotButton="0" quotePrefix="0" xfId="0">
      <alignment horizontal="center" vertical="center" wrapText="1"/>
    </xf>
    <xf numFmtId="170" fontId="8" fillId="0" borderId="50" applyAlignment="1" pivotButton="0" quotePrefix="0" xfId="0">
      <alignment vertical="center" wrapText="1"/>
    </xf>
    <xf numFmtId="49" fontId="5" fillId="9" borderId="27" applyAlignment="1" pivotButton="0" quotePrefix="0" xfId="0">
      <alignment vertical="center" wrapText="1"/>
    </xf>
    <xf numFmtId="0" fontId="53" fillId="10" borderId="50" applyAlignment="1" pivotButton="0" quotePrefix="0" xfId="0">
      <alignment horizontal="center" vertical="center"/>
    </xf>
    <xf numFmtId="0" fontId="53" fillId="9" borderId="50" applyAlignment="1" pivotButton="0" quotePrefix="0" xfId="0">
      <alignment horizontal="left" vertical="center"/>
    </xf>
    <xf numFmtId="49" fontId="5" fillId="0" borderId="27" applyAlignment="1" pivotButton="0" quotePrefix="0" xfId="0">
      <alignment vertical="center" wrapText="1"/>
    </xf>
    <xf numFmtId="0" fontId="53" fillId="10" borderId="50" applyAlignment="1" pivotButton="0" quotePrefix="0" xfId="0">
      <alignment horizontal="left" vertical="center"/>
    </xf>
    <xf numFmtId="16" fontId="49" fillId="0" borderId="0" pivotButton="0" quotePrefix="0" xfId="0"/>
    <xf numFmtId="0" fontId="6" fillId="35" borderId="50" applyAlignment="1" pivotButton="0" quotePrefix="0" xfId="0">
      <alignment vertical="center"/>
    </xf>
    <xf numFmtId="0" fontId="5" fillId="0" borderId="50" applyAlignment="1" pivotButton="0" quotePrefix="0" xfId="0">
      <alignment vertical="center"/>
    </xf>
    <xf numFmtId="49" fontId="5" fillId="0" borderId="50" applyAlignment="1" pivotButton="0" quotePrefix="0" xfId="0">
      <alignment vertical="center" wrapText="1"/>
    </xf>
    <xf numFmtId="168" fontId="7" fillId="36" borderId="50" applyAlignment="1" pivotButton="0" quotePrefix="0" xfId="0">
      <alignment horizontal="center" vertical="center"/>
    </xf>
    <xf numFmtId="0" fontId="5" fillId="36" borderId="67" applyAlignment="1" pivotButton="0" quotePrefix="0" xfId="0">
      <alignment vertical="center"/>
    </xf>
    <xf numFmtId="170" fontId="8" fillId="31" borderId="50" applyAlignment="1" pivotButton="0" quotePrefix="0" xfId="0">
      <alignment vertical="center" wrapText="1"/>
    </xf>
    <xf numFmtId="0" fontId="52" fillId="31" borderId="0" applyAlignment="1" pivotButton="0" quotePrefix="0" xfId="0">
      <alignment vertical="center"/>
    </xf>
    <xf numFmtId="0" fontId="52" fillId="31" borderId="0" pivotButton="0" quotePrefix="0" xfId="0"/>
    <xf numFmtId="0" fontId="6" fillId="36" borderId="67" applyAlignment="1" pivotButton="0" quotePrefix="0" xfId="0">
      <alignment vertical="center"/>
    </xf>
    <xf numFmtId="0" fontId="11" fillId="31" borderId="0" pivotButton="0" quotePrefix="0" xfId="0"/>
    <xf numFmtId="168" fontId="7" fillId="31" borderId="50" applyAlignment="1" pivotButton="0" quotePrefix="0" xfId="0">
      <alignment horizontal="center" vertical="center"/>
    </xf>
    <xf numFmtId="49" fontId="5" fillId="31" borderId="50" applyAlignment="1" pivotButton="0" quotePrefix="0" xfId="0">
      <alignment vertical="center" wrapText="1"/>
    </xf>
    <xf numFmtId="0" fontId="49" fillId="31" borderId="0" pivotButton="0" quotePrefix="0" xfId="0"/>
    <xf numFmtId="0" fontId="36" fillId="17" borderId="50" applyAlignment="1" pivotButton="0" quotePrefix="0" xfId="7">
      <alignment vertical="center"/>
    </xf>
    <xf numFmtId="0" fontId="52" fillId="0" borderId="0" pivotButton="0" quotePrefix="0" xfId="0"/>
    <xf numFmtId="168" fontId="7" fillId="0" borderId="69" applyAlignment="1" pivotButton="0" quotePrefix="0" xfId="0">
      <alignment horizontal="center" vertical="center"/>
    </xf>
    <xf numFmtId="0" fontId="5" fillId="0" borderId="70" applyAlignment="1" pivotButton="0" quotePrefix="0" xfId="0">
      <alignment vertical="center"/>
    </xf>
    <xf numFmtId="168" fontId="7" fillId="32" borderId="50" applyAlignment="1" pivotButton="0" quotePrefix="0" xfId="0">
      <alignment horizontal="center" vertical="center"/>
    </xf>
    <xf numFmtId="0" fontId="5" fillId="32" borderId="50" applyAlignment="1" pivotButton="0" quotePrefix="0" xfId="0">
      <alignment vertical="center"/>
    </xf>
    <xf numFmtId="0" fontId="49" fillId="32" borderId="0" pivotButton="0" quotePrefix="0" xfId="0"/>
    <xf numFmtId="173" fontId="54" fillId="0" borderId="0" applyAlignment="1" pivotButton="0" quotePrefix="0" xfId="0">
      <alignment horizontal="left" vertical="center" wrapText="1"/>
    </xf>
    <xf numFmtId="3" fontId="6" fillId="37" borderId="50" applyAlignment="1" pivotButton="0" quotePrefix="0" xfId="0">
      <alignment vertical="center"/>
    </xf>
    <xf numFmtId="170" fontId="8" fillId="10" borderId="50" applyAlignment="1" pivotButton="0" quotePrefix="0" xfId="0">
      <alignment vertical="center" wrapText="1"/>
    </xf>
    <xf numFmtId="0" fontId="49" fillId="10" borderId="0" pivotButton="0" quotePrefix="0" xfId="0"/>
    <xf numFmtId="0" fontId="50" fillId="0" borderId="50" pivotButton="0" quotePrefix="0" xfId="0"/>
    <xf numFmtId="0" fontId="5" fillId="0" borderId="50" applyAlignment="1" pivotButton="0" quotePrefix="0" xfId="0">
      <alignment vertical="center" wrapText="1"/>
    </xf>
    <xf numFmtId="14" fontId="37" fillId="0" borderId="50" applyAlignment="1" pivotButton="0" quotePrefix="0" xfId="7">
      <alignment horizontal="left" vertical="center"/>
    </xf>
    <xf numFmtId="0" fontId="53" fillId="9" borderId="50" applyAlignment="1" pivotButton="0" quotePrefix="0" xfId="0">
      <alignment horizontal="center" vertical="center"/>
    </xf>
    <xf numFmtId="168" fontId="55" fillId="0" borderId="50" applyAlignment="1" pivotButton="0" quotePrefix="0" xfId="0">
      <alignment horizontal="center" vertical="center"/>
    </xf>
    <xf numFmtId="0" fontId="56" fillId="0" borderId="50" pivotButton="0" quotePrefix="0" xfId="0"/>
    <xf numFmtId="3" fontId="57" fillId="17" borderId="50" applyAlignment="1" pivotButton="0" quotePrefix="0" xfId="0">
      <alignment vertical="center"/>
    </xf>
    <xf numFmtId="0" fontId="58" fillId="0" borderId="50" applyAlignment="1" pivotButton="0" quotePrefix="0" xfId="0">
      <alignment horizontal="left" vertical="center"/>
    </xf>
    <xf numFmtId="0" fontId="58" fillId="0" borderId="50" applyAlignment="1" pivotButton="0" quotePrefix="0" xfId="0">
      <alignment horizontal="center" vertical="center"/>
    </xf>
    <xf numFmtId="0" fontId="58" fillId="10" borderId="50" applyAlignment="1" pivotButton="0" quotePrefix="0" xfId="0">
      <alignment horizontal="center" vertical="center"/>
    </xf>
    <xf numFmtId="172" fontId="55" fillId="0" borderId="50" applyAlignment="1" pivotButton="0" quotePrefix="0" xfId="0">
      <alignment horizontal="center" vertical="center" wrapText="1"/>
    </xf>
    <xf numFmtId="170" fontId="55" fillId="0" borderId="50" applyAlignment="1" pivotButton="0" quotePrefix="0" xfId="0">
      <alignment vertical="center" wrapText="1"/>
    </xf>
    <xf numFmtId="0" fontId="58" fillId="0" borderId="0" pivotButton="0" quotePrefix="0" xfId="0"/>
    <xf numFmtId="0" fontId="59" fillId="0" borderId="50" pivotButton="0" quotePrefix="0" xfId="0"/>
    <xf numFmtId="3" fontId="36" fillId="17" borderId="50" applyAlignment="1" pivotButton="0" quotePrefix="0" xfId="0">
      <alignment vertical="center"/>
    </xf>
    <xf numFmtId="0" fontId="40" fillId="0" borderId="0" pivotButton="0" quotePrefix="0" xfId="0"/>
    <xf numFmtId="168" fontId="37" fillId="0" borderId="50" applyAlignment="1" pivotButton="0" quotePrefix="0" xfId="0">
      <alignment horizontal="center" vertical="center"/>
    </xf>
    <xf numFmtId="0" fontId="36" fillId="0" borderId="50" applyAlignment="1" pivotButton="0" quotePrefix="0" xfId="0">
      <alignment vertical="center" wrapText="1"/>
    </xf>
    <xf numFmtId="0" fontId="60" fillId="0" borderId="0" applyAlignment="1" pivotButton="0" quotePrefix="0" xfId="0">
      <alignment vertical="center"/>
    </xf>
    <xf numFmtId="3" fontId="36" fillId="38" borderId="50" applyAlignment="1" pivotButton="0" quotePrefix="0" xfId="0">
      <alignment vertical="center"/>
    </xf>
    <xf numFmtId="49" fontId="8" fillId="4" borderId="50" applyAlignment="1" pivotButton="0" quotePrefix="0" xfId="0">
      <alignment horizontal="left" vertical="center"/>
    </xf>
    <xf numFmtId="168" fontId="37" fillId="23" borderId="50" applyAlignment="1" pivotButton="0" quotePrefix="0" xfId="0">
      <alignment horizontal="center" vertical="center"/>
    </xf>
    <xf numFmtId="3" fontId="36" fillId="39" borderId="50" applyAlignment="1" pivotButton="0" quotePrefix="0" xfId="0">
      <alignment vertical="center"/>
    </xf>
    <xf numFmtId="16" fontId="60" fillId="0" borderId="0" applyAlignment="1" pivotButton="0" quotePrefix="0" xfId="0">
      <alignment vertical="center"/>
    </xf>
    <xf numFmtId="0" fontId="5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15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/>
    </xf>
    <xf numFmtId="0" fontId="15" fillId="7" borderId="0" applyAlignment="1" pivotButton="0" quotePrefix="0" xfId="0">
      <alignment horizontal="right"/>
    </xf>
    <xf numFmtId="0" fontId="15" fillId="40" borderId="0" applyAlignment="1" pivotButton="0" quotePrefix="0" xfId="0">
      <alignment horizontal="right"/>
    </xf>
    <xf numFmtId="0" fontId="61" fillId="0" borderId="0" applyAlignment="1" pivotButton="0" quotePrefix="0" xfId="0">
      <alignment vertical="center"/>
    </xf>
    <xf numFmtId="0" fontId="62" fillId="41" borderId="71" applyAlignment="1" pivotButton="0" quotePrefix="0" xfId="0">
      <alignment vertical="center" wrapText="1"/>
    </xf>
    <xf numFmtId="0" fontId="63" fillId="41" borderId="71" applyAlignment="1" pivotButton="0" quotePrefix="0" xfId="0">
      <alignment horizontal="left" vertical="center" wrapText="1"/>
    </xf>
    <xf numFmtId="0" fontId="15" fillId="42" borderId="0" applyAlignment="1" pivotButton="0" quotePrefix="0" xfId="0">
      <alignment horizontal="right"/>
    </xf>
    <xf numFmtId="0" fontId="64" fillId="0" borderId="0" applyAlignment="1" pivotButton="0" quotePrefix="0" xfId="0">
      <alignment horizontal="left" vertical="center" wrapText="1"/>
    </xf>
    <xf numFmtId="0" fontId="15" fillId="43" borderId="0" applyAlignment="1" pivotButton="0" quotePrefix="0" xfId="0">
      <alignment horizontal="right"/>
    </xf>
    <xf numFmtId="0" fontId="15" fillId="3" borderId="0" applyAlignment="1" pivotButton="0" quotePrefix="0" xfId="0">
      <alignment horizontal="right"/>
    </xf>
    <xf numFmtId="0" fontId="49" fillId="0" borderId="0" applyAlignment="1" pivotButton="0" quotePrefix="0" xfId="0">
      <alignment horizontal="center"/>
    </xf>
    <xf numFmtId="0" fontId="47" fillId="0" borderId="0" applyAlignment="1" pivotButton="0" quotePrefix="0" xfId="0">
      <alignment horizontal="center" vertical="center"/>
    </xf>
    <xf numFmtId="0" fontId="65" fillId="0" borderId="0" pivotButton="0" quotePrefix="0" xfId="0"/>
    <xf numFmtId="0" fontId="66" fillId="0" borderId="0" pivotButton="0" quotePrefix="0" xfId="0"/>
    <xf numFmtId="0" fontId="67" fillId="0" borderId="0" applyAlignment="1" pivotButton="0" quotePrefix="0" xfId="0">
      <alignment horizontal="center" vertical="center"/>
    </xf>
    <xf numFmtId="0" fontId="67" fillId="9" borderId="0" applyAlignment="1" pivotButton="0" quotePrefix="0" xfId="0">
      <alignment horizontal="center" vertical="center"/>
    </xf>
    <xf numFmtId="0" fontId="67" fillId="12" borderId="0" applyAlignment="1" pivotButton="0" quotePrefix="0" xfId="0">
      <alignment horizontal="center" vertical="center"/>
    </xf>
    <xf numFmtId="0" fontId="67" fillId="27" borderId="0" applyAlignment="1" pivotButton="0" quotePrefix="0" xfId="0">
      <alignment horizontal="center" vertical="center"/>
    </xf>
    <xf numFmtId="0" fontId="67" fillId="44" borderId="0" applyAlignment="1" pivotButton="0" quotePrefix="0" xfId="0">
      <alignment horizontal="center" vertical="center"/>
    </xf>
    <xf numFmtId="0" fontId="33" fillId="45" borderId="72" applyAlignment="1" pivotButton="0" quotePrefix="0" xfId="0">
      <alignment vertical="center" wrapText="1"/>
    </xf>
    <xf numFmtId="0" fontId="33" fillId="45" borderId="57" applyAlignment="1" pivotButton="0" quotePrefix="0" xfId="0">
      <alignment vertical="center" wrapText="1"/>
    </xf>
    <xf numFmtId="0" fontId="33" fillId="47" borderId="57" applyAlignment="1" pivotButton="0" quotePrefix="0" xfId="0">
      <alignment vertical="center" wrapText="1"/>
    </xf>
    <xf numFmtId="0" fontId="33" fillId="0" borderId="28" applyAlignment="1" pivotButton="0" quotePrefix="0" xfId="0">
      <alignment vertical="center" wrapText="1"/>
    </xf>
    <xf numFmtId="0" fontId="65" fillId="0" borderId="0" applyAlignment="1" pivotButton="0" quotePrefix="0" xfId="0">
      <alignment horizontal="center" vertical="center"/>
    </xf>
    <xf numFmtId="0" fontId="70" fillId="45" borderId="58" applyAlignment="1" pivotButton="0" quotePrefix="0" xfId="0">
      <alignment horizontal="center" vertical="center" wrapText="1"/>
    </xf>
    <xf numFmtId="0" fontId="70" fillId="45" borderId="34" applyAlignment="1" pivotButton="0" quotePrefix="0" xfId="0">
      <alignment horizontal="center" vertical="center" wrapText="1"/>
    </xf>
    <xf numFmtId="0" fontId="70" fillId="9" borderId="34" applyAlignment="1" pivotButton="0" quotePrefix="0" xfId="0">
      <alignment horizontal="center" vertical="center" wrapText="1"/>
    </xf>
    <xf numFmtId="0" fontId="71" fillId="19" borderId="34" applyAlignment="1" pivotButton="0" quotePrefix="0" xfId="0">
      <alignment horizontal="center" vertical="center" wrapText="1"/>
    </xf>
    <xf numFmtId="0" fontId="72" fillId="27" borderId="34" applyAlignment="1" pivotButton="0" quotePrefix="0" xfId="0">
      <alignment horizontal="center" vertical="center" wrapText="1"/>
    </xf>
    <xf numFmtId="0" fontId="71" fillId="48" borderId="34" applyAlignment="1" pivotButton="0" quotePrefix="0" xfId="0">
      <alignment horizontal="center" vertical="center" wrapText="1"/>
    </xf>
    <xf numFmtId="0" fontId="71" fillId="47" borderId="34" applyAlignment="1" pivotButton="0" quotePrefix="0" xfId="0">
      <alignment horizontal="center" vertical="center" wrapText="1"/>
    </xf>
    <xf numFmtId="0" fontId="69" fillId="9" borderId="34" applyAlignment="1" pivotButton="0" quotePrefix="0" xfId="0">
      <alignment horizontal="center" vertical="center" wrapText="1"/>
    </xf>
    <xf numFmtId="0" fontId="70" fillId="46" borderId="34" applyAlignment="1" pivotButton="0" quotePrefix="0" xfId="0">
      <alignment horizontal="center" vertical="center" wrapText="1"/>
    </xf>
    <xf numFmtId="0" fontId="70" fillId="27" borderId="34" applyAlignment="1" pivotButton="0" quotePrefix="0" xfId="0">
      <alignment horizontal="center" vertical="center" wrapText="1"/>
    </xf>
    <xf numFmtId="0" fontId="70" fillId="49" borderId="34" applyAlignment="1" pivotButton="0" quotePrefix="0" xfId="0">
      <alignment horizontal="center" vertical="center" wrapText="1"/>
    </xf>
    <xf numFmtId="0" fontId="70" fillId="47" borderId="34" applyAlignment="1" pivotButton="0" quotePrefix="0" xfId="0">
      <alignment horizontal="center" vertical="center" wrapText="1"/>
    </xf>
    <xf numFmtId="0" fontId="70" fillId="47" borderId="49" applyAlignment="1" pivotButton="0" quotePrefix="0" xfId="0">
      <alignment horizontal="center" vertical="center" wrapText="1"/>
    </xf>
    <xf numFmtId="0" fontId="73" fillId="50" borderId="27" applyAlignment="1" pivotButton="0" quotePrefix="0" xfId="0">
      <alignment horizontal="center" vertical="center" wrapText="1"/>
    </xf>
    <xf numFmtId="0" fontId="74" fillId="0" borderId="28" applyAlignment="1" pivotButton="0" quotePrefix="0" xfId="0">
      <alignment horizontal="center" vertical="center" wrapText="1"/>
    </xf>
    <xf numFmtId="0" fontId="74" fillId="0" borderId="28" applyAlignment="1" pivotButton="0" quotePrefix="0" xfId="0">
      <alignment horizontal="center" wrapText="1"/>
    </xf>
    <xf numFmtId="0" fontId="74" fillId="47" borderId="28" applyAlignment="1" pivotButton="0" quotePrefix="0" xfId="0">
      <alignment wrapText="1"/>
    </xf>
    <xf numFmtId="0" fontId="75" fillId="0" borderId="28" applyAlignment="1" pivotButton="0" quotePrefix="0" xfId="0">
      <alignment horizontal="center" wrapText="1"/>
    </xf>
    <xf numFmtId="169" fontId="34" fillId="0" borderId="28" applyAlignment="1" pivotButton="0" quotePrefix="0" xfId="1">
      <alignment horizontal="center" vertical="center" wrapText="1"/>
    </xf>
    <xf numFmtId="0" fontId="34" fillId="0" borderId="28" applyAlignment="1" pivotButton="0" quotePrefix="0" xfId="0">
      <alignment horizontal="center" vertical="center" wrapText="1"/>
    </xf>
    <xf numFmtId="0" fontId="65" fillId="0" borderId="28" applyAlignment="1" pivotButton="0" quotePrefix="0" xfId="0">
      <alignment horizontal="center" vertical="center" wrapText="1"/>
    </xf>
    <xf numFmtId="0" fontId="33" fillId="51" borderId="28" applyAlignment="1" pivotButton="0" quotePrefix="0" xfId="0">
      <alignment vertical="center" wrapText="1"/>
    </xf>
    <xf numFmtId="0" fontId="33" fillId="52" borderId="28" applyAlignment="1" pivotButton="0" quotePrefix="0" xfId="0">
      <alignment vertical="center" wrapText="1"/>
    </xf>
    <xf numFmtId="0" fontId="74" fillId="52" borderId="28" applyAlignment="1" pivotButton="0" quotePrefix="0" xfId="0">
      <alignment horizontal="center" vertical="center" wrapText="1"/>
    </xf>
    <xf numFmtId="0" fontId="76" fillId="52" borderId="28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left" vertical="center" wrapText="1"/>
    </xf>
    <xf numFmtId="0" fontId="77" fillId="0" borderId="28" applyAlignment="1" pivotButton="0" quotePrefix="0" xfId="0">
      <alignment horizontal="center" wrapText="1"/>
    </xf>
    <xf numFmtId="0" fontId="74" fillId="51" borderId="28" applyAlignment="1" pivotButton="0" quotePrefix="0" xfId="0">
      <alignment horizontal="center" vertical="center" wrapText="1"/>
    </xf>
    <xf numFmtId="0" fontId="74" fillId="0" borderId="28" applyAlignment="1" pivotButton="0" quotePrefix="0" xfId="0">
      <alignment wrapText="1"/>
    </xf>
    <xf numFmtId="0" fontId="78" fillId="0" borderId="28" applyAlignment="1" pivotButton="0" quotePrefix="0" xfId="0">
      <alignment horizontal="center" wrapText="1"/>
    </xf>
    <xf numFmtId="0" fontId="33" fillId="13" borderId="28" applyAlignment="1" pivotButton="0" quotePrefix="0" xfId="0">
      <alignment vertical="center" wrapText="1"/>
    </xf>
    <xf numFmtId="0" fontId="79" fillId="0" borderId="28" applyAlignment="1" pivotButton="0" quotePrefix="0" xfId="0">
      <alignment horizontal="center" wrapText="1"/>
    </xf>
    <xf numFmtId="0" fontId="34" fillId="9" borderId="28" applyAlignment="1" pivotButton="0" quotePrefix="0" xfId="0">
      <alignment horizontal="center" vertical="center" wrapText="1"/>
    </xf>
    <xf numFmtId="0" fontId="65" fillId="9" borderId="28" applyAlignment="1" pivotButton="0" quotePrefix="0" xfId="0">
      <alignment horizontal="center" vertical="center" wrapText="1"/>
    </xf>
    <xf numFmtId="0" fontId="76" fillId="0" borderId="28" applyAlignment="1" pivotButton="0" quotePrefix="0" xfId="0">
      <alignment horizontal="center" vertical="center" wrapText="1"/>
    </xf>
    <xf numFmtId="0" fontId="74" fillId="13" borderId="28" applyAlignment="1" pivotButton="0" quotePrefix="0" xfId="0">
      <alignment horizontal="center" vertical="center" wrapText="1"/>
    </xf>
    <xf numFmtId="0" fontId="74" fillId="53" borderId="28" applyAlignment="1" pivotButton="0" quotePrefix="0" xfId="0">
      <alignment horizontal="center" vertical="center" wrapText="1"/>
    </xf>
    <xf numFmtId="0" fontId="33" fillId="0" borderId="28" applyAlignment="1" pivotButton="0" quotePrefix="0" xfId="0">
      <alignment wrapText="1"/>
    </xf>
    <xf numFmtId="3" fontId="34" fillId="0" borderId="28" applyAlignment="1" pivotButton="0" quotePrefix="0" xfId="0">
      <alignment horizontal="center" vertical="center" wrapText="1"/>
    </xf>
    <xf numFmtId="0" fontId="74" fillId="9" borderId="28" applyAlignment="1" pivotButton="0" quotePrefix="0" xfId="0">
      <alignment horizontal="center" vertical="center" wrapText="1"/>
    </xf>
    <xf numFmtId="0" fontId="74" fillId="9" borderId="28" applyAlignment="1" pivotButton="0" quotePrefix="0" xfId="0">
      <alignment vertical="center" wrapText="1"/>
    </xf>
    <xf numFmtId="0" fontId="33" fillId="54" borderId="28" applyAlignment="1" pivotButton="0" quotePrefix="0" xfId="0">
      <alignment vertical="center" wrapText="1"/>
    </xf>
    <xf numFmtId="0" fontId="74" fillId="33" borderId="28" applyAlignment="1" pivotButton="0" quotePrefix="0" xfId="0">
      <alignment horizontal="center" vertical="center" wrapText="1"/>
    </xf>
    <xf numFmtId="0" fontId="76" fillId="53" borderId="28" applyAlignment="1" pivotButton="0" quotePrefix="0" xfId="0">
      <alignment horizontal="center" vertical="center" wrapText="1"/>
    </xf>
    <xf numFmtId="0" fontId="33" fillId="53" borderId="28" applyAlignment="1" pivotButton="0" quotePrefix="0" xfId="0">
      <alignment vertical="center" wrapText="1"/>
    </xf>
    <xf numFmtId="0" fontId="33" fillId="53" borderId="28" applyAlignment="1" pivotButton="0" quotePrefix="0" xfId="0">
      <alignment wrapText="1"/>
    </xf>
    <xf numFmtId="0" fontId="74" fillId="54" borderId="28" applyAlignment="1" pivotButton="0" quotePrefix="0" xfId="0">
      <alignment horizontal="center" vertical="center" wrapText="1"/>
    </xf>
    <xf numFmtId="0" fontId="74" fillId="0" borderId="28" applyAlignment="1" pivotButton="0" quotePrefix="0" xfId="0">
      <alignment vertical="center" wrapText="1"/>
    </xf>
    <xf numFmtId="0" fontId="80" fillId="0" borderId="28" applyAlignment="1" pivotButton="0" quotePrefix="0" xfId="0">
      <alignment horizontal="center" wrapText="1"/>
    </xf>
    <xf numFmtId="0" fontId="81" fillId="0" borderId="28" applyAlignment="1" pivotButton="0" quotePrefix="0" xfId="0">
      <alignment horizontal="center" wrapText="1"/>
    </xf>
    <xf numFmtId="0" fontId="82" fillId="0" borderId="28" applyAlignment="1" pivotButton="0" quotePrefix="0" xfId="0">
      <alignment horizontal="center" wrapText="1"/>
    </xf>
    <xf numFmtId="0" fontId="83" fillId="0" borderId="28" applyAlignment="1" pivotButton="0" quotePrefix="0" xfId="0">
      <alignment horizontal="center" wrapText="1"/>
    </xf>
    <xf numFmtId="0" fontId="74" fillId="0" borderId="0" applyAlignment="1" pivotButton="0" quotePrefix="0" xfId="0">
      <alignment horizontal="left" vertical="center"/>
    </xf>
    <xf numFmtId="0" fontId="84" fillId="0" borderId="28" applyAlignment="1" pivotButton="0" quotePrefix="0" xfId="0">
      <alignment vertical="center" wrapText="1"/>
    </xf>
    <xf numFmtId="0" fontId="65" fillId="0" borderId="0" applyAlignment="1" pivotButton="0" quotePrefix="0" xfId="0">
      <alignment horizontal="left" vertical="center"/>
    </xf>
    <xf numFmtId="0" fontId="34" fillId="51" borderId="28" applyAlignment="1" pivotButton="0" quotePrefix="0" xfId="0">
      <alignment horizontal="center" vertical="center" wrapText="1"/>
    </xf>
    <xf numFmtId="0" fontId="34" fillId="48" borderId="28" applyAlignment="1" pivotButton="0" quotePrefix="0" xfId="0">
      <alignment horizontal="center" vertical="center" wrapText="1"/>
    </xf>
    <xf numFmtId="0" fontId="65" fillId="48" borderId="28" applyAlignment="1" pivotButton="0" quotePrefix="0" xfId="0">
      <alignment horizontal="center" vertical="center" wrapText="1"/>
    </xf>
    <xf numFmtId="0" fontId="33" fillId="48" borderId="28" applyAlignment="1" pivotButton="0" quotePrefix="0" xfId="0">
      <alignment vertical="center" wrapText="1"/>
    </xf>
    <xf numFmtId="0" fontId="34" fillId="13" borderId="28" applyAlignment="1" pivotButton="0" quotePrefix="0" xfId="0">
      <alignment horizontal="center" vertical="center" wrapText="1"/>
    </xf>
    <xf numFmtId="0" fontId="85" fillId="0" borderId="0" pivotButton="0" quotePrefix="0" xfId="7"/>
    <xf numFmtId="0" fontId="67" fillId="12" borderId="0" pivotButton="0" quotePrefix="0" xfId="7"/>
    <xf numFmtId="0" fontId="6" fillId="9" borderId="0" pivotButton="0" quotePrefix="0" xfId="0"/>
    <xf numFmtId="0" fontId="86" fillId="12" borderId="0" applyAlignment="1" pivotButton="0" quotePrefix="0" xfId="7">
      <alignment horizontal="center" vertical="center"/>
    </xf>
    <xf numFmtId="0" fontId="33" fillId="12" borderId="0" applyAlignment="1" pivotButton="0" quotePrefix="0" xfId="7">
      <alignment horizontal="center" vertical="center"/>
    </xf>
    <xf numFmtId="0" fontId="87" fillId="12" borderId="0" applyAlignment="1" pivotButton="0" quotePrefix="0" xfId="7">
      <alignment horizontal="center" vertical="center"/>
    </xf>
    <xf numFmtId="0" fontId="33" fillId="0" borderId="0" applyAlignment="1" pivotButton="0" quotePrefix="0" xfId="7">
      <alignment horizontal="center" vertical="center"/>
    </xf>
    <xf numFmtId="0" fontId="33" fillId="54" borderId="0" pivotButton="0" quotePrefix="0" xfId="7"/>
    <xf numFmtId="0" fontId="85" fillId="12" borderId="0" pivotButton="0" quotePrefix="0" xfId="7"/>
    <xf numFmtId="0" fontId="33" fillId="12" borderId="0" pivotButton="0" quotePrefix="0" xfId="7"/>
    <xf numFmtId="0" fontId="85" fillId="54" borderId="0" pivotButton="0" quotePrefix="0" xfId="7"/>
    <xf numFmtId="0" fontId="88" fillId="32" borderId="0" pivotButton="0" quotePrefix="0" xfId="7"/>
    <xf numFmtId="0" fontId="67" fillId="32" borderId="0" pivotButton="0" quotePrefix="0" xfId="7"/>
    <xf numFmtId="0" fontId="89" fillId="32" borderId="0" pivotButton="0" quotePrefix="0" xfId="7"/>
    <xf numFmtId="0" fontId="86" fillId="12" borderId="0" pivotButton="0" quotePrefix="0" xfId="7"/>
    <xf numFmtId="0" fontId="84" fillId="12" borderId="0" pivotButton="0" quotePrefix="0" xfId="7"/>
    <xf numFmtId="0" fontId="85" fillId="32" borderId="0" pivotButton="0" quotePrefix="0" xfId="7"/>
    <xf numFmtId="0" fontId="33" fillId="0" borderId="0" pivotButton="0" quotePrefix="0" xfId="7"/>
    <xf numFmtId="0" fontId="86" fillId="0" borderId="0" pivotButton="0" quotePrefix="0" xfId="7"/>
    <xf numFmtId="0" fontId="33" fillId="55" borderId="0" pivotButton="0" quotePrefix="0" xfId="7"/>
    <xf numFmtId="0" fontId="33" fillId="56" borderId="0" pivotButton="0" quotePrefix="0" xfId="7"/>
    <xf numFmtId="169" fontId="33" fillId="0" borderId="0" pivotButton="0" quotePrefix="0" xfId="1"/>
    <xf numFmtId="0" fontId="7" fillId="0" borderId="0" pivotButton="0" quotePrefix="0" xfId="7"/>
    <xf numFmtId="0" fontId="84" fillId="0" borderId="0" pivotButton="0" quotePrefix="0" xfId="7"/>
    <xf numFmtId="169" fontId="33" fillId="0" borderId="0" pivotButton="0" quotePrefix="0" xfId="3"/>
    <xf numFmtId="0" fontId="33" fillId="0" borderId="0" applyAlignment="1" pivotButton="0" quotePrefix="0" xfId="7">
      <alignment vertical="center"/>
    </xf>
    <xf numFmtId="0" fontId="6" fillId="0" borderId="0" applyAlignment="1" pivotButton="0" quotePrefix="0" xfId="7">
      <alignment horizontal="center" vertical="center"/>
    </xf>
    <xf numFmtId="0" fontId="6" fillId="12" borderId="0" applyAlignment="1" pivotButton="0" quotePrefix="0" xfId="7">
      <alignment vertical="center"/>
    </xf>
    <xf numFmtId="0" fontId="90" fillId="0" borderId="0" applyAlignment="1" pivotButton="0" quotePrefix="0" xfId="7">
      <alignment horizontal="center" vertical="center"/>
    </xf>
    <xf numFmtId="0" fontId="6" fillId="0" borderId="0" applyAlignment="1" pivotButton="0" quotePrefix="0" xfId="7">
      <alignment vertical="center" wrapText="1"/>
    </xf>
    <xf numFmtId="0" fontId="91" fillId="0" borderId="0" applyAlignment="1" pivotButton="0" quotePrefix="0" xfId="7">
      <alignment horizontal="center" vertical="center" wrapText="1"/>
    </xf>
    <xf numFmtId="49" fontId="90" fillId="0" borderId="0" applyAlignment="1" pivotButton="0" quotePrefix="0" xfId="7">
      <alignment horizontal="left" vertical="center"/>
    </xf>
    <xf numFmtId="0" fontId="90" fillId="0" borderId="0" applyAlignment="1" pivotButton="0" quotePrefix="0" xfId="7">
      <alignment horizontal="left" vertical="center"/>
    </xf>
    <xf numFmtId="0" fontId="90" fillId="0" borderId="0" applyAlignment="1" pivotButton="0" quotePrefix="0" xfId="7">
      <alignment vertical="center"/>
    </xf>
    <xf numFmtId="0" fontId="73" fillId="0" borderId="0" applyAlignment="1" pivotButton="0" quotePrefix="0" xfId="7">
      <alignment vertical="center"/>
    </xf>
    <xf numFmtId="0" fontId="92" fillId="0" borderId="0" applyAlignment="1" pivotButton="0" quotePrefix="0" xfId="7">
      <alignment vertical="center"/>
    </xf>
    <xf numFmtId="3" fontId="6" fillId="0" borderId="0" applyAlignment="1" pivotButton="0" quotePrefix="0" xfId="7">
      <alignment horizontal="right" vertical="center"/>
    </xf>
    <xf numFmtId="174" fontId="35" fillId="0" borderId="0" applyAlignment="1" pivotButton="0" quotePrefix="0" xfId="7">
      <alignment horizontal="right" vertical="center"/>
    </xf>
    <xf numFmtId="3" fontId="7" fillId="0" borderId="0" applyAlignment="1" pivotButton="0" quotePrefix="0" xfId="7">
      <alignment horizontal="right" vertical="center"/>
    </xf>
    <xf numFmtId="3" fontId="6" fillId="49" borderId="0" applyAlignment="1" pivotButton="0" quotePrefix="0" xfId="7">
      <alignment horizontal="right" vertical="center"/>
    </xf>
    <xf numFmtId="3" fontId="6" fillId="12" borderId="0" applyAlignment="1" pivotButton="0" quotePrefix="0" xfId="7">
      <alignment horizontal="right" vertical="center"/>
    </xf>
    <xf numFmtId="3" fontId="9" fillId="0" borderId="0" applyAlignment="1" pivotButton="0" quotePrefix="0" xfId="7">
      <alignment horizontal="right" vertical="center"/>
    </xf>
    <xf numFmtId="3" fontId="6" fillId="55" borderId="0" applyAlignment="1" pivotButton="0" quotePrefix="0" xfId="7">
      <alignment horizontal="right" vertical="center"/>
    </xf>
    <xf numFmtId="3" fontId="6" fillId="56" borderId="0" applyAlignment="1" pivotButton="0" quotePrefix="0" xfId="7">
      <alignment horizontal="right" vertical="center"/>
    </xf>
    <xf numFmtId="0" fontId="6" fillId="29" borderId="0" applyAlignment="1" pivotButton="0" quotePrefix="0" xfId="7">
      <alignment vertical="center"/>
    </xf>
    <xf numFmtId="1" fontId="10" fillId="0" borderId="0" applyAlignment="1" pivotButton="0" quotePrefix="0" xfId="7">
      <alignment vertical="center"/>
    </xf>
    <xf numFmtId="169" fontId="10" fillId="0" borderId="0" applyAlignment="1" pivotButton="0" quotePrefix="0" xfId="1">
      <alignment vertical="center"/>
    </xf>
    <xf numFmtId="0" fontId="6" fillId="4" borderId="0" applyAlignment="1" pivotButton="0" quotePrefix="0" xfId="7">
      <alignment vertical="center"/>
    </xf>
    <xf numFmtId="0" fontId="5" fillId="27" borderId="0" applyAlignment="1" pivotButton="0" quotePrefix="0" xfId="7">
      <alignment horizontal="center" vertical="center"/>
    </xf>
    <xf numFmtId="0" fontId="7" fillId="0" borderId="0" applyAlignment="1" pivotButton="0" quotePrefix="0" xfId="7">
      <alignment horizontal="center" vertical="center"/>
    </xf>
    <xf numFmtId="0" fontId="7" fillId="12" borderId="0" applyAlignment="1" pivotButton="0" quotePrefix="0" xfId="7">
      <alignment vertical="center"/>
    </xf>
    <xf numFmtId="0" fontId="35" fillId="0" borderId="0" applyAlignment="1" pivotButton="0" quotePrefix="0" xfId="7">
      <alignment horizontal="center" vertical="center"/>
    </xf>
    <xf numFmtId="0" fontId="7" fillId="0" borderId="0" applyAlignment="1" pivotButton="0" quotePrefix="0" xfId="7">
      <alignment vertical="center" wrapText="1"/>
    </xf>
    <xf numFmtId="0" fontId="35" fillId="0" borderId="0" applyAlignment="1" pivotButton="0" quotePrefix="0" xfId="7">
      <alignment horizontal="center" vertical="center" wrapText="1"/>
    </xf>
    <xf numFmtId="14" fontId="35" fillId="3" borderId="0" applyAlignment="1" pivotButton="0" quotePrefix="0" xfId="7">
      <alignment horizontal="center" vertical="center"/>
    </xf>
    <xf numFmtId="49" fontId="35" fillId="0" borderId="0" applyAlignment="1" pivotButton="0" quotePrefix="0" xfId="7">
      <alignment horizontal="left" vertical="center"/>
    </xf>
    <xf numFmtId="0" fontId="35" fillId="0" borderId="0" applyAlignment="1" pivotButton="0" quotePrefix="0" xfId="7">
      <alignment vertical="center"/>
    </xf>
    <xf numFmtId="0" fontId="94" fillId="0" borderId="0" applyAlignment="1" pivotButton="0" quotePrefix="0" xfId="7">
      <alignment vertical="center"/>
    </xf>
    <xf numFmtId="0" fontId="95" fillId="0" borderId="0" applyAlignment="1" pivotButton="0" quotePrefix="0" xfId="7">
      <alignment vertical="center"/>
    </xf>
    <xf numFmtId="175" fontId="7" fillId="0" borderId="0" applyAlignment="1" pivotButton="0" quotePrefix="0" xfId="7">
      <alignment horizontal="right" vertical="center"/>
    </xf>
    <xf numFmtId="4" fontId="7" fillId="0" borderId="0" applyAlignment="1" pivotButton="0" quotePrefix="0" xfId="7">
      <alignment horizontal="right" vertical="center"/>
    </xf>
    <xf numFmtId="3" fontId="7" fillId="0" borderId="0" applyAlignment="1" pivotButton="0" quotePrefix="0" xfId="7">
      <alignment vertical="center"/>
    </xf>
    <xf numFmtId="4" fontId="6" fillId="0" borderId="0" applyAlignment="1" pivotButton="0" quotePrefix="0" xfId="7">
      <alignment horizontal="right" vertical="center"/>
    </xf>
    <xf numFmtId="0" fontId="93" fillId="49" borderId="0" applyAlignment="1" pivotButton="0" quotePrefix="0" xfId="7">
      <alignment horizontal="center" vertical="center"/>
    </xf>
    <xf numFmtId="0" fontId="93" fillId="0" borderId="0" applyAlignment="1" pivotButton="0" quotePrefix="0" xfId="7">
      <alignment horizontal="center" vertical="center"/>
    </xf>
    <xf numFmtId="0" fontId="93" fillId="9" borderId="0" applyAlignment="1" pivotButton="0" quotePrefix="0" xfId="7">
      <alignment horizontal="center" vertical="center"/>
    </xf>
    <xf numFmtId="0" fontId="93" fillId="27" borderId="0" applyAlignment="1" pivotButton="0" quotePrefix="0" xfId="7">
      <alignment horizontal="center" vertical="center"/>
    </xf>
    <xf numFmtId="3" fontId="7" fillId="27" borderId="0" applyAlignment="1" pivotButton="0" quotePrefix="0" xfId="7">
      <alignment horizontal="right" vertical="center"/>
    </xf>
    <xf numFmtId="3" fontId="7" fillId="55" borderId="0" applyAlignment="1" pivotButton="0" quotePrefix="0" xfId="7">
      <alignment horizontal="right" vertical="center"/>
    </xf>
    <xf numFmtId="3" fontId="14" fillId="0" borderId="0" applyAlignment="1" pivotButton="0" quotePrefix="0" xfId="7">
      <alignment horizontal="right" vertical="center"/>
    </xf>
    <xf numFmtId="3" fontId="7" fillId="56" borderId="0" applyAlignment="1" pivotButton="0" quotePrefix="0" xfId="7">
      <alignment horizontal="right" vertical="center"/>
    </xf>
    <xf numFmtId="3" fontId="7" fillId="29" borderId="0" applyAlignment="1" pivotButton="0" quotePrefix="0" xfId="7">
      <alignment vertical="center"/>
    </xf>
    <xf numFmtId="169" fontId="96" fillId="0" borderId="0" applyAlignment="1" pivotButton="0" quotePrefix="0" xfId="1">
      <alignment vertical="center"/>
    </xf>
    <xf numFmtId="0" fontId="7" fillId="4" borderId="0" applyAlignment="1" pivotButton="0" quotePrefix="0" xfId="7">
      <alignment vertical="center"/>
    </xf>
    <xf numFmtId="0" fontId="8" fillId="0" borderId="0" applyAlignment="1" pivotButton="0" quotePrefix="0" xfId="7">
      <alignment horizontal="center" vertical="center"/>
    </xf>
    <xf numFmtId="0" fontId="35" fillId="12" borderId="0" applyAlignment="1" pivotButton="0" quotePrefix="0" xfId="7">
      <alignment vertical="center"/>
    </xf>
    <xf numFmtId="0" fontId="35" fillId="0" borderId="0" applyAlignment="1" pivotButton="0" quotePrefix="0" xfId="7">
      <alignment vertical="center" wrapText="1"/>
    </xf>
    <xf numFmtId="0" fontId="97" fillId="0" borderId="0" applyAlignment="1" pivotButton="0" quotePrefix="0" xfId="7">
      <alignment vertical="center" wrapText="1"/>
    </xf>
    <xf numFmtId="0" fontId="35" fillId="0" borderId="0" applyAlignment="1" pivotButton="0" quotePrefix="0" xfId="7">
      <alignment horizontal="left" vertical="center"/>
    </xf>
    <xf numFmtId="176" fontId="35" fillId="0" borderId="0" applyAlignment="1" pivotButton="0" quotePrefix="0" xfId="7">
      <alignment vertical="center"/>
    </xf>
    <xf numFmtId="4" fontId="35" fillId="0" borderId="0" applyAlignment="1" pivotButton="0" quotePrefix="0" xfId="7">
      <alignment horizontal="right" vertical="center"/>
    </xf>
    <xf numFmtId="0" fontId="7" fillId="0" borderId="0" applyAlignment="1" pivotButton="0" quotePrefix="0" xfId="7">
      <alignment vertical="center"/>
    </xf>
    <xf numFmtId="3" fontId="35" fillId="0" borderId="0" applyAlignment="1" pivotButton="0" quotePrefix="0" xfId="7">
      <alignment horizontal="right" vertical="center"/>
    </xf>
    <xf numFmtId="3" fontId="90" fillId="0" borderId="0" applyAlignment="1" pivotButton="0" quotePrefix="0" xfId="7">
      <alignment horizontal="right" vertical="center"/>
    </xf>
    <xf numFmtId="3" fontId="35" fillId="12" borderId="0" applyAlignment="1" pivotButton="0" quotePrefix="0" xfId="7">
      <alignment horizontal="right" vertical="center"/>
    </xf>
    <xf numFmtId="3" fontId="92" fillId="0" borderId="0" applyAlignment="1" pivotButton="0" quotePrefix="0" xfId="7">
      <alignment horizontal="right" vertical="center"/>
    </xf>
    <xf numFmtId="3" fontId="95" fillId="0" borderId="0" applyAlignment="1" pivotButton="0" quotePrefix="0" xfId="7">
      <alignment horizontal="right" vertical="center"/>
    </xf>
    <xf numFmtId="3" fontId="35" fillId="55" borderId="0" applyAlignment="1" pivotButton="0" quotePrefix="0" xfId="7">
      <alignment horizontal="right" vertical="center"/>
    </xf>
    <xf numFmtId="3" fontId="35" fillId="0" borderId="0" applyAlignment="1" pivotButton="0" quotePrefix="0" xfId="7">
      <alignment vertical="center"/>
    </xf>
    <xf numFmtId="3" fontId="35" fillId="56" borderId="0" applyAlignment="1" pivotButton="0" quotePrefix="0" xfId="7">
      <alignment horizontal="right" vertical="center"/>
    </xf>
    <xf numFmtId="0" fontId="35" fillId="29" borderId="0" applyAlignment="1" pivotButton="0" quotePrefix="0" xfId="7">
      <alignment vertical="center"/>
    </xf>
    <xf numFmtId="1" fontId="98" fillId="0" borderId="0" applyAlignment="1" pivotButton="0" quotePrefix="0" xfId="7">
      <alignment vertical="center"/>
    </xf>
    <xf numFmtId="169" fontId="99" fillId="0" borderId="0" applyAlignment="1" pivotButton="0" quotePrefix="0" xfId="1">
      <alignment vertical="center"/>
    </xf>
    <xf numFmtId="0" fontId="35" fillId="4" borderId="0" applyAlignment="1" pivotButton="0" quotePrefix="0" xfId="7">
      <alignment vertical="center"/>
    </xf>
    <xf numFmtId="0" fontId="97" fillId="0" borderId="0" applyAlignment="1" pivotButton="0" quotePrefix="0" xfId="7">
      <alignment horizontal="center" vertical="center"/>
    </xf>
    <xf numFmtId="3" fontId="7" fillId="12" borderId="0" applyAlignment="1" pivotButton="0" quotePrefix="0" xfId="7">
      <alignment horizontal="right" vertical="center"/>
    </xf>
    <xf numFmtId="0" fontId="7" fillId="29" borderId="0" applyAlignment="1" pivotButton="0" quotePrefix="0" xfId="7">
      <alignment vertical="center"/>
    </xf>
    <xf numFmtId="0" fontId="35" fillId="57" borderId="0" applyAlignment="1" pivotButton="0" quotePrefix="0" xfId="7">
      <alignment vertical="center"/>
    </xf>
    <xf numFmtId="177" fontId="7" fillId="0" borderId="0" applyAlignment="1" pivotButton="0" quotePrefix="0" xfId="7">
      <alignment horizontal="right" vertical="center"/>
    </xf>
    <xf numFmtId="14" fontId="7" fillId="0" borderId="0" applyAlignment="1" pivotButton="0" quotePrefix="0" xfId="7">
      <alignment horizontal="right" vertical="center"/>
    </xf>
    <xf numFmtId="165" fontId="37" fillId="0" borderId="50" applyAlignment="1" pivotButton="0" quotePrefix="0" xfId="7">
      <alignment vertical="center"/>
    </xf>
    <xf numFmtId="165" fontId="37" fillId="9" borderId="50" applyAlignment="1" pivotButton="0" quotePrefix="0" xfId="7">
      <alignment vertical="center"/>
    </xf>
    <xf numFmtId="165" fontId="100" fillId="9" borderId="50" pivotButton="0" quotePrefix="0" xfId="7"/>
    <xf numFmtId="0" fontId="6" fillId="58" borderId="0" applyAlignment="1" pivotButton="0" quotePrefix="0" xfId="7">
      <alignment vertical="center" wrapText="1"/>
    </xf>
    <xf numFmtId="0" fontId="6" fillId="58" borderId="0" applyAlignment="1" pivotButton="0" quotePrefix="0" xfId="7">
      <alignment vertical="center"/>
    </xf>
    <xf numFmtId="0" fontId="6" fillId="58" borderId="0" applyAlignment="1" pivotButton="0" quotePrefix="0" xfId="7">
      <alignment horizontal="center" vertical="center"/>
    </xf>
    <xf numFmtId="0" fontId="6" fillId="27" borderId="0" applyAlignment="1" pivotButton="0" quotePrefix="0" xfId="7">
      <alignment horizontal="center" vertical="center"/>
    </xf>
    <xf numFmtId="0" fontId="6" fillId="27" borderId="0" applyAlignment="1" pivotButton="0" quotePrefix="0" xfId="7">
      <alignment vertical="center" wrapText="1"/>
    </xf>
    <xf numFmtId="0" fontId="6" fillId="27" borderId="0" applyAlignment="1" pivotButton="0" quotePrefix="0" xfId="7">
      <alignment vertical="center"/>
    </xf>
    <xf numFmtId="0" fontId="36" fillId="12" borderId="0" applyAlignment="1" pivotButton="0" quotePrefix="0" xfId="7">
      <alignment horizontal="center" vertical="center"/>
    </xf>
    <xf numFmtId="0" fontId="36" fillId="12" borderId="0" applyAlignment="1" pivotButton="0" quotePrefix="0" xfId="7">
      <alignment vertical="center"/>
    </xf>
    <xf numFmtId="0" fontId="36" fillId="12" borderId="0" applyAlignment="1" pivotButton="0" quotePrefix="0" xfId="7">
      <alignment vertical="center" wrapText="1"/>
    </xf>
    <xf numFmtId="0" fontId="36" fillId="27" borderId="0" applyAlignment="1" pivotButton="0" quotePrefix="0" xfId="7">
      <alignment vertical="center" wrapText="1"/>
    </xf>
    <xf numFmtId="0" fontId="36" fillId="27" borderId="0" applyAlignment="1" pivotButton="0" quotePrefix="0" xfId="7">
      <alignment vertical="center"/>
    </xf>
    <xf numFmtId="0" fontId="36" fillId="27" borderId="0" applyAlignment="1" pivotButton="0" quotePrefix="0" xfId="7">
      <alignment horizontal="center" vertical="center"/>
    </xf>
    <xf numFmtId="0" fontId="67" fillId="0" borderId="50" applyAlignment="1" pivotButton="0" quotePrefix="0" xfId="0">
      <alignment horizontal="center" vertical="center"/>
    </xf>
    <xf numFmtId="168" fontId="6" fillId="0" borderId="50" applyAlignment="1" pivotButton="0" quotePrefix="0" xfId="7">
      <alignment horizontal="center" vertical="center" wrapText="1"/>
    </xf>
    <xf numFmtId="0" fontId="6" fillId="59" borderId="50" applyAlignment="1" pivotButton="0" quotePrefix="0" xfId="7">
      <alignment horizontal="center" vertical="center" wrapText="1"/>
    </xf>
    <xf numFmtId="0" fontId="6" fillId="4" borderId="50" applyAlignment="1" pivotButton="0" quotePrefix="0" xfId="7">
      <alignment horizontal="center" vertical="center" wrapText="1"/>
    </xf>
    <xf numFmtId="0" fontId="6" fillId="0" borderId="50" applyAlignment="1" pivotButton="0" quotePrefix="0" xfId="7">
      <alignment horizontal="center" vertical="center" wrapText="1"/>
    </xf>
    <xf numFmtId="0" fontId="5" fillId="4" borderId="50" applyAlignment="1" pivotButton="0" quotePrefix="0" xfId="7">
      <alignment horizontal="center" vertical="center" wrapText="1"/>
    </xf>
    <xf numFmtId="49" fontId="6" fillId="4" borderId="50" applyAlignment="1" pivotButton="0" quotePrefix="0" xfId="7">
      <alignment horizontal="center" vertical="center" wrapText="1"/>
    </xf>
    <xf numFmtId="0" fontId="101" fillId="60" borderId="50" applyAlignment="1" pivotButton="0" quotePrefix="0" xfId="7">
      <alignment horizontal="center" vertical="center" wrapText="1"/>
    </xf>
    <xf numFmtId="0" fontId="6" fillId="61" borderId="50" applyAlignment="1" pivotButton="0" quotePrefix="0" xfId="7">
      <alignment horizontal="center" vertical="center" wrapText="1"/>
    </xf>
    <xf numFmtId="0" fontId="9" fillId="3" borderId="50" applyAlignment="1" pivotButton="0" quotePrefix="0" xfId="7">
      <alignment horizontal="center" vertical="center" wrapText="1"/>
    </xf>
    <xf numFmtId="0" fontId="6" fillId="3" borderId="50" applyAlignment="1" pivotButton="0" quotePrefix="0" xfId="7">
      <alignment horizontal="center" vertical="center" wrapText="1"/>
    </xf>
    <xf numFmtId="3" fontId="6" fillId="4" borderId="50" applyAlignment="1" pivotButton="0" quotePrefix="0" xfId="7">
      <alignment horizontal="center" vertical="center" wrapText="1"/>
    </xf>
    <xf numFmtId="0" fontId="36" fillId="27" borderId="50" applyAlignment="1" pivotButton="0" quotePrefix="0" xfId="7">
      <alignment horizontal="center" vertical="center" wrapText="1"/>
    </xf>
    <xf numFmtId="3" fontId="6" fillId="62" borderId="50" applyAlignment="1" pivotButton="0" quotePrefix="0" xfId="7">
      <alignment horizontal="center" vertical="center" wrapText="1"/>
    </xf>
    <xf numFmtId="3" fontId="6" fillId="0" borderId="50" applyAlignment="1" pivotButton="0" quotePrefix="0" xfId="7">
      <alignment horizontal="center" vertical="center" wrapText="1"/>
    </xf>
    <xf numFmtId="178" fontId="6" fillId="7" borderId="50" applyAlignment="1" pivotButton="0" quotePrefix="0" xfId="7">
      <alignment horizontal="center" vertical="center" wrapText="1"/>
    </xf>
    <xf numFmtId="0" fontId="34" fillId="63" borderId="27" applyAlignment="1" pivotButton="0" quotePrefix="0" xfId="10">
      <alignment horizontal="center" vertical="center" wrapText="1"/>
    </xf>
    <xf numFmtId="0" fontId="36" fillId="46" borderId="50" applyAlignment="1" pivotButton="0" quotePrefix="0" xfId="7">
      <alignment horizontal="center" vertical="center" wrapText="1"/>
    </xf>
    <xf numFmtId="0" fontId="36" fillId="10" borderId="50" applyAlignment="1" pivotButton="0" quotePrefix="0" xfId="7">
      <alignment horizontal="center" vertical="center" wrapText="1"/>
    </xf>
    <xf numFmtId="0" fontId="36" fillId="27" borderId="69" applyAlignment="1" pivotButton="0" quotePrefix="0" xfId="7">
      <alignment horizontal="center" vertical="center" wrapText="1"/>
    </xf>
    <xf numFmtId="3" fontId="6" fillId="64" borderId="50" applyAlignment="1" pivotButton="0" quotePrefix="0" xfId="7">
      <alignment horizontal="center" vertical="center" wrapText="1"/>
    </xf>
    <xf numFmtId="165" fontId="36" fillId="3" borderId="50" applyAlignment="1" pivotButton="0" quotePrefix="0" xfId="7">
      <alignment horizontal="center" vertical="center" wrapText="1"/>
    </xf>
    <xf numFmtId="3" fontId="6" fillId="65" borderId="50" applyAlignment="1" pivotButton="0" quotePrefix="0" xfId="7">
      <alignment horizontal="center" vertical="center" wrapText="1"/>
    </xf>
    <xf numFmtId="3" fontId="6" fillId="66" borderId="50" applyAlignment="1" pivotButton="0" quotePrefix="0" xfId="7">
      <alignment horizontal="center" vertical="center" wrapText="1"/>
    </xf>
    <xf numFmtId="3" fontId="6" fillId="67" borderId="50" applyAlignment="1" pivotButton="0" quotePrefix="0" xfId="7">
      <alignment horizontal="center" vertical="center" wrapText="1"/>
    </xf>
    <xf numFmtId="3" fontId="6" fillId="23" borderId="50" applyAlignment="1" pivotButton="0" quotePrefix="0" xfId="7">
      <alignment horizontal="center" vertical="center" wrapText="1"/>
    </xf>
    <xf numFmtId="3" fontId="6" fillId="68" borderId="50" applyAlignment="1" pivotButton="0" quotePrefix="0" xfId="7">
      <alignment horizontal="center" vertical="center" wrapText="1"/>
    </xf>
    <xf numFmtId="3" fontId="6" fillId="3" borderId="50" applyAlignment="1" pivotButton="0" quotePrefix="0" xfId="7">
      <alignment horizontal="center" vertical="center" wrapText="1"/>
    </xf>
    <xf numFmtId="3" fontId="6" fillId="69" borderId="50" applyAlignment="1" pivotButton="0" quotePrefix="0" xfId="7">
      <alignment horizontal="center" vertical="center" wrapText="1"/>
    </xf>
    <xf numFmtId="3" fontId="6" fillId="70" borderId="50" applyAlignment="1" pivotButton="0" quotePrefix="0" xfId="7">
      <alignment horizontal="center" vertical="center" wrapText="1"/>
    </xf>
    <xf numFmtId="3" fontId="9" fillId="0" borderId="50" applyAlignment="1" pivotButton="0" quotePrefix="0" xfId="7">
      <alignment horizontal="center" vertical="center" wrapText="1"/>
    </xf>
    <xf numFmtId="3" fontId="6" fillId="71" borderId="50" applyAlignment="1" pivotButton="0" quotePrefix="0" xfId="7">
      <alignment horizontal="center" vertical="center" wrapText="1"/>
    </xf>
    <xf numFmtId="3" fontId="6" fillId="60" borderId="50" applyAlignment="1" pivotButton="0" quotePrefix="0" xfId="7">
      <alignment horizontal="center" vertical="center" wrapText="1"/>
    </xf>
    <xf numFmtId="0" fontId="5" fillId="72" borderId="50" applyAlignment="1" pivotButton="0" quotePrefix="0" xfId="7">
      <alignment horizontal="center" vertical="center" wrapText="1"/>
    </xf>
    <xf numFmtId="1" fontId="10" fillId="62" borderId="50" applyAlignment="1" pivotButton="0" quotePrefix="0" xfId="7">
      <alignment horizontal="center" vertical="center" wrapText="1"/>
    </xf>
    <xf numFmtId="169" fontId="10" fillId="62" borderId="50" applyAlignment="1" pivotButton="0" quotePrefix="0" xfId="1">
      <alignment horizontal="center" vertical="center" wrapText="1"/>
    </xf>
    <xf numFmtId="0" fontId="36" fillId="73" borderId="50" applyAlignment="1" pivotButton="0" quotePrefix="0" xfId="7">
      <alignment horizontal="center" vertical="center" wrapText="1"/>
    </xf>
    <xf numFmtId="0" fontId="6" fillId="16" borderId="50" applyAlignment="1" pivotButton="0" quotePrefix="0" xfId="7">
      <alignment horizontal="center" vertical="center" wrapText="1"/>
    </xf>
    <xf numFmtId="1" fontId="101" fillId="73" borderId="50" applyAlignment="1" pivotButton="0" quotePrefix="0" xfId="7">
      <alignment horizontal="center" vertical="center" wrapText="1"/>
    </xf>
    <xf numFmtId="0" fontId="6" fillId="74" borderId="50" applyAlignment="1" pivotButton="0" quotePrefix="0" xfId="7">
      <alignment horizontal="center" vertical="center" wrapText="1"/>
    </xf>
    <xf numFmtId="164" fontId="36" fillId="75" borderId="50" applyAlignment="1" pivotButton="0" quotePrefix="0" xfId="7">
      <alignment horizontal="center" vertical="center" wrapText="1"/>
    </xf>
    <xf numFmtId="164" fontId="36" fillId="76" borderId="50" applyAlignment="1" pivotButton="0" quotePrefix="0" xfId="7">
      <alignment horizontal="center" vertical="center" wrapText="1"/>
    </xf>
    <xf numFmtId="164" fontId="36" fillId="77" borderId="50" applyAlignment="1" pivotButton="0" quotePrefix="0" xfId="7">
      <alignment horizontal="center" vertical="center" wrapText="1"/>
    </xf>
    <xf numFmtId="164" fontId="36" fillId="78" borderId="50" applyAlignment="1" pivotButton="0" quotePrefix="0" xfId="7">
      <alignment horizontal="center" vertical="center" wrapText="1"/>
    </xf>
    <xf numFmtId="0" fontId="6" fillId="16" borderId="0" applyAlignment="1" pivotButton="0" quotePrefix="0" xfId="7">
      <alignment horizontal="center" vertical="center" wrapText="1"/>
    </xf>
    <xf numFmtId="3" fontId="6" fillId="0" borderId="50" applyAlignment="1" pivotButton="0" quotePrefix="0" xfId="7">
      <alignment horizontal="center" vertical="center"/>
    </xf>
    <xf numFmtId="3" fontId="101" fillId="0" borderId="50" applyAlignment="1" pivotButton="0" quotePrefix="0" xfId="7">
      <alignment horizontal="center" vertical="center"/>
    </xf>
    <xf numFmtId="3" fontId="6" fillId="79" borderId="50" applyAlignment="1" pivotButton="0" quotePrefix="0" xfId="7">
      <alignment horizontal="center" vertical="center"/>
    </xf>
    <xf numFmtId="3" fontId="6" fillId="56" borderId="50" applyAlignment="1" pivotButton="0" quotePrefix="0" xfId="7">
      <alignment horizontal="center" vertical="center"/>
    </xf>
    <xf numFmtId="3" fontId="36" fillId="10" borderId="50" applyAlignment="1" pivotButton="0" quotePrefix="0" xfId="7">
      <alignment horizontal="center" vertical="center"/>
    </xf>
    <xf numFmtId="3" fontId="36" fillId="0" borderId="50" applyAlignment="1" pivotButton="0" quotePrefix="0" xfId="7">
      <alignment horizontal="center" vertical="center"/>
    </xf>
    <xf numFmtId="3" fontId="6" fillId="0" borderId="0" applyAlignment="1" pivotButton="0" quotePrefix="0" xfId="7">
      <alignment horizontal="center" vertical="center"/>
    </xf>
    <xf numFmtId="169" fontId="33" fillId="0" borderId="0" pivotButton="0" quotePrefix="0" xfId="3"/>
    <xf numFmtId="3" fontId="6" fillId="3" borderId="50" applyAlignment="1" pivotButton="0" quotePrefix="0" xfId="0">
      <alignment vertical="center"/>
    </xf>
    <xf numFmtId="3" fontId="6" fillId="3" borderId="50" applyAlignment="1" pivotButton="0" quotePrefix="0" xfId="0">
      <alignment horizontal="center" vertical="center"/>
    </xf>
    <xf numFmtId="3" fontId="5" fillId="3" borderId="50" applyAlignment="1" pivotButton="0" quotePrefix="0" xfId="0">
      <alignment horizontal="center" vertical="center" wrapText="1"/>
    </xf>
    <xf numFmtId="49" fontId="6" fillId="3" borderId="5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9" fillId="3" borderId="50" applyAlignment="1" pivotButton="0" quotePrefix="0" xfId="0">
      <alignment vertical="center"/>
    </xf>
    <xf numFmtId="0" fontId="6" fillId="9" borderId="50" pivotButton="0" quotePrefix="0" xfId="0"/>
    <xf numFmtId="164" fontId="6" fillId="80" borderId="50" applyAlignment="1" pivotButton="0" quotePrefix="0" xfId="0">
      <alignment vertical="center" wrapText="1"/>
    </xf>
    <xf numFmtId="0" fontId="6" fillId="3" borderId="50" applyAlignment="1" pivotButton="0" quotePrefix="0" xfId="0">
      <alignment vertical="center"/>
    </xf>
    <xf numFmtId="49" fontId="6" fillId="3" borderId="50" applyAlignment="1" pivotButton="0" quotePrefix="0" xfId="0">
      <alignment vertical="center"/>
    </xf>
    <xf numFmtId="165" fontId="6" fillId="3" borderId="50" applyAlignment="1" pivotButton="0" quotePrefix="0" xfId="0">
      <alignment vertical="center"/>
    </xf>
    <xf numFmtId="169" fontId="6" fillId="3" borderId="50" applyAlignment="1" pivotButton="0" quotePrefix="0" xfId="1">
      <alignment vertical="center"/>
    </xf>
    <xf numFmtId="165" fontId="6" fillId="3" borderId="50" applyAlignment="1" pivotButton="0" quotePrefix="0" xfId="0">
      <alignment horizontal="center" vertical="center"/>
    </xf>
    <xf numFmtId="178" fontId="6" fillId="3" borderId="50" applyAlignment="1" pivotButton="0" quotePrefix="0" xfId="0">
      <alignment vertical="center"/>
    </xf>
    <xf numFmtId="0" fontId="7" fillId="0" borderId="50" pivotButton="0" quotePrefix="0" xfId="0"/>
    <xf numFmtId="169" fontId="7" fillId="0" borderId="0" pivotButton="0" quotePrefix="0" xfId="1"/>
    <xf numFmtId="0" fontId="6" fillId="9" borderId="0" applyAlignment="1" pivotButton="0" quotePrefix="0" xfId="0">
      <alignment vertical="center"/>
    </xf>
    <xf numFmtId="0" fontId="102" fillId="12" borderId="50" applyAlignment="1" pivotButton="0" quotePrefix="0" xfId="7">
      <alignment horizontal="center" vertical="center" wrapText="1"/>
    </xf>
    <xf numFmtId="168" fontId="7" fillId="0" borderId="50" applyAlignment="1" pivotButton="0" quotePrefix="0" xfId="7">
      <alignment horizontal="center" vertical="center"/>
    </xf>
    <xf numFmtId="0" fontId="101" fillId="81" borderId="50" applyAlignment="1" pivotButton="0" quotePrefix="0" xfId="7">
      <alignment horizontal="center" vertical="center"/>
    </xf>
    <xf numFmtId="3" fontId="101" fillId="17" borderId="60" applyAlignment="1" pivotButton="0" quotePrefix="0" xfId="7">
      <alignment horizontal="center" vertical="center"/>
    </xf>
    <xf numFmtId="0" fontId="37" fillId="0" borderId="50" applyAlignment="1" pivotButton="0" quotePrefix="0" xfId="7">
      <alignment horizontal="center" vertical="center" wrapText="1"/>
    </xf>
    <xf numFmtId="0" fontId="102" fillId="0" borderId="50" applyAlignment="1" pivotButton="0" quotePrefix="0" xfId="7">
      <alignment horizontal="center" vertical="center" wrapText="1"/>
    </xf>
    <xf numFmtId="14" fontId="102" fillId="14" borderId="50" applyAlignment="1" pivotButton="0" quotePrefix="0" xfId="7">
      <alignment horizontal="center" vertical="center"/>
    </xf>
    <xf numFmtId="165" fontId="102" fillId="14" borderId="50" applyAlignment="1" pivotButton="0" quotePrefix="0" xfId="7">
      <alignment horizontal="center" vertical="center"/>
    </xf>
    <xf numFmtId="43" fontId="8" fillId="0" borderId="50" applyAlignment="1" pivotButton="0" quotePrefix="0" xfId="7">
      <alignment horizontal="center" vertical="center"/>
    </xf>
    <xf numFmtId="2" fontId="102" fillId="23" borderId="50" applyAlignment="1" pivotButton="0" quotePrefix="0" xfId="7">
      <alignment horizontal="center" vertical="center" wrapText="1"/>
    </xf>
    <xf numFmtId="165" fontId="102" fillId="14" borderId="50" applyAlignment="1" pivotButton="0" quotePrefix="0" xfId="7">
      <alignment horizontal="center" vertical="center" wrapText="1"/>
    </xf>
    <xf numFmtId="0" fontId="102" fillId="12" borderId="50" applyAlignment="1" pivotButton="0" quotePrefix="0" xfId="7">
      <alignment horizontal="center" vertical="center"/>
    </xf>
    <xf numFmtId="169" fontId="102" fillId="12" borderId="50" applyAlignment="1" pivotButton="0" quotePrefix="0" xfId="3">
      <alignment horizontal="center" vertical="center"/>
    </xf>
    <xf numFmtId="167" fontId="102" fillId="4" borderId="60" applyAlignment="1" pivotButton="0" quotePrefix="0" xfId="7">
      <alignment horizontal="center" vertical="center"/>
    </xf>
    <xf numFmtId="165" fontId="102" fillId="59" borderId="50" applyAlignment="1" pivotButton="0" quotePrefix="0" xfId="7">
      <alignment horizontal="center" vertical="center" wrapText="1"/>
    </xf>
    <xf numFmtId="169" fontId="102" fillId="14" borderId="50" applyAlignment="1" pivotButton="0" quotePrefix="0" xfId="1">
      <alignment horizontal="center" vertical="center" wrapText="1"/>
    </xf>
    <xf numFmtId="165" fontId="102" fillId="82" borderId="50" applyAlignment="1" pivotButton="0" quotePrefix="0" xfId="7">
      <alignment horizontal="center" vertical="center" wrapText="1"/>
    </xf>
    <xf numFmtId="165" fontId="102" fillId="83" borderId="50" applyAlignment="1" pivotButton="0" quotePrefix="0" xfId="7">
      <alignment horizontal="center" vertical="center" wrapText="1"/>
    </xf>
    <xf numFmtId="3" fontId="102" fillId="12" borderId="50" applyAlignment="1" pivotButton="0" quotePrefix="0" xfId="7">
      <alignment horizontal="center" vertical="center" wrapText="1"/>
    </xf>
    <xf numFmtId="167" fontId="101" fillId="67" borderId="50" applyAlignment="1" pivotButton="0" quotePrefix="0" xfId="7">
      <alignment horizontal="center" vertical="center"/>
    </xf>
    <xf numFmtId="167" fontId="102" fillId="33" borderId="50" applyAlignment="1" pivotButton="0" quotePrefix="0" xfId="7">
      <alignment horizontal="center" vertical="center"/>
    </xf>
    <xf numFmtId="167" fontId="102" fillId="84" borderId="50" applyAlignment="1" pivotButton="0" quotePrefix="0" xfId="7">
      <alignment horizontal="center" vertical="center"/>
    </xf>
    <xf numFmtId="167" fontId="102" fillId="12" borderId="50" applyAlignment="1" pivotButton="0" quotePrefix="0" xfId="7">
      <alignment horizontal="center" vertical="center"/>
    </xf>
    <xf numFmtId="167" fontId="102" fillId="85" borderId="50" applyAlignment="1" pivotButton="0" quotePrefix="0" xfId="7">
      <alignment horizontal="center" vertical="center"/>
    </xf>
    <xf numFmtId="3" fontId="102" fillId="14" borderId="50" applyAlignment="1" pivotButton="0" quotePrefix="0" xfId="7">
      <alignment horizontal="center" vertical="center"/>
    </xf>
    <xf numFmtId="167" fontId="102" fillId="86" borderId="50" applyAlignment="1" pivotButton="0" quotePrefix="0" xfId="7">
      <alignment horizontal="center" vertical="center"/>
    </xf>
    <xf numFmtId="167" fontId="102" fillId="71" borderId="50" applyAlignment="1" pivotButton="0" quotePrefix="0" xfId="7">
      <alignment horizontal="center" vertical="center"/>
    </xf>
    <xf numFmtId="167" fontId="102" fillId="12" borderId="50" applyAlignment="1" pivotButton="0" quotePrefix="0" xfId="7">
      <alignment horizontal="center" vertical="center" wrapText="1"/>
    </xf>
    <xf numFmtId="3" fontId="102" fillId="87" borderId="50" applyAlignment="1" pivotButton="0" quotePrefix="0" xfId="7">
      <alignment horizontal="center" vertical="center"/>
    </xf>
    <xf numFmtId="164" fontId="102" fillId="29" borderId="50" applyAlignment="1" pivotButton="0" quotePrefix="0" xfId="7">
      <alignment horizontal="center" vertical="center"/>
    </xf>
    <xf numFmtId="49" fontId="37" fillId="10" borderId="27" applyAlignment="1" pivotButton="0" quotePrefix="0" xfId="0">
      <alignment horizontal="center" vertical="center"/>
    </xf>
    <xf numFmtId="164" fontId="103" fillId="4" borderId="50" applyAlignment="1" pivotButton="0" quotePrefix="0" xfId="2">
      <alignment horizontal="center" vertical="center"/>
    </xf>
    <xf numFmtId="165" fontId="104" fillId="14" borderId="50" applyAlignment="1" pivotButton="0" quotePrefix="0" xfId="7">
      <alignment horizontal="center" vertical="center" wrapText="1"/>
    </xf>
    <xf numFmtId="0" fontId="102" fillId="14" borderId="50" applyAlignment="1" pivotButton="0" quotePrefix="0" xfId="7">
      <alignment horizontal="center" vertical="center"/>
    </xf>
    <xf numFmtId="165" fontId="102" fillId="12" borderId="50" applyAlignment="1" pivotButton="0" quotePrefix="0" xfId="7">
      <alignment horizontal="center" vertical="center"/>
    </xf>
    <xf numFmtId="169" fontId="102" fillId="12" borderId="50" applyAlignment="1" pivotButton="0" quotePrefix="0" xfId="7">
      <alignment horizontal="center" vertical="center"/>
    </xf>
    <xf numFmtId="0" fontId="86" fillId="12" borderId="50" applyAlignment="1" pivotButton="0" quotePrefix="0" xfId="7">
      <alignment horizontal="center" vertical="center"/>
    </xf>
    <xf numFmtId="0" fontId="86" fillId="0" borderId="50" applyAlignment="1" pivotButton="0" quotePrefix="0" xfId="7">
      <alignment horizontal="center" vertical="center" wrapText="1"/>
    </xf>
    <xf numFmtId="169" fontId="86" fillId="0" borderId="0" applyAlignment="1" pivotButton="0" quotePrefix="0" xfId="3">
      <alignment horizontal="center" vertical="center"/>
    </xf>
    <xf numFmtId="169" fontId="86" fillId="12" borderId="0" applyAlignment="1" pivotButton="0" quotePrefix="0" xfId="3">
      <alignment horizontal="center" vertical="center"/>
    </xf>
    <xf numFmtId="0" fontId="8" fillId="12" borderId="50" applyAlignment="1" pivotButton="0" quotePrefix="0" xfId="7">
      <alignment horizontal="center" vertical="center" wrapText="1"/>
    </xf>
    <xf numFmtId="0" fontId="6" fillId="81" borderId="50" applyAlignment="1" pivotButton="0" quotePrefix="0" xfId="7">
      <alignment horizontal="center" vertical="center"/>
    </xf>
    <xf numFmtId="3" fontId="6" fillId="17" borderId="60" applyAlignment="1" pivotButton="0" quotePrefix="0" xfId="7">
      <alignment horizontal="center" vertical="center"/>
    </xf>
    <xf numFmtId="0" fontId="105" fillId="12" borderId="50" applyAlignment="1" pivotButton="0" quotePrefix="0" xfId="7">
      <alignment horizontal="center" vertical="center" wrapText="1"/>
    </xf>
    <xf numFmtId="0" fontId="106" fillId="0" borderId="50" applyAlignment="1" pivotButton="0" quotePrefix="0" xfId="7">
      <alignment horizontal="center" vertical="center" wrapText="1"/>
    </xf>
    <xf numFmtId="14" fontId="37" fillId="14" borderId="50" applyAlignment="1" pivotButton="0" quotePrefix="0" xfId="7">
      <alignment horizontal="center" vertical="center"/>
    </xf>
    <xf numFmtId="165" fontId="37" fillId="14" borderId="50" applyAlignment="1" pivotButton="0" quotePrefix="0" xfId="7">
      <alignment horizontal="center" vertical="center"/>
    </xf>
    <xf numFmtId="0" fontId="7" fillId="12" borderId="50" applyAlignment="1" pivotButton="0" quotePrefix="0" xfId="7">
      <alignment horizontal="center" vertical="center"/>
    </xf>
    <xf numFmtId="4" fontId="7" fillId="12" borderId="50" applyAlignment="1" pivotButton="0" quotePrefix="0" xfId="7">
      <alignment horizontal="center" vertical="center"/>
    </xf>
    <xf numFmtId="169" fontId="7" fillId="12" borderId="50" applyAlignment="1" pivotButton="0" quotePrefix="0" xfId="3">
      <alignment horizontal="center" vertical="center"/>
    </xf>
    <xf numFmtId="165" fontId="37" fillId="14" borderId="50" applyAlignment="1" pivotButton="0" quotePrefix="0" xfId="7">
      <alignment horizontal="center" vertical="center" wrapText="1"/>
    </xf>
    <xf numFmtId="166" fontId="37" fillId="0" borderId="50" applyAlignment="1" pivotButton="0" quotePrefix="0" xfId="7">
      <alignment horizontal="center" vertical="center" wrapText="1"/>
    </xf>
    <xf numFmtId="165" fontId="37" fillId="0" borderId="50" applyAlignment="1" pivotButton="0" quotePrefix="0" xfId="7">
      <alignment horizontal="center" vertical="center" wrapText="1"/>
    </xf>
    <xf numFmtId="165" fontId="7" fillId="12" borderId="50" applyAlignment="1" pivotButton="0" quotePrefix="0" xfId="7">
      <alignment horizontal="center" vertical="center"/>
    </xf>
    <xf numFmtId="167" fontId="8" fillId="14" borderId="50" applyAlignment="1" pivotButton="0" quotePrefix="0" xfId="7">
      <alignment horizontal="center" vertical="center"/>
    </xf>
    <xf numFmtId="3" fontId="7" fillId="12" borderId="50" applyAlignment="1" pivotButton="0" quotePrefix="0" xfId="7">
      <alignment horizontal="center" vertical="center" wrapText="1"/>
    </xf>
    <xf numFmtId="167" fontId="8" fillId="12" borderId="50" applyAlignment="1" pivotButton="0" quotePrefix="0" xfId="7">
      <alignment horizontal="center" vertical="center"/>
    </xf>
    <xf numFmtId="167" fontId="8" fillId="0" borderId="50" applyAlignment="1" pivotButton="0" quotePrefix="0" xfId="0">
      <alignment horizontal="center" vertical="center"/>
    </xf>
    <xf numFmtId="3" fontId="7" fillId="14" borderId="50" applyAlignment="1" pivotButton="0" quotePrefix="0" xfId="7">
      <alignment horizontal="center" vertical="center"/>
    </xf>
    <xf numFmtId="167" fontId="8" fillId="70" borderId="50" applyAlignment="1" pivotButton="0" quotePrefix="0" xfId="0">
      <alignment horizontal="center" vertical="center"/>
    </xf>
    <xf numFmtId="167" fontId="7" fillId="12" borderId="50" applyAlignment="1" pivotButton="0" quotePrefix="0" xfId="0">
      <alignment horizontal="center" vertical="center"/>
    </xf>
    <xf numFmtId="167" fontId="8" fillId="71" borderId="50" applyAlignment="1" pivotButton="0" quotePrefix="0" xfId="7">
      <alignment horizontal="center" vertical="center"/>
    </xf>
    <xf numFmtId="167" fontId="14" fillId="12" borderId="50" applyAlignment="1" pivotButton="0" quotePrefix="0" xfId="7">
      <alignment horizontal="center" vertical="center" wrapText="1"/>
    </xf>
    <xf numFmtId="3" fontId="8" fillId="87" borderId="50" applyAlignment="1" pivotButton="0" quotePrefix="0" xfId="7">
      <alignment horizontal="center" vertical="center"/>
    </xf>
    <xf numFmtId="164" fontId="10" fillId="29" borderId="50" applyAlignment="1" pivotButton="0" quotePrefix="0" xfId="0">
      <alignment horizontal="center" vertical="center"/>
    </xf>
    <xf numFmtId="164" fontId="103" fillId="4" borderId="50" applyAlignment="1" pivotButton="0" quotePrefix="0" xfId="5">
      <alignment horizontal="center" vertical="center"/>
    </xf>
    <xf numFmtId="169" fontId="33" fillId="0" borderId="50" applyAlignment="1" pivotButton="0" quotePrefix="0" xfId="0">
      <alignment horizontal="center" vertical="center"/>
    </xf>
    <xf numFmtId="0" fontId="37" fillId="14" borderId="50" applyAlignment="1" pivotButton="0" quotePrefix="0" xfId="7">
      <alignment horizontal="center" vertical="center"/>
    </xf>
    <xf numFmtId="165" fontId="37" fillId="12" borderId="50" applyAlignment="1" pivotButton="0" quotePrefix="0" xfId="7">
      <alignment horizontal="center" vertical="center"/>
    </xf>
    <xf numFmtId="165" fontId="37" fillId="0" borderId="50" applyAlignment="1" pivotButton="0" quotePrefix="0" xfId="7">
      <alignment horizontal="center" vertical="center"/>
    </xf>
    <xf numFmtId="0" fontId="37" fillId="12" borderId="50" applyAlignment="1" pivotButton="0" quotePrefix="0" xfId="7">
      <alignment horizontal="center" vertical="center"/>
    </xf>
    <xf numFmtId="169" fontId="37" fillId="12" borderId="50" applyAlignment="1" pivotButton="0" quotePrefix="0" xfId="3">
      <alignment horizontal="center" vertical="center"/>
    </xf>
    <xf numFmtId="169" fontId="37" fillId="12" borderId="50" applyAlignment="1" pivotButton="0" quotePrefix="0" xfId="7">
      <alignment horizontal="center" vertical="center"/>
    </xf>
    <xf numFmtId="0" fontId="33" fillId="12" borderId="50" applyAlignment="1" pivotButton="0" quotePrefix="0" xfId="7">
      <alignment horizontal="center" vertical="center"/>
    </xf>
    <xf numFmtId="0" fontId="33" fillId="0" borderId="50" applyAlignment="1" pivotButton="0" quotePrefix="0" xfId="7">
      <alignment horizontal="center" vertical="center" wrapText="1"/>
    </xf>
    <xf numFmtId="169" fontId="33" fillId="0" borderId="0" applyAlignment="1" pivotButton="0" quotePrefix="0" xfId="3">
      <alignment horizontal="center" vertical="center"/>
    </xf>
    <xf numFmtId="169" fontId="33" fillId="12" borderId="0" applyAlignment="1" pivotButton="0" quotePrefix="0" xfId="3">
      <alignment horizontal="center" vertical="center"/>
    </xf>
    <xf numFmtId="0" fontId="104" fillId="12" borderId="50" applyAlignment="1" pivotButton="0" quotePrefix="0" xfId="7">
      <alignment horizontal="center" vertical="center" wrapText="1"/>
    </xf>
    <xf numFmtId="0" fontId="107" fillId="81" borderId="50" applyAlignment="1" pivotButton="0" quotePrefix="0" xfId="7">
      <alignment horizontal="center" vertical="center"/>
    </xf>
    <xf numFmtId="3" fontId="107" fillId="17" borderId="60" applyAlignment="1" pivotButton="0" quotePrefix="0" xfId="7">
      <alignment horizontal="center" vertical="center"/>
    </xf>
    <xf numFmtId="0" fontId="104" fillId="0" borderId="50" applyAlignment="1" pivotButton="0" quotePrefix="0" xfId="7">
      <alignment horizontal="center" vertical="center" wrapText="1"/>
    </xf>
    <xf numFmtId="165" fontId="104" fillId="14" borderId="50" applyAlignment="1" pivotButton="0" quotePrefix="0" xfId="7">
      <alignment horizontal="center" vertical="center"/>
    </xf>
    <xf numFmtId="0" fontId="104" fillId="12" borderId="50" applyAlignment="1" pivotButton="0" quotePrefix="0" xfId="7">
      <alignment horizontal="center" vertical="center"/>
    </xf>
    <xf numFmtId="169" fontId="104" fillId="12" borderId="50" applyAlignment="1" pivotButton="0" quotePrefix="0" xfId="3">
      <alignment horizontal="center" vertical="center"/>
    </xf>
    <xf numFmtId="166" fontId="104" fillId="14" borderId="50" applyAlignment="1" pivotButton="0" quotePrefix="0" xfId="7">
      <alignment horizontal="center" vertical="center" wrapText="1"/>
    </xf>
    <xf numFmtId="167" fontId="104" fillId="4" borderId="60" applyAlignment="1" pivotButton="0" quotePrefix="0" xfId="7">
      <alignment horizontal="center" vertical="center"/>
    </xf>
    <xf numFmtId="3" fontId="107" fillId="15" borderId="50" applyAlignment="1" pivotButton="0" quotePrefix="0" xfId="7">
      <alignment horizontal="center" vertical="center"/>
    </xf>
    <xf numFmtId="3" fontId="104" fillId="4" borderId="50" applyAlignment="1" pivotButton="0" quotePrefix="0" xfId="7">
      <alignment horizontal="center" vertical="center"/>
    </xf>
    <xf numFmtId="167" fontId="104" fillId="0" borderId="50" applyAlignment="1" pivotButton="0" quotePrefix="0" xfId="7">
      <alignment horizontal="center" vertical="center"/>
    </xf>
    <xf numFmtId="179" fontId="102" fillId="83" borderId="50" applyAlignment="1" pivotButton="0" quotePrefix="0" xfId="1">
      <alignment horizontal="center" vertical="center" wrapText="1"/>
    </xf>
    <xf numFmtId="3" fontId="104" fillId="12" borderId="50" applyAlignment="1" pivotButton="0" quotePrefix="0" xfId="7">
      <alignment horizontal="center" vertical="center" wrapText="1"/>
    </xf>
    <xf numFmtId="167" fontId="104" fillId="12" borderId="50" applyAlignment="1" pivotButton="0" quotePrefix="0" xfId="7">
      <alignment horizontal="center" vertical="center"/>
    </xf>
    <xf numFmtId="3" fontId="104" fillId="14" borderId="50" applyAlignment="1" pivotButton="0" quotePrefix="0" xfId="7">
      <alignment horizontal="center" vertical="center"/>
    </xf>
    <xf numFmtId="167" fontId="107" fillId="71" borderId="50" applyAlignment="1" pivotButton="0" quotePrefix="0" xfId="7">
      <alignment horizontal="center" vertical="center"/>
    </xf>
    <xf numFmtId="167" fontId="104" fillId="12" borderId="50" applyAlignment="1" pivotButton="0" quotePrefix="0" xfId="7">
      <alignment horizontal="center" vertical="center" wrapText="1"/>
    </xf>
    <xf numFmtId="3" fontId="107" fillId="87" borderId="50" applyAlignment="1" pivotButton="0" quotePrefix="0" xfId="7">
      <alignment horizontal="center" vertical="center"/>
    </xf>
    <xf numFmtId="164" fontId="108" fillId="4" borderId="50" applyAlignment="1" pivotButton="0" quotePrefix="0" xfId="5">
      <alignment horizontal="center" vertical="center"/>
    </xf>
    <xf numFmtId="0" fontId="104" fillId="14" borderId="50" applyAlignment="1" pivotButton="0" quotePrefix="0" xfId="7">
      <alignment horizontal="center" vertical="center"/>
    </xf>
    <xf numFmtId="180" fontId="104" fillId="14" borderId="50" applyAlignment="1" pivotButton="0" quotePrefix="0" xfId="1">
      <alignment horizontal="center" vertical="center" wrapText="1"/>
    </xf>
    <xf numFmtId="165" fontId="104" fillId="12" borderId="50" applyAlignment="1" pivotButton="0" quotePrefix="0" xfId="7">
      <alignment horizontal="center" vertical="center"/>
    </xf>
    <xf numFmtId="169" fontId="104" fillId="12" borderId="50" applyAlignment="1" pivotButton="0" quotePrefix="0" xfId="7">
      <alignment horizontal="center" vertical="center"/>
    </xf>
    <xf numFmtId="0" fontId="87" fillId="12" borderId="50" applyAlignment="1" pivotButton="0" quotePrefix="0" xfId="7">
      <alignment horizontal="center" vertical="center"/>
    </xf>
    <xf numFmtId="0" fontId="87" fillId="0" borderId="50" applyAlignment="1" pivotButton="0" quotePrefix="0" xfId="7">
      <alignment horizontal="center" vertical="center" wrapText="1"/>
    </xf>
    <xf numFmtId="169" fontId="87" fillId="0" borderId="0" applyAlignment="1" pivotButton="0" quotePrefix="0" xfId="3">
      <alignment horizontal="center" vertical="center"/>
    </xf>
    <xf numFmtId="169" fontId="87" fillId="12" borderId="0" applyAlignment="1" pivotButton="0" quotePrefix="0" xfId="3">
      <alignment horizontal="center" vertical="center"/>
    </xf>
    <xf numFmtId="168" fontId="7" fillId="12" borderId="50" applyAlignment="1" pivotButton="0" quotePrefix="0" xfId="7">
      <alignment horizontal="center" vertical="center"/>
    </xf>
    <xf numFmtId="0" fontId="6" fillId="17" borderId="50" applyAlignment="1" pivotButton="0" quotePrefix="0" xfId="7">
      <alignment vertical="center"/>
    </xf>
    <xf numFmtId="3" fontId="6" fillId="17" borderId="60" applyAlignment="1" pivotButton="0" quotePrefix="0" xfId="7">
      <alignment vertical="center"/>
    </xf>
    <xf numFmtId="14" fontId="37" fillId="14" borderId="50" applyAlignment="1" pivotButton="0" quotePrefix="0" xfId="7">
      <alignment horizontal="left" vertical="center"/>
    </xf>
    <xf numFmtId="165" fontId="37" fillId="14" borderId="50" applyAlignment="1" pivotButton="0" quotePrefix="0" xfId="7">
      <alignment horizontal="left" vertical="center"/>
    </xf>
    <xf numFmtId="2" fontId="102" fillId="12" borderId="50" applyAlignment="1" pivotButton="0" quotePrefix="0" xfId="7">
      <alignment horizontal="center" vertical="center" wrapText="1"/>
    </xf>
    <xf numFmtId="3" fontId="36" fillId="73" borderId="50" applyAlignment="1" pivotButton="0" quotePrefix="0" xfId="7">
      <alignment horizontal="right" vertical="center"/>
    </xf>
    <xf numFmtId="3" fontId="37" fillId="60" borderId="50" applyAlignment="1" pivotButton="0" quotePrefix="0" xfId="7">
      <alignment horizontal="right" vertical="center"/>
    </xf>
    <xf numFmtId="3" fontId="37" fillId="10" borderId="50" applyAlignment="1" pivotButton="0" quotePrefix="0" xfId="7">
      <alignment horizontal="right" vertical="center"/>
    </xf>
    <xf numFmtId="167" fontId="37" fillId="10" borderId="50" applyAlignment="1" pivotButton="0" quotePrefix="0" xfId="7">
      <alignment horizontal="right" vertical="center"/>
    </xf>
    <xf numFmtId="165" fontId="37" fillId="14" borderId="50" applyAlignment="1" pivotButton="0" quotePrefix="0" xfId="7">
      <alignment horizontal="right" vertical="center" wrapText="1"/>
    </xf>
    <xf numFmtId="165" fontId="37" fillId="12" borderId="50" applyAlignment="1" pivotButton="0" quotePrefix="0" xfId="7">
      <alignment horizontal="center" vertical="center" wrapText="1"/>
    </xf>
    <xf numFmtId="167" fontId="7" fillId="12" borderId="50" applyAlignment="1" pivotButton="0" quotePrefix="0" xfId="7">
      <alignment horizontal="center" vertical="center"/>
    </xf>
    <xf numFmtId="167" fontId="102" fillId="29" borderId="50" applyAlignment="1" pivotButton="0" quotePrefix="0" xfId="7">
      <alignment horizontal="center" vertical="center"/>
    </xf>
    <xf numFmtId="3" fontId="7" fillId="12" borderId="50" applyAlignment="1" pivotButton="0" quotePrefix="0" xfId="7">
      <alignment horizontal="center" vertical="center"/>
    </xf>
    <xf numFmtId="169" fontId="10" fillId="15" borderId="50" applyAlignment="1" pivotButton="0" quotePrefix="0" xfId="1">
      <alignment horizontal="center" vertical="center" wrapText="1"/>
    </xf>
    <xf numFmtId="49" fontId="37" fillId="12" borderId="27" applyAlignment="1" pivotButton="0" quotePrefix="0" xfId="0">
      <alignment horizontal="center" vertical="center"/>
    </xf>
    <xf numFmtId="164" fontId="103" fillId="14" borderId="50" applyAlignment="1" pivotButton="0" quotePrefix="0" xfId="5">
      <alignment horizontal="center" vertical="center"/>
    </xf>
    <xf numFmtId="169" fontId="37" fillId="12" borderId="50" pivotButton="0" quotePrefix="0" xfId="7"/>
    <xf numFmtId="0" fontId="33" fillId="12" borderId="50" applyAlignment="1" pivotButton="0" quotePrefix="0" xfId="7">
      <alignment horizontal="center" vertical="center" wrapText="1"/>
    </xf>
    <xf numFmtId="169" fontId="33" fillId="12" borderId="0" applyAlignment="1" pivotButton="0" quotePrefix="0" xfId="3">
      <alignment horizontal="center" vertical="center"/>
    </xf>
    <xf numFmtId="0" fontId="6" fillId="88" borderId="50" applyAlignment="1" pivotButton="0" quotePrefix="0" xfId="7">
      <alignment horizontal="center" vertical="center"/>
    </xf>
    <xf numFmtId="3" fontId="6" fillId="0" borderId="60" applyAlignment="1" pivotButton="0" quotePrefix="0" xfId="7">
      <alignment horizontal="center" vertical="center"/>
    </xf>
    <xf numFmtId="0" fontId="105" fillId="0" borderId="50" applyAlignment="1" pivotButton="0" quotePrefix="0" xfId="7">
      <alignment horizontal="center" vertical="center" wrapText="1"/>
    </xf>
    <xf numFmtId="14" fontId="37" fillId="0" borderId="50" applyAlignment="1" pivotButton="0" quotePrefix="0" xfId="7">
      <alignment horizontal="center" vertical="center"/>
    </xf>
    <xf numFmtId="0" fontId="7" fillId="0" borderId="50" applyAlignment="1" pivotButton="0" quotePrefix="0" xfId="7">
      <alignment horizontal="center" vertical="center"/>
    </xf>
    <xf numFmtId="4" fontId="7" fillId="0" borderId="50" applyAlignment="1" pivotButton="0" quotePrefix="0" xfId="7">
      <alignment horizontal="center" vertical="center"/>
    </xf>
    <xf numFmtId="169" fontId="7" fillId="0" borderId="50" applyAlignment="1" pivotButton="0" quotePrefix="0" xfId="3">
      <alignment horizontal="center" vertical="center"/>
    </xf>
    <xf numFmtId="167" fontId="8" fillId="0" borderId="50" applyAlignment="1" pivotButton="0" quotePrefix="0" xfId="7">
      <alignment horizontal="center" vertical="center"/>
    </xf>
    <xf numFmtId="3" fontId="7" fillId="0" borderId="50" applyAlignment="1" pivotButton="0" quotePrefix="0" xfId="7">
      <alignment horizontal="center" vertical="center" wrapText="1"/>
    </xf>
    <xf numFmtId="3" fontId="7" fillId="0" borderId="50" applyAlignment="1" pivotButton="0" quotePrefix="0" xfId="7">
      <alignment horizontal="center" vertical="center"/>
    </xf>
    <xf numFmtId="167" fontId="8" fillId="56" borderId="50" applyAlignment="1" pivotButton="0" quotePrefix="0" xfId="7">
      <alignment horizontal="center" vertical="center"/>
    </xf>
    <xf numFmtId="167" fontId="14" fillId="0" borderId="50" applyAlignment="1" pivotButton="0" quotePrefix="0" xfId="7">
      <alignment horizontal="center" vertical="center" wrapText="1"/>
    </xf>
    <xf numFmtId="3" fontId="8" fillId="55" borderId="50" applyAlignment="1" pivotButton="0" quotePrefix="0" xfId="7">
      <alignment horizontal="center" vertical="center"/>
    </xf>
    <xf numFmtId="164" fontId="96" fillId="0" borderId="50" applyAlignment="1" pivotButton="0" quotePrefix="0" xfId="7">
      <alignment horizontal="center" vertical="center"/>
    </xf>
    <xf numFmtId="0" fontId="37" fillId="0" borderId="50" applyAlignment="1" pivotButton="0" quotePrefix="0" xfId="7">
      <alignment horizontal="center" vertical="center"/>
    </xf>
    <xf numFmtId="169" fontId="37" fillId="0" borderId="50" applyAlignment="1" pivotButton="0" quotePrefix="0" xfId="3">
      <alignment horizontal="center" vertical="center"/>
    </xf>
    <xf numFmtId="0" fontId="33" fillId="0" borderId="50" applyAlignment="1" pivotButton="0" quotePrefix="0" xfId="7">
      <alignment horizontal="center" vertical="center"/>
    </xf>
    <xf numFmtId="167" fontId="5" fillId="0" borderId="50" applyAlignment="1" pivotButton="0" quotePrefix="0" xfId="7">
      <alignment horizontal="center" vertical="center"/>
    </xf>
    <xf numFmtId="167" fontId="8" fillId="86" borderId="50" applyAlignment="1" pivotButton="0" quotePrefix="0" xfId="7">
      <alignment horizontal="center" vertical="center"/>
    </xf>
    <xf numFmtId="164" fontId="96" fillId="29" borderId="50" applyAlignment="1" pivotButton="0" quotePrefix="0" xfId="7">
      <alignment horizontal="center" vertical="center"/>
    </xf>
    <xf numFmtId="49" fontId="37" fillId="10" borderId="0" applyAlignment="1" pivotButton="0" quotePrefix="0" xfId="0">
      <alignment horizontal="center" vertical="center"/>
    </xf>
    <xf numFmtId="0" fontId="8" fillId="54" borderId="50" applyAlignment="1" pivotButton="0" quotePrefix="0" xfId="7">
      <alignment horizontal="center" vertical="center" wrapText="1"/>
    </xf>
    <xf numFmtId="168" fontId="7" fillId="54" borderId="50" applyAlignment="1" pivotButton="0" quotePrefix="0" xfId="7">
      <alignment horizontal="center" vertical="center"/>
    </xf>
    <xf numFmtId="0" fontId="33" fillId="54" borderId="50" pivotButton="0" quotePrefix="0" xfId="7"/>
    <xf numFmtId="0" fontId="7" fillId="54" borderId="50" applyAlignment="1" pivotButton="0" quotePrefix="0" xfId="7">
      <alignment vertical="center" wrapText="1"/>
    </xf>
    <xf numFmtId="0" fontId="105" fillId="54" borderId="50" applyAlignment="1" pivotButton="0" quotePrefix="0" xfId="7">
      <alignment horizontal="center" vertical="center" wrapText="1"/>
    </xf>
    <xf numFmtId="0" fontId="109" fillId="54" borderId="50" applyAlignment="1" pivotButton="0" quotePrefix="0" xfId="7">
      <alignment horizontal="center" vertical="center" wrapText="1"/>
    </xf>
    <xf numFmtId="0" fontId="106" fillId="54" borderId="50" applyAlignment="1" pivotButton="0" quotePrefix="0" xfId="7">
      <alignment horizontal="center" vertical="center" wrapText="1"/>
    </xf>
    <xf numFmtId="14" fontId="37" fillId="89" borderId="50" applyAlignment="1" pivotButton="0" quotePrefix="0" xfId="7">
      <alignment horizontal="left" vertical="center"/>
    </xf>
    <xf numFmtId="165" fontId="37" fillId="89" borderId="50" applyAlignment="1" pivotButton="0" quotePrefix="0" xfId="7">
      <alignment horizontal="left" vertical="center"/>
    </xf>
    <xf numFmtId="165" fontId="37" fillId="89" borderId="50" applyAlignment="1" pivotButton="0" quotePrefix="0" xfId="7">
      <alignment horizontal="center" vertical="center" wrapText="1"/>
    </xf>
    <xf numFmtId="0" fontId="6" fillId="81" borderId="50" applyAlignment="1" pivotButton="0" quotePrefix="0" xfId="7">
      <alignment vertical="center"/>
    </xf>
    <xf numFmtId="43" fontId="8" fillId="0" borderId="50" applyAlignment="1" pivotButton="0" quotePrefix="0" xfId="7">
      <alignment horizontal="right" vertical="center"/>
    </xf>
    <xf numFmtId="165" fontId="102" fillId="25" borderId="50" applyAlignment="1" pivotButton="0" quotePrefix="0" xfId="7">
      <alignment horizontal="center" vertical="center" wrapText="1"/>
    </xf>
    <xf numFmtId="181" fontId="102" fillId="25" borderId="50" applyAlignment="1" pivotButton="0" quotePrefix="0" xfId="1">
      <alignment horizontal="center" vertical="center" wrapText="1"/>
    </xf>
    <xf numFmtId="165" fontId="37" fillId="90" borderId="50" applyAlignment="1" pivotButton="0" quotePrefix="0" xfId="7">
      <alignment horizontal="center" vertical="center" wrapText="1"/>
    </xf>
    <xf numFmtId="4" fontId="7" fillId="12" borderId="50" applyAlignment="1" pivotButton="0" quotePrefix="0" xfId="7">
      <alignment vertical="center"/>
    </xf>
    <xf numFmtId="166" fontId="37" fillId="0" borderId="50" applyAlignment="1" pivotButton="0" quotePrefix="0" xfId="7">
      <alignment horizontal="right" vertical="center" wrapText="1"/>
    </xf>
    <xf numFmtId="165" fontId="37" fillId="59" borderId="50" applyAlignment="1" pivotButton="0" quotePrefix="0" xfId="7">
      <alignment horizontal="center" vertical="center" wrapText="1"/>
    </xf>
    <xf numFmtId="181" fontId="37" fillId="59" borderId="50" applyAlignment="1" pivotButton="0" quotePrefix="0" xfId="1">
      <alignment horizontal="center" vertical="center" wrapText="1"/>
    </xf>
    <xf numFmtId="165" fontId="36" fillId="59" borderId="50" applyAlignment="1" pivotButton="0" quotePrefix="0" xfId="7">
      <alignment horizontal="center" vertical="center" wrapText="1"/>
    </xf>
    <xf numFmtId="167" fontId="8" fillId="12" borderId="50" applyAlignment="1" pivotButton="0" quotePrefix="0" xfId="7">
      <alignment horizontal="right" vertical="center"/>
    </xf>
    <xf numFmtId="167" fontId="7" fillId="12" borderId="50" applyAlignment="1" pivotButton="0" quotePrefix="0" xfId="7">
      <alignment horizontal="right" vertical="center"/>
    </xf>
    <xf numFmtId="167" fontId="8" fillId="29" borderId="50" applyAlignment="1" pivotButton="0" quotePrefix="0" xfId="7">
      <alignment horizontal="right" vertical="center"/>
    </xf>
    <xf numFmtId="167" fontId="102" fillId="84" borderId="50" applyAlignment="1" pivotButton="0" quotePrefix="0" xfId="7">
      <alignment horizontal="right" vertical="center"/>
    </xf>
    <xf numFmtId="167" fontId="102" fillId="85" borderId="50" applyAlignment="1" pivotButton="0" quotePrefix="0" xfId="7">
      <alignment horizontal="right" vertical="center"/>
    </xf>
    <xf numFmtId="3" fontId="7" fillId="14" borderId="50" applyAlignment="1" pivotButton="0" quotePrefix="0" xfId="7">
      <alignment horizontal="right" vertical="center"/>
    </xf>
    <xf numFmtId="167" fontId="8" fillId="86" borderId="50" applyAlignment="1" pivotButton="0" quotePrefix="0" xfId="7">
      <alignment horizontal="right" vertical="center"/>
    </xf>
    <xf numFmtId="167" fontId="8" fillId="71" borderId="50" applyAlignment="1" pivotButton="0" quotePrefix="0" xfId="7">
      <alignment horizontal="right" vertical="center"/>
    </xf>
    <xf numFmtId="3" fontId="8" fillId="87" borderId="50" applyAlignment="1" pivotButton="0" quotePrefix="0" xfId="7">
      <alignment vertical="center"/>
    </xf>
    <xf numFmtId="164" fontId="96" fillId="29" borderId="50" applyAlignment="1" pivotButton="0" quotePrefix="0" xfId="7">
      <alignment horizontal="right" vertical="center"/>
    </xf>
    <xf numFmtId="49" fontId="37" fillId="10" borderId="27" applyAlignment="1" pivotButton="0" quotePrefix="0" xfId="0">
      <alignment horizontal="left" vertical="center"/>
    </xf>
    <xf numFmtId="164" fontId="103" fillId="4" borderId="50" applyAlignment="1" pivotButton="0" quotePrefix="0" xfId="5">
      <alignment horizontal="left" vertical="center"/>
    </xf>
    <xf numFmtId="0" fontId="37" fillId="14" borderId="50" applyAlignment="1" pivotButton="0" quotePrefix="0" xfId="7">
      <alignment horizontal="left" vertical="center"/>
    </xf>
    <xf numFmtId="165" fontId="37" fillId="12" borderId="50" applyAlignment="1" pivotButton="0" quotePrefix="0" xfId="7">
      <alignment vertical="center"/>
    </xf>
    <xf numFmtId="165" fontId="37" fillId="12" borderId="50" pivotButton="0" quotePrefix="0" xfId="7"/>
    <xf numFmtId="0" fontId="37" fillId="12" borderId="50" pivotButton="0" quotePrefix="0" xfId="7"/>
    <xf numFmtId="169" fontId="37" fillId="12" borderId="50" pivotButton="0" quotePrefix="0" xfId="3"/>
    <xf numFmtId="0" fontId="33" fillId="12" borderId="50" pivotButton="0" quotePrefix="0" xfId="7"/>
    <xf numFmtId="165" fontId="7" fillId="0" borderId="50" applyAlignment="1" pivotButton="0" quotePrefix="0" xfId="7">
      <alignment vertical="center" wrapText="1"/>
    </xf>
    <xf numFmtId="0" fontId="85" fillId="12" borderId="50" pivotButton="0" quotePrefix="0" xfId="7"/>
    <xf numFmtId="169" fontId="33" fillId="12" borderId="0" applyAlignment="1" pivotButton="0" quotePrefix="0" xfId="3">
      <alignment vertical="center"/>
    </xf>
    <xf numFmtId="0" fontId="7" fillId="12" borderId="50" applyAlignment="1" pivotButton="0" quotePrefix="0" xfId="7">
      <alignment vertical="center"/>
    </xf>
    <xf numFmtId="169" fontId="7" fillId="12" borderId="50" applyAlignment="1" pivotButton="0" quotePrefix="0" xfId="3">
      <alignment vertical="center"/>
    </xf>
    <xf numFmtId="3" fontId="107" fillId="15" borderId="50" applyAlignment="1" pivotButton="0" quotePrefix="0" xfId="7">
      <alignment horizontal="right" vertical="center"/>
    </xf>
    <xf numFmtId="3" fontId="8" fillId="4" borderId="50" applyAlignment="1" pivotButton="0" quotePrefix="0" xfId="7">
      <alignment horizontal="right" vertical="center"/>
    </xf>
    <xf numFmtId="3" fontId="8" fillId="0" borderId="50" applyAlignment="1" pivotButton="0" quotePrefix="0" xfId="7">
      <alignment horizontal="right" vertical="center"/>
    </xf>
    <xf numFmtId="167" fontId="8" fillId="0" borderId="50" applyAlignment="1" pivotButton="0" quotePrefix="0" xfId="7">
      <alignment horizontal="right" vertical="center"/>
    </xf>
    <xf numFmtId="3" fontId="7" fillId="12" borderId="50" applyAlignment="1" pivotButton="0" quotePrefix="0" xfId="7">
      <alignment horizontal="right" vertical="center" wrapText="1"/>
    </xf>
    <xf numFmtId="167" fontId="8" fillId="0" borderId="50" applyAlignment="1" pivotButton="0" quotePrefix="0" xfId="0">
      <alignment horizontal="right" vertical="center"/>
    </xf>
    <xf numFmtId="167" fontId="8" fillId="70" borderId="50" applyAlignment="1" pivotButton="0" quotePrefix="0" xfId="0">
      <alignment horizontal="right" vertical="center"/>
    </xf>
    <xf numFmtId="167" fontId="7" fillId="12" borderId="50" applyAlignment="1" pivotButton="0" quotePrefix="0" xfId="0">
      <alignment horizontal="right" vertical="center"/>
    </xf>
    <xf numFmtId="167" fontId="5" fillId="71" borderId="50" applyAlignment="1" pivotButton="0" quotePrefix="0" xfId="7">
      <alignment horizontal="right" vertical="center"/>
    </xf>
    <xf numFmtId="3" fontId="5" fillId="87" borderId="50" applyAlignment="1" pivotButton="0" quotePrefix="0" xfId="7">
      <alignment vertical="center"/>
    </xf>
    <xf numFmtId="164" fontId="10" fillId="29" borderId="50" applyAlignment="1" pivotButton="0" quotePrefix="0" xfId="0">
      <alignment horizontal="right" vertical="center"/>
    </xf>
    <xf numFmtId="169" fontId="33" fillId="0" borderId="50" pivotButton="0" quotePrefix="0" xfId="0"/>
    <xf numFmtId="167" fontId="7" fillId="12" borderId="50" applyAlignment="1" pivotButton="0" quotePrefix="0" xfId="7">
      <alignment vertical="center"/>
    </xf>
    <xf numFmtId="165" fontId="37" fillId="66" borderId="50" applyAlignment="1" pivotButton="0" quotePrefix="0" xfId="7">
      <alignment horizontal="center" vertical="center" wrapText="1"/>
    </xf>
    <xf numFmtId="167" fontId="102" fillId="0" borderId="50" applyAlignment="1" pivotButton="0" quotePrefix="0" xfId="0">
      <alignment horizontal="right" vertical="center"/>
    </xf>
    <xf numFmtId="167" fontId="7" fillId="10" borderId="50" applyAlignment="1" pivotButton="0" quotePrefix="0" xfId="0">
      <alignment horizontal="right" vertical="center"/>
    </xf>
    <xf numFmtId="0" fontId="6" fillId="0" borderId="50" applyAlignment="1" pivotButton="0" quotePrefix="0" xfId="7">
      <alignment vertical="center"/>
    </xf>
    <xf numFmtId="3" fontId="6" fillId="0" borderId="50" applyAlignment="1" pivotButton="0" quotePrefix="0" xfId="7">
      <alignment vertical="center"/>
    </xf>
    <xf numFmtId="165" fontId="37" fillId="0" borderId="50" applyAlignment="1" pivotButton="0" quotePrefix="0" xfId="7">
      <alignment horizontal="left" vertical="center"/>
    </xf>
    <xf numFmtId="0" fontId="38" fillId="12" borderId="50" applyAlignment="1" pivotButton="0" quotePrefix="0" xfId="7">
      <alignment vertical="center" wrapText="1"/>
    </xf>
    <xf numFmtId="0" fontId="85" fillId="54" borderId="50" pivotButton="0" quotePrefix="0" xfId="7"/>
    <xf numFmtId="165" fontId="37" fillId="89" borderId="0" applyAlignment="1" pivotButton="0" quotePrefix="0" xfId="7">
      <alignment horizontal="center" vertical="center" wrapText="1"/>
    </xf>
    <xf numFmtId="0" fontId="37" fillId="32" borderId="50" applyAlignment="1" pivotButton="0" quotePrefix="0" xfId="7">
      <alignment horizontal="center" vertical="center" wrapText="1"/>
    </xf>
    <xf numFmtId="168" fontId="37" fillId="32" borderId="50" applyAlignment="1" pivotButton="0" quotePrefix="0" xfId="7">
      <alignment horizontal="center" vertical="center"/>
    </xf>
    <xf numFmtId="0" fontId="36" fillId="81" borderId="50" applyAlignment="1" pivotButton="0" quotePrefix="0" xfId="7">
      <alignment vertical="center"/>
    </xf>
    <xf numFmtId="3" fontId="36" fillId="91" borderId="60" applyAlignment="1" pivotButton="0" quotePrefix="0" xfId="7">
      <alignment vertical="center"/>
    </xf>
    <xf numFmtId="14" fontId="37" fillId="92" borderId="50" applyAlignment="1" pivotButton="0" quotePrefix="0" xfId="7">
      <alignment horizontal="left" vertical="center"/>
    </xf>
    <xf numFmtId="165" fontId="37" fillId="92" borderId="50" applyAlignment="1" pivotButton="0" quotePrefix="0" xfId="7">
      <alignment horizontal="left" vertical="center"/>
    </xf>
    <xf numFmtId="165" fontId="37" fillId="92" borderId="50" applyAlignment="1" pivotButton="0" quotePrefix="0" xfId="7">
      <alignment horizontal="center" vertical="center" wrapText="1"/>
    </xf>
    <xf numFmtId="4" fontId="37" fillId="32" borderId="50" applyAlignment="1" pivotButton="0" quotePrefix="0" xfId="7">
      <alignment vertical="center"/>
    </xf>
    <xf numFmtId="165" fontId="37" fillId="92" borderId="50" applyAlignment="1" pivotButton="0" quotePrefix="0" xfId="7">
      <alignment horizontal="right" vertical="center" wrapText="1"/>
    </xf>
    <xf numFmtId="165" fontId="37" fillId="33" borderId="50" applyAlignment="1" pivotButton="0" quotePrefix="0" xfId="7">
      <alignment horizontal="center" vertical="center" wrapText="1"/>
    </xf>
    <xf numFmtId="181" fontId="37" fillId="33" borderId="50" applyAlignment="1" pivotButton="0" quotePrefix="0" xfId="1">
      <alignment horizontal="center" vertical="center" wrapText="1"/>
    </xf>
    <xf numFmtId="165" fontId="37" fillId="9" borderId="50" applyAlignment="1" pivotButton="0" quotePrefix="0" xfId="7">
      <alignment horizontal="center" vertical="center" wrapText="1"/>
    </xf>
    <xf numFmtId="167" fontId="37" fillId="32" borderId="50" applyAlignment="1" pivotButton="0" quotePrefix="0" xfId="7">
      <alignment horizontal="right" vertical="center"/>
    </xf>
    <xf numFmtId="167" fontId="102" fillId="93" borderId="50" applyAlignment="1" pivotButton="0" quotePrefix="0" xfId="7">
      <alignment horizontal="right" vertical="center"/>
    </xf>
    <xf numFmtId="167" fontId="102" fillId="94" borderId="50" applyAlignment="1" pivotButton="0" quotePrefix="0" xfId="7">
      <alignment horizontal="right" vertical="center"/>
    </xf>
    <xf numFmtId="3" fontId="37" fillId="92" borderId="50" applyAlignment="1" pivotButton="0" quotePrefix="0" xfId="7">
      <alignment horizontal="right" vertical="center"/>
    </xf>
    <xf numFmtId="167" fontId="37" fillId="95" borderId="50" applyAlignment="1" pivotButton="0" quotePrefix="0" xfId="7">
      <alignment horizontal="right" vertical="center"/>
    </xf>
    <xf numFmtId="167" fontId="37" fillId="92" borderId="50" applyAlignment="1" pivotButton="0" quotePrefix="0" xfId="7">
      <alignment horizontal="right" vertical="center"/>
    </xf>
    <xf numFmtId="167" fontId="37" fillId="32" borderId="50" applyAlignment="1" pivotButton="0" quotePrefix="0" xfId="7">
      <alignment horizontal="center" vertical="center" wrapText="1"/>
    </xf>
    <xf numFmtId="3" fontId="37" fillId="96" borderId="50" applyAlignment="1" pivotButton="0" quotePrefix="0" xfId="7">
      <alignment vertical="center"/>
    </xf>
    <xf numFmtId="164" fontId="37" fillId="93" borderId="50" applyAlignment="1" pivotButton="0" quotePrefix="0" xfId="7">
      <alignment horizontal="right" vertical="center"/>
    </xf>
    <xf numFmtId="169" fontId="10" fillId="97" borderId="50" applyAlignment="1" pivotButton="0" quotePrefix="0" xfId="1">
      <alignment horizontal="center" vertical="center" wrapText="1"/>
    </xf>
    <xf numFmtId="169" fontId="36" fillId="32" borderId="27" applyAlignment="1" pivotButton="0" quotePrefix="0" xfId="1">
      <alignment horizontal="left" vertical="center"/>
    </xf>
    <xf numFmtId="164" fontId="110" fillId="92" borderId="68" applyAlignment="1" pivotButton="0" quotePrefix="0" xfId="5">
      <alignment horizontal="left" vertical="center"/>
    </xf>
    <xf numFmtId="169" fontId="66" fillId="32" borderId="68" pivotButton="0" quotePrefix="0" xfId="0"/>
    <xf numFmtId="0" fontId="37" fillId="92" borderId="50" applyAlignment="1" pivotButton="0" quotePrefix="0" xfId="7">
      <alignment horizontal="center" vertical="center"/>
    </xf>
    <xf numFmtId="165" fontId="37" fillId="32" borderId="50" applyAlignment="1" pivotButton="0" quotePrefix="0" xfId="7">
      <alignment horizontal="center" vertical="center" wrapText="1"/>
    </xf>
    <xf numFmtId="0" fontId="37" fillId="92" borderId="50" applyAlignment="1" pivotButton="0" quotePrefix="0" xfId="7">
      <alignment horizontal="left" vertical="center"/>
    </xf>
    <xf numFmtId="165" fontId="37" fillId="32" borderId="50" applyAlignment="1" pivotButton="0" quotePrefix="0" xfId="7">
      <alignment vertical="center"/>
    </xf>
    <xf numFmtId="165" fontId="37" fillId="32" borderId="50" pivotButton="0" quotePrefix="0" xfId="7"/>
    <xf numFmtId="0" fontId="37" fillId="32" borderId="50" pivotButton="0" quotePrefix="0" xfId="7"/>
    <xf numFmtId="169" fontId="37" fillId="32" borderId="50" pivotButton="0" quotePrefix="0" xfId="3"/>
    <xf numFmtId="169" fontId="37" fillId="32" borderId="50" pivotButton="0" quotePrefix="0" xfId="7"/>
    <xf numFmtId="0" fontId="88" fillId="32" borderId="50" pivotButton="0" quotePrefix="0" xfId="7"/>
    <xf numFmtId="165" fontId="37" fillId="32" borderId="50" applyAlignment="1" pivotButton="0" quotePrefix="0" xfId="7">
      <alignment vertical="center" wrapText="1"/>
    </xf>
    <xf numFmtId="169" fontId="88" fillId="32" borderId="0" pivotButton="0" quotePrefix="0" xfId="3"/>
    <xf numFmtId="169" fontId="88" fillId="32" borderId="0" applyAlignment="1" pivotButton="0" quotePrefix="0" xfId="3">
      <alignment vertical="center"/>
    </xf>
    <xf numFmtId="0" fontId="8" fillId="0" borderId="50" applyAlignment="1" pivotButton="0" quotePrefix="0" xfId="7">
      <alignment horizontal="center" vertical="center" wrapText="1"/>
    </xf>
    <xf numFmtId="167" fontId="5" fillId="4" borderId="50" applyAlignment="1" pivotButton="0" quotePrefix="0" xfId="7">
      <alignment horizontal="right" vertical="center"/>
    </xf>
    <xf numFmtId="3" fontId="36" fillId="91" borderId="50" applyAlignment="1" pivotButton="0" quotePrefix="0" xfId="7">
      <alignment vertical="center"/>
    </xf>
    <xf numFmtId="0" fontId="37" fillId="32" borderId="50" applyAlignment="1" pivotButton="0" quotePrefix="0" xfId="7">
      <alignment vertical="center"/>
    </xf>
    <xf numFmtId="169" fontId="37" fillId="32" borderId="50" applyAlignment="1" pivotButton="0" quotePrefix="0" xfId="3">
      <alignment vertical="center"/>
    </xf>
    <xf numFmtId="166" fontId="37" fillId="32" borderId="50" applyAlignment="1" pivotButton="0" quotePrefix="0" xfId="7">
      <alignment vertical="center"/>
    </xf>
    <xf numFmtId="166" fontId="37" fillId="32" borderId="50" applyAlignment="1" pivotButton="0" quotePrefix="0" xfId="7">
      <alignment horizontal="right" vertical="center" wrapText="1"/>
    </xf>
    <xf numFmtId="167" fontId="36" fillId="92" borderId="50" applyAlignment="1" pivotButton="0" quotePrefix="0" xfId="7">
      <alignment horizontal="right" vertical="center"/>
    </xf>
    <xf numFmtId="0" fontId="67" fillId="32" borderId="50" pivotButton="0" quotePrefix="0" xfId="7"/>
    <xf numFmtId="0" fontId="111" fillId="32" borderId="50" applyAlignment="1" pivotButton="0" quotePrefix="0" xfId="7">
      <alignment horizontal="center" vertical="center" wrapText="1"/>
    </xf>
    <xf numFmtId="168" fontId="111" fillId="32" borderId="50" applyAlignment="1" pivotButton="0" quotePrefix="0" xfId="7">
      <alignment horizontal="center" vertical="center"/>
    </xf>
    <xf numFmtId="0" fontId="112" fillId="81" borderId="50" applyAlignment="1" pivotButton="0" quotePrefix="0" xfId="7">
      <alignment vertical="center"/>
    </xf>
    <xf numFmtId="3" fontId="112" fillId="91" borderId="50" applyAlignment="1" pivotButton="0" quotePrefix="0" xfId="7">
      <alignment horizontal="left" vertical="center"/>
    </xf>
    <xf numFmtId="165" fontId="111" fillId="92" borderId="50" applyAlignment="1" pivotButton="0" quotePrefix="0" xfId="7">
      <alignment horizontal="left" vertical="center"/>
    </xf>
    <xf numFmtId="165" fontId="111" fillId="25" borderId="50" applyAlignment="1" pivotButton="0" quotePrefix="0" xfId="7">
      <alignment horizontal="center" vertical="center" wrapText="1"/>
    </xf>
    <xf numFmtId="181" fontId="111" fillId="25" borderId="50" applyAlignment="1" pivotButton="0" quotePrefix="0" xfId="1">
      <alignment horizontal="center" vertical="center" wrapText="1"/>
    </xf>
    <xf numFmtId="165" fontId="111" fillId="90" borderId="50" applyAlignment="1" pivotButton="0" quotePrefix="0" xfId="7">
      <alignment horizontal="center" vertical="center" wrapText="1"/>
    </xf>
    <xf numFmtId="0" fontId="111" fillId="32" borderId="50" applyAlignment="1" pivotButton="0" quotePrefix="0" xfId="7">
      <alignment vertical="center"/>
    </xf>
    <xf numFmtId="4" fontId="111" fillId="32" borderId="50" applyAlignment="1" pivotButton="0" quotePrefix="0" xfId="7">
      <alignment vertical="center"/>
    </xf>
    <xf numFmtId="169" fontId="111" fillId="32" borderId="50" applyAlignment="1" pivotButton="0" quotePrefix="0" xfId="3">
      <alignment vertical="center"/>
    </xf>
    <xf numFmtId="166" fontId="111" fillId="32" borderId="50" applyAlignment="1" pivotButton="0" quotePrefix="0" xfId="7">
      <alignment vertical="center"/>
    </xf>
    <xf numFmtId="166" fontId="111" fillId="32" borderId="50" applyAlignment="1" pivotButton="0" quotePrefix="0" xfId="7">
      <alignment horizontal="right" vertical="center" wrapText="1"/>
    </xf>
    <xf numFmtId="165" fontId="111" fillId="33" borderId="50" applyAlignment="1" pivotButton="0" quotePrefix="0" xfId="7">
      <alignment horizontal="center" vertical="center" wrapText="1"/>
    </xf>
    <xf numFmtId="165" fontId="111" fillId="59" borderId="50" applyAlignment="1" pivotButton="0" quotePrefix="0" xfId="7">
      <alignment horizontal="center" vertical="center" wrapText="1"/>
    </xf>
    <xf numFmtId="181" fontId="111" fillId="33" borderId="50" applyAlignment="1" pivotButton="0" quotePrefix="0" xfId="1">
      <alignment horizontal="center" vertical="center" wrapText="1"/>
    </xf>
    <xf numFmtId="165" fontId="111" fillId="14" borderId="50" applyAlignment="1" pivotButton="0" quotePrefix="0" xfId="7">
      <alignment horizontal="center" vertical="center" wrapText="1"/>
    </xf>
    <xf numFmtId="165" fontId="111" fillId="92" borderId="50" applyAlignment="1" pivotButton="0" quotePrefix="0" xfId="7">
      <alignment horizontal="center" vertical="center" wrapText="1"/>
    </xf>
    <xf numFmtId="167" fontId="112" fillId="92" borderId="50" applyAlignment="1" pivotButton="0" quotePrefix="0" xfId="7">
      <alignment horizontal="right" vertical="center"/>
    </xf>
    <xf numFmtId="167" fontId="111" fillId="32" borderId="50" applyAlignment="1" pivotButton="0" quotePrefix="0" xfId="7">
      <alignment horizontal="right" vertical="center"/>
    </xf>
    <xf numFmtId="167" fontId="111" fillId="93" borderId="50" applyAlignment="1" pivotButton="0" quotePrefix="0" xfId="7">
      <alignment horizontal="right" vertical="center"/>
    </xf>
    <xf numFmtId="167" fontId="111" fillId="94" borderId="50" applyAlignment="1" pivotButton="0" quotePrefix="0" xfId="7">
      <alignment horizontal="right" vertical="center"/>
    </xf>
    <xf numFmtId="3" fontId="111" fillId="92" borderId="50" applyAlignment="1" pivotButton="0" quotePrefix="0" xfId="7">
      <alignment horizontal="right" vertical="center"/>
    </xf>
    <xf numFmtId="167" fontId="111" fillId="95" borderId="50" applyAlignment="1" pivotButton="0" quotePrefix="0" xfId="7">
      <alignment horizontal="right" vertical="center"/>
    </xf>
    <xf numFmtId="167" fontId="111" fillId="92" borderId="50" applyAlignment="1" pivotButton="0" quotePrefix="0" xfId="7">
      <alignment horizontal="right" vertical="center"/>
    </xf>
    <xf numFmtId="167" fontId="111" fillId="32" borderId="50" applyAlignment="1" pivotButton="0" quotePrefix="0" xfId="7">
      <alignment horizontal="center" vertical="center" wrapText="1"/>
    </xf>
    <xf numFmtId="164" fontId="111" fillId="93" borderId="50" applyAlignment="1" pivotButton="0" quotePrefix="0" xfId="7">
      <alignment horizontal="right" vertical="center"/>
    </xf>
    <xf numFmtId="169" fontId="112" fillId="97" borderId="50" applyAlignment="1" pivotButton="0" quotePrefix="0" xfId="1">
      <alignment horizontal="center" vertical="center" wrapText="1"/>
    </xf>
    <xf numFmtId="169" fontId="112" fillId="32" borderId="27" applyAlignment="1" pivotButton="0" quotePrefix="0" xfId="1">
      <alignment horizontal="left" vertical="center"/>
    </xf>
    <xf numFmtId="164" fontId="113" fillId="92" borderId="68" applyAlignment="1" pivotButton="0" quotePrefix="0" xfId="5">
      <alignment horizontal="left" vertical="center"/>
    </xf>
    <xf numFmtId="169" fontId="114" fillId="32" borderId="68" pivotButton="0" quotePrefix="0" xfId="0"/>
    <xf numFmtId="0" fontId="111" fillId="92" borderId="50" applyAlignment="1" pivotButton="0" quotePrefix="0" xfId="7">
      <alignment horizontal="center" vertical="center"/>
    </xf>
    <xf numFmtId="165" fontId="111" fillId="32" borderId="50" applyAlignment="1" pivotButton="0" quotePrefix="0" xfId="7">
      <alignment horizontal="center" vertical="center" wrapText="1"/>
    </xf>
    <xf numFmtId="0" fontId="111" fillId="92" borderId="50" applyAlignment="1" pivotButton="0" quotePrefix="0" xfId="7">
      <alignment horizontal="left" vertical="center"/>
    </xf>
    <xf numFmtId="165" fontId="111" fillId="32" borderId="50" applyAlignment="1" pivotButton="0" quotePrefix="0" xfId="7">
      <alignment vertical="center"/>
    </xf>
    <xf numFmtId="165" fontId="111" fillId="32" borderId="50" pivotButton="0" quotePrefix="0" xfId="7"/>
    <xf numFmtId="0" fontId="111" fillId="32" borderId="50" pivotButton="0" quotePrefix="0" xfId="7"/>
    <xf numFmtId="169" fontId="111" fillId="32" borderId="50" pivotButton="0" quotePrefix="0" xfId="3"/>
    <xf numFmtId="0" fontId="115" fillId="32" borderId="50" pivotButton="0" quotePrefix="0" xfId="7"/>
    <xf numFmtId="165" fontId="111" fillId="32" borderId="50" applyAlignment="1" pivotButton="0" quotePrefix="0" xfId="7">
      <alignment vertical="center" wrapText="1"/>
    </xf>
    <xf numFmtId="0" fontId="115" fillId="0" borderId="28" applyAlignment="1" pivotButton="0" quotePrefix="0" xfId="0">
      <alignment vertical="center" wrapText="1"/>
    </xf>
    <xf numFmtId="0" fontId="89" fillId="32" borderId="50" pivotButton="0" quotePrefix="0" xfId="7"/>
    <xf numFmtId="169" fontId="115" fillId="32" borderId="0" pivotButton="0" quotePrefix="0" xfId="3"/>
    <xf numFmtId="169" fontId="115" fillId="32" borderId="0" applyAlignment="1" pivotButton="0" quotePrefix="0" xfId="3">
      <alignment vertical="center"/>
    </xf>
    <xf numFmtId="0" fontId="6" fillId="88" borderId="50" applyAlignment="1" pivotButton="0" quotePrefix="0" xfId="7">
      <alignment vertical="center"/>
    </xf>
    <xf numFmtId="0" fontId="7" fillId="0" borderId="50" applyAlignment="1" pivotButton="0" quotePrefix="0" xfId="7">
      <alignment vertical="center"/>
    </xf>
    <xf numFmtId="4" fontId="7" fillId="0" borderId="50" applyAlignment="1" pivotButton="0" quotePrefix="0" xfId="7">
      <alignment vertical="center"/>
    </xf>
    <xf numFmtId="169" fontId="7" fillId="0" borderId="50" applyAlignment="1" pivotButton="0" quotePrefix="0" xfId="3">
      <alignment vertical="center"/>
    </xf>
    <xf numFmtId="165" fontId="37" fillId="0" borderId="50" applyAlignment="1" pivotButton="0" quotePrefix="0" xfId="7">
      <alignment horizontal="right" vertical="center" wrapText="1"/>
    </xf>
    <xf numFmtId="3" fontId="7" fillId="0" borderId="50" applyAlignment="1" pivotButton="0" quotePrefix="0" xfId="7">
      <alignment horizontal="right" vertical="center" wrapText="1"/>
    </xf>
    <xf numFmtId="3" fontId="7" fillId="0" borderId="50" applyAlignment="1" pivotButton="0" quotePrefix="0" xfId="7">
      <alignment horizontal="right" vertical="center"/>
    </xf>
    <xf numFmtId="164" fontId="103" fillId="0" borderId="50" applyAlignment="1" pivotButton="0" quotePrefix="0" xfId="5">
      <alignment horizontal="left" vertical="center"/>
    </xf>
    <xf numFmtId="0" fontId="37" fillId="0" borderId="50" applyAlignment="1" pivotButton="0" quotePrefix="0" xfId="7">
      <alignment horizontal="left" vertical="center"/>
    </xf>
    <xf numFmtId="165" fontId="37" fillId="0" borderId="50" pivotButton="0" quotePrefix="0" xfId="7"/>
    <xf numFmtId="0" fontId="37" fillId="0" borderId="50" pivotButton="0" quotePrefix="0" xfId="7"/>
    <xf numFmtId="169" fontId="37" fillId="0" borderId="50" pivotButton="0" quotePrefix="0" xfId="3"/>
    <xf numFmtId="0" fontId="33" fillId="0" borderId="50" pivotButton="0" quotePrefix="0" xfId="7"/>
    <xf numFmtId="169" fontId="33" fillId="0" borderId="0" pivotButton="0" quotePrefix="0" xfId="3"/>
    <xf numFmtId="169" fontId="33" fillId="0" borderId="0" applyAlignment="1" pivotButton="0" quotePrefix="0" xfId="3">
      <alignment vertical="center"/>
    </xf>
    <xf numFmtId="0" fontId="39" fillId="54" borderId="50" applyAlignment="1" pivotButton="0" quotePrefix="0" xfId="7">
      <alignment horizontal="center" vertical="center" wrapText="1"/>
    </xf>
    <xf numFmtId="168" fontId="102" fillId="0" borderId="50" applyAlignment="1" pivotButton="0" quotePrefix="0" xfId="7">
      <alignment horizontal="center" vertical="center"/>
    </xf>
    <xf numFmtId="0" fontId="101" fillId="81" borderId="50" applyAlignment="1" pivotButton="0" quotePrefix="0" xfId="7">
      <alignment vertical="center"/>
    </xf>
    <xf numFmtId="3" fontId="101" fillId="17" borderId="60" applyAlignment="1" pivotButton="0" quotePrefix="0" xfId="7">
      <alignment vertical="center"/>
    </xf>
    <xf numFmtId="14" fontId="102" fillId="14" borderId="50" applyAlignment="1" pivotButton="0" quotePrefix="0" xfId="7">
      <alignment horizontal="left" vertical="center"/>
    </xf>
    <xf numFmtId="165" fontId="102" fillId="14" borderId="50" applyAlignment="1" pivotButton="0" quotePrefix="0" xfId="7">
      <alignment horizontal="left" vertical="center"/>
    </xf>
    <xf numFmtId="165" fontId="102" fillId="23" borderId="50" applyAlignment="1" pivotButton="0" quotePrefix="0" xfId="7">
      <alignment horizontal="center" vertical="center" wrapText="1"/>
    </xf>
    <xf numFmtId="181" fontId="102" fillId="23" borderId="50" applyAlignment="1" pivotButton="0" quotePrefix="0" xfId="1">
      <alignment horizontal="center" vertical="center" wrapText="1"/>
    </xf>
    <xf numFmtId="165" fontId="102" fillId="98" borderId="50" applyAlignment="1" pivotButton="0" quotePrefix="0" xfId="7">
      <alignment horizontal="center" vertical="center" wrapText="1"/>
    </xf>
    <xf numFmtId="0" fontId="102" fillId="12" borderId="50" applyAlignment="1" pivotButton="0" quotePrefix="0" xfId="7">
      <alignment vertical="center"/>
    </xf>
    <xf numFmtId="169" fontId="102" fillId="12" borderId="50" applyAlignment="1" pivotButton="0" quotePrefix="0" xfId="3">
      <alignment vertical="center"/>
    </xf>
    <xf numFmtId="165" fontId="102" fillId="14" borderId="50" applyAlignment="1" pivotButton="0" quotePrefix="0" xfId="7">
      <alignment horizontal="right" vertical="center" wrapText="1"/>
    </xf>
    <xf numFmtId="167" fontId="102" fillId="4" borderId="60" applyAlignment="1" pivotButton="0" quotePrefix="0" xfId="7">
      <alignment horizontal="right" vertical="center"/>
    </xf>
    <xf numFmtId="181" fontId="102" fillId="59" borderId="50" applyAlignment="1" pivotButton="0" quotePrefix="0" xfId="1">
      <alignment horizontal="left" vertical="center" wrapText="1" indent="3"/>
    </xf>
    <xf numFmtId="169" fontId="102" fillId="59" borderId="50" applyAlignment="1" pivotButton="0" quotePrefix="0" xfId="1">
      <alignment horizontal="center" vertical="center" wrapText="1"/>
    </xf>
    <xf numFmtId="181" fontId="102" fillId="59" borderId="50" applyAlignment="1" pivotButton="0" quotePrefix="0" xfId="1">
      <alignment horizontal="center" vertical="center" wrapText="1"/>
    </xf>
    <xf numFmtId="3" fontId="102" fillId="12" borderId="50" applyAlignment="1" pivotButton="0" quotePrefix="0" xfId="7">
      <alignment horizontal="right" vertical="center" wrapText="1"/>
    </xf>
    <xf numFmtId="167" fontId="102" fillId="12" borderId="50" applyAlignment="1" pivotButton="0" quotePrefix="0" xfId="7">
      <alignment horizontal="right" vertical="center"/>
    </xf>
    <xf numFmtId="3" fontId="102" fillId="14" borderId="50" applyAlignment="1" pivotButton="0" quotePrefix="0" xfId="7">
      <alignment horizontal="right" vertical="center"/>
    </xf>
    <xf numFmtId="167" fontId="102" fillId="86" borderId="50" applyAlignment="1" pivotButton="0" quotePrefix="0" xfId="7">
      <alignment horizontal="right" vertical="center"/>
    </xf>
    <xf numFmtId="167" fontId="102" fillId="71" borderId="50" applyAlignment="1" pivotButton="0" quotePrefix="0" xfId="7">
      <alignment horizontal="right" vertical="center"/>
    </xf>
    <xf numFmtId="3" fontId="102" fillId="87" borderId="50" applyAlignment="1" pivotButton="0" quotePrefix="0" xfId="7">
      <alignment vertical="center"/>
    </xf>
    <xf numFmtId="164" fontId="102" fillId="29" borderId="50" applyAlignment="1" pivotButton="0" quotePrefix="0" xfId="7">
      <alignment horizontal="right" vertical="center"/>
    </xf>
    <xf numFmtId="164" fontId="103" fillId="4" borderId="50" applyAlignment="1" pivotButton="0" quotePrefix="0" xfId="2">
      <alignment horizontal="left" vertical="center"/>
    </xf>
    <xf numFmtId="0" fontId="102" fillId="14" borderId="50" applyAlignment="1" pivotButton="0" quotePrefix="0" xfId="7">
      <alignment horizontal="left" vertical="center"/>
    </xf>
    <xf numFmtId="165" fontId="102" fillId="12" borderId="50" applyAlignment="1" pivotButton="0" quotePrefix="0" xfId="7">
      <alignment vertical="center"/>
    </xf>
    <xf numFmtId="165" fontId="102" fillId="12" borderId="50" pivotButton="0" quotePrefix="0" xfId="7"/>
    <xf numFmtId="0" fontId="102" fillId="12" borderId="50" pivotButton="0" quotePrefix="0" xfId="7"/>
    <xf numFmtId="169" fontId="102" fillId="12" borderId="50" pivotButton="0" quotePrefix="0" xfId="3"/>
    <xf numFmtId="169" fontId="102" fillId="12" borderId="50" pivotButton="0" quotePrefix="0" xfId="7"/>
    <xf numFmtId="0" fontId="86" fillId="12" borderId="50" pivotButton="0" quotePrefix="0" xfId="7"/>
    <xf numFmtId="0" fontId="86" fillId="0" borderId="50" applyAlignment="1" pivotButton="0" quotePrefix="0" xfId="7">
      <alignment vertical="center" wrapText="1"/>
    </xf>
    <xf numFmtId="169" fontId="86" fillId="0" borderId="0" pivotButton="0" quotePrefix="0" xfId="3"/>
    <xf numFmtId="169" fontId="86" fillId="12" borderId="0" applyAlignment="1" pivotButton="0" quotePrefix="0" xfId="3">
      <alignment vertical="center"/>
    </xf>
    <xf numFmtId="3" fontId="6" fillId="80" borderId="60" applyAlignment="1" pivotButton="0" quotePrefix="0" xfId="7">
      <alignment vertical="center"/>
    </xf>
    <xf numFmtId="164" fontId="116" fillId="4" borderId="50" applyAlignment="1" pivotButton="0" quotePrefix="0" xfId="5">
      <alignment horizontal="left" vertical="center"/>
    </xf>
    <xf numFmtId="165" fontId="102" fillId="0" borderId="50" applyAlignment="1" pivotButton="0" quotePrefix="0" xfId="7">
      <alignment vertical="center" wrapText="1"/>
    </xf>
    <xf numFmtId="0" fontId="84" fillId="12" borderId="50" pivotButton="0" quotePrefix="0" xfId="7"/>
    <xf numFmtId="0" fontId="8" fillId="32" borderId="50" applyAlignment="1" pivotButton="0" quotePrefix="0" xfId="7">
      <alignment horizontal="center" vertical="center" wrapText="1"/>
    </xf>
    <xf numFmtId="168" fontId="7" fillId="32" borderId="50" applyAlignment="1" pivotButton="0" quotePrefix="0" xfId="7">
      <alignment horizontal="center" vertical="center"/>
    </xf>
    <xf numFmtId="3" fontId="6" fillId="91" borderId="60" applyAlignment="1" pivotButton="0" quotePrefix="0" xfId="7">
      <alignment vertical="center"/>
    </xf>
    <xf numFmtId="0" fontId="105" fillId="32" borderId="50" applyAlignment="1" pivotButton="0" quotePrefix="0" xfId="7">
      <alignment horizontal="center" vertical="center" wrapText="1"/>
    </xf>
    <xf numFmtId="4" fontId="7" fillId="32" borderId="50" applyAlignment="1" pivotButton="0" quotePrefix="0" xfId="7">
      <alignment vertical="center"/>
    </xf>
    <xf numFmtId="3" fontId="107" fillId="97" borderId="50" applyAlignment="1" pivotButton="0" quotePrefix="0" xfId="7">
      <alignment horizontal="right" vertical="center"/>
    </xf>
    <xf numFmtId="3" fontId="8" fillId="92" borderId="50" applyAlignment="1" pivotButton="0" quotePrefix="0" xfId="7">
      <alignment horizontal="right" vertical="center"/>
    </xf>
    <xf numFmtId="167" fontId="8" fillId="32" borderId="50" applyAlignment="1" pivotButton="0" quotePrefix="0" xfId="7">
      <alignment horizontal="right" vertical="center"/>
    </xf>
    <xf numFmtId="167" fontId="5" fillId="92" borderId="50" applyAlignment="1" pivotButton="0" quotePrefix="0" xfId="7">
      <alignment horizontal="right" vertical="center"/>
    </xf>
    <xf numFmtId="167" fontId="8" fillId="32" borderId="50" applyAlignment="1" pivotButton="0" quotePrefix="0" xfId="0">
      <alignment horizontal="right" vertical="center"/>
    </xf>
    <xf numFmtId="3" fontId="7" fillId="92" borderId="50" applyAlignment="1" pivotButton="0" quotePrefix="0" xfId="7">
      <alignment horizontal="right" vertical="center"/>
    </xf>
    <xf numFmtId="167" fontId="8" fillId="95" borderId="50" applyAlignment="1" pivotButton="0" quotePrefix="0" xfId="0">
      <alignment horizontal="right" vertical="center"/>
    </xf>
    <xf numFmtId="167" fontId="7" fillId="32" borderId="50" applyAlignment="1" pivotButton="0" quotePrefix="0" xfId="0">
      <alignment horizontal="right" vertical="center"/>
    </xf>
    <xf numFmtId="165" fontId="102" fillId="92" borderId="50" applyAlignment="1" pivotButton="0" quotePrefix="0" xfId="7">
      <alignment horizontal="center" vertical="center" wrapText="1"/>
    </xf>
    <xf numFmtId="167" fontId="14" fillId="32" borderId="50" applyAlignment="1" pivotButton="0" quotePrefix="0" xfId="7">
      <alignment horizontal="center" vertical="center" wrapText="1"/>
    </xf>
    <xf numFmtId="164" fontId="10" fillId="93" borderId="50" applyAlignment="1" pivotButton="0" quotePrefix="0" xfId="0">
      <alignment horizontal="right" vertical="center"/>
    </xf>
    <xf numFmtId="164" fontId="110" fillId="92" borderId="50" applyAlignment="1" pivotButton="0" quotePrefix="0" xfId="2">
      <alignment horizontal="left" vertical="center"/>
    </xf>
    <xf numFmtId="169" fontId="33" fillId="32" borderId="50" pivotButton="0" quotePrefix="0" xfId="0"/>
    <xf numFmtId="0" fontId="33" fillId="32" borderId="50" pivotButton="0" quotePrefix="0" xfId="7"/>
    <xf numFmtId="165" fontId="7" fillId="32" borderId="50" applyAlignment="1" pivotButton="0" quotePrefix="0" xfId="7">
      <alignment vertical="center" wrapText="1"/>
    </xf>
    <xf numFmtId="0" fontId="85" fillId="32" borderId="50" pivotButton="0" quotePrefix="0" xfId="7"/>
    <xf numFmtId="169" fontId="33" fillId="32" borderId="0" pivotButton="0" quotePrefix="0" xfId="3"/>
    <xf numFmtId="169" fontId="33" fillId="32" borderId="0" applyAlignment="1" pivotButton="0" quotePrefix="0" xfId="3">
      <alignment vertical="center"/>
    </xf>
    <xf numFmtId="169" fontId="37" fillId="0" borderId="50" pivotButton="0" quotePrefix="0" xfId="7"/>
    <xf numFmtId="167" fontId="7" fillId="0" borderId="50" applyAlignment="1" pivotButton="0" quotePrefix="0" xfId="7">
      <alignment horizontal="right" vertical="center"/>
    </xf>
    <xf numFmtId="164" fontId="96" fillId="0" borderId="50" applyAlignment="1" pivotButton="0" quotePrefix="0" xfId="7">
      <alignment horizontal="right" vertical="center"/>
    </xf>
    <xf numFmtId="169" fontId="37" fillId="0" borderId="50" applyAlignment="1" pivotButton="0" quotePrefix="0" xfId="7">
      <alignment vertical="center"/>
    </xf>
    <xf numFmtId="181" fontId="37" fillId="32" borderId="50" applyAlignment="1" pivotButton="0" quotePrefix="0" xfId="1">
      <alignment horizontal="center" vertical="center" wrapText="1"/>
    </xf>
    <xf numFmtId="0" fontId="7" fillId="12" borderId="50" applyAlignment="1" pivotButton="0" quotePrefix="0" xfId="7">
      <alignment horizontal="center" vertical="center" wrapText="1"/>
    </xf>
    <xf numFmtId="165" fontId="102" fillId="33" borderId="50" applyAlignment="1" pivotButton="0" quotePrefix="0" xfId="7">
      <alignment horizontal="center" vertical="center" wrapText="1"/>
    </xf>
    <xf numFmtId="181" fontId="7" fillId="12" borderId="50" applyAlignment="1" pivotButton="0" quotePrefix="0" xfId="1">
      <alignment horizontal="center" vertical="center" wrapText="1"/>
    </xf>
    <xf numFmtId="3" fontId="6" fillId="81" borderId="60" applyAlignment="1" pivotButton="0" quotePrefix="0" xfId="7">
      <alignment vertical="center"/>
    </xf>
    <xf numFmtId="167" fontId="8" fillId="14" borderId="50" applyAlignment="1" pivotButton="0" quotePrefix="0" xfId="7">
      <alignment horizontal="right" vertical="center"/>
    </xf>
    <xf numFmtId="0" fontId="37" fillId="12" borderId="50" applyAlignment="1" pivotButton="0" quotePrefix="0" xfId="7">
      <alignment horizontal="center" vertical="center" wrapText="1"/>
    </xf>
    <xf numFmtId="167" fontId="102" fillId="29" borderId="50" applyAlignment="1" pivotButton="0" quotePrefix="0" xfId="7">
      <alignment horizontal="right" vertical="center"/>
    </xf>
    <xf numFmtId="3" fontId="101" fillId="81" borderId="60" applyAlignment="1" pivotButton="0" quotePrefix="0" xfId="7">
      <alignment vertical="center"/>
    </xf>
    <xf numFmtId="4" fontId="102" fillId="12" borderId="50" applyAlignment="1" pivotButton="0" quotePrefix="0" xfId="7">
      <alignment vertical="center"/>
    </xf>
    <xf numFmtId="166" fontId="102" fillId="0" borderId="50" applyAlignment="1" pivotButton="0" quotePrefix="0" xfId="7">
      <alignment horizontal="right" vertical="center" wrapText="1"/>
    </xf>
    <xf numFmtId="167" fontId="101" fillId="4" borderId="50" applyAlignment="1" pivotButton="0" quotePrefix="0" xfId="7">
      <alignment horizontal="right" vertical="center"/>
    </xf>
    <xf numFmtId="167" fontId="102" fillId="9" borderId="50" applyAlignment="1" pivotButton="0" quotePrefix="0" xfId="7">
      <alignment horizontal="right" vertical="center"/>
    </xf>
    <xf numFmtId="0" fontId="101" fillId="17" borderId="60" applyAlignment="1" pivotButton="0" quotePrefix="0" xfId="7">
      <alignment vertical="center"/>
    </xf>
    <xf numFmtId="0" fontId="74" fillId="9" borderId="0" applyAlignment="1" pivotButton="0" quotePrefix="0" xfId="11">
      <alignment horizontal="left" vertical="center"/>
    </xf>
    <xf numFmtId="181" fontId="37" fillId="89" borderId="50" applyAlignment="1" pivotButton="0" quotePrefix="0" xfId="1">
      <alignment horizontal="center" vertical="center" wrapText="1"/>
    </xf>
    <xf numFmtId="3" fontId="6" fillId="99" borderId="60" applyAlignment="1" pivotButton="0" quotePrefix="0" xfId="7">
      <alignment vertical="center"/>
    </xf>
    <xf numFmtId="181" fontId="102" fillId="9" borderId="50" applyAlignment="1" pivotButton="0" quotePrefix="0" xfId="1">
      <alignment horizontal="center" vertical="center" wrapText="1"/>
    </xf>
    <xf numFmtId="0" fontId="7" fillId="9" borderId="50" applyAlignment="1" pivotButton="0" quotePrefix="0" xfId="7">
      <alignment horizontal="center" vertical="center" wrapText="1"/>
    </xf>
    <xf numFmtId="3" fontId="6" fillId="17" borderId="60" applyAlignment="1" pivotButton="0" quotePrefix="0" xfId="7">
      <alignment horizontal="left" vertical="center"/>
    </xf>
    <xf numFmtId="0" fontId="106" fillId="12" borderId="50" applyAlignment="1" pivotButton="0" quotePrefix="0" xfId="7">
      <alignment horizontal="center" vertical="center" wrapText="1"/>
    </xf>
    <xf numFmtId="3" fontId="8" fillId="24" borderId="50" applyAlignment="1" pivotButton="0" quotePrefix="0" xfId="7">
      <alignment vertical="center"/>
    </xf>
    <xf numFmtId="49" fontId="37" fillId="12" borderId="27" applyAlignment="1" pivotButton="0" quotePrefix="0" xfId="0">
      <alignment horizontal="left" vertical="center"/>
    </xf>
    <xf numFmtId="164" fontId="103" fillId="14" borderId="50" applyAlignment="1" pivotButton="0" quotePrefix="0" xfId="5">
      <alignment horizontal="left" vertical="center"/>
    </xf>
    <xf numFmtId="165" fontId="7" fillId="12" borderId="50" applyAlignment="1" pivotButton="0" quotePrefix="0" xfId="7">
      <alignment vertical="center" wrapText="1"/>
    </xf>
    <xf numFmtId="169" fontId="33" fillId="12" borderId="0" pivotButton="0" quotePrefix="0" xfId="3"/>
    <xf numFmtId="167" fontId="102" fillId="12" borderId="50" applyAlignment="1" pivotButton="0" quotePrefix="0" xfId="0">
      <alignment horizontal="right" vertical="center"/>
    </xf>
    <xf numFmtId="0" fontId="39" fillId="0" borderId="50" applyAlignment="1" pivotButton="0" quotePrefix="0" xfId="7">
      <alignment horizontal="center" vertical="center" wrapText="1"/>
    </xf>
    <xf numFmtId="0" fontId="102" fillId="12" borderId="50" applyAlignment="1" pivotButton="0" quotePrefix="0" xfId="7">
      <alignment horizontal="left" vertical="center" wrapText="1"/>
    </xf>
    <xf numFmtId="167" fontId="102" fillId="10" borderId="50" applyAlignment="1" pivotButton="0" quotePrefix="0" xfId="7">
      <alignment horizontal="right" vertical="center"/>
    </xf>
    <xf numFmtId="167" fontId="102" fillId="100" borderId="50" applyAlignment="1" pivotButton="0" quotePrefix="0" xfId="7">
      <alignment horizontal="right" vertical="center"/>
    </xf>
    <xf numFmtId="167" fontId="102" fillId="101" borderId="50" applyAlignment="1" pivotButton="0" quotePrefix="0" xfId="7">
      <alignment horizontal="right" vertical="center"/>
    </xf>
    <xf numFmtId="3" fontId="102" fillId="60" borderId="50" applyAlignment="1" pivotButton="0" quotePrefix="0" xfId="7">
      <alignment horizontal="right" vertical="center"/>
    </xf>
    <xf numFmtId="167" fontId="102" fillId="102" borderId="50" applyAlignment="1" pivotButton="0" quotePrefix="0" xfId="7">
      <alignment horizontal="right" vertical="center"/>
    </xf>
    <xf numFmtId="167" fontId="102" fillId="60" borderId="50" applyAlignment="1" pivotButton="0" quotePrefix="0" xfId="7">
      <alignment horizontal="right" vertical="center"/>
    </xf>
    <xf numFmtId="167" fontId="102" fillId="10" borderId="50" applyAlignment="1" pivotButton="0" quotePrefix="0" xfId="7">
      <alignment horizontal="center" vertical="center" wrapText="1"/>
    </xf>
    <xf numFmtId="3" fontId="102" fillId="28" borderId="50" applyAlignment="1" pivotButton="0" quotePrefix="0" xfId="7">
      <alignment vertical="center"/>
    </xf>
    <xf numFmtId="164" fontId="102" fillId="100" borderId="50" applyAlignment="1" pivotButton="0" quotePrefix="0" xfId="7">
      <alignment horizontal="right" vertical="center"/>
    </xf>
    <xf numFmtId="169" fontId="10" fillId="73" borderId="50" applyAlignment="1" pivotButton="0" quotePrefix="0" xfId="1">
      <alignment horizontal="center" vertical="center" wrapText="1"/>
    </xf>
    <xf numFmtId="164" fontId="116" fillId="60" borderId="50" applyAlignment="1" pivotButton="0" quotePrefix="0" xfId="5">
      <alignment horizontal="left" vertical="center"/>
    </xf>
    <xf numFmtId="165" fontId="102" fillId="60" borderId="50" applyAlignment="1" pivotButton="0" quotePrefix="0" xfId="7">
      <alignment horizontal="center" vertical="center" wrapText="1"/>
    </xf>
    <xf numFmtId="0" fontId="102" fillId="60" borderId="50" applyAlignment="1" pivotButton="0" quotePrefix="0" xfId="7">
      <alignment horizontal="center" vertical="center"/>
    </xf>
    <xf numFmtId="0" fontId="102" fillId="60" borderId="50" applyAlignment="1" pivotButton="0" quotePrefix="0" xfId="7">
      <alignment horizontal="left" vertical="center"/>
    </xf>
    <xf numFmtId="165" fontId="102" fillId="10" borderId="50" applyAlignment="1" pivotButton="0" quotePrefix="0" xfId="7">
      <alignment vertical="center"/>
    </xf>
    <xf numFmtId="165" fontId="102" fillId="10" borderId="50" pivotButton="0" quotePrefix="0" xfId="7"/>
    <xf numFmtId="0" fontId="102" fillId="10" borderId="50" pivotButton="0" quotePrefix="0" xfId="7"/>
    <xf numFmtId="169" fontId="102" fillId="10" borderId="50" pivotButton="0" quotePrefix="0" xfId="3"/>
    <xf numFmtId="169" fontId="102" fillId="10" borderId="50" pivotButton="0" quotePrefix="0" xfId="7"/>
    <xf numFmtId="0" fontId="86" fillId="10" borderId="50" pivotButton="0" quotePrefix="0" xfId="7"/>
    <xf numFmtId="165" fontId="102" fillId="10" borderId="50" applyAlignment="1" pivotButton="0" quotePrefix="0" xfId="7">
      <alignment vertical="center" wrapText="1"/>
    </xf>
    <xf numFmtId="0" fontId="84" fillId="10" borderId="50" pivotButton="0" quotePrefix="0" xfId="7"/>
    <xf numFmtId="0" fontId="85" fillId="12" borderId="68" pivotButton="0" quotePrefix="0" xfId="7"/>
    <xf numFmtId="3" fontId="7" fillId="14" borderId="68" applyAlignment="1" pivotButton="0" quotePrefix="0" xfId="7">
      <alignment horizontal="right" vertical="center"/>
    </xf>
    <xf numFmtId="169" fontId="8" fillId="0" borderId="50" applyAlignment="1" pivotButton="0" quotePrefix="0" xfId="3">
      <alignment vertical="center"/>
    </xf>
    <xf numFmtId="169" fontId="37" fillId="9" borderId="50" pivotButton="0" quotePrefix="0" xfId="7"/>
    <xf numFmtId="167" fontId="102" fillId="0" borderId="50" applyAlignment="1" pivotButton="0" quotePrefix="0" xfId="7">
      <alignment horizontal="center" vertical="center" wrapText="1"/>
    </xf>
    <xf numFmtId="0" fontId="107" fillId="17" borderId="50" applyAlignment="1" pivotButton="0" quotePrefix="0" xfId="7">
      <alignment vertical="center"/>
    </xf>
    <xf numFmtId="3" fontId="107" fillId="17" borderId="50" applyAlignment="1" pivotButton="0" quotePrefix="0" xfId="7">
      <alignment vertical="center"/>
    </xf>
    <xf numFmtId="0" fontId="107" fillId="12" borderId="50" applyAlignment="1" pivotButton="0" quotePrefix="0" xfId="7">
      <alignment horizontal="center" vertical="center" wrapText="1"/>
    </xf>
    <xf numFmtId="0" fontId="107" fillId="0" borderId="50" applyAlignment="1" pivotButton="0" quotePrefix="0" xfId="7">
      <alignment horizontal="center" vertical="center" wrapText="1"/>
    </xf>
    <xf numFmtId="14" fontId="107" fillId="14" borderId="50" applyAlignment="1" pivotButton="0" quotePrefix="0" xfId="7">
      <alignment horizontal="left" vertical="center"/>
    </xf>
    <xf numFmtId="165" fontId="107" fillId="14" borderId="50" applyAlignment="1" pivotButton="0" quotePrefix="0" xfId="7">
      <alignment horizontal="left" vertical="center"/>
    </xf>
    <xf numFmtId="3" fontId="6" fillId="103" borderId="60" applyAlignment="1" pivotButton="0" quotePrefix="0" xfId="7">
      <alignment vertical="center"/>
    </xf>
    <xf numFmtId="167" fontId="5" fillId="0" borderId="50" applyAlignment="1" pivotButton="0" quotePrefix="0" xfId="7">
      <alignment horizontal="right" vertical="center"/>
    </xf>
    <xf numFmtId="0" fontId="117" fillId="54" borderId="50" applyAlignment="1" pivotButton="0" quotePrefix="0" xfId="7">
      <alignment horizontal="center" vertical="center" wrapText="1"/>
    </xf>
    <xf numFmtId="3" fontId="101" fillId="103" borderId="60" applyAlignment="1" pivotButton="0" quotePrefix="0" xfId="7">
      <alignment vertical="center"/>
    </xf>
    <xf numFmtId="165" fontId="102" fillId="0" borderId="50" applyAlignment="1" pivotButton="0" quotePrefix="0" xfId="7">
      <alignment horizontal="center" vertical="center" wrapText="1"/>
    </xf>
    <xf numFmtId="181" fontId="102" fillId="0" borderId="50" applyAlignment="1" pivotButton="0" quotePrefix="0" xfId="1">
      <alignment horizontal="center" vertical="center" wrapText="1"/>
    </xf>
    <xf numFmtId="169" fontId="102" fillId="66" borderId="50" applyAlignment="1" pivotButton="0" quotePrefix="0" xfId="1">
      <alignment horizontal="center" vertical="center" wrapText="1"/>
    </xf>
    <xf numFmtId="169" fontId="102" fillId="9" borderId="50" applyAlignment="1" pivotButton="0" quotePrefix="0" xfId="1">
      <alignment horizontal="center" vertical="center" wrapText="1"/>
    </xf>
    <xf numFmtId="0" fontId="8" fillId="12" borderId="50" applyAlignment="1" pivotButton="0" quotePrefix="0" xfId="7">
      <alignment horizontal="left" vertical="center" wrapText="1"/>
    </xf>
    <xf numFmtId="0" fontId="5" fillId="88" borderId="50" applyAlignment="1" pivotButton="0" quotePrefix="0" xfId="7">
      <alignment vertical="center" wrapText="1"/>
    </xf>
    <xf numFmtId="0" fontId="5" fillId="10" borderId="50" applyAlignment="1" pivotButton="0" quotePrefix="0" xfId="7">
      <alignment vertical="center" wrapText="1"/>
    </xf>
    <xf numFmtId="0" fontId="105" fillId="10" borderId="50" applyAlignment="1" pivotButton="0" quotePrefix="0" xfId="7">
      <alignment horizontal="center" vertical="center" wrapText="1"/>
    </xf>
    <xf numFmtId="0" fontId="85" fillId="0" borderId="50" pivotButton="0" quotePrefix="0" xfId="7"/>
    <xf numFmtId="0" fontId="119" fillId="54" borderId="50" applyAlignment="1" pivotButton="0" quotePrefix="0" xfId="7">
      <alignment horizontal="center" vertical="center" wrapText="1"/>
    </xf>
    <xf numFmtId="0" fontId="43" fillId="54" borderId="50" applyAlignment="1" pivotButton="0" quotePrefix="0" xfId="7">
      <alignment horizontal="left" vertical="center" wrapText="1"/>
    </xf>
    <xf numFmtId="169" fontId="37" fillId="89" borderId="50" applyAlignment="1" pivotButton="0" quotePrefix="0" xfId="1">
      <alignment horizontal="center" vertical="center" wrapText="1"/>
    </xf>
    <xf numFmtId="165" fontId="102" fillId="12" borderId="50" applyAlignment="1" pivotButton="0" quotePrefix="0" xfId="7">
      <alignment horizontal="center" vertical="center" wrapText="1"/>
    </xf>
    <xf numFmtId="181" fontId="102" fillId="12" borderId="50" applyAlignment="1" pivotButton="0" quotePrefix="0" xfId="1">
      <alignment horizontal="center" vertical="center" wrapText="1"/>
    </xf>
    <xf numFmtId="169" fontId="96" fillId="29" borderId="50" applyAlignment="1" pivotButton="0" quotePrefix="0" xfId="1">
      <alignment horizontal="right" vertical="center"/>
    </xf>
    <xf numFmtId="3" fontId="8" fillId="14" borderId="50" applyAlignment="1" pivotButton="0" quotePrefix="0" xfId="7">
      <alignment horizontal="right" vertical="center"/>
    </xf>
    <xf numFmtId="169" fontId="102" fillId="29" borderId="50" applyAlignment="1" pivotButton="0" quotePrefix="0" xfId="1">
      <alignment horizontal="right" vertical="center"/>
    </xf>
    <xf numFmtId="0" fontId="43" fillId="12" borderId="50" applyAlignment="1" pivotButton="0" quotePrefix="0" xfId="7">
      <alignment horizontal="left" vertical="center" wrapText="1"/>
    </xf>
    <xf numFmtId="0" fontId="118" fillId="54" borderId="50" applyAlignment="1" pivotButton="0" quotePrefix="0" xfId="7">
      <alignment horizontal="center" vertical="center" wrapText="1"/>
    </xf>
    <xf numFmtId="3" fontId="101" fillId="80" borderId="60" applyAlignment="1" pivotButton="0" quotePrefix="0" xfId="7">
      <alignment vertical="center"/>
    </xf>
    <xf numFmtId="3" fontId="101" fillId="80" borderId="60" applyAlignment="1" pivotButton="0" quotePrefix="0" xfId="7">
      <alignment horizontal="left" vertical="center"/>
    </xf>
    <xf numFmtId="14" fontId="102" fillId="66" borderId="50" applyAlignment="1" pivotButton="0" quotePrefix="0" xfId="7">
      <alignment horizontal="left" vertical="center"/>
    </xf>
    <xf numFmtId="165" fontId="37" fillId="104" borderId="50" applyAlignment="1" pivotButton="0" quotePrefix="0" xfId="7">
      <alignment horizontal="center" vertical="center" wrapText="1"/>
    </xf>
    <xf numFmtId="0" fontId="8" fillId="12" borderId="0" applyAlignment="1" pivotButton="0" quotePrefix="0" xfId="7">
      <alignment horizontal="center" vertical="center" wrapText="1"/>
    </xf>
    <xf numFmtId="168" fontId="7" fillId="12" borderId="0" applyAlignment="1" pivotButton="0" quotePrefix="0" xfId="7">
      <alignment horizontal="center" vertical="center"/>
    </xf>
    <xf numFmtId="0" fontId="7" fillId="12" borderId="0" pivotButton="0" quotePrefix="0" xfId="7"/>
    <xf numFmtId="0" fontId="6" fillId="12" borderId="0" applyAlignment="1" pivotButton="0" quotePrefix="0" xfId="7">
      <alignment vertical="center" wrapText="1"/>
    </xf>
    <xf numFmtId="0" fontId="105" fillId="12" borderId="0" applyAlignment="1" pivotButton="0" quotePrefix="0" xfId="7">
      <alignment horizontal="center" vertical="center" wrapText="1"/>
    </xf>
    <xf numFmtId="0" fontId="119" fillId="12" borderId="0" applyAlignment="1" pivotButton="0" quotePrefix="0" xfId="7">
      <alignment horizontal="center" vertical="center" wrapText="1"/>
    </xf>
    <xf numFmtId="0" fontId="106" fillId="12" borderId="0" applyAlignment="1" pivotButton="0" quotePrefix="0" xfId="7">
      <alignment horizontal="center" vertical="center" wrapText="1"/>
    </xf>
    <xf numFmtId="165" fontId="37" fillId="14" borderId="0" applyAlignment="1" pivotButton="0" quotePrefix="0" xfId="7">
      <alignment vertical="center"/>
    </xf>
    <xf numFmtId="165" fontId="102" fillId="14" borderId="69" applyAlignment="1" pivotButton="0" quotePrefix="0" xfId="7">
      <alignment horizontal="center" vertical="center" wrapText="1"/>
    </xf>
    <xf numFmtId="165" fontId="37" fillId="14" borderId="69" applyAlignment="1" pivotButton="0" quotePrefix="0" xfId="7">
      <alignment horizontal="center" vertical="center" wrapText="1"/>
    </xf>
    <xf numFmtId="169" fontId="37" fillId="14" borderId="69" applyAlignment="1" pivotButton="0" quotePrefix="0" xfId="1">
      <alignment horizontal="center" vertical="center" wrapText="1"/>
    </xf>
    <xf numFmtId="3" fontId="8" fillId="14" borderId="0" applyAlignment="1" pivotButton="0" quotePrefix="0" xfId="7">
      <alignment horizontal="right" vertical="center"/>
    </xf>
    <xf numFmtId="165" fontId="120" fillId="14" borderId="0" applyAlignment="1" pivotButton="0" quotePrefix="0" xfId="5">
      <alignment vertical="center"/>
    </xf>
    <xf numFmtId="165" fontId="37" fillId="14" borderId="0" applyAlignment="1" pivotButton="0" quotePrefix="0" xfId="7">
      <alignment horizontal="center" vertical="center"/>
    </xf>
    <xf numFmtId="0" fontId="74" fillId="12" borderId="0" applyAlignment="1" pivotButton="0" quotePrefix="0" xfId="7">
      <alignment horizontal="center" vertical="center" wrapText="1"/>
    </xf>
    <xf numFmtId="165" fontId="37" fillId="12" borderId="0" applyAlignment="1" pivotButton="0" quotePrefix="0" xfId="7">
      <alignment vertical="center"/>
    </xf>
    <xf numFmtId="165" fontId="37" fillId="12" borderId="0" pivotButton="0" quotePrefix="0" xfId="7"/>
    <xf numFmtId="0" fontId="37" fillId="12" borderId="0" pivotButton="0" quotePrefix="0" xfId="7"/>
    <xf numFmtId="169" fontId="37" fillId="12" borderId="0" pivotButton="0" quotePrefix="0" xfId="3"/>
    <xf numFmtId="169" fontId="37" fillId="12" borderId="0" pivotButton="0" quotePrefix="0" xfId="7"/>
    <xf numFmtId="0" fontId="20" fillId="12" borderId="0" pivotButton="0" quotePrefix="0" xfId="7"/>
    <xf numFmtId="0" fontId="74" fillId="12" borderId="0" applyAlignment="1" pivotButton="0" quotePrefix="0" xfId="7">
      <alignment vertical="center" wrapText="1"/>
    </xf>
    <xf numFmtId="169" fontId="33" fillId="12" borderId="0" pivotButton="0" quotePrefix="0" xfId="3"/>
    <xf numFmtId="0" fontId="33" fillId="12" borderId="0" applyAlignment="1" pivotButton="0" quotePrefix="0" xfId="7">
      <alignment vertical="center"/>
    </xf>
    <xf numFmtId="0" fontId="121" fillId="12" borderId="0" pivotButton="0" quotePrefix="0" xfId="7"/>
    <xf numFmtId="0" fontId="122" fillId="12" borderId="0" pivotButton="0" quotePrefix="0" xfId="7"/>
    <xf numFmtId="169" fontId="86" fillId="12" borderId="0" pivotButton="0" quotePrefix="0" xfId="3"/>
    <xf numFmtId="169" fontId="33" fillId="12" borderId="0" pivotButton="0" quotePrefix="0" xfId="1"/>
    <xf numFmtId="0" fontId="33" fillId="12" borderId="0" applyAlignment="1" pivotButton="0" quotePrefix="0" xfId="7">
      <alignment horizontal="center"/>
    </xf>
    <xf numFmtId="169" fontId="86" fillId="12" borderId="0" pivotButton="0" quotePrefix="0" xfId="7"/>
    <xf numFmtId="169" fontId="33" fillId="12" borderId="0" pivotButton="0" quotePrefix="0" xfId="7"/>
    <xf numFmtId="167" fontId="33" fillId="12" borderId="0" pivotButton="0" quotePrefix="0" xfId="7"/>
    <xf numFmtId="169" fontId="84" fillId="12" borderId="0" pivotButton="0" quotePrefix="0" xfId="7"/>
    <xf numFmtId="182" fontId="33" fillId="12" borderId="0" pivotButton="0" quotePrefix="0" xfId="7"/>
    <xf numFmtId="181" fontId="33" fillId="12" borderId="0" pivotButton="0" quotePrefix="0" xfId="1"/>
    <xf numFmtId="2" fontId="33" fillId="12" borderId="0" pivotButton="0" quotePrefix="0" xfId="7"/>
    <xf numFmtId="0" fontId="121" fillId="0" borderId="0" pivotButton="0" quotePrefix="0" xfId="7"/>
    <xf numFmtId="0" fontId="122" fillId="0" borderId="0" pivotButton="0" quotePrefix="0" xfId="7"/>
    <xf numFmtId="17" fontId="33" fillId="0" borderId="0" pivotButton="0" quotePrefix="1" xfId="7"/>
    <xf numFmtId="0" fontId="33" fillId="0" borderId="0" pivotButton="0" quotePrefix="1" xfId="7"/>
    <xf numFmtId="165" fontId="37" fillId="14" borderId="50" applyAlignment="1" pivotButton="0" quotePrefix="1" xfId="7">
      <alignment horizontal="center" vertical="center"/>
    </xf>
    <xf numFmtId="14" fontId="104" fillId="14" borderId="50" applyAlignment="1" pivotButton="0" quotePrefix="1" xfId="7">
      <alignment horizontal="center" vertical="center"/>
    </xf>
    <xf numFmtId="14" fontId="37" fillId="14" borderId="50" applyAlignment="1" pivotButton="0" quotePrefix="1" xfId="7">
      <alignment horizontal="left" vertical="center"/>
    </xf>
    <xf numFmtId="165" fontId="37" fillId="14" borderId="50" applyAlignment="1" pivotButton="0" quotePrefix="1" xfId="7">
      <alignment horizontal="left" vertical="center"/>
    </xf>
    <xf numFmtId="14" fontId="37" fillId="0" borderId="50" applyAlignment="1" pivotButton="0" quotePrefix="1" xfId="7">
      <alignment horizontal="left" vertical="center"/>
    </xf>
    <xf numFmtId="14" fontId="37" fillId="92" borderId="50" applyAlignment="1" pivotButton="0" quotePrefix="1" xfId="7">
      <alignment horizontal="left" vertical="center"/>
    </xf>
    <xf numFmtId="14" fontId="37" fillId="14" borderId="50" applyAlignment="1" pivotButton="0" quotePrefix="1" xfId="7">
      <alignment horizontal="left" vertical="center" wrapText="1"/>
    </xf>
    <xf numFmtId="0" fontId="43" fillId="30" borderId="65" applyAlignment="1" pivotButton="0" quotePrefix="1" xfId="0">
      <alignment horizontal="right" vertical="center" wrapText="1"/>
    </xf>
    <xf numFmtId="0" fontId="102" fillId="12" borderId="50" applyAlignment="1" pivotButton="0" quotePrefix="1" xfId="7">
      <alignment horizontal="left" vertical="center" wrapText="1"/>
    </xf>
    <xf numFmtId="0" fontId="8" fillId="12" borderId="50" applyAlignment="1" pivotButton="0" quotePrefix="1" xfId="7">
      <alignment horizontal="left" vertical="center" wrapText="1"/>
    </xf>
    <xf numFmtId="165" fontId="37" fillId="0" borderId="50" applyAlignment="1" pivotButton="0" quotePrefix="1" xfId="7">
      <alignment horizontal="left" vertical="center"/>
    </xf>
    <xf numFmtId="0" fontId="43" fillId="12" borderId="50" applyAlignment="1" pivotButton="0" quotePrefix="1" xfId="7">
      <alignment horizontal="left" vertical="center" wrapText="1"/>
    </xf>
    <xf numFmtId="170" fontId="8" fillId="0" borderId="50" applyAlignment="1" pivotButton="0" quotePrefix="1" xfId="0">
      <alignment vertical="center" wrapText="1"/>
    </xf>
    <xf numFmtId="170" fontId="55" fillId="0" borderId="50" applyAlignment="1" pivotButton="0" quotePrefix="1" xfId="0">
      <alignment vertical="center" wrapText="1"/>
    </xf>
    <xf numFmtId="170" fontId="37" fillId="0" borderId="50" applyAlignment="1" pivotButton="0" quotePrefix="1" xfId="0">
      <alignment vertical="center" wrapText="1"/>
    </xf>
    <xf numFmtId="49" fontId="8" fillId="4" borderId="50" applyAlignment="1" pivotButton="0" quotePrefix="1" xfId="0">
      <alignment horizontal="left" vertical="center"/>
    </xf>
    <xf numFmtId="0" fontId="43" fillId="13" borderId="61" applyAlignment="1" pivotButton="0" quotePrefix="1" xfId="0">
      <alignment vertical="center" wrapText="1"/>
    </xf>
    <xf numFmtId="165" fontId="37" fillId="14" borderId="50" applyAlignment="1" pivotButton="0" quotePrefix="1" xfId="0">
      <alignment horizontal="left" vertical="center"/>
    </xf>
    <xf numFmtId="49" fontId="8" fillId="12" borderId="50" applyAlignment="1" pivotButton="0" quotePrefix="1" xfId="0">
      <alignment horizontal="left"/>
    </xf>
    <xf numFmtId="0" fontId="7" fillId="0" borderId="0" applyAlignment="1" pivotButton="0" quotePrefix="1" xfId="0">
      <alignment horizontal="left" vertical="center"/>
    </xf>
    <xf numFmtId="0" fontId="7" fillId="0" borderId="28" applyAlignment="1" pivotButton="0" quotePrefix="1" xfId="0">
      <alignment vertical="center" wrapText="1"/>
    </xf>
    <xf numFmtId="0" fontId="7" fillId="0" borderId="0" applyAlignment="1" pivotButton="0" quotePrefix="1" xfId="0">
      <alignment vertical="center"/>
    </xf>
    <xf numFmtId="0" fontId="8" fillId="0" borderId="0" applyAlignment="1" pivotButton="0" quotePrefix="1" xfId="0">
      <alignment horizontal="left" vertical="center"/>
    </xf>
    <xf numFmtId="0" fontId="8" fillId="0" borderId="0" applyAlignment="1" pivotButton="0" quotePrefix="1" xfId="0">
      <alignment vertical="center"/>
    </xf>
    <xf numFmtId="49" fontId="7" fillId="0" borderId="0" applyAlignment="1" pivotButton="0" quotePrefix="1" xfId="0">
      <alignment horizontal="left" vertical="center"/>
    </xf>
    <xf numFmtId="183" fontId="111" fillId="92" borderId="50" applyAlignment="1" pivotButton="0" quotePrefix="0" xfId="1">
      <alignment horizontal="left" vertical="center"/>
    </xf>
    <xf numFmtId="14" fontId="128" fillId="92" borderId="50" applyAlignment="1" pivotButton="0" quotePrefix="0" xfId="7">
      <alignment horizontal="left" vertical="center"/>
    </xf>
    <xf numFmtId="0" fontId="131" fillId="0" borderId="50" applyAlignment="1" pivotButton="0" quotePrefix="0" xfId="7">
      <alignment horizontal="center" vertical="center" wrapText="1"/>
    </xf>
    <xf numFmtId="0" fontId="132" fillId="12" borderId="50" applyAlignment="1" pivotButton="0" quotePrefix="0" xfId="7">
      <alignment horizontal="center" vertical="center" wrapText="1"/>
    </xf>
    <xf numFmtId="3" fontId="133" fillId="17" borderId="60" applyAlignment="1" pivotButton="0" quotePrefix="0" xfId="7">
      <alignment vertical="center"/>
    </xf>
    <xf numFmtId="0" fontId="131" fillId="9" borderId="50" applyAlignment="1" pivotButton="0" quotePrefix="0" xfId="7">
      <alignment horizontal="center" vertical="center" wrapText="1"/>
    </xf>
    <xf numFmtId="0" fontId="134" fillId="0" borderId="50" applyAlignment="1" pivotButton="0" quotePrefix="0" xfId="7">
      <alignment horizontal="center" vertical="center" wrapText="1"/>
    </xf>
    <xf numFmtId="0" fontId="135" fillId="12" borderId="0" pivotButton="0" quotePrefix="0" xfId="7"/>
    <xf numFmtId="0" fontId="136" fillId="0" borderId="50" applyAlignment="1" pivotButton="0" quotePrefix="0" xfId="7">
      <alignment horizontal="center" vertical="center" wrapText="1"/>
    </xf>
    <xf numFmtId="0" fontId="136" fillId="12" borderId="50" applyAlignment="1" pivotButton="0" quotePrefix="0" xfId="7">
      <alignment horizontal="center" vertical="center" wrapText="1"/>
    </xf>
    <xf numFmtId="3" fontId="102" fillId="14" borderId="50" applyAlignment="1" pivotButton="0" quotePrefix="0" xfId="7">
      <alignment horizontal="center" vertical="center" wrapText="1"/>
    </xf>
    <xf numFmtId="3" fontId="33" fillId="12" borderId="0" pivotButton="0" quotePrefix="0" xfId="7"/>
    <xf numFmtId="3" fontId="35" fillId="57" borderId="0" applyAlignment="1" pivotButton="0" quotePrefix="0" xfId="7">
      <alignment vertical="center"/>
    </xf>
    <xf numFmtId="3" fontId="6" fillId="58" borderId="0" applyAlignment="1" pivotButton="0" quotePrefix="0" xfId="7">
      <alignment vertical="center"/>
    </xf>
    <xf numFmtId="3" fontId="36" fillId="12" borderId="0" applyAlignment="1" pivotButton="0" quotePrefix="0" xfId="7">
      <alignment vertical="center"/>
    </xf>
    <xf numFmtId="3" fontId="6" fillId="7" borderId="50" applyAlignment="1" pivotButton="0" quotePrefix="0" xfId="7">
      <alignment horizontal="center" vertical="center" wrapText="1"/>
    </xf>
    <xf numFmtId="3" fontId="37" fillId="14" borderId="69" applyAlignment="1" pivotButton="0" quotePrefix="0" xfId="7">
      <alignment horizontal="center" vertical="center" wrapText="1"/>
    </xf>
    <xf numFmtId="3" fontId="33" fillId="12" borderId="0" pivotButton="0" quotePrefix="0" xfId="3"/>
    <xf numFmtId="3" fontId="33" fillId="0" borderId="0" pivotButton="0" quotePrefix="0" xfId="7"/>
    <xf numFmtId="0" fontId="137" fillId="10" borderId="69" applyAlignment="1" pivotButton="0" quotePrefix="0" xfId="7">
      <alignment horizontal="center" vertical="center" wrapText="1"/>
    </xf>
    <xf numFmtId="0" fontId="132" fillId="0" borderId="50" applyAlignment="1" pivotButton="0" quotePrefix="0" xfId="7">
      <alignment horizontal="center" vertical="center" wrapText="1"/>
    </xf>
    <xf numFmtId="2" fontId="6" fillId="27" borderId="0" applyAlignment="1" pivotButton="0" quotePrefix="0" xfId="7">
      <alignment horizontal="center" vertical="center"/>
    </xf>
    <xf numFmtId="2" fontId="67" fillId="0" borderId="0" applyAlignment="1" pivotButton="0" quotePrefix="0" xfId="0">
      <alignment horizontal="center" vertical="center"/>
    </xf>
    <xf numFmtId="2" fontId="36" fillId="3" borderId="50" applyAlignment="1" pivotButton="0" quotePrefix="0" xfId="7">
      <alignment horizontal="center" vertical="center" wrapText="1"/>
    </xf>
    <xf numFmtId="2" fontId="6" fillId="0" borderId="50" applyAlignment="1" pivotButton="0" quotePrefix="0" xfId="7">
      <alignment horizontal="center" vertical="center"/>
    </xf>
    <xf numFmtId="2" fontId="6" fillId="3" borderId="50" applyAlignment="1" pivotButton="0" quotePrefix="0" xfId="0">
      <alignment horizontal="center" vertical="center"/>
    </xf>
    <xf numFmtId="2" fontId="6" fillId="3" borderId="50" applyAlignment="1" pivotButton="0" quotePrefix="0" xfId="0">
      <alignment vertical="center"/>
    </xf>
    <xf numFmtId="2" fontId="102" fillId="66" borderId="50" applyAlignment="1" pivotButton="0" quotePrefix="0" xfId="1">
      <alignment horizontal="center" vertical="center" wrapText="1"/>
    </xf>
    <xf numFmtId="2" fontId="37" fillId="14" borderId="69" applyAlignment="1" pivotButton="0" quotePrefix="0" xfId="7">
      <alignment horizontal="center" vertical="center" wrapText="1"/>
    </xf>
    <xf numFmtId="2" fontId="33" fillId="12" borderId="0" pivotButton="0" quotePrefix="0" xfId="3"/>
    <xf numFmtId="2" fontId="33" fillId="0" borderId="0" pivotButton="0" quotePrefix="0" xfId="7"/>
    <xf numFmtId="2" fontId="134" fillId="59" borderId="50" applyAlignment="1" pivotButton="0" quotePrefix="0" xfId="7">
      <alignment horizontal="center" vertical="center" wrapText="1"/>
    </xf>
    <xf numFmtId="4" fontId="6" fillId="27" borderId="0" applyAlignment="1" pivotButton="0" quotePrefix="0" xfId="7">
      <alignment horizontal="center" vertical="center"/>
    </xf>
    <xf numFmtId="4" fontId="67" fillId="0" borderId="50" applyAlignment="1" pivotButton="0" quotePrefix="0" xfId="0">
      <alignment horizontal="center" vertical="center"/>
    </xf>
    <xf numFmtId="4" fontId="36" fillId="27" borderId="69" applyAlignment="1" pivotButton="0" quotePrefix="0" xfId="7">
      <alignment horizontal="center" vertical="center" wrapText="1"/>
    </xf>
    <xf numFmtId="4" fontId="6" fillId="0" borderId="50" applyAlignment="1" pivotButton="0" quotePrefix="0" xfId="7">
      <alignment horizontal="center" vertical="center"/>
    </xf>
    <xf numFmtId="4" fontId="6" fillId="3" borderId="50" applyAlignment="1" pivotButton="0" quotePrefix="0" xfId="0">
      <alignment horizontal="center" vertical="center"/>
    </xf>
    <xf numFmtId="4" fontId="6" fillId="3" borderId="50" applyAlignment="1" pivotButton="0" quotePrefix="0" xfId="0">
      <alignment vertical="center"/>
    </xf>
    <xf numFmtId="4" fontId="102" fillId="83" borderId="50" applyAlignment="1" pivotButton="0" quotePrefix="0" xfId="7">
      <alignment horizontal="center" vertical="center" wrapText="1"/>
    </xf>
    <xf numFmtId="4" fontId="37" fillId="33" borderId="50" applyAlignment="1" pivotButton="0" quotePrefix="0" xfId="7">
      <alignment horizontal="center" vertical="center" wrapText="1"/>
    </xf>
    <xf numFmtId="4" fontId="111" fillId="33" borderId="50" applyAlignment="1" pivotButton="0" quotePrefix="0" xfId="7">
      <alignment horizontal="center" vertical="center" wrapText="1"/>
    </xf>
    <xf numFmtId="4" fontId="37" fillId="59" borderId="50" applyAlignment="1" pivotButton="0" quotePrefix="0" xfId="1">
      <alignment horizontal="center" vertical="center" wrapText="1"/>
    </xf>
    <xf numFmtId="4" fontId="37" fillId="59" borderId="50" applyAlignment="1" pivotButton="0" quotePrefix="0" xfId="7">
      <alignment horizontal="center" vertical="center" wrapText="1"/>
    </xf>
    <xf numFmtId="4" fontId="102" fillId="59" borderId="50" applyAlignment="1" pivotButton="0" quotePrefix="0" xfId="7">
      <alignment horizontal="center" vertical="center" wrapText="1"/>
    </xf>
    <xf numFmtId="4" fontId="37" fillId="14" borderId="69" applyAlignment="1" pivotButton="0" quotePrefix="0" xfId="7">
      <alignment horizontal="center" vertical="center" wrapText="1"/>
    </xf>
    <xf numFmtId="4" fontId="33" fillId="12" borderId="0" pivotButton="0" quotePrefix="0" xfId="7"/>
    <xf numFmtId="4" fontId="33" fillId="0" borderId="0" pivotButton="0" quotePrefix="0" xfId="7"/>
    <xf numFmtId="167" fontId="8" fillId="27" borderId="50" applyAlignment="1" pivotButton="0" quotePrefix="0" xfId="7">
      <alignment horizontal="right" vertical="center"/>
    </xf>
    <xf numFmtId="165" fontId="134" fillId="14" borderId="50" applyAlignment="1" pivotButton="0" quotePrefix="0" xfId="7">
      <alignment horizontal="center" vertical="center"/>
    </xf>
    <xf numFmtId="3" fontId="8" fillId="105" borderId="50" applyAlignment="1" pivotButton="0" quotePrefix="0" xfId="7">
      <alignment horizontal="right" vertical="center"/>
    </xf>
    <xf numFmtId="166" fontId="138" fillId="14" borderId="50" applyAlignment="1" pivotButton="0" quotePrefix="0" xfId="7">
      <alignment horizontal="center" vertical="center" wrapText="1"/>
    </xf>
    <xf numFmtId="0" fontId="68" fillId="45" borderId="73" applyAlignment="1" pivotButton="0" quotePrefix="0" xfId="0">
      <alignment horizontal="center" vertical="center" wrapText="1"/>
    </xf>
    <xf numFmtId="0" fontId="68" fillId="45" borderId="74" applyAlignment="1" pivotButton="0" quotePrefix="0" xfId="0">
      <alignment horizontal="center" vertical="center" wrapText="1"/>
    </xf>
    <xf numFmtId="0" fontId="68" fillId="19" borderId="73" applyAlignment="1" pivotButton="0" quotePrefix="0" xfId="0">
      <alignment horizontal="center" vertical="center" wrapText="1"/>
    </xf>
    <xf numFmtId="0" fontId="68" fillId="19" borderId="75" applyAlignment="1" pivotButton="0" quotePrefix="0" xfId="0">
      <alignment horizontal="center" vertical="center" wrapText="1"/>
    </xf>
    <xf numFmtId="0" fontId="68" fillId="19" borderId="74" applyAlignment="1" pivotButton="0" quotePrefix="0" xfId="0">
      <alignment horizontal="center" vertical="center" wrapText="1"/>
    </xf>
    <xf numFmtId="0" fontId="69" fillId="46" borderId="73" applyAlignment="1" pivotButton="0" quotePrefix="0" xfId="0">
      <alignment horizontal="center" vertical="center" wrapText="1"/>
    </xf>
    <xf numFmtId="0" fontId="68" fillId="46" borderId="75" applyAlignment="1" pivotButton="0" quotePrefix="0" xfId="0">
      <alignment horizontal="center" vertical="center" wrapText="1"/>
    </xf>
    <xf numFmtId="0" fontId="68" fillId="46" borderId="74" applyAlignment="1" pivotButton="0" quotePrefix="0" xfId="0">
      <alignment horizontal="center" vertical="center" wrapText="1"/>
    </xf>
    <xf numFmtId="0" fontId="68" fillId="47" borderId="73" applyAlignment="1" pivotButton="0" quotePrefix="0" xfId="0">
      <alignment horizontal="center" vertical="center" wrapText="1"/>
    </xf>
    <xf numFmtId="0" fontId="68" fillId="47" borderId="75" applyAlignment="1" pivotButton="0" quotePrefix="0" xfId="0">
      <alignment horizontal="center" vertical="center" wrapText="1"/>
    </xf>
    <xf numFmtId="0" fontId="68" fillId="47" borderId="74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1" fillId="0" borderId="50" applyAlignment="1" pivotButton="0" quotePrefix="0" xfId="0">
      <alignment horizontal="center" vertical="center" wrapText="1"/>
    </xf>
    <xf numFmtId="0" fontId="2" fillId="0" borderId="50" pivotButton="0" quotePrefix="0" xfId="0"/>
    <xf numFmtId="0" fontId="5" fillId="0" borderId="67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4" fillId="0" borderId="55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52" applyAlignment="1" pivotButton="0" quotePrefix="0" xfId="0">
      <alignment horizontal="left" vertical="center" wrapText="1"/>
    </xf>
    <xf numFmtId="0" fontId="21" fillId="0" borderId="53" applyAlignment="1" pivotButton="0" quotePrefix="0" xfId="0">
      <alignment horizontal="center"/>
    </xf>
    <xf numFmtId="0" fontId="25" fillId="0" borderId="0" applyAlignment="1" pivotButton="0" quotePrefix="0" xfId="9">
      <alignment horizontal="center" vertical="center" wrapText="1"/>
    </xf>
    <xf numFmtId="0" fontId="25" fillId="10" borderId="0" applyAlignment="1" pivotButton="0" quotePrefix="0" xfId="9">
      <alignment horizontal="center" vertical="center" wrapText="1"/>
    </xf>
    <xf numFmtId="0" fontId="26" fillId="0" borderId="0" applyAlignment="1" pivotButton="0" quotePrefix="0" xfId="9">
      <alignment horizontal="center" vertical="center" wrapText="1"/>
    </xf>
    <xf numFmtId="0" fontId="26" fillId="10" borderId="0" applyAlignment="1" pivotButton="0" quotePrefix="0" xfId="9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18" fillId="0" borderId="35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3" pivotButton="0" quotePrefix="0" xfId="0"/>
    <xf numFmtId="0" fontId="15" fillId="4" borderId="30" applyAlignment="1" pivotButton="0" quotePrefix="0" xfId="0">
      <alignment horizontal="center" vertical="center" wrapText="1"/>
    </xf>
    <xf numFmtId="0" fontId="2" fillId="0" borderId="31" pivotButton="0" quotePrefix="0" xfId="0"/>
    <xf numFmtId="0" fontId="2" fillId="0" borderId="32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0" pivotButton="0" quotePrefix="0" xfId="0"/>
    <xf numFmtId="0" fontId="1" fillId="0" borderId="8" applyAlignment="1" pivotButton="0" quotePrefix="0" xfId="0">
      <alignment horizontal="center" vertical="center"/>
    </xf>
    <xf numFmtId="0" fontId="2" fillId="0" borderId="13" pivotButton="0" quotePrefix="0" xfId="0"/>
    <xf numFmtId="0" fontId="1" fillId="2" borderId="8" applyAlignment="1" pivotButton="0" quotePrefix="0" xfId="0">
      <alignment horizontal="center" vertical="center"/>
    </xf>
    <xf numFmtId="0" fontId="2" fillId="0" borderId="14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15" pivotButton="0" quotePrefix="0" xfId="0"/>
    <xf numFmtId="0" fontId="118" fillId="32" borderId="50" applyAlignment="1" pivotButton="0" quotePrefix="0" xfId="7">
      <alignment horizontal="center" vertical="center" wrapText="1"/>
    </xf>
    <xf numFmtId="165" fontId="102" fillId="32" borderId="50" applyAlignment="1" pivotButton="0" quotePrefix="0" xfId="7">
      <alignment horizontal="center" vertical="center" wrapText="1"/>
    </xf>
    <xf numFmtId="181" fontId="102" fillId="32" borderId="50" applyAlignment="1" pivotButton="0" quotePrefix="0" xfId="1">
      <alignment horizontal="center" vertical="center" wrapText="1"/>
    </xf>
    <xf numFmtId="0" fontId="102" fillId="32" borderId="50" applyAlignment="1" pivotButton="0" quotePrefix="0" xfId="7">
      <alignment horizontal="center" vertical="center" wrapText="1"/>
    </xf>
    <xf numFmtId="0" fontId="7" fillId="32" borderId="50" applyAlignment="1" pivotButton="0" quotePrefix="0" xfId="7">
      <alignment vertical="center"/>
    </xf>
    <xf numFmtId="169" fontId="7" fillId="32" borderId="50" applyAlignment="1" pivotButton="0" quotePrefix="0" xfId="3">
      <alignment vertical="center"/>
    </xf>
    <xf numFmtId="166" fontId="104" fillId="92" borderId="50" applyAlignment="1" pivotButton="0" quotePrefix="0" xfId="7">
      <alignment horizontal="center" vertical="center" wrapText="1"/>
    </xf>
    <xf numFmtId="3" fontId="8" fillId="32" borderId="50" applyAlignment="1" pivotButton="0" quotePrefix="0" xfId="7">
      <alignment horizontal="right" vertical="center"/>
    </xf>
    <xf numFmtId="169" fontId="102" fillId="92" borderId="50" applyAlignment="1" pivotButton="0" quotePrefix="0" xfId="1">
      <alignment horizontal="center" vertical="center" wrapText="1"/>
    </xf>
    <xf numFmtId="3" fontId="102" fillId="92" borderId="50" applyAlignment="1" pivotButton="0" quotePrefix="0" xfId="7">
      <alignment horizontal="center" vertical="center" wrapText="1"/>
    </xf>
    <xf numFmtId="3" fontId="7" fillId="32" borderId="50" applyAlignment="1" pivotButton="0" quotePrefix="0" xfId="7">
      <alignment horizontal="right" vertical="center" wrapText="1"/>
    </xf>
    <xf numFmtId="169" fontId="102" fillId="32" borderId="50" applyAlignment="1" pivotButton="0" quotePrefix="0" xfId="1">
      <alignment horizontal="center" vertical="center" wrapText="1"/>
    </xf>
    <xf numFmtId="167" fontId="101" fillId="106" borderId="50" applyAlignment="1" pivotButton="0" quotePrefix="0" xfId="7">
      <alignment horizontal="center" vertical="center"/>
    </xf>
    <xf numFmtId="167" fontId="102" fillId="32" borderId="50" applyAlignment="1" pivotButton="0" quotePrefix="0" xfId="7">
      <alignment horizontal="center" vertical="center"/>
    </xf>
    <xf numFmtId="167" fontId="102" fillId="93" borderId="50" applyAlignment="1" pivotButton="0" quotePrefix="0" xfId="7">
      <alignment horizontal="center" vertical="center"/>
    </xf>
    <xf numFmtId="49" fontId="37" fillId="32" borderId="27" applyAlignment="1" pivotButton="0" quotePrefix="0" xfId="0">
      <alignment horizontal="left" vertical="center"/>
    </xf>
    <xf numFmtId="164" fontId="103" fillId="92" borderId="50" applyAlignment="1" pivotButton="0" quotePrefix="0" xfId="5">
      <alignment horizontal="left" vertical="center"/>
    </xf>
    <xf numFmtId="181" fontId="37" fillId="92" borderId="50" applyAlignment="1" pivotButton="0" quotePrefix="0" xfId="1">
      <alignment horizontal="center" vertical="center" wrapText="1"/>
    </xf>
    <xf numFmtId="0" fontId="33" fillId="32" borderId="28" applyAlignment="1" pivotButton="0" quotePrefix="0" xfId="0">
      <alignment vertical="center" wrapText="1"/>
    </xf>
    <xf numFmtId="0" fontId="33" fillId="32" borderId="0" pivotButton="0" quotePrefix="0" xfId="7"/>
    <xf numFmtId="43" fontId="8" fillId="54" borderId="50" applyAlignment="1" pivotButton="0" quotePrefix="0" xfId="7">
      <alignment horizontal="center" vertical="center"/>
    </xf>
    <xf numFmtId="169" fontId="102" fillId="89" borderId="50" applyAlignment="1" pivotButton="0" quotePrefix="0" xfId="1">
      <alignment horizontal="center" vertical="center" wrapText="1"/>
    </xf>
    <xf numFmtId="166" fontId="104" fillId="89" borderId="50" applyAlignment="1" pivotButton="0" quotePrefix="0" xfId="7">
      <alignment horizontal="center" vertical="center" wrapText="1"/>
    </xf>
    <xf numFmtId="3" fontId="93" fillId="9" borderId="0" applyAlignment="1" pivotButton="0" quotePrefix="0" xfId="7">
      <alignment horizontal="center" vertical="center"/>
    </xf>
    <xf numFmtId="3" fontId="6" fillId="27" borderId="0" applyAlignment="1" pivotButton="0" quotePrefix="0" xfId="7">
      <alignment horizontal="center" vertical="center"/>
    </xf>
    <xf numFmtId="3" fontId="67" fillId="0" borderId="50" applyAlignment="1" pivotButton="0" quotePrefix="0" xfId="0">
      <alignment horizontal="center" vertical="center"/>
    </xf>
    <xf numFmtId="3" fontId="36" fillId="27" borderId="69" applyAlignment="1" pivotButton="0" quotePrefix="0" xfId="7">
      <alignment horizontal="center" vertical="center" wrapText="1"/>
    </xf>
    <xf numFmtId="3" fontId="102" fillId="83" borderId="50" applyAlignment="1" pivotButton="0" quotePrefix="0" xfId="7">
      <alignment horizontal="center" vertical="center" wrapText="1"/>
    </xf>
    <xf numFmtId="3" fontId="102" fillId="83" borderId="50" applyAlignment="1" pivotButton="0" quotePrefix="0" xfId="1">
      <alignment horizontal="center" vertical="center" wrapText="1"/>
    </xf>
    <xf numFmtId="3" fontId="37" fillId="89" borderId="50" applyAlignment="1" pivotButton="0" quotePrefix="0" xfId="7">
      <alignment horizontal="center" vertical="center" wrapText="1"/>
    </xf>
    <xf numFmtId="3" fontId="37" fillId="59" borderId="50" applyAlignment="1" pivotButton="0" quotePrefix="0" xfId="1">
      <alignment horizontal="center" vertical="center" wrapText="1"/>
    </xf>
    <xf numFmtId="3" fontId="37" fillId="33" borderId="50" applyAlignment="1" pivotButton="0" quotePrefix="0" xfId="1">
      <alignment horizontal="center" vertical="center" wrapText="1"/>
    </xf>
    <xf numFmtId="3" fontId="111" fillId="33" borderId="50" applyAlignment="1" pivotButton="0" quotePrefix="0" xfId="1">
      <alignment horizontal="center" vertical="center" wrapText="1"/>
    </xf>
    <xf numFmtId="3" fontId="102" fillId="59" borderId="50" applyAlignment="1" pivotButton="0" quotePrefix="0" xfId="1">
      <alignment horizontal="left" vertical="center" wrapText="1" indent="3"/>
    </xf>
    <xf numFmtId="3" fontId="37" fillId="59" borderId="50" applyAlignment="1" pivotButton="0" quotePrefix="0" xfId="7">
      <alignment horizontal="center" vertical="center" wrapText="1"/>
    </xf>
    <xf numFmtId="3" fontId="37" fillId="33" borderId="50" applyAlignment="1" pivotButton="0" quotePrefix="0" xfId="7">
      <alignment horizontal="center" vertical="center" wrapText="1"/>
    </xf>
    <xf numFmtId="3" fontId="102" fillId="59" borderId="50" applyAlignment="1" pivotButton="0" quotePrefix="0" xfId="7">
      <alignment horizontal="center" vertical="center" wrapText="1"/>
    </xf>
    <xf numFmtId="184" fontId="33" fillId="0" borderId="0" pivotButton="0" quotePrefix="0" xfId="7"/>
    <xf numFmtId="184" fontId="6" fillId="0" borderId="0" applyAlignment="1" pivotButton="0" quotePrefix="0" xfId="7">
      <alignment horizontal="right" vertical="center"/>
    </xf>
    <xf numFmtId="184" fontId="93" fillId="9" borderId="0" applyAlignment="1" pivotButton="0" quotePrefix="0" xfId="7">
      <alignment horizontal="center" vertical="center"/>
    </xf>
    <xf numFmtId="184" fontId="35" fillId="0" borderId="0" applyAlignment="1" pivotButton="0" quotePrefix="0" xfId="7">
      <alignment horizontal="right" vertical="center"/>
    </xf>
    <xf numFmtId="184" fontId="7" fillId="0" borderId="0" applyAlignment="1" pivotButton="0" quotePrefix="0" xfId="7">
      <alignment horizontal="right" vertical="center"/>
    </xf>
    <xf numFmtId="184" fontId="67" fillId="0" borderId="50" applyAlignment="1" pivotButton="0" quotePrefix="0" xfId="0">
      <alignment horizontal="center" vertical="center"/>
    </xf>
    <xf numFmtId="184" fontId="36" fillId="27" borderId="69" applyAlignment="1" pivotButton="0" quotePrefix="0" xfId="7">
      <alignment horizontal="center" vertical="center" wrapText="1"/>
    </xf>
    <xf numFmtId="184" fontId="6" fillId="0" borderId="50" applyAlignment="1" pivotButton="0" quotePrefix="0" xfId="7">
      <alignment horizontal="center" vertical="center"/>
    </xf>
    <xf numFmtId="184" fontId="6" fillId="3" borderId="50" applyAlignment="1" pivotButton="0" quotePrefix="0" xfId="0">
      <alignment horizontal="center" vertical="center"/>
    </xf>
    <xf numFmtId="184" fontId="6" fillId="3" borderId="50" applyAlignment="1" pivotButton="0" quotePrefix="0" xfId="0">
      <alignment vertical="center"/>
    </xf>
    <xf numFmtId="184" fontId="102" fillId="83" borderId="50" applyAlignment="1" pivotButton="0" quotePrefix="0" xfId="7">
      <alignment horizontal="center" vertical="center" wrapText="1"/>
    </xf>
    <xf numFmtId="184" fontId="37" fillId="89" borderId="50" applyAlignment="1" pivotButton="0" quotePrefix="0" xfId="7">
      <alignment horizontal="center" vertical="center" wrapText="1"/>
    </xf>
    <xf numFmtId="184" fontId="37" fillId="59" borderId="50" applyAlignment="1" pivotButton="0" quotePrefix="0" xfId="1">
      <alignment horizontal="center" vertical="center" wrapText="1"/>
    </xf>
    <xf numFmtId="184" fontId="102" fillId="59" borderId="50" applyAlignment="1" pivotButton="0" quotePrefix="0" xfId="1">
      <alignment horizontal="left" vertical="center" wrapText="1" indent="3"/>
    </xf>
    <xf numFmtId="184" fontId="37" fillId="59" borderId="50" applyAlignment="1" pivotButton="0" quotePrefix="0" xfId="7">
      <alignment horizontal="center" vertical="center" wrapText="1"/>
    </xf>
    <xf numFmtId="184" fontId="37" fillId="33" borderId="50" applyAlignment="1" pivotButton="0" quotePrefix="0" xfId="7">
      <alignment horizontal="center" vertical="center" wrapText="1"/>
    </xf>
    <xf numFmtId="184" fontId="102" fillId="59" borderId="50" applyAlignment="1" pivotButton="0" quotePrefix="0" xfId="7">
      <alignment horizontal="center" vertical="center" wrapText="1"/>
    </xf>
    <xf numFmtId="184" fontId="102" fillId="92" borderId="50" applyAlignment="1" pivotButton="0" quotePrefix="0" xfId="7">
      <alignment horizontal="center" vertical="center" wrapText="1"/>
    </xf>
    <xf numFmtId="184" fontId="37" fillId="14" borderId="69" applyAlignment="1" pivotButton="0" quotePrefix="0" xfId="7">
      <alignment horizontal="center" vertical="center" wrapText="1"/>
    </xf>
    <xf numFmtId="184" fontId="33" fillId="12" borderId="0" pivotButton="0" quotePrefix="0" xfId="3"/>
    <xf numFmtId="184" fontId="33" fillId="12" borderId="0" pivotButton="0" quotePrefix="0" xfId="7"/>
    <xf numFmtId="184" fontId="6" fillId="27" borderId="0" applyAlignment="1" pivotButton="0" quotePrefix="0" xfId="7">
      <alignment vertical="center" wrapText="1"/>
    </xf>
    <xf numFmtId="184" fontId="111" fillId="33" borderId="50" applyAlignment="1" pivotButton="0" quotePrefix="0" xfId="7">
      <alignment horizontal="center" vertical="center" wrapText="1"/>
    </xf>
    <xf numFmtId="3" fontId="6" fillId="27" borderId="0" applyAlignment="1" pivotButton="0" quotePrefix="0" xfId="7">
      <alignment vertical="center"/>
    </xf>
    <xf numFmtId="3" fontId="37" fillId="9" borderId="50" applyAlignment="1" pivotButton="0" quotePrefix="0" xfId="7">
      <alignment horizontal="center" vertical="center" wrapText="1"/>
    </xf>
    <xf numFmtId="3" fontId="111" fillId="33" borderId="50" applyAlignment="1" pivotButton="0" quotePrefix="0" xfId="7">
      <alignment horizontal="center" vertical="center" wrapText="1"/>
    </xf>
    <xf numFmtId="3" fontId="74" fillId="9" borderId="28" applyAlignment="1" pivotButton="0" quotePrefix="0" xfId="0">
      <alignment horizontal="center" vertical="center" wrapText="1"/>
    </xf>
    <xf numFmtId="170" fontId="8" fillId="0" borderId="0" applyAlignment="1" pivotButton="0" quotePrefix="0" xfId="0">
      <alignment vertical="center" wrapText="1"/>
    </xf>
    <xf numFmtId="0" fontId="0" fillId="0" borderId="53" pivotButton="0" quotePrefix="0" xfId="0"/>
    <xf numFmtId="0" fontId="0" fillId="0" borderId="68" pivotButton="0" quotePrefix="0" xfId="0"/>
    <xf numFmtId="171" fontId="5" fillId="0" borderId="50" applyAlignment="1" pivotButton="0" quotePrefix="0" xfId="0">
      <alignment horizontal="left" vertical="center" wrapText="1"/>
    </xf>
    <xf numFmtId="171" fontId="5" fillId="0" borderId="50" applyAlignment="1" pivotButton="0" quotePrefix="0" xfId="0">
      <alignment horizontal="center" vertical="center" wrapText="1"/>
    </xf>
    <xf numFmtId="168" fontId="7" fillId="0" borderId="50" applyAlignment="1" pivotButton="0" quotePrefix="0" xfId="0">
      <alignment horizontal="center" vertical="center"/>
    </xf>
    <xf numFmtId="172" fontId="8" fillId="0" borderId="50" applyAlignment="1" pivotButton="0" quotePrefix="0" xfId="0">
      <alignment horizontal="center" vertical="center" wrapText="1"/>
    </xf>
    <xf numFmtId="170" fontId="8" fillId="0" borderId="50" applyAlignment="1" pivotButton="0" quotePrefix="0" xfId="0">
      <alignment vertical="center" wrapText="1"/>
    </xf>
    <xf numFmtId="170" fontId="8" fillId="0" borderId="50" applyAlignment="1" pivotButton="0" quotePrefix="1" xfId="0">
      <alignment vertical="center" wrapText="1"/>
    </xf>
    <xf numFmtId="168" fontId="7" fillId="36" borderId="50" applyAlignment="1" pivotButton="0" quotePrefix="0" xfId="0">
      <alignment horizontal="center" vertical="center"/>
    </xf>
    <xf numFmtId="170" fontId="8" fillId="31" borderId="50" applyAlignment="1" pivotButton="0" quotePrefix="0" xfId="0">
      <alignment vertical="center" wrapText="1"/>
    </xf>
    <xf numFmtId="168" fontId="7" fillId="31" borderId="50" applyAlignment="1" pivotButton="0" quotePrefix="0" xfId="0">
      <alignment horizontal="center" vertical="center"/>
    </xf>
    <xf numFmtId="168" fontId="7" fillId="0" borderId="69" applyAlignment="1" pivotButton="0" quotePrefix="0" xfId="0">
      <alignment horizontal="center" vertical="center"/>
    </xf>
    <xf numFmtId="168" fontId="7" fillId="32" borderId="50" applyAlignment="1" pivotButton="0" quotePrefix="0" xfId="0">
      <alignment horizontal="center" vertical="center"/>
    </xf>
    <xf numFmtId="173" fontId="54" fillId="0" borderId="0" applyAlignment="1" pivotButton="0" quotePrefix="0" xfId="0">
      <alignment horizontal="left" vertical="center" wrapText="1"/>
    </xf>
    <xf numFmtId="170" fontId="8" fillId="10" borderId="50" applyAlignment="1" pivotButton="0" quotePrefix="0" xfId="0">
      <alignment vertical="center" wrapText="1"/>
    </xf>
    <xf numFmtId="168" fontId="55" fillId="0" borderId="50" applyAlignment="1" pivotButton="0" quotePrefix="0" xfId="0">
      <alignment horizontal="center" vertical="center"/>
    </xf>
    <xf numFmtId="172" fontId="55" fillId="0" borderId="50" applyAlignment="1" pivotButton="0" quotePrefix="0" xfId="0">
      <alignment horizontal="center" vertical="center" wrapText="1"/>
    </xf>
    <xf numFmtId="170" fontId="55" fillId="0" borderId="50" applyAlignment="1" pivotButton="0" quotePrefix="0" xfId="0">
      <alignment vertical="center" wrapText="1"/>
    </xf>
    <xf numFmtId="170" fontId="55" fillId="0" borderId="50" applyAlignment="1" pivotButton="0" quotePrefix="1" xfId="0">
      <alignment vertical="center" wrapText="1"/>
    </xf>
    <xf numFmtId="170" fontId="37" fillId="0" borderId="50" applyAlignment="1" pivotButton="0" quotePrefix="1" xfId="0">
      <alignment vertical="center" wrapText="1"/>
    </xf>
    <xf numFmtId="168" fontId="37" fillId="0" borderId="50" applyAlignment="1" pivotButton="0" quotePrefix="0" xfId="0">
      <alignment horizontal="center" vertical="center"/>
    </xf>
    <xf numFmtId="168" fontId="37" fillId="23" borderId="50" applyAlignment="1" pivotButton="0" quotePrefix="0" xfId="0">
      <alignment horizontal="center" vertical="center"/>
    </xf>
    <xf numFmtId="0" fontId="6" fillId="12" borderId="0" applyAlignment="1" pivotButton="0" quotePrefix="0" xfId="0">
      <alignment vertical="center"/>
    </xf>
    <xf numFmtId="0" fontId="9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91" fillId="0" borderId="0" applyAlignment="1" pivotButton="0" quotePrefix="0" xfId="0">
      <alignment horizontal="center" vertical="center" wrapText="1"/>
    </xf>
    <xf numFmtId="49" fontId="90" fillId="0" borderId="0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/>
    </xf>
    <xf numFmtId="0" fontId="90" fillId="0" borderId="0" applyAlignment="1" pivotButton="0" quotePrefix="0" xfId="0">
      <alignment vertical="center"/>
    </xf>
    <xf numFmtId="0" fontId="92" fillId="0" borderId="0" applyAlignment="1" pivotButton="0" quotePrefix="0" xfId="0">
      <alignment vertical="center"/>
    </xf>
    <xf numFmtId="3" fontId="6" fillId="0" borderId="0" applyAlignment="1" pivotButton="0" quotePrefix="0" xfId="0">
      <alignment horizontal="right" vertical="center"/>
    </xf>
    <xf numFmtId="174" fontId="35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3" fontId="6" fillId="107" borderId="0" applyAlignment="1" pivotButton="0" quotePrefix="0" xfId="0">
      <alignment horizontal="right" vertical="center"/>
    </xf>
    <xf numFmtId="3" fontId="6" fillId="108" borderId="0" applyAlignment="1" pivotButton="0" quotePrefix="0" xfId="0">
      <alignment horizontal="right" vertical="center"/>
    </xf>
    <xf numFmtId="0" fontId="6" fillId="29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3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175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14" fillId="0" borderId="0" applyAlignment="1" pivotButton="0" quotePrefix="0" xfId="0">
      <alignment horizontal="right" vertical="center"/>
    </xf>
    <xf numFmtId="3" fontId="7" fillId="107" borderId="0" applyAlignment="1" pivotButton="0" quotePrefix="0" xfId="0">
      <alignment horizontal="right" vertical="center"/>
    </xf>
    <xf numFmtId="3" fontId="7" fillId="108" borderId="0" applyAlignment="1" pivotButton="0" quotePrefix="0" xfId="0">
      <alignment horizontal="right" vertical="center"/>
    </xf>
    <xf numFmtId="3" fontId="7" fillId="29" borderId="0" applyAlignment="1" pivotButton="0" quotePrefix="0" xfId="0">
      <alignment vertical="center"/>
    </xf>
    <xf numFmtId="164" fontId="9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5" fillId="12" borderId="0" applyAlignment="1" pivotButton="0" quotePrefix="0" xfId="0">
      <alignment vertical="center"/>
    </xf>
    <xf numFmtId="0" fontId="35" fillId="0" borderId="0" applyAlignment="1" pivotButton="0" quotePrefix="0" xfId="0">
      <alignment vertical="center" wrapText="1"/>
    </xf>
    <xf numFmtId="0" fontId="97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left" vertical="center"/>
    </xf>
    <xf numFmtId="176" fontId="35" fillId="0" borderId="0" applyAlignment="1" pivotButton="0" quotePrefix="0" xfId="0">
      <alignment vertical="center"/>
    </xf>
    <xf numFmtId="4" fontId="35" fillId="0" borderId="0" applyAlignment="1" pivotButton="0" quotePrefix="0" xfId="0">
      <alignment horizontal="right" vertical="center"/>
    </xf>
    <xf numFmtId="3" fontId="35" fillId="0" borderId="0" applyAlignment="1" pivotButton="0" quotePrefix="0" xfId="0">
      <alignment horizontal="right" vertical="center"/>
    </xf>
    <xf numFmtId="3" fontId="90" fillId="0" borderId="0" applyAlignment="1" pivotButton="0" quotePrefix="0" xfId="0">
      <alignment horizontal="right" vertical="center"/>
    </xf>
    <xf numFmtId="3" fontId="35" fillId="12" borderId="0" applyAlignment="1" pivotButton="0" quotePrefix="0" xfId="0">
      <alignment horizontal="right" vertical="center"/>
    </xf>
    <xf numFmtId="3" fontId="92" fillId="0" borderId="0" applyAlignment="1" pivotButton="0" quotePrefix="0" xfId="0">
      <alignment horizontal="right" vertical="center"/>
    </xf>
    <xf numFmtId="3" fontId="95" fillId="0" borderId="0" applyAlignment="1" pivotButton="0" quotePrefix="0" xfId="0">
      <alignment horizontal="right" vertical="center"/>
    </xf>
    <xf numFmtId="3" fontId="35" fillId="107" borderId="0" applyAlignment="1" pivotButton="0" quotePrefix="0" xfId="0">
      <alignment horizontal="right" vertical="center"/>
    </xf>
    <xf numFmtId="3" fontId="35" fillId="0" borderId="0" applyAlignment="1" pivotButton="0" quotePrefix="0" xfId="0">
      <alignment vertical="center"/>
    </xf>
    <xf numFmtId="3" fontId="35" fillId="108" borderId="0" applyAlignment="1" pivotButton="0" quotePrefix="0" xfId="0">
      <alignment horizontal="right" vertical="center"/>
    </xf>
    <xf numFmtId="0" fontId="35" fillId="29" borderId="0" applyAlignment="1" pivotButton="0" quotePrefix="0" xfId="0">
      <alignment vertical="center"/>
    </xf>
    <xf numFmtId="1" fontId="98" fillId="0" borderId="0" applyAlignment="1" pivotButton="0" quotePrefix="0" xfId="0">
      <alignment vertical="center"/>
    </xf>
    <xf numFmtId="0" fontId="99" fillId="0" borderId="0" applyAlignment="1" pivotButton="0" quotePrefix="0" xfId="0">
      <alignment vertical="center"/>
    </xf>
    <xf numFmtId="0" fontId="35" fillId="4" borderId="0" applyAlignment="1" pivotButton="0" quotePrefix="0" xfId="0">
      <alignment vertical="center"/>
    </xf>
    <xf numFmtId="0" fontId="97" fillId="0" borderId="0" applyAlignment="1" pivotButton="0" quotePrefix="0" xfId="0">
      <alignment horizontal="right" vertical="center"/>
    </xf>
    <xf numFmtId="0" fontId="7" fillId="29" borderId="0" applyAlignment="1" pivotButton="0" quotePrefix="0" xfId="0">
      <alignment vertical="center"/>
    </xf>
    <xf numFmtId="0" fontId="96" fillId="0" borderId="0" applyAlignment="1" pivotButton="0" quotePrefix="0" xfId="0">
      <alignment vertical="center"/>
    </xf>
    <xf numFmtId="3" fontId="96" fillId="0" borderId="0" applyAlignment="1" pivotButton="0" quotePrefix="0" xfId="0">
      <alignment vertical="center"/>
    </xf>
    <xf numFmtId="177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5" fontId="37" fillId="0" borderId="50" applyAlignment="1" pivotButton="0" quotePrefix="0" xfId="0">
      <alignment vertical="center"/>
    </xf>
    <xf numFmtId="165" fontId="37" fillId="9" borderId="50" applyAlignment="1" pivotButton="0" quotePrefix="0" xfId="0">
      <alignment vertical="center"/>
    </xf>
    <xf numFmtId="165" fontId="100" fillId="9" borderId="50" pivotButton="0" quotePrefix="0" xfId="0"/>
    <xf numFmtId="17" fontId="33" fillId="0" borderId="0" pivotButton="0" quotePrefix="0" xfId="0"/>
    <xf numFmtId="168" fontId="6" fillId="0" borderId="50" applyAlignment="1" pivotButton="0" quotePrefix="0" xfId="0">
      <alignment horizontal="center" vertical="center" wrapText="1"/>
    </xf>
    <xf numFmtId="0" fontId="6" fillId="4" borderId="50" applyAlignment="1" pivotButton="0" quotePrefix="0" xfId="0">
      <alignment horizontal="center" vertical="center" wrapText="1"/>
    </xf>
    <xf numFmtId="0" fontId="5" fillId="4" borderId="50" applyAlignment="1" pivotButton="0" quotePrefix="0" xfId="0">
      <alignment horizontal="center" vertical="center" wrapText="1"/>
    </xf>
    <xf numFmtId="0" fontId="6" fillId="7" borderId="50" applyAlignment="1" pivotButton="0" quotePrefix="0" xfId="0">
      <alignment horizontal="center" vertical="center" wrapText="1"/>
    </xf>
    <xf numFmtId="0" fontId="9" fillId="3" borderId="50" applyAlignment="1" pivotButton="0" quotePrefix="0" xfId="0">
      <alignment horizontal="center" vertical="center" wrapText="1"/>
    </xf>
    <xf numFmtId="0" fontId="6" fillId="3" borderId="50" applyAlignment="1" pivotButton="0" quotePrefix="0" xfId="0">
      <alignment horizontal="center" vertical="center" wrapText="1"/>
    </xf>
    <xf numFmtId="3" fontId="6" fillId="4" borderId="50" applyAlignment="1" pivotButton="0" quotePrefix="0" xfId="0">
      <alignment horizontal="center" vertical="center" wrapText="1"/>
    </xf>
    <xf numFmtId="0" fontId="139" fillId="9" borderId="50" applyAlignment="1" pivotButton="0" quotePrefix="0" xfId="0">
      <alignment horizontal="center" vertical="center" wrapText="1"/>
    </xf>
    <xf numFmtId="3" fontId="6" fillId="62" borderId="50" applyAlignment="1" pivotButton="0" quotePrefix="0" xfId="0">
      <alignment horizontal="center" vertical="center" wrapText="1"/>
    </xf>
    <xf numFmtId="3" fontId="6" fillId="0" borderId="50" applyAlignment="1" pivotButton="0" quotePrefix="0" xfId="0">
      <alignment horizontal="center" vertical="center" wrapText="1"/>
    </xf>
    <xf numFmtId="178" fontId="6" fillId="7" borderId="50" applyAlignment="1" pivotButton="0" quotePrefix="0" xfId="0">
      <alignment horizontal="center" vertical="center" wrapText="1"/>
    </xf>
    <xf numFmtId="3" fontId="9" fillId="3" borderId="50" applyAlignment="1" pivotButton="0" quotePrefix="0" xfId="0">
      <alignment horizontal="center" vertical="center" wrapText="1"/>
    </xf>
    <xf numFmtId="0" fontId="139" fillId="46" borderId="50" applyAlignment="1" pivotButton="0" quotePrefix="0" xfId="0">
      <alignment horizontal="center" vertical="center" wrapText="1"/>
    </xf>
    <xf numFmtId="3" fontId="6" fillId="64" borderId="50" applyAlignment="1" pivotButton="0" quotePrefix="0" xfId="0">
      <alignment horizontal="center" vertical="center" wrapText="1"/>
    </xf>
    <xf numFmtId="165" fontId="36" fillId="3" borderId="50" applyAlignment="1" pivotButton="0" quotePrefix="0" xfId="0">
      <alignment horizontal="center" vertical="center" wrapText="1"/>
    </xf>
    <xf numFmtId="3" fontId="6" fillId="66" borderId="50" applyAlignment="1" pivotButton="0" quotePrefix="0" xfId="0">
      <alignment horizontal="center" vertical="center" wrapText="1"/>
    </xf>
    <xf numFmtId="3" fontId="6" fillId="109" borderId="50" applyAlignment="1" pivotButton="0" quotePrefix="0" xfId="0">
      <alignment horizontal="center" vertical="center" wrapText="1"/>
    </xf>
    <xf numFmtId="3" fontId="6" fillId="3" borderId="50" applyAlignment="1" pivotButton="0" quotePrefix="0" xfId="0">
      <alignment horizontal="center" vertical="center" wrapText="1"/>
    </xf>
    <xf numFmtId="3" fontId="6" fillId="69" borderId="50" applyAlignment="1" pivotButton="0" quotePrefix="0" xfId="0">
      <alignment horizontal="center" vertical="center" wrapText="1"/>
    </xf>
    <xf numFmtId="3" fontId="6" fillId="70" borderId="50" applyAlignment="1" pivotButton="0" quotePrefix="0" xfId="0">
      <alignment horizontal="center" vertical="center" wrapText="1"/>
    </xf>
    <xf numFmtId="3" fontId="9" fillId="0" borderId="50" applyAlignment="1" pivotButton="0" quotePrefix="0" xfId="0">
      <alignment horizontal="center" vertical="center" wrapText="1"/>
    </xf>
    <xf numFmtId="3" fontId="6" fillId="110" borderId="50" applyAlignment="1" pivotButton="0" quotePrefix="0" xfId="0">
      <alignment horizontal="center" vertical="center" wrapText="1"/>
    </xf>
    <xf numFmtId="0" fontId="5" fillId="72" borderId="50" applyAlignment="1" pivotButton="0" quotePrefix="0" xfId="0">
      <alignment horizontal="center" vertical="center" wrapText="1"/>
    </xf>
    <xf numFmtId="1" fontId="10" fillId="62" borderId="50" applyAlignment="1" pivotButton="0" quotePrefix="0" xfId="0">
      <alignment horizontal="center" vertical="center" wrapText="1"/>
    </xf>
    <xf numFmtId="0" fontId="10" fillId="62" borderId="50" applyAlignment="1" pivotButton="0" quotePrefix="0" xfId="0">
      <alignment horizontal="center" vertical="center" wrapText="1"/>
    </xf>
    <xf numFmtId="164" fontId="36" fillId="76" borderId="50" applyAlignment="1" pivotButton="0" quotePrefix="0" xfId="0">
      <alignment horizontal="center" vertical="center" wrapText="1"/>
    </xf>
    <xf numFmtId="164" fontId="36" fillId="111" borderId="50" applyAlignment="1" pivotButton="0" quotePrefix="0" xfId="0">
      <alignment horizontal="center" vertical="center" wrapText="1"/>
    </xf>
    <xf numFmtId="164" fontId="36" fillId="78" borderId="50" applyAlignment="1" pivotButton="0" quotePrefix="0" xfId="0">
      <alignment horizontal="center" vertical="center" wrapText="1"/>
    </xf>
    <xf numFmtId="164" fontId="36" fillId="112" borderId="50" applyAlignment="1" pivotButton="0" quotePrefix="0" xfId="0">
      <alignment horizontal="center" vertical="center" wrapText="1"/>
    </xf>
    <xf numFmtId="3" fontId="6" fillId="113" borderId="50" applyAlignment="1" pivotButton="0" quotePrefix="0" xfId="0">
      <alignment horizontal="center" vertical="center"/>
    </xf>
    <xf numFmtId="3" fontId="6" fillId="108" borderId="50" applyAlignment="1" pivotButton="0" quotePrefix="0" xfId="0">
      <alignment horizontal="center" vertical="center"/>
    </xf>
    <xf numFmtId="169" fontId="33" fillId="0" borderId="0" pivotButton="0" quotePrefix="0" xfId="0"/>
    <xf numFmtId="164" fontId="6" fillId="80" borderId="50" applyAlignment="1" pivotButton="0" quotePrefix="0" xfId="0">
      <alignment vertical="center" wrapText="1"/>
    </xf>
    <xf numFmtId="165" fontId="6" fillId="3" borderId="50" applyAlignment="1" pivotButton="0" quotePrefix="0" xfId="0">
      <alignment vertical="center"/>
    </xf>
    <xf numFmtId="178" fontId="6" fillId="3" borderId="50" applyAlignment="1" pivotButton="0" quotePrefix="0" xfId="0">
      <alignment vertical="center"/>
    </xf>
    <xf numFmtId="169" fontId="7" fillId="0" borderId="0" pivotButton="0" quotePrefix="0" xfId="0"/>
    <xf numFmtId="0" fontId="105" fillId="12" borderId="50" applyAlignment="1" pivotButton="0" quotePrefix="0" xfId="0">
      <alignment horizontal="center" vertical="center" wrapText="1"/>
    </xf>
    <xf numFmtId="0" fontId="109" fillId="0" borderId="50" applyAlignment="1" pivotButton="0" quotePrefix="0" xfId="0">
      <alignment horizontal="center" vertical="center" wrapText="1"/>
    </xf>
    <xf numFmtId="0" fontId="106" fillId="0" borderId="50" applyAlignment="1" pivotButton="0" quotePrefix="0" xfId="0">
      <alignment horizontal="center" vertical="center" wrapText="1"/>
    </xf>
    <xf numFmtId="0" fontId="37" fillId="14" borderId="50" applyAlignment="1" pivotButton="0" quotePrefix="0" xfId="0">
      <alignment horizontal="left" vertical="center"/>
    </xf>
    <xf numFmtId="165" fontId="37" fillId="14" borderId="50" applyAlignment="1" pivotButton="0" quotePrefix="0" xfId="0">
      <alignment horizontal="left" vertical="center"/>
    </xf>
    <xf numFmtId="165" fontId="37" fillId="14" borderId="50" applyAlignment="1" pivotButton="0" quotePrefix="0" xfId="0">
      <alignment horizontal="center" vertical="center" wrapText="1"/>
    </xf>
    <xf numFmtId="169" fontId="7" fillId="12" borderId="50" applyAlignment="1" pivotButton="0" quotePrefix="0" xfId="0">
      <alignment vertical="center"/>
    </xf>
    <xf numFmtId="165" fontId="37" fillId="14" borderId="50" applyAlignment="1" pivotButton="0" quotePrefix="0" xfId="0">
      <alignment horizontal="right" vertical="center" wrapText="1"/>
    </xf>
    <xf numFmtId="166" fontId="37" fillId="14" borderId="50" applyAlignment="1" pivotButton="0" quotePrefix="0" xfId="0">
      <alignment horizontal="right" vertical="center" wrapText="1"/>
    </xf>
    <xf numFmtId="167" fontId="7" fillId="4" borderId="60" applyAlignment="1" pivotButton="0" quotePrefix="0" xfId="0">
      <alignment horizontal="right" vertical="center"/>
    </xf>
    <xf numFmtId="167" fontId="37" fillId="14" borderId="50" applyAlignment="1" pivotButton="0" quotePrefix="0" xfId="0">
      <alignment horizontal="right" vertical="center" wrapText="1"/>
    </xf>
    <xf numFmtId="3" fontId="7" fillId="12" borderId="50" applyAlignment="1" pivotButton="0" quotePrefix="0" xfId="0">
      <alignment horizontal="right" vertical="center" wrapText="1"/>
    </xf>
    <xf numFmtId="167" fontId="6" fillId="109" borderId="50" applyAlignment="1" pivotButton="0" quotePrefix="0" xfId="0">
      <alignment horizontal="right" vertical="center"/>
    </xf>
    <xf numFmtId="167" fontId="8" fillId="12" borderId="50" applyAlignment="1" pivotButton="0" quotePrefix="0" xfId="0">
      <alignment horizontal="right" vertical="center"/>
    </xf>
    <xf numFmtId="167" fontId="7" fillId="12" borderId="50" applyAlignment="1" pivotButton="0" quotePrefix="0" xfId="0">
      <alignment horizontal="right" vertical="center"/>
    </xf>
    <xf numFmtId="167" fontId="8" fillId="29" borderId="50" applyAlignment="1" pivotButton="0" quotePrefix="0" xfId="0">
      <alignment horizontal="right" vertical="center"/>
    </xf>
    <xf numFmtId="167" fontId="8" fillId="85" borderId="50" applyAlignment="1" pivotButton="0" quotePrefix="0" xfId="0">
      <alignment horizontal="right" vertical="center"/>
    </xf>
    <xf numFmtId="3" fontId="7" fillId="14" borderId="50" applyAlignment="1" pivotButton="0" quotePrefix="0" xfId="0">
      <alignment horizontal="right" vertical="center"/>
    </xf>
    <xf numFmtId="167" fontId="8" fillId="86" borderId="50" applyAlignment="1" pivotButton="0" quotePrefix="0" xfId="0">
      <alignment horizontal="right" vertical="center"/>
    </xf>
    <xf numFmtId="167" fontId="8" fillId="110" borderId="50" applyAlignment="1" pivotButton="0" quotePrefix="0" xfId="0">
      <alignment horizontal="right" vertical="center"/>
    </xf>
    <xf numFmtId="167" fontId="14" fillId="12" borderId="50" applyAlignment="1" pivotButton="0" quotePrefix="0" xfId="0">
      <alignment horizontal="center" vertical="center" wrapText="1"/>
    </xf>
    <xf numFmtId="3" fontId="8" fillId="114" borderId="50" applyAlignment="1" pivotButton="0" quotePrefix="0" xfId="0">
      <alignment vertical="center"/>
    </xf>
    <xf numFmtId="164" fontId="96" fillId="29" borderId="50" applyAlignment="1" pivotButton="0" quotePrefix="0" xfId="0">
      <alignment horizontal="right" vertical="center"/>
    </xf>
    <xf numFmtId="3" fontId="8" fillId="14" borderId="50" applyAlignment="1" pivotButton="0" quotePrefix="0" xfId="0">
      <alignment horizontal="right" vertical="center"/>
    </xf>
    <xf numFmtId="164" fontId="103" fillId="4" borderId="50" applyAlignment="1" pivotButton="0" quotePrefix="0" xfId="0">
      <alignment horizontal="left" vertical="center"/>
    </xf>
    <xf numFmtId="165" fontId="37" fillId="12" borderId="50" applyAlignment="1" pivotButton="0" quotePrefix="0" xfId="0">
      <alignment vertical="center"/>
    </xf>
    <xf numFmtId="165" fontId="37" fillId="12" borderId="50" pivotButton="0" quotePrefix="0" xfId="0"/>
    <xf numFmtId="0" fontId="37" fillId="12" borderId="50" pivotButton="0" quotePrefix="0" xfId="0"/>
    <xf numFmtId="169" fontId="37" fillId="12" borderId="50" pivotButton="0" quotePrefix="0" xfId="0"/>
    <xf numFmtId="0" fontId="33" fillId="12" borderId="50" pivotButton="0" quotePrefix="0" xfId="0"/>
    <xf numFmtId="0" fontId="33" fillId="0" borderId="50" applyAlignment="1" pivotButton="0" quotePrefix="0" xfId="0">
      <alignment vertical="center" wrapText="1"/>
    </xf>
    <xf numFmtId="169" fontId="33" fillId="12" borderId="0" applyAlignment="1" pivotButton="0" quotePrefix="0" xfId="0">
      <alignment vertical="center"/>
    </xf>
    <xf numFmtId="0" fontId="8" fillId="115" borderId="50" applyAlignment="1" pivotButton="0" quotePrefix="0" xfId="0">
      <alignment horizontal="center" vertical="center" wrapText="1"/>
    </xf>
    <xf numFmtId="168" fontId="7" fillId="115" borderId="50" applyAlignment="1" pivotButton="0" quotePrefix="0" xfId="0">
      <alignment horizontal="center" vertical="center"/>
    </xf>
    <xf numFmtId="0" fontId="33" fillId="115" borderId="50" pivotButton="0" quotePrefix="0" xfId="0"/>
    <xf numFmtId="0" fontId="7" fillId="115" borderId="50" applyAlignment="1" pivotButton="0" quotePrefix="0" xfId="0">
      <alignment vertical="center" wrapText="1"/>
    </xf>
    <xf numFmtId="0" fontId="105" fillId="115" borderId="50" applyAlignment="1" pivotButton="0" quotePrefix="0" xfId="0">
      <alignment horizontal="center" vertical="center" wrapText="1"/>
    </xf>
    <xf numFmtId="0" fontId="109" fillId="115" borderId="50" applyAlignment="1" pivotButton="0" quotePrefix="0" xfId="0">
      <alignment horizontal="center" vertical="center" wrapText="1"/>
    </xf>
    <xf numFmtId="0" fontId="106" fillId="115" borderId="50" applyAlignment="1" pivotButton="0" quotePrefix="0" xfId="0">
      <alignment horizontal="center" vertical="center" wrapText="1"/>
    </xf>
    <xf numFmtId="0" fontId="37" fillId="116" borderId="50" applyAlignment="1" pivotButton="0" quotePrefix="0" xfId="0">
      <alignment horizontal="left" vertical="center"/>
    </xf>
    <xf numFmtId="165" fontId="37" fillId="116" borderId="50" applyAlignment="1" pivotButton="0" quotePrefix="0" xfId="0">
      <alignment horizontal="left" vertical="center"/>
    </xf>
    <xf numFmtId="165" fontId="37" fillId="116" borderId="50" applyAlignment="1" pivotButton="0" quotePrefix="0" xfId="0">
      <alignment horizontal="center" vertical="center" wrapText="1"/>
    </xf>
    <xf numFmtId="178" fontId="37" fillId="116" borderId="50" applyAlignment="1" pivotButton="0" quotePrefix="0" xfId="0">
      <alignment horizontal="center" vertical="center" wrapText="1"/>
    </xf>
    <xf numFmtId="165" fontId="37" fillId="115" borderId="50" applyAlignment="1" pivotButton="0" quotePrefix="0" xfId="0">
      <alignment vertical="center"/>
    </xf>
    <xf numFmtId="165" fontId="37" fillId="115" borderId="50" pivotButton="0" quotePrefix="0" xfId="0"/>
    <xf numFmtId="0" fontId="37" fillId="115" borderId="50" pivotButton="0" quotePrefix="0" xfId="0"/>
    <xf numFmtId="169" fontId="37" fillId="115" borderId="50" pivotButton="0" quotePrefix="0" xfId="0"/>
    <xf numFmtId="0" fontId="33" fillId="115" borderId="50" applyAlignment="1" pivotButton="0" quotePrefix="0" xfId="0">
      <alignment vertical="center" wrapText="1"/>
    </xf>
    <xf numFmtId="0" fontId="68" fillId="45" borderId="72" applyAlignment="1" pivotButton="0" quotePrefix="0" xfId="0">
      <alignment horizontal="center" vertical="center" wrapText="1"/>
    </xf>
    <xf numFmtId="0" fontId="0" fillId="0" borderId="74" pivotButton="0" quotePrefix="0" xfId="0"/>
    <xf numFmtId="0" fontId="68" fillId="19" borderId="72" applyAlignment="1" pivotButton="0" quotePrefix="0" xfId="0">
      <alignment horizontal="center" vertical="center" wrapText="1"/>
    </xf>
    <xf numFmtId="0" fontId="0" fillId="0" borderId="75" pivotButton="0" quotePrefix="0" xfId="0"/>
    <xf numFmtId="0" fontId="69" fillId="46" borderId="72" applyAlignment="1" pivotButton="0" quotePrefix="0" xfId="0">
      <alignment horizontal="center" vertical="center" wrapText="1"/>
    </xf>
    <xf numFmtId="0" fontId="68" fillId="47" borderId="72" applyAlignment="1" pivotButton="0" quotePrefix="0" xfId="0">
      <alignment horizontal="center" vertical="center" wrapText="1"/>
    </xf>
    <xf numFmtId="169" fontId="34" fillId="0" borderId="28" applyAlignment="1" pivotButton="0" quotePrefix="0" xfId="1">
      <alignment horizontal="center" vertical="center" wrapText="1"/>
    </xf>
    <xf numFmtId="169" fontId="11" fillId="0" borderId="0" applyAlignment="1" pivotButton="0" quotePrefix="0" xfId="1">
      <alignment horizontal="left" vertical="center"/>
    </xf>
    <xf numFmtId="169" fontId="41" fillId="0" borderId="0" applyAlignment="1" pivotButton="0" quotePrefix="0" xfId="1">
      <alignment horizontal="left" vertical="center"/>
    </xf>
    <xf numFmtId="164" fontId="8" fillId="4" borderId="0" applyAlignment="1" pivotButton="0" quotePrefix="0" xfId="0">
      <alignment horizontal="right" vertical="center"/>
    </xf>
    <xf numFmtId="165" fontId="36" fillId="22" borderId="50" applyAlignment="1" pivotButton="0" quotePrefix="0" xfId="0">
      <alignment horizontal="center" vertical="center" wrapText="1"/>
    </xf>
    <xf numFmtId="165" fontId="37" fillId="14" borderId="50" applyAlignment="1" pivotButton="0" quotePrefix="1" xfId="0">
      <alignment horizontal="left" vertical="center"/>
    </xf>
    <xf numFmtId="165" fontId="37" fillId="25" borderId="50" applyAlignment="1" pivotButton="0" quotePrefix="0" xfId="0">
      <alignment horizontal="left" vertical="center"/>
    </xf>
    <xf numFmtId="165" fontId="8" fillId="12" borderId="50" applyAlignment="1" pivotButton="0" quotePrefix="0" xfId="0">
      <alignment horizontal="center" vertical="center" wrapText="1"/>
    </xf>
    <xf numFmtId="165" fontId="37" fillId="23" borderId="50" applyAlignment="1" pivotButton="0" quotePrefix="0" xfId="0">
      <alignment vertical="center"/>
    </xf>
    <xf numFmtId="165" fontId="36" fillId="10" borderId="50" applyAlignment="1" pivotButton="0" quotePrefix="0" xfId="0">
      <alignment vertical="center"/>
    </xf>
    <xf numFmtId="165" fontId="37" fillId="12" borderId="0" applyAlignment="1" pivotButton="0" quotePrefix="0" xfId="0">
      <alignment vertical="center"/>
    </xf>
    <xf numFmtId="0" fontId="18" fillId="0" borderId="28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3" pivotButton="0" quotePrefix="0" xfId="0"/>
    <xf numFmtId="167" fontId="16" fillId="0" borderId="27" applyAlignment="1" pivotButton="0" quotePrefix="0" xfId="0">
      <alignment horizontal="left" vertical="center" wrapText="1"/>
    </xf>
    <xf numFmtId="165" fontId="15" fillId="0" borderId="27" applyAlignment="1" pivotButton="0" quotePrefix="0" xfId="0">
      <alignment horizontal="right" vertical="center" wrapText="1"/>
    </xf>
    <xf numFmtId="167" fontId="15" fillId="0" borderId="27" applyAlignment="1" pivotButton="0" quotePrefix="0" xfId="0">
      <alignment horizontal="right" vertical="center" wrapText="1"/>
    </xf>
    <xf numFmtId="165" fontId="15" fillId="0" borderId="27" applyAlignment="1" pivotButton="0" quotePrefix="0" xfId="0">
      <alignment horizontal="center" vertical="center" wrapText="1"/>
    </xf>
    <xf numFmtId="167" fontId="16" fillId="0" borderId="43" applyAlignment="1" pivotButton="0" quotePrefix="0" xfId="0">
      <alignment horizontal="left" vertical="center" wrapText="1"/>
    </xf>
    <xf numFmtId="165" fontId="15" fillId="0" borderId="4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164" fontId="15" fillId="4" borderId="27" applyAlignment="1" pivotButton="0" quotePrefix="0" xfId="0">
      <alignment horizontal="center" vertical="center" wrapText="1"/>
    </xf>
    <xf numFmtId="167" fontId="15" fillId="4" borderId="27" applyAlignment="1" pivotButton="0" quotePrefix="0" xfId="0">
      <alignment horizontal="center" vertical="center" wrapText="1"/>
    </xf>
    <xf numFmtId="167" fontId="16" fillId="4" borderId="27" applyAlignment="1" pivotButton="0" quotePrefix="0" xfId="0">
      <alignment horizontal="center" vertical="center" wrapText="1"/>
    </xf>
    <xf numFmtId="165" fontId="6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left" vertical="center"/>
    </xf>
    <xf numFmtId="0" fontId="1" fillId="0" borderId="84" applyAlignment="1" pivotButton="0" quotePrefix="0" xfId="0">
      <alignment horizontal="center" vertical="center"/>
    </xf>
    <xf numFmtId="0" fontId="1" fillId="0" borderId="8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87" applyAlignment="1" pivotButton="0" quotePrefix="0" xfId="0">
      <alignment horizontal="center" vertical="center"/>
    </xf>
    <xf numFmtId="0" fontId="1" fillId="2" borderId="83" applyAlignment="1" pivotButton="0" quotePrefix="0" xfId="0">
      <alignment horizontal="center" vertical="center"/>
    </xf>
    <xf numFmtId="0" fontId="1" fillId="0" borderId="89" applyAlignment="1" pivotButton="0" quotePrefix="0" xfId="0">
      <alignment horizontal="center" vertical="center"/>
    </xf>
    <xf numFmtId="0" fontId="0" fillId="0" borderId="10" pivotButton="0" quotePrefix="0" xfId="0"/>
    <xf numFmtId="164" fontId="1" fillId="3" borderId="11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5" fontId="1" fillId="0" borderId="18" applyAlignment="1" pivotButton="0" quotePrefix="0" xfId="0">
      <alignment horizontal="center" vertical="center"/>
    </xf>
    <xf numFmtId="165" fontId="1" fillId="2" borderId="18" applyAlignment="1" pivotButton="0" quotePrefix="0" xfId="0">
      <alignment horizontal="center" vertical="center"/>
    </xf>
  </cellXfs>
  <cellStyles count="12">
    <cellStyle name="Normal" xfId="0" builtinId="0"/>
    <cellStyle name="Comma" xfId="1" builtinId="3"/>
    <cellStyle name="Hyperlink" xfId="2" builtinId="8"/>
    <cellStyle name="Comma 2" xfId="3"/>
    <cellStyle name="Comma 3" xfId="4"/>
    <cellStyle name="Hyperlink 2" xfId="5"/>
    <cellStyle name="Normal 2" xfId="6"/>
    <cellStyle name="Normal 3" xfId="7"/>
    <cellStyle name="Normal 4" xfId="8"/>
    <cellStyle name="Normal 5" xfId="9"/>
    <cellStyle name="Normal 6" xfId="10"/>
    <cellStyle name="Normal 7" xfId="11"/>
  </cellStyles>
  <dxfs count="182"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99999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Admin</author>
    <author>None</author>
  </authors>
  <commentList>
    <comment ref="C9" authorId="0" shapeId="0">
      <text>
        <t>Admin:
vợ anh Quách Xuân Phong</t>
      </text>
    </comment>
    <comment ref="C13" authorId="1" shapeId="0">
      <text>
        <t>NGHỈ VIỆC TỪ 01/4/2026, ĐANG CỘNG TÁC VỚI CÔNG TY HĐCTV, 10 TRIỆU/ THÁNG</t>
      </text>
    </comment>
    <comment ref="C14" authorId="1" shapeId="0">
      <text>
        <t xml:space="preserve">Lương Gross 35.610.000đ, nghỉ việc từ tháng 4/2026, Ký HĐ outsource, tháng 4 vừa rồi không có job, tháng 5 phát sinh job Update app User, Doctor, Pharmacy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I12" authorId="0" shapeId="0">
      <text>
        <t xml:space="preserve">Bù thưởng trách nhiệm tháng 7/2026
Công đào tạo
</t>
      </text>
    </comment>
    <comment ref="AI25" authorId="0" shapeId="0">
      <text>
        <t>Hoàn khấu hao đồng phục</t>
      </text>
    </comment>
    <comment ref="AI38" authorId="0" shapeId="0">
      <text>
        <t>Hoàn khấu hao đồng phục</t>
      </text>
    </comment>
    <comment ref="AI45" authorId="0" shapeId="0">
      <text>
        <t xml:space="preserve">Bù công tháng 7
</t>
      </text>
    </comment>
    <comment ref="AI46" authorId="0" shapeId="0">
      <text>
        <t>Bù thưởng chiết khấu tháng 8</t>
      </text>
    </comment>
    <comment ref="AI47" authorId="0" shapeId="0">
      <text>
        <t>Bù thưởng chiết khấu tháng 8</t>
      </text>
    </comment>
    <comment ref="AI48" authorId="0" shapeId="0">
      <text>
        <t>Bù thưởng chiết khấu tháng 8</t>
      </text>
    </comment>
    <comment ref="AI49" authorId="0" shapeId="0">
      <text>
        <t>Bù thưởng chiết khấu tháng 8</t>
      </text>
    </comment>
    <comment ref="AI68" authorId="0" shapeId="0">
      <text>
        <t xml:space="preserve">Hoàn khấu hao đồng phục
</t>
      </text>
    </comment>
  </commentList>
</comments>
</file>

<file path=xl/comments/comment3.xml><?xml version="1.0" encoding="utf-8"?>
<comments xmlns="http://schemas.openxmlformats.org/spreadsheetml/2006/main">
  <authors>
    <author>Admin</author>
  </authors>
  <commentList>
    <comment ref="C52" authorId="0" shapeId="0">
      <text>
        <t>Admin:
Bác sĩ mới gia nhập Medigo từ tháng 4/2026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D109" authorId="0" shapeId="0">
      <text>
        <t>Chủ TK là chị Ngô Thị Hương, do cô ko có tk, cô nhận tiền mặt, chị Hương sẽ gửi tiền mặt cho cô
======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G:\Cam\Cham%20cong%20T7.2026\1\06.08%20CNT%20-%20Bang%20luong%20tong%20T7-2026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PHUNG\luong\2026\Th&#225;ng%205.2026\Bang%20luong%20tong%20T4-2026.Med_nham%2026.4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G:\PHUNG\luong\2026\Th&#225;ng%205.2026\BCC\Copy%20of%20B&#7842;NG%20L&#431;&#416;NG%20TH&#193;NG%205%202026%20-%20Team%20CNT_lay%20file%20nay%20tinh%20luong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G:\Cam\Cham%20cong%20T7.2026\1\Bang%20luong%20tong%20T7-2026%20-%2004.08.2026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../../Admin/Desktop/email%20Medigo_Nhan%20vien%20Cty_2026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AppData/Local/Temp/Zalo%20Temp/TempDownloads/Accounting_Tax_Refund%20PIT_2024-2025.xlsx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G:\PHUNG\nhan%20su\TH&#212;NG%20TIN%20NH&#194;N%20VI&#202;N-11.7.25-moi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ẢNG CC"/>
      <sheetName val="CNT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>
        <row r="6">
          <cell r="C6" t="str">
            <v>Hồ Thị Minh Hòa</v>
          </cell>
          <cell r="D6" t="str">
            <v>DSBC</v>
          </cell>
          <cell r="E6">
            <v>118</v>
          </cell>
          <cell r="F6">
            <v>48.4</v>
          </cell>
          <cell r="G6">
            <v>118</v>
          </cell>
          <cell r="H6">
            <v>48.4</v>
          </cell>
          <cell r="J6">
            <v>18</v>
          </cell>
          <cell r="K6">
            <v>6</v>
          </cell>
          <cell r="N6">
            <v>0</v>
          </cell>
          <cell r="O6">
            <v>0</v>
          </cell>
          <cell r="P6">
            <v>0</v>
          </cell>
          <cell r="R6">
            <v>18</v>
          </cell>
          <cell r="S6">
            <v>0</v>
          </cell>
          <cell r="T6">
            <v>0</v>
          </cell>
          <cell r="V6">
            <v>283333</v>
          </cell>
          <cell r="X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C7" t="str">
            <v>Nguyễn Ngọc Anh Thư</v>
          </cell>
          <cell r="D7" t="str">
            <v>DSTV</v>
          </cell>
          <cell r="E7">
            <v>43.62</v>
          </cell>
          <cell r="F7">
            <v>72.319999999999993</v>
          </cell>
          <cell r="G7">
            <v>39.119999999999997</v>
          </cell>
          <cell r="H7">
            <v>72.319999999999993</v>
          </cell>
          <cell r="J7">
            <v>14</v>
          </cell>
          <cell r="K7">
            <v>9</v>
          </cell>
          <cell r="N7">
            <v>0</v>
          </cell>
          <cell r="O7">
            <v>0</v>
          </cell>
          <cell r="P7">
            <v>0</v>
          </cell>
          <cell r="R7">
            <v>14</v>
          </cell>
          <cell r="S7">
            <v>4.5</v>
          </cell>
          <cell r="T7">
            <v>0</v>
          </cell>
          <cell r="X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C8" t="str">
            <v>Nguyễn Trần Ngọc Phương</v>
          </cell>
          <cell r="D8" t="str">
            <v>CHT</v>
          </cell>
          <cell r="E8">
            <v>146.12</v>
          </cell>
          <cell r="F8">
            <v>70.180000000000007</v>
          </cell>
          <cell r="G8">
            <v>146.12</v>
          </cell>
          <cell r="H8">
            <v>70.180000000000007</v>
          </cell>
          <cell r="J8">
            <v>27</v>
          </cell>
          <cell r="K8">
            <v>9</v>
          </cell>
          <cell r="N8">
            <v>0</v>
          </cell>
          <cell r="O8">
            <v>0</v>
          </cell>
          <cell r="P8">
            <v>0</v>
          </cell>
          <cell r="R8">
            <v>27</v>
          </cell>
          <cell r="S8">
            <v>0</v>
          </cell>
          <cell r="T8">
            <v>0</v>
          </cell>
          <cell r="V8">
            <v>1500000</v>
          </cell>
          <cell r="X8">
            <v>0</v>
          </cell>
          <cell r="AA8">
            <v>0</v>
          </cell>
          <cell r="AD8">
            <v>2000000</v>
          </cell>
          <cell r="AE8">
            <v>0</v>
          </cell>
          <cell r="AF8">
            <v>876500</v>
          </cell>
          <cell r="AG8">
            <v>5680</v>
          </cell>
          <cell r="AH8">
            <v>0</v>
          </cell>
          <cell r="AJ8">
            <v>500000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500000</v>
          </cell>
          <cell r="AP8" t="str">
            <v>Cấn trừ chi phí đồng phục</v>
          </cell>
        </row>
        <row r="9">
          <cell r="C9" t="str">
            <v>Ngô Trần Tuyết Vy</v>
          </cell>
          <cell r="D9" t="str">
            <v>DSBC</v>
          </cell>
          <cell r="E9">
            <v>144.58000000000001</v>
          </cell>
          <cell r="F9">
            <v>137.32</v>
          </cell>
          <cell r="G9">
            <v>128.58000000000001</v>
          </cell>
          <cell r="H9">
            <v>137.32</v>
          </cell>
          <cell r="I9">
            <v>16</v>
          </cell>
          <cell r="J9">
            <v>31</v>
          </cell>
          <cell r="K9">
            <v>17</v>
          </cell>
          <cell r="N9">
            <v>0</v>
          </cell>
          <cell r="O9">
            <v>0</v>
          </cell>
          <cell r="P9">
            <v>0</v>
          </cell>
          <cell r="R9">
            <v>31</v>
          </cell>
          <cell r="S9">
            <v>0</v>
          </cell>
          <cell r="T9">
            <v>0</v>
          </cell>
          <cell r="X9">
            <v>0</v>
          </cell>
          <cell r="AA9">
            <v>0</v>
          </cell>
          <cell r="AD9">
            <v>2200000</v>
          </cell>
          <cell r="AE9">
            <v>1154180</v>
          </cell>
          <cell r="AF9">
            <v>2576900</v>
          </cell>
          <cell r="AG9">
            <v>10408</v>
          </cell>
          <cell r="AH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C10" t="str">
            <v>Phạm Nguyễn Ngọc Quý</v>
          </cell>
          <cell r="D10" t="str">
            <v>DSBC</v>
          </cell>
          <cell r="E10">
            <v>138.41999999999999</v>
          </cell>
          <cell r="F10">
            <v>135.94999999999999</v>
          </cell>
          <cell r="G10">
            <v>122.42</v>
          </cell>
          <cell r="H10">
            <v>135.94999999999999</v>
          </cell>
          <cell r="I10">
            <v>16</v>
          </cell>
          <cell r="J10">
            <v>31</v>
          </cell>
          <cell r="K10">
            <v>17</v>
          </cell>
          <cell r="N10">
            <v>0</v>
          </cell>
          <cell r="O10">
            <v>0</v>
          </cell>
          <cell r="P10">
            <v>0</v>
          </cell>
          <cell r="R10">
            <v>31</v>
          </cell>
          <cell r="S10">
            <v>0</v>
          </cell>
          <cell r="T10">
            <v>0</v>
          </cell>
          <cell r="X10">
            <v>0</v>
          </cell>
          <cell r="AA10">
            <v>0</v>
          </cell>
          <cell r="AD10">
            <v>1000000</v>
          </cell>
          <cell r="AE10">
            <v>0</v>
          </cell>
          <cell r="AF10">
            <v>1968750</v>
          </cell>
          <cell r="AG10">
            <v>1050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C11" t="str">
            <v>Trần Thị Kim Khánh</v>
          </cell>
          <cell r="D11" t="str">
            <v>DSBC</v>
          </cell>
          <cell r="E11">
            <v>212.4</v>
          </cell>
          <cell r="F11">
            <v>87.22</v>
          </cell>
          <cell r="G11">
            <v>196.4</v>
          </cell>
          <cell r="H11">
            <v>87.22</v>
          </cell>
          <cell r="I11">
            <v>16</v>
          </cell>
          <cell r="J11">
            <v>31</v>
          </cell>
          <cell r="K11">
            <v>11</v>
          </cell>
          <cell r="N11">
            <v>0</v>
          </cell>
          <cell r="O11">
            <v>0</v>
          </cell>
          <cell r="P11">
            <v>0</v>
          </cell>
          <cell r="R11">
            <v>31</v>
          </cell>
          <cell r="S11">
            <v>0</v>
          </cell>
          <cell r="T11">
            <v>0</v>
          </cell>
          <cell r="X11">
            <v>0</v>
          </cell>
          <cell r="AA11">
            <v>0</v>
          </cell>
          <cell r="AD11">
            <v>4000000</v>
          </cell>
          <cell r="AE11">
            <v>2027888</v>
          </cell>
          <cell r="AF11">
            <v>3969800</v>
          </cell>
          <cell r="AG11">
            <v>6380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C12" t="str">
            <v>Bùi Thị Thanh Thủy</v>
          </cell>
          <cell r="D12" t="str">
            <v>DSTV</v>
          </cell>
          <cell r="E12">
            <v>56.37</v>
          </cell>
          <cell r="F12">
            <v>0</v>
          </cell>
          <cell r="G12">
            <v>56.37</v>
          </cell>
          <cell r="H12">
            <v>0</v>
          </cell>
          <cell r="J12">
            <v>7</v>
          </cell>
          <cell r="K12">
            <v>0</v>
          </cell>
          <cell r="N12">
            <v>0</v>
          </cell>
          <cell r="O12">
            <v>0</v>
          </cell>
          <cell r="P12">
            <v>0</v>
          </cell>
          <cell r="R12">
            <v>7</v>
          </cell>
          <cell r="S12">
            <v>0</v>
          </cell>
          <cell r="T12">
            <v>0</v>
          </cell>
          <cell r="X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C13" t="str">
            <v>Dương Thị Huỳnh Như</v>
          </cell>
          <cell r="D13" t="str">
            <v>DSTV</v>
          </cell>
          <cell r="E13">
            <v>24.13</v>
          </cell>
          <cell r="F13">
            <v>0</v>
          </cell>
          <cell r="G13">
            <v>24.13</v>
          </cell>
          <cell r="H13">
            <v>0</v>
          </cell>
          <cell r="J13">
            <v>3</v>
          </cell>
          <cell r="K13">
            <v>0</v>
          </cell>
          <cell r="N13">
            <v>0</v>
          </cell>
          <cell r="O13">
            <v>0</v>
          </cell>
          <cell r="P13">
            <v>0</v>
          </cell>
          <cell r="R13">
            <v>3</v>
          </cell>
          <cell r="S13">
            <v>0</v>
          </cell>
          <cell r="T13">
            <v>0</v>
          </cell>
          <cell r="X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C14" t="str">
            <v>Hoàng Thanh Thủy</v>
          </cell>
          <cell r="D14" t="str">
            <v>DSBC</v>
          </cell>
          <cell r="E14">
            <v>260.60000000000002</v>
          </cell>
          <cell r="F14">
            <v>0.6</v>
          </cell>
          <cell r="G14">
            <v>244.6</v>
          </cell>
          <cell r="H14">
            <v>0.6</v>
          </cell>
          <cell r="I14">
            <v>16</v>
          </cell>
          <cell r="J14">
            <v>30</v>
          </cell>
          <cell r="K14">
            <v>0</v>
          </cell>
          <cell r="N14">
            <v>0</v>
          </cell>
          <cell r="O14">
            <v>0</v>
          </cell>
          <cell r="P14">
            <v>0</v>
          </cell>
          <cell r="R14">
            <v>30</v>
          </cell>
          <cell r="S14">
            <v>0</v>
          </cell>
          <cell r="T14">
            <v>0</v>
          </cell>
          <cell r="X14">
            <v>0</v>
          </cell>
          <cell r="AA14">
            <v>0</v>
          </cell>
          <cell r="AC14">
            <v>3664228</v>
          </cell>
          <cell r="AD14">
            <v>0</v>
          </cell>
          <cell r="AE14">
            <v>0</v>
          </cell>
          <cell r="AF14">
            <v>1292850</v>
          </cell>
          <cell r="AG14">
            <v>141680</v>
          </cell>
          <cell r="AH14">
            <v>0</v>
          </cell>
          <cell r="AI14">
            <v>1572430</v>
          </cell>
          <cell r="AJ14">
            <v>100000</v>
          </cell>
          <cell r="AK14">
            <v>0</v>
          </cell>
          <cell r="AL14">
            <v>0</v>
          </cell>
          <cell r="AM14">
            <v>100000</v>
          </cell>
          <cell r="AN14">
            <v>0</v>
          </cell>
          <cell r="AO14">
            <v>0</v>
          </cell>
          <cell r="AP14" t="str">
            <v>Sai kênh bán HD1155007 : 100.000đ</v>
          </cell>
        </row>
        <row r="15">
          <cell r="C15" t="str">
            <v>Lê Thị Huyền Trân</v>
          </cell>
          <cell r="D15" t="str">
            <v>DSBC</v>
          </cell>
          <cell r="E15">
            <v>248.83</v>
          </cell>
          <cell r="F15">
            <v>8.08</v>
          </cell>
          <cell r="G15">
            <v>232.83</v>
          </cell>
          <cell r="H15">
            <v>8.08</v>
          </cell>
          <cell r="I15">
            <v>16</v>
          </cell>
          <cell r="J15">
            <v>30</v>
          </cell>
          <cell r="K15">
            <v>1</v>
          </cell>
          <cell r="N15">
            <v>0</v>
          </cell>
          <cell r="O15">
            <v>0</v>
          </cell>
          <cell r="P15">
            <v>0</v>
          </cell>
          <cell r="R15">
            <v>30</v>
          </cell>
          <cell r="S15">
            <v>0</v>
          </cell>
          <cell r="T15">
            <v>0</v>
          </cell>
          <cell r="X15">
            <v>0</v>
          </cell>
          <cell r="AA15">
            <v>0</v>
          </cell>
          <cell r="AC15">
            <v>2317896</v>
          </cell>
          <cell r="AD15">
            <v>0</v>
          </cell>
          <cell r="AE15">
            <v>0</v>
          </cell>
          <cell r="AF15">
            <v>1022400</v>
          </cell>
          <cell r="AG15">
            <v>43495</v>
          </cell>
          <cell r="AH15">
            <v>0</v>
          </cell>
          <cell r="AI15">
            <v>1119186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C16" t="str">
            <v>Nguyễn Thị Huyền Trang</v>
          </cell>
          <cell r="D16" t="str">
            <v>DSTV</v>
          </cell>
          <cell r="E16">
            <v>57</v>
          </cell>
          <cell r="F16">
            <v>0</v>
          </cell>
          <cell r="G16">
            <v>57</v>
          </cell>
          <cell r="H16">
            <v>0</v>
          </cell>
          <cell r="J16">
            <v>7</v>
          </cell>
          <cell r="K16">
            <v>0</v>
          </cell>
          <cell r="N16">
            <v>0</v>
          </cell>
          <cell r="O16">
            <v>0</v>
          </cell>
          <cell r="P16">
            <v>0</v>
          </cell>
          <cell r="R16">
            <v>7</v>
          </cell>
          <cell r="S16">
            <v>0</v>
          </cell>
          <cell r="T16">
            <v>0</v>
          </cell>
          <cell r="X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C17" t="str">
            <v>Ngô Thị Ngọc Thủy</v>
          </cell>
          <cell r="D17" t="str">
            <v>DSTV</v>
          </cell>
          <cell r="E17">
            <v>64.62</v>
          </cell>
          <cell r="F17">
            <v>0</v>
          </cell>
          <cell r="G17">
            <v>64.62</v>
          </cell>
          <cell r="H17">
            <v>0</v>
          </cell>
          <cell r="J17">
            <v>8</v>
          </cell>
          <cell r="K17">
            <v>0</v>
          </cell>
          <cell r="N17">
            <v>0</v>
          </cell>
          <cell r="O17">
            <v>0</v>
          </cell>
          <cell r="P17">
            <v>0</v>
          </cell>
          <cell r="R17">
            <v>8</v>
          </cell>
          <cell r="S17">
            <v>0</v>
          </cell>
          <cell r="T17">
            <v>0</v>
          </cell>
          <cell r="X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C18" t="str">
            <v>Ngô Thị Thanh Thắm</v>
          </cell>
          <cell r="D18" t="str">
            <v>CHT</v>
          </cell>
          <cell r="E18">
            <v>225.32</v>
          </cell>
          <cell r="F18">
            <v>0</v>
          </cell>
          <cell r="G18">
            <v>201.32</v>
          </cell>
          <cell r="H18">
            <v>0</v>
          </cell>
          <cell r="J18">
            <v>25</v>
          </cell>
          <cell r="K18">
            <v>0</v>
          </cell>
          <cell r="N18">
            <v>0</v>
          </cell>
          <cell r="O18">
            <v>0</v>
          </cell>
          <cell r="P18">
            <v>0</v>
          </cell>
          <cell r="R18">
            <v>25</v>
          </cell>
          <cell r="S18">
            <v>0</v>
          </cell>
          <cell r="T18">
            <v>24</v>
          </cell>
          <cell r="U18" t="str">
            <v>19/07/2026 - 21/07/2026</v>
          </cell>
          <cell r="V18">
            <v>1500000</v>
          </cell>
          <cell r="X18">
            <v>0</v>
          </cell>
          <cell r="AA18">
            <v>0</v>
          </cell>
          <cell r="AC18">
            <v>2673092</v>
          </cell>
          <cell r="AD18">
            <v>0</v>
          </cell>
          <cell r="AE18">
            <v>0</v>
          </cell>
          <cell r="AF18">
            <v>435350</v>
          </cell>
          <cell r="AG18">
            <v>9545</v>
          </cell>
          <cell r="AH18">
            <v>0</v>
          </cell>
          <cell r="AI18">
            <v>2893430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C19" t="str">
            <v>Phạm Thị Diên</v>
          </cell>
          <cell r="D19" t="str">
            <v>DSTV</v>
          </cell>
          <cell r="E19">
            <v>16.47</v>
          </cell>
          <cell r="F19">
            <v>0</v>
          </cell>
          <cell r="G19">
            <v>16.47</v>
          </cell>
          <cell r="H19">
            <v>0</v>
          </cell>
          <cell r="J19">
            <v>2</v>
          </cell>
          <cell r="K19">
            <v>0</v>
          </cell>
          <cell r="N19">
            <v>0</v>
          </cell>
          <cell r="O19">
            <v>0</v>
          </cell>
          <cell r="P19">
            <v>0</v>
          </cell>
          <cell r="R19">
            <v>2</v>
          </cell>
          <cell r="S19">
            <v>0</v>
          </cell>
          <cell r="T19">
            <v>0</v>
          </cell>
          <cell r="X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C20" t="str">
            <v>Phạm Thị Nghĩa Hương</v>
          </cell>
          <cell r="D20" t="str">
            <v>DSCD</v>
          </cell>
          <cell r="E20">
            <v>16</v>
          </cell>
          <cell r="F20">
            <v>237.83</v>
          </cell>
          <cell r="G20">
            <v>0</v>
          </cell>
          <cell r="H20">
            <v>237.83</v>
          </cell>
          <cell r="I20">
            <v>16</v>
          </cell>
          <cell r="J20">
            <v>30</v>
          </cell>
          <cell r="K20">
            <v>30</v>
          </cell>
          <cell r="N20">
            <v>0</v>
          </cell>
          <cell r="O20">
            <v>0</v>
          </cell>
          <cell r="P20">
            <v>0</v>
          </cell>
          <cell r="R20">
            <v>30</v>
          </cell>
          <cell r="S20">
            <v>0</v>
          </cell>
          <cell r="T20">
            <v>0</v>
          </cell>
          <cell r="X20">
            <v>1500000</v>
          </cell>
          <cell r="AA20">
            <v>0</v>
          </cell>
          <cell r="AC20">
            <v>333844</v>
          </cell>
          <cell r="AD20">
            <v>0</v>
          </cell>
          <cell r="AE20">
            <v>0</v>
          </cell>
          <cell r="AF20">
            <v>509500</v>
          </cell>
          <cell r="AG20">
            <v>7535</v>
          </cell>
          <cell r="AH20">
            <v>0</v>
          </cell>
          <cell r="AI20">
            <v>290000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C21" t="str">
            <v>Trần Thiên Phát</v>
          </cell>
          <cell r="D21" t="str">
            <v>DSCD</v>
          </cell>
          <cell r="E21">
            <v>16</v>
          </cell>
          <cell r="F21">
            <v>230.67</v>
          </cell>
          <cell r="G21">
            <v>0</v>
          </cell>
          <cell r="H21">
            <v>230.67</v>
          </cell>
          <cell r="I21">
            <v>16</v>
          </cell>
          <cell r="J21">
            <v>30</v>
          </cell>
          <cell r="K21">
            <v>30</v>
          </cell>
          <cell r="N21">
            <v>0</v>
          </cell>
          <cell r="O21">
            <v>0</v>
          </cell>
          <cell r="P21">
            <v>0</v>
          </cell>
          <cell r="R21">
            <v>30</v>
          </cell>
          <cell r="S21">
            <v>0</v>
          </cell>
          <cell r="T21">
            <v>0</v>
          </cell>
          <cell r="X21">
            <v>1500000</v>
          </cell>
          <cell r="AA21">
            <v>0</v>
          </cell>
          <cell r="AC21">
            <v>354632</v>
          </cell>
          <cell r="AD21">
            <v>0</v>
          </cell>
          <cell r="AE21">
            <v>0</v>
          </cell>
          <cell r="AF21">
            <v>579300</v>
          </cell>
          <cell r="AG21">
            <v>5485</v>
          </cell>
          <cell r="AH21">
            <v>0</v>
          </cell>
          <cell r="AI21">
            <v>114300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C22" t="str">
            <v>Đinh Hoài Bảo</v>
          </cell>
          <cell r="D22" t="str">
            <v>DSTV</v>
          </cell>
          <cell r="E22">
            <v>73.069999999999993</v>
          </cell>
          <cell r="F22">
            <v>0</v>
          </cell>
          <cell r="G22">
            <v>73.069999999999993</v>
          </cell>
          <cell r="H22">
            <v>0</v>
          </cell>
          <cell r="J22">
            <v>9</v>
          </cell>
          <cell r="K22">
            <v>0</v>
          </cell>
          <cell r="N22">
            <v>0</v>
          </cell>
          <cell r="O22">
            <v>0</v>
          </cell>
          <cell r="P22">
            <v>0</v>
          </cell>
          <cell r="R22">
            <v>9</v>
          </cell>
          <cell r="S22">
            <v>0</v>
          </cell>
          <cell r="T22">
            <v>0</v>
          </cell>
          <cell r="X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100000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C23" t="str">
            <v>Bùi Thị Thanh Thủy</v>
          </cell>
          <cell r="D23" t="str">
            <v>DSTV</v>
          </cell>
          <cell r="E23">
            <v>218.52</v>
          </cell>
          <cell r="F23">
            <v>0</v>
          </cell>
          <cell r="G23">
            <v>211.52</v>
          </cell>
          <cell r="H23">
            <v>0</v>
          </cell>
          <cell r="J23">
            <v>22</v>
          </cell>
          <cell r="K23">
            <v>0</v>
          </cell>
          <cell r="N23">
            <v>0</v>
          </cell>
          <cell r="O23">
            <v>0</v>
          </cell>
          <cell r="P23">
            <v>0</v>
          </cell>
          <cell r="R23">
            <v>22</v>
          </cell>
          <cell r="S23">
            <v>7</v>
          </cell>
          <cell r="T23">
            <v>0</v>
          </cell>
          <cell r="X23">
            <v>0</v>
          </cell>
          <cell r="AA23">
            <v>0</v>
          </cell>
          <cell r="AD23">
            <v>709677</v>
          </cell>
          <cell r="AE23">
            <v>0</v>
          </cell>
          <cell r="AF23">
            <v>210200</v>
          </cell>
          <cell r="AG23">
            <v>1038</v>
          </cell>
          <cell r="AH23">
            <v>0</v>
          </cell>
          <cell r="AJ23">
            <v>500000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500000</v>
          </cell>
          <cell r="AP23" t="str">
            <v>Cấn trừ chi phí đồng phục</v>
          </cell>
        </row>
        <row r="24">
          <cell r="C24" t="str">
            <v>Hoàng Lâm Gia Bảo</v>
          </cell>
          <cell r="D24" t="str">
            <v>DSTV</v>
          </cell>
          <cell r="E24">
            <v>34</v>
          </cell>
          <cell r="F24">
            <v>0</v>
          </cell>
          <cell r="G24">
            <v>34</v>
          </cell>
          <cell r="H24">
            <v>0</v>
          </cell>
          <cell r="J24">
            <v>5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R24">
            <v>5</v>
          </cell>
          <cell r="S24">
            <v>0</v>
          </cell>
          <cell r="T24">
            <v>0</v>
          </cell>
          <cell r="X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C25" t="str">
            <v>Hạ Ngân Khánh</v>
          </cell>
          <cell r="D25" t="str">
            <v>DSBC</v>
          </cell>
          <cell r="E25">
            <v>61.17</v>
          </cell>
          <cell r="F25">
            <v>0</v>
          </cell>
          <cell r="G25">
            <v>61.17</v>
          </cell>
          <cell r="H25">
            <v>0</v>
          </cell>
          <cell r="J25">
            <v>6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  <cell r="R25">
            <v>6</v>
          </cell>
          <cell r="S25">
            <v>0</v>
          </cell>
          <cell r="T25">
            <v>0</v>
          </cell>
          <cell r="V25">
            <v>107143</v>
          </cell>
          <cell r="X25">
            <v>0</v>
          </cell>
          <cell r="AA25">
            <v>0</v>
          </cell>
          <cell r="AE25">
            <v>0</v>
          </cell>
          <cell r="AF25">
            <v>114200</v>
          </cell>
          <cell r="AG25">
            <v>1425</v>
          </cell>
          <cell r="AH25">
            <v>0</v>
          </cell>
          <cell r="AI25">
            <v>500000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C26" t="str">
            <v>Đỗ Thị Kim Tiến</v>
          </cell>
          <cell r="D26" t="str">
            <v>DSTV</v>
          </cell>
          <cell r="E26">
            <v>23.42</v>
          </cell>
          <cell r="F26">
            <v>88.58</v>
          </cell>
          <cell r="G26">
            <v>23.42</v>
          </cell>
          <cell r="H26">
            <v>88.58</v>
          </cell>
          <cell r="J26">
            <v>12</v>
          </cell>
          <cell r="K26">
            <v>11</v>
          </cell>
          <cell r="N26">
            <v>0</v>
          </cell>
          <cell r="O26">
            <v>0</v>
          </cell>
          <cell r="P26">
            <v>0</v>
          </cell>
          <cell r="R26">
            <v>12</v>
          </cell>
          <cell r="S26">
            <v>0</v>
          </cell>
          <cell r="T26">
            <v>0</v>
          </cell>
          <cell r="X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C27" t="str">
            <v>Nguyễn Thị Huyền Trang</v>
          </cell>
          <cell r="D27" t="str">
            <v>DSTV</v>
          </cell>
          <cell r="E27">
            <v>216.95</v>
          </cell>
          <cell r="F27">
            <v>0</v>
          </cell>
          <cell r="G27">
            <v>209.95</v>
          </cell>
          <cell r="H27">
            <v>0</v>
          </cell>
          <cell r="J27">
            <v>22</v>
          </cell>
          <cell r="K27">
            <v>0</v>
          </cell>
          <cell r="N27">
            <v>0</v>
          </cell>
          <cell r="O27">
            <v>0</v>
          </cell>
          <cell r="P27">
            <v>0</v>
          </cell>
          <cell r="R27">
            <v>22</v>
          </cell>
          <cell r="S27">
            <v>7</v>
          </cell>
          <cell r="T27">
            <v>0</v>
          </cell>
          <cell r="X27">
            <v>0</v>
          </cell>
          <cell r="AA27">
            <v>0</v>
          </cell>
          <cell r="AD27">
            <v>677419</v>
          </cell>
          <cell r="AE27">
            <v>0</v>
          </cell>
          <cell r="AF27">
            <v>129600</v>
          </cell>
          <cell r="AG27">
            <v>1170</v>
          </cell>
          <cell r="AH27">
            <v>0</v>
          </cell>
          <cell r="AJ27">
            <v>500000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500000</v>
          </cell>
          <cell r="AP27" t="str">
            <v>Cấn trừ chi phí đồng phục</v>
          </cell>
        </row>
        <row r="28">
          <cell r="C28" t="str">
            <v>Nguyễn Trí Nghĩa</v>
          </cell>
          <cell r="D28" t="str">
            <v>DSBC</v>
          </cell>
          <cell r="E28">
            <v>56.15</v>
          </cell>
          <cell r="F28">
            <v>15.83</v>
          </cell>
          <cell r="G28">
            <v>56.15</v>
          </cell>
          <cell r="H28">
            <v>15.83</v>
          </cell>
          <cell r="J28">
            <v>8</v>
          </cell>
          <cell r="K28">
            <v>2</v>
          </cell>
          <cell r="N28">
            <v>0</v>
          </cell>
          <cell r="O28">
            <v>0</v>
          </cell>
          <cell r="P28">
            <v>0</v>
          </cell>
          <cell r="R28">
            <v>8</v>
          </cell>
          <cell r="S28">
            <v>0</v>
          </cell>
          <cell r="T28">
            <v>0</v>
          </cell>
          <cell r="X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C29" t="str">
            <v>Phan Công Vũ Tài</v>
          </cell>
          <cell r="D29" t="str">
            <v>DSBC</v>
          </cell>
          <cell r="E29">
            <v>97.13</v>
          </cell>
          <cell r="F29">
            <v>1.37</v>
          </cell>
          <cell r="G29">
            <v>97.13</v>
          </cell>
          <cell r="H29">
            <v>1.37</v>
          </cell>
          <cell r="J29">
            <v>16</v>
          </cell>
          <cell r="K29">
            <v>0</v>
          </cell>
          <cell r="N29">
            <v>0</v>
          </cell>
          <cell r="O29">
            <v>0</v>
          </cell>
          <cell r="P29">
            <v>0</v>
          </cell>
          <cell r="R29">
            <v>15</v>
          </cell>
          <cell r="S29">
            <v>0</v>
          </cell>
          <cell r="T29">
            <v>0</v>
          </cell>
          <cell r="X29">
            <v>0</v>
          </cell>
          <cell r="Y29">
            <v>1000000</v>
          </cell>
          <cell r="Z29">
            <v>2000000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C30" t="str">
            <v>Phạm Thị Diên</v>
          </cell>
          <cell r="D30" t="str">
            <v>DSTV</v>
          </cell>
          <cell r="E30">
            <v>36.82</v>
          </cell>
          <cell r="F30">
            <v>0</v>
          </cell>
          <cell r="G30">
            <v>30.32</v>
          </cell>
          <cell r="H30">
            <v>0</v>
          </cell>
          <cell r="J30">
            <v>4</v>
          </cell>
          <cell r="K30">
            <v>0</v>
          </cell>
          <cell r="N30">
            <v>0</v>
          </cell>
          <cell r="O30">
            <v>0</v>
          </cell>
          <cell r="P30">
            <v>0</v>
          </cell>
          <cell r="R30">
            <v>4</v>
          </cell>
          <cell r="S30">
            <v>6.5</v>
          </cell>
          <cell r="T30">
            <v>0</v>
          </cell>
          <cell r="X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C31" t="str">
            <v>Trần Thị Ánh Nguyệt</v>
          </cell>
          <cell r="D31" t="str">
            <v>DSCD</v>
          </cell>
          <cell r="E31">
            <v>30.02</v>
          </cell>
          <cell r="F31">
            <v>233.67</v>
          </cell>
          <cell r="G31">
            <v>22.02</v>
          </cell>
          <cell r="H31">
            <v>233.67</v>
          </cell>
          <cell r="I31">
            <v>8</v>
          </cell>
          <cell r="J31">
            <v>29</v>
          </cell>
          <cell r="K31">
            <v>29</v>
          </cell>
          <cell r="N31">
            <v>0</v>
          </cell>
          <cell r="O31">
            <v>0</v>
          </cell>
          <cell r="P31">
            <v>0</v>
          </cell>
          <cell r="R31">
            <v>29</v>
          </cell>
          <cell r="S31">
            <v>0</v>
          </cell>
          <cell r="T31">
            <v>0</v>
          </cell>
          <cell r="X31">
            <v>1500000</v>
          </cell>
          <cell r="AA31">
            <v>0</v>
          </cell>
          <cell r="AD31">
            <v>1000000</v>
          </cell>
          <cell r="AE31">
            <v>0</v>
          </cell>
          <cell r="AF31">
            <v>1900800</v>
          </cell>
          <cell r="AG31">
            <v>28790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C32" t="str">
            <v>Đỗ Thị Thu Hương</v>
          </cell>
          <cell r="D32" t="str">
            <v>DSCD</v>
          </cell>
          <cell r="E32">
            <v>24</v>
          </cell>
          <cell r="F32">
            <v>107.98</v>
          </cell>
          <cell r="G32">
            <v>0</v>
          </cell>
          <cell r="H32">
            <v>107.98</v>
          </cell>
          <cell r="J32">
            <v>14</v>
          </cell>
          <cell r="K32">
            <v>14</v>
          </cell>
          <cell r="N32">
            <v>0</v>
          </cell>
          <cell r="O32">
            <v>0</v>
          </cell>
          <cell r="P32">
            <v>0</v>
          </cell>
          <cell r="R32">
            <v>14</v>
          </cell>
          <cell r="S32">
            <v>0</v>
          </cell>
          <cell r="T32">
            <v>24</v>
          </cell>
          <cell r="U32" t="str">
            <v>17/07/2026 - 19/07/2026</v>
          </cell>
          <cell r="X32">
            <v>750000</v>
          </cell>
          <cell r="AA32">
            <v>0</v>
          </cell>
          <cell r="AE32">
            <v>0</v>
          </cell>
          <cell r="AF32">
            <v>482100</v>
          </cell>
          <cell r="AG32">
            <v>600</v>
          </cell>
          <cell r="AH32">
            <v>0</v>
          </cell>
          <cell r="AI32">
            <v>857694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C33" t="str">
            <v>Hoàng Lâm Gia Bảo</v>
          </cell>
          <cell r="D33" t="str">
            <v>DSTV</v>
          </cell>
          <cell r="E33">
            <v>114.55</v>
          </cell>
          <cell r="F33">
            <v>0.7</v>
          </cell>
          <cell r="G33">
            <v>114.55</v>
          </cell>
          <cell r="H33">
            <v>0.7</v>
          </cell>
          <cell r="J33">
            <v>14</v>
          </cell>
          <cell r="K33">
            <v>0</v>
          </cell>
          <cell r="N33">
            <v>0</v>
          </cell>
          <cell r="O33">
            <v>0</v>
          </cell>
          <cell r="P33">
            <v>0</v>
          </cell>
          <cell r="R33">
            <v>14</v>
          </cell>
          <cell r="S33">
            <v>0</v>
          </cell>
          <cell r="T33">
            <v>0</v>
          </cell>
          <cell r="X33">
            <v>0</v>
          </cell>
          <cell r="AD33">
            <v>500000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C34" t="str">
            <v>Lê Thị Xuyến</v>
          </cell>
          <cell r="D34" t="str">
            <v>DSTV</v>
          </cell>
          <cell r="E34">
            <v>2.15</v>
          </cell>
          <cell r="F34">
            <v>48.1</v>
          </cell>
          <cell r="G34">
            <v>2.15</v>
          </cell>
          <cell r="H34">
            <v>48.1</v>
          </cell>
          <cell r="J34">
            <v>6</v>
          </cell>
          <cell r="K34">
            <v>6</v>
          </cell>
          <cell r="N34">
            <v>0</v>
          </cell>
          <cell r="O34">
            <v>0</v>
          </cell>
          <cell r="P34">
            <v>0</v>
          </cell>
          <cell r="R34">
            <v>6</v>
          </cell>
          <cell r="S34">
            <v>0</v>
          </cell>
          <cell r="T34">
            <v>0</v>
          </cell>
          <cell r="X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C35" t="str">
            <v>Nguyễn Ngọc Thùy</v>
          </cell>
          <cell r="D35" t="str">
            <v>DSTV</v>
          </cell>
          <cell r="E35">
            <v>121.25</v>
          </cell>
          <cell r="F35">
            <v>16.07</v>
          </cell>
          <cell r="G35">
            <v>119.25</v>
          </cell>
          <cell r="H35">
            <v>16.07</v>
          </cell>
          <cell r="J35">
            <v>16</v>
          </cell>
          <cell r="K35">
            <v>2</v>
          </cell>
          <cell r="N35">
            <v>0</v>
          </cell>
          <cell r="O35">
            <v>0</v>
          </cell>
          <cell r="P35">
            <v>0</v>
          </cell>
          <cell r="R35">
            <v>16</v>
          </cell>
          <cell r="S35">
            <v>2</v>
          </cell>
          <cell r="T35">
            <v>0</v>
          </cell>
          <cell r="X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</row>
        <row r="36">
          <cell r="C36" t="str">
            <v>Nguyễn Ngọc Đài Trang</v>
          </cell>
          <cell r="D36" t="str">
            <v>DSHV</v>
          </cell>
          <cell r="E36">
            <v>184.28</v>
          </cell>
          <cell r="F36">
            <v>0</v>
          </cell>
          <cell r="G36">
            <v>184.28</v>
          </cell>
          <cell r="H36">
            <v>0</v>
          </cell>
          <cell r="J36">
            <v>23</v>
          </cell>
          <cell r="K36">
            <v>0</v>
          </cell>
          <cell r="N36">
            <v>0</v>
          </cell>
          <cell r="O36">
            <v>0</v>
          </cell>
          <cell r="P36">
            <v>0</v>
          </cell>
          <cell r="R36">
            <v>23</v>
          </cell>
          <cell r="S36">
            <v>0</v>
          </cell>
          <cell r="T36">
            <v>0</v>
          </cell>
          <cell r="X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</row>
        <row r="37">
          <cell r="C37" t="str">
            <v>Phan Công Vũ Tài</v>
          </cell>
          <cell r="D37" t="str">
            <v>DSBC</v>
          </cell>
          <cell r="E37">
            <v>110.28</v>
          </cell>
          <cell r="F37">
            <v>166.5</v>
          </cell>
          <cell r="G37">
            <v>102.28</v>
          </cell>
          <cell r="H37">
            <v>166.5</v>
          </cell>
          <cell r="I37">
            <v>8</v>
          </cell>
          <cell r="J37">
            <v>29</v>
          </cell>
          <cell r="K37">
            <v>21</v>
          </cell>
          <cell r="N37">
            <v>0</v>
          </cell>
          <cell r="O37">
            <v>0</v>
          </cell>
          <cell r="P37">
            <v>0</v>
          </cell>
          <cell r="R37">
            <v>29</v>
          </cell>
          <cell r="S37">
            <v>0</v>
          </cell>
          <cell r="T37">
            <v>0</v>
          </cell>
          <cell r="X37">
            <v>1125000</v>
          </cell>
          <cell r="AA37">
            <v>25000</v>
          </cell>
          <cell r="AD37">
            <v>2800000</v>
          </cell>
          <cell r="AE37">
            <v>1718096</v>
          </cell>
          <cell r="AF37">
            <v>2985250</v>
          </cell>
          <cell r="AG37">
            <v>4680</v>
          </cell>
          <cell r="AH37">
            <v>0</v>
          </cell>
          <cell r="AJ37">
            <v>4400000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4400000</v>
          </cell>
          <cell r="AP37" t="str">
            <v>Tính nhầm bảng lương tháng 6</v>
          </cell>
        </row>
        <row r="38">
          <cell r="C38" t="str">
            <v>Thái Thùy Linh</v>
          </cell>
          <cell r="D38" t="str">
            <v>CHT</v>
          </cell>
          <cell r="E38">
            <v>313.89999999999998</v>
          </cell>
          <cell r="F38">
            <v>32.67</v>
          </cell>
          <cell r="G38">
            <v>297.89999999999998</v>
          </cell>
          <cell r="H38">
            <v>32.67</v>
          </cell>
          <cell r="I38">
            <v>16</v>
          </cell>
          <cell r="J38">
            <v>30</v>
          </cell>
          <cell r="K38">
            <v>4</v>
          </cell>
          <cell r="N38">
            <v>0</v>
          </cell>
          <cell r="O38">
            <v>0</v>
          </cell>
          <cell r="P38">
            <v>0</v>
          </cell>
          <cell r="R38">
            <v>30</v>
          </cell>
          <cell r="S38">
            <v>0</v>
          </cell>
          <cell r="T38">
            <v>0</v>
          </cell>
          <cell r="V38">
            <v>1500000</v>
          </cell>
          <cell r="X38">
            <v>0</v>
          </cell>
          <cell r="AA38">
            <v>0</v>
          </cell>
          <cell r="AB38">
            <v>300000</v>
          </cell>
          <cell r="AD38">
            <v>0</v>
          </cell>
          <cell r="AE38">
            <v>0</v>
          </cell>
          <cell r="AF38">
            <v>1269800</v>
          </cell>
          <cell r="AG38">
            <v>9980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C39" t="str">
            <v>Trịnh Thị Phượng</v>
          </cell>
          <cell r="D39" t="str">
            <v>DSCD</v>
          </cell>
          <cell r="E39">
            <v>56</v>
          </cell>
          <cell r="F39">
            <v>187.47</v>
          </cell>
          <cell r="G39">
            <v>0</v>
          </cell>
          <cell r="H39">
            <v>187.47</v>
          </cell>
          <cell r="J39">
            <v>24</v>
          </cell>
          <cell r="K39">
            <v>23</v>
          </cell>
          <cell r="N39">
            <v>0</v>
          </cell>
          <cell r="O39">
            <v>0</v>
          </cell>
          <cell r="P39">
            <v>0</v>
          </cell>
          <cell r="R39">
            <v>23</v>
          </cell>
          <cell r="S39">
            <v>0</v>
          </cell>
          <cell r="T39">
            <v>56</v>
          </cell>
          <cell r="U39" t="str">
            <v>03/07/2026 - 05/07/2026 &amp; 18/07/2026 - 21/07/2026</v>
          </cell>
          <cell r="X39">
            <v>1285714</v>
          </cell>
          <cell r="AA39">
            <v>25000</v>
          </cell>
          <cell r="AD39">
            <v>2200000</v>
          </cell>
          <cell r="AE39">
            <v>1249096</v>
          </cell>
          <cell r="AF39">
            <v>2634550</v>
          </cell>
          <cell r="AG39">
            <v>1620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C40" t="str">
            <v>Cù Thị Tường Vy</v>
          </cell>
          <cell r="D40" t="str">
            <v>CHT</v>
          </cell>
          <cell r="E40">
            <v>13</v>
          </cell>
          <cell r="F40">
            <v>0</v>
          </cell>
          <cell r="G40">
            <v>5</v>
          </cell>
          <cell r="H40">
            <v>0</v>
          </cell>
          <cell r="J40">
            <v>1</v>
          </cell>
          <cell r="K40">
            <v>0</v>
          </cell>
          <cell r="N40">
            <v>0</v>
          </cell>
          <cell r="O40">
            <v>0</v>
          </cell>
          <cell r="P40">
            <v>0</v>
          </cell>
          <cell r="R40">
            <v>1</v>
          </cell>
          <cell r="S40">
            <v>0</v>
          </cell>
          <cell r="T40">
            <v>0</v>
          </cell>
          <cell r="V40">
            <v>1500000</v>
          </cell>
          <cell r="X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str">
            <v>Cộng 8h/ 1 ngày do tháng 6/2026 bị treo 1 ngày phép</v>
          </cell>
        </row>
        <row r="41">
          <cell r="C41" t="str">
            <v>Hoàng Lâm Gia Bảo</v>
          </cell>
          <cell r="D41" t="str">
            <v>DSTV</v>
          </cell>
          <cell r="E41">
            <v>137.72999999999999</v>
          </cell>
          <cell r="F41">
            <v>1.53</v>
          </cell>
          <cell r="G41">
            <v>137.72999999999999</v>
          </cell>
          <cell r="H41">
            <v>1.53</v>
          </cell>
          <cell r="J41">
            <v>14</v>
          </cell>
          <cell r="K41">
            <v>0</v>
          </cell>
          <cell r="N41">
            <v>0</v>
          </cell>
          <cell r="O41">
            <v>0</v>
          </cell>
          <cell r="P41">
            <v>0</v>
          </cell>
          <cell r="R41">
            <v>14</v>
          </cell>
          <cell r="S41">
            <v>0</v>
          </cell>
          <cell r="T41">
            <v>0</v>
          </cell>
          <cell r="X41">
            <v>0</v>
          </cell>
          <cell r="AA41">
            <v>0</v>
          </cell>
          <cell r="AD41">
            <v>500000</v>
          </cell>
          <cell r="AE41">
            <v>0</v>
          </cell>
          <cell r="AF41">
            <v>733600</v>
          </cell>
          <cell r="AG41">
            <v>10985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C42" t="str">
            <v>Hồ Thị Minh Hòa</v>
          </cell>
          <cell r="D42" t="str">
            <v>Q.CHT</v>
          </cell>
          <cell r="E42">
            <v>114.32</v>
          </cell>
          <cell r="F42">
            <v>24.88</v>
          </cell>
          <cell r="G42">
            <v>114.32</v>
          </cell>
          <cell r="H42">
            <v>24.88</v>
          </cell>
          <cell r="J42">
            <v>15</v>
          </cell>
          <cell r="K42">
            <v>3</v>
          </cell>
          <cell r="N42">
            <v>0</v>
          </cell>
          <cell r="O42">
            <v>0</v>
          </cell>
          <cell r="P42">
            <v>0</v>
          </cell>
          <cell r="R42">
            <v>14</v>
          </cell>
          <cell r="S42">
            <v>0</v>
          </cell>
          <cell r="T42">
            <v>0</v>
          </cell>
          <cell r="V42">
            <v>933333</v>
          </cell>
          <cell r="X42">
            <v>0</v>
          </cell>
          <cell r="AA42">
            <v>0</v>
          </cell>
          <cell r="AD42">
            <v>1000000</v>
          </cell>
          <cell r="AE42">
            <v>0</v>
          </cell>
          <cell r="AF42">
            <v>1322010</v>
          </cell>
          <cell r="AG42">
            <v>290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C43" t="str">
            <v>Lê Thị Xuyến</v>
          </cell>
          <cell r="D43" t="str">
            <v>DSTV</v>
          </cell>
          <cell r="E43">
            <v>35.53</v>
          </cell>
          <cell r="F43">
            <v>48.13</v>
          </cell>
          <cell r="G43">
            <v>28.53</v>
          </cell>
          <cell r="H43">
            <v>48.13</v>
          </cell>
          <cell r="J43">
            <v>8</v>
          </cell>
          <cell r="K43">
            <v>6</v>
          </cell>
          <cell r="N43">
            <v>0</v>
          </cell>
          <cell r="O43">
            <v>0</v>
          </cell>
          <cell r="P43">
            <v>0</v>
          </cell>
          <cell r="R43">
            <v>8</v>
          </cell>
          <cell r="S43">
            <v>7</v>
          </cell>
          <cell r="T43">
            <v>0</v>
          </cell>
          <cell r="X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C44" t="str">
            <v>Phan Công Vũ Tài</v>
          </cell>
          <cell r="D44" t="str">
            <v>DSBC</v>
          </cell>
          <cell r="E44">
            <v>0</v>
          </cell>
          <cell r="F44">
            <v>31</v>
          </cell>
          <cell r="G44">
            <v>0</v>
          </cell>
          <cell r="H44">
            <v>31</v>
          </cell>
          <cell r="J44">
            <v>4</v>
          </cell>
          <cell r="K44">
            <v>4</v>
          </cell>
          <cell r="N44">
            <v>0</v>
          </cell>
          <cell r="O44">
            <v>0</v>
          </cell>
          <cell r="P44">
            <v>0</v>
          </cell>
          <cell r="R44">
            <v>4</v>
          </cell>
          <cell r="S44">
            <v>0</v>
          </cell>
          <cell r="T44">
            <v>0</v>
          </cell>
          <cell r="X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C45" t="str">
            <v>Trần Thị Phương Thùy</v>
          </cell>
          <cell r="D45" t="str">
            <v>DSHV</v>
          </cell>
          <cell r="E45">
            <v>75.069999999999993</v>
          </cell>
          <cell r="F45">
            <v>24.28</v>
          </cell>
          <cell r="G45">
            <v>75.069999999999993</v>
          </cell>
          <cell r="H45">
            <v>24.28</v>
          </cell>
          <cell r="J45">
            <v>12</v>
          </cell>
          <cell r="K45">
            <v>3</v>
          </cell>
          <cell r="N45">
            <v>0</v>
          </cell>
          <cell r="O45">
            <v>0</v>
          </cell>
          <cell r="P45">
            <v>0</v>
          </cell>
          <cell r="R45">
            <v>12</v>
          </cell>
          <cell r="S45">
            <v>0</v>
          </cell>
          <cell r="T45">
            <v>0</v>
          </cell>
          <cell r="X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C46" t="str">
            <v>Đinh Hoài Bảo</v>
          </cell>
          <cell r="D46" t="str">
            <v>DSTV</v>
          </cell>
          <cell r="E46">
            <v>11.23</v>
          </cell>
          <cell r="F46">
            <v>104</v>
          </cell>
          <cell r="G46">
            <v>4.2300000000000004</v>
          </cell>
          <cell r="H46">
            <v>104</v>
          </cell>
          <cell r="J46">
            <v>13</v>
          </cell>
          <cell r="K46">
            <v>13</v>
          </cell>
          <cell r="N46">
            <v>0</v>
          </cell>
          <cell r="O46">
            <v>0</v>
          </cell>
          <cell r="P46">
            <v>0</v>
          </cell>
          <cell r="R46">
            <v>13</v>
          </cell>
          <cell r="S46">
            <v>7</v>
          </cell>
          <cell r="T46">
            <v>0</v>
          </cell>
          <cell r="X46">
            <v>0</v>
          </cell>
          <cell r="AA46">
            <v>0</v>
          </cell>
          <cell r="AD46">
            <v>419355</v>
          </cell>
          <cell r="AE46">
            <v>0</v>
          </cell>
          <cell r="AF46">
            <v>287100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</row>
        <row r="47">
          <cell r="C47" t="str">
            <v>Lê Thị Quỳnh Trâm</v>
          </cell>
          <cell r="D47" t="str">
            <v>CHT</v>
          </cell>
          <cell r="E47">
            <v>290.27999999999997</v>
          </cell>
          <cell r="F47">
            <v>0</v>
          </cell>
          <cell r="G47">
            <v>274.27999999999997</v>
          </cell>
          <cell r="H47">
            <v>0</v>
          </cell>
          <cell r="I47">
            <v>8</v>
          </cell>
          <cell r="J47">
            <v>29</v>
          </cell>
          <cell r="K47">
            <v>0</v>
          </cell>
          <cell r="N47">
            <v>0</v>
          </cell>
          <cell r="O47">
            <v>0</v>
          </cell>
          <cell r="P47">
            <v>0</v>
          </cell>
          <cell r="R47">
            <v>29</v>
          </cell>
          <cell r="S47">
            <v>0</v>
          </cell>
          <cell r="T47">
            <v>8</v>
          </cell>
          <cell r="U47">
            <v>46209</v>
          </cell>
          <cell r="V47">
            <v>1500000</v>
          </cell>
          <cell r="X47">
            <v>0</v>
          </cell>
          <cell r="AA47">
            <v>0</v>
          </cell>
          <cell r="AD47">
            <v>0</v>
          </cell>
          <cell r="AE47">
            <v>0</v>
          </cell>
          <cell r="AF47">
            <v>588300</v>
          </cell>
          <cell r="AG47">
            <v>32528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</row>
        <row r="48">
          <cell r="C48" t="str">
            <v>Nguyễn Thị Hồng Hạnh</v>
          </cell>
          <cell r="D48" t="str">
            <v>DSCD</v>
          </cell>
          <cell r="E48">
            <v>16</v>
          </cell>
          <cell r="F48">
            <v>248.77</v>
          </cell>
          <cell r="G48">
            <v>0</v>
          </cell>
          <cell r="H48">
            <v>248.77</v>
          </cell>
          <cell r="I48">
            <v>16</v>
          </cell>
          <cell r="J48">
            <v>31</v>
          </cell>
          <cell r="K48">
            <v>31</v>
          </cell>
          <cell r="N48">
            <v>0</v>
          </cell>
          <cell r="O48">
            <v>0</v>
          </cell>
          <cell r="P48">
            <v>0</v>
          </cell>
          <cell r="R48">
            <v>31</v>
          </cell>
          <cell r="S48">
            <v>0</v>
          </cell>
          <cell r="T48">
            <v>0</v>
          </cell>
          <cell r="X48">
            <v>1500000</v>
          </cell>
          <cell r="AA48">
            <v>0</v>
          </cell>
          <cell r="AD48">
            <v>0</v>
          </cell>
          <cell r="AE48">
            <v>0</v>
          </cell>
          <cell r="AF48">
            <v>1161000</v>
          </cell>
          <cell r="AG48">
            <v>8600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</row>
        <row r="49">
          <cell r="C49" t="str">
            <v>Nguyễn Trí Nghĩa</v>
          </cell>
          <cell r="D49" t="str">
            <v>DSBC</v>
          </cell>
          <cell r="E49">
            <v>38.67</v>
          </cell>
          <cell r="F49">
            <v>0</v>
          </cell>
          <cell r="G49">
            <v>14.67</v>
          </cell>
          <cell r="H49">
            <v>0</v>
          </cell>
          <cell r="J49">
            <v>1</v>
          </cell>
          <cell r="K49">
            <v>0</v>
          </cell>
          <cell r="N49">
            <v>0</v>
          </cell>
          <cell r="O49">
            <v>0</v>
          </cell>
          <cell r="P49">
            <v>0</v>
          </cell>
          <cell r="R49">
            <v>1</v>
          </cell>
          <cell r="S49">
            <v>0</v>
          </cell>
          <cell r="T49">
            <v>24</v>
          </cell>
          <cell r="U49" t="str">
            <v>08/07/2026 &amp; 20/07/2026 - 21/07/2026</v>
          </cell>
          <cell r="X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C50" t="str">
            <v>Nguyễn Đăng An</v>
          </cell>
          <cell r="D50" t="str">
            <v>DSTV</v>
          </cell>
          <cell r="E50">
            <v>64.38</v>
          </cell>
          <cell r="F50">
            <v>71.83</v>
          </cell>
          <cell r="G50">
            <v>64.38</v>
          </cell>
          <cell r="H50">
            <v>71.83</v>
          </cell>
          <cell r="J50">
            <v>17</v>
          </cell>
          <cell r="K50">
            <v>9</v>
          </cell>
          <cell r="N50">
            <v>0</v>
          </cell>
          <cell r="O50">
            <v>0</v>
          </cell>
          <cell r="P50">
            <v>0</v>
          </cell>
          <cell r="R50">
            <v>17</v>
          </cell>
          <cell r="S50">
            <v>0</v>
          </cell>
          <cell r="T50">
            <v>0</v>
          </cell>
          <cell r="X50">
            <v>967742</v>
          </cell>
          <cell r="AA50">
            <v>0</v>
          </cell>
          <cell r="AE50">
            <v>0</v>
          </cell>
          <cell r="AF50">
            <v>258800</v>
          </cell>
          <cell r="AG50">
            <v>18220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C51" t="str">
            <v>Trần Hoàng Khánh</v>
          </cell>
          <cell r="D51" t="str">
            <v>DSCD</v>
          </cell>
          <cell r="E51">
            <v>92.77</v>
          </cell>
          <cell r="F51">
            <v>163.52000000000001</v>
          </cell>
          <cell r="G51">
            <v>68.77</v>
          </cell>
          <cell r="H51">
            <v>163.52000000000001</v>
          </cell>
          <cell r="I51">
            <v>8</v>
          </cell>
          <cell r="J51">
            <v>29</v>
          </cell>
          <cell r="K51">
            <v>21</v>
          </cell>
          <cell r="N51">
            <v>0</v>
          </cell>
          <cell r="O51">
            <v>0</v>
          </cell>
          <cell r="P51">
            <v>0</v>
          </cell>
          <cell r="R51">
            <v>29</v>
          </cell>
          <cell r="S51">
            <v>0</v>
          </cell>
          <cell r="T51">
            <v>16</v>
          </cell>
          <cell r="U51" t="str">
            <v>11/07/2026 - 12/07/2026</v>
          </cell>
          <cell r="X51">
            <v>1500000</v>
          </cell>
          <cell r="AA51">
            <v>0</v>
          </cell>
          <cell r="AD51">
            <v>0</v>
          </cell>
          <cell r="AE51">
            <v>0</v>
          </cell>
          <cell r="AF51">
            <v>1125600</v>
          </cell>
          <cell r="AG51">
            <v>12160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C52" t="str">
            <v>Trần Thị Phương Thùy</v>
          </cell>
          <cell r="D52" t="str">
            <v>DSHV</v>
          </cell>
          <cell r="E52">
            <v>24</v>
          </cell>
          <cell r="F52">
            <v>0</v>
          </cell>
          <cell r="G52">
            <v>24</v>
          </cell>
          <cell r="H52">
            <v>0</v>
          </cell>
          <cell r="J52">
            <v>3</v>
          </cell>
          <cell r="K52">
            <v>0</v>
          </cell>
          <cell r="N52">
            <v>0</v>
          </cell>
          <cell r="O52">
            <v>0</v>
          </cell>
          <cell r="P52">
            <v>0</v>
          </cell>
          <cell r="R52">
            <v>3</v>
          </cell>
          <cell r="S52">
            <v>0</v>
          </cell>
          <cell r="T52">
            <v>0</v>
          </cell>
          <cell r="X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C53" t="str">
            <v>Đỗ Thị Phương Thảo</v>
          </cell>
          <cell r="D53" t="str">
            <v>DSBC</v>
          </cell>
          <cell r="E53">
            <v>205.8</v>
          </cell>
          <cell r="F53">
            <v>15.87</v>
          </cell>
          <cell r="G53">
            <v>205.8</v>
          </cell>
          <cell r="H53">
            <v>15.87</v>
          </cell>
          <cell r="J53">
            <v>27</v>
          </cell>
          <cell r="K53">
            <v>2</v>
          </cell>
          <cell r="N53">
            <v>0</v>
          </cell>
          <cell r="O53">
            <v>0</v>
          </cell>
          <cell r="P53">
            <v>0</v>
          </cell>
          <cell r="R53">
            <v>27</v>
          </cell>
          <cell r="S53">
            <v>0</v>
          </cell>
          <cell r="T53">
            <v>0</v>
          </cell>
          <cell r="X53">
            <v>0</v>
          </cell>
          <cell r="AA53">
            <v>0</v>
          </cell>
          <cell r="AD53">
            <v>0</v>
          </cell>
          <cell r="AE53">
            <v>0</v>
          </cell>
          <cell r="AF53">
            <v>702550</v>
          </cell>
          <cell r="AG53">
            <v>100785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C54" t="str">
            <v>Bùi Thị Bích Trâm</v>
          </cell>
          <cell r="D54" t="str">
            <v>DSHV</v>
          </cell>
          <cell r="E54">
            <v>80.2</v>
          </cell>
          <cell r="F54">
            <v>0</v>
          </cell>
          <cell r="G54">
            <v>80.2</v>
          </cell>
          <cell r="H54">
            <v>0</v>
          </cell>
          <cell r="I54">
            <v>0</v>
          </cell>
          <cell r="J54">
            <v>10</v>
          </cell>
          <cell r="K54">
            <v>0</v>
          </cell>
          <cell r="N54">
            <v>0</v>
          </cell>
          <cell r="O54">
            <v>0</v>
          </cell>
          <cell r="P54">
            <v>0</v>
          </cell>
          <cell r="R54">
            <v>10</v>
          </cell>
          <cell r="S54">
            <v>0</v>
          </cell>
          <cell r="T54">
            <v>0</v>
          </cell>
          <cell r="X54">
            <v>0</v>
          </cell>
          <cell r="AA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500000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500000</v>
          </cell>
        </row>
        <row r="55">
          <cell r="C55" t="str">
            <v>Cao Trọng Nhân</v>
          </cell>
          <cell r="D55" t="str">
            <v>DSCD</v>
          </cell>
          <cell r="E55">
            <v>57.85</v>
          </cell>
          <cell r="F55">
            <v>230.97</v>
          </cell>
          <cell r="G55">
            <v>49.85</v>
          </cell>
          <cell r="H55">
            <v>230.97</v>
          </cell>
          <cell r="I55">
            <v>8</v>
          </cell>
          <cell r="J55">
            <v>30</v>
          </cell>
          <cell r="K55">
            <v>29</v>
          </cell>
          <cell r="N55">
            <v>0</v>
          </cell>
          <cell r="O55">
            <v>0</v>
          </cell>
          <cell r="P55">
            <v>0</v>
          </cell>
          <cell r="R55">
            <v>29</v>
          </cell>
          <cell r="S55">
            <v>0</v>
          </cell>
          <cell r="T55">
            <v>0</v>
          </cell>
          <cell r="X55">
            <v>1500000</v>
          </cell>
          <cell r="AA55">
            <v>0</v>
          </cell>
          <cell r="AD55">
            <v>1000000</v>
          </cell>
          <cell r="AE55">
            <v>0</v>
          </cell>
          <cell r="AF55">
            <v>1830100</v>
          </cell>
          <cell r="AG55">
            <v>24370</v>
          </cell>
          <cell r="AH55">
            <v>0</v>
          </cell>
          <cell r="AJ55">
            <v>22250</v>
          </cell>
          <cell r="AK55">
            <v>22250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C56" t="str">
            <v>Nguyễn Minh Trí</v>
          </cell>
          <cell r="D56" t="str">
            <v>DSHV</v>
          </cell>
          <cell r="E56">
            <v>177.37</v>
          </cell>
          <cell r="F56">
            <v>0</v>
          </cell>
          <cell r="G56">
            <v>177.37</v>
          </cell>
          <cell r="H56">
            <v>0</v>
          </cell>
          <cell r="J56">
            <v>22</v>
          </cell>
          <cell r="K56">
            <v>0</v>
          </cell>
          <cell r="N56">
            <v>0</v>
          </cell>
          <cell r="O56">
            <v>0</v>
          </cell>
          <cell r="P56">
            <v>0</v>
          </cell>
          <cell r="R56">
            <v>22</v>
          </cell>
          <cell r="S56">
            <v>0</v>
          </cell>
          <cell r="T56">
            <v>0</v>
          </cell>
          <cell r="X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C57" t="str">
            <v>Nguyễn Trí Nghĩa</v>
          </cell>
          <cell r="D57" t="str">
            <v>DSBC</v>
          </cell>
          <cell r="E57">
            <v>198.88</v>
          </cell>
          <cell r="F57">
            <v>26.92</v>
          </cell>
          <cell r="G57">
            <v>198.88</v>
          </cell>
          <cell r="H57">
            <v>26.92</v>
          </cell>
          <cell r="J57">
            <v>24</v>
          </cell>
          <cell r="K57">
            <v>3</v>
          </cell>
          <cell r="N57">
            <v>0</v>
          </cell>
          <cell r="O57">
            <v>0</v>
          </cell>
          <cell r="P57">
            <v>0</v>
          </cell>
          <cell r="R57">
            <v>24</v>
          </cell>
          <cell r="S57">
            <v>0</v>
          </cell>
          <cell r="T57">
            <v>0</v>
          </cell>
          <cell r="X57">
            <v>0</v>
          </cell>
          <cell r="AA57">
            <v>0</v>
          </cell>
          <cell r="AD57">
            <v>0</v>
          </cell>
          <cell r="AE57">
            <v>0</v>
          </cell>
          <cell r="AF57">
            <v>950350</v>
          </cell>
          <cell r="AG57">
            <v>36700</v>
          </cell>
          <cell r="AH57">
            <v>0</v>
          </cell>
          <cell r="AJ57">
            <v>22250</v>
          </cell>
          <cell r="AK57">
            <v>22250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C58" t="str">
            <v>Triệu Thị Ngọc Lý</v>
          </cell>
          <cell r="D58" t="str">
            <v>CHT</v>
          </cell>
          <cell r="E58">
            <v>300.77</v>
          </cell>
          <cell r="F58">
            <v>8.1999999999999993</v>
          </cell>
          <cell r="G58">
            <v>284.77</v>
          </cell>
          <cell r="H58">
            <v>8.1999999999999993</v>
          </cell>
          <cell r="J58">
            <v>24</v>
          </cell>
          <cell r="K58">
            <v>1</v>
          </cell>
          <cell r="N58">
            <v>0</v>
          </cell>
          <cell r="O58">
            <v>0</v>
          </cell>
          <cell r="P58">
            <v>0</v>
          </cell>
          <cell r="R58">
            <v>23</v>
          </cell>
          <cell r="S58">
            <v>0</v>
          </cell>
          <cell r="T58">
            <v>16</v>
          </cell>
          <cell r="U58" t="str">
            <v>27/07/2026 - 28/07/2026</v>
          </cell>
          <cell r="V58">
            <v>1500000</v>
          </cell>
          <cell r="X58">
            <v>0</v>
          </cell>
          <cell r="AA58">
            <v>0</v>
          </cell>
          <cell r="AD58">
            <v>0</v>
          </cell>
          <cell r="AE58">
            <v>0</v>
          </cell>
          <cell r="AF58">
            <v>1039300</v>
          </cell>
          <cell r="AG58">
            <v>61700</v>
          </cell>
          <cell r="AH58">
            <v>0</v>
          </cell>
          <cell r="AJ58">
            <v>22250</v>
          </cell>
          <cell r="AK58">
            <v>22250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C59" t="str">
            <v>Trần Thành Đạt</v>
          </cell>
          <cell r="D59" t="str">
            <v>DSCD</v>
          </cell>
          <cell r="E59">
            <v>13.55</v>
          </cell>
          <cell r="F59">
            <v>267.42</v>
          </cell>
          <cell r="G59">
            <v>5.55</v>
          </cell>
          <cell r="H59">
            <v>267.42</v>
          </cell>
          <cell r="I59">
            <v>8</v>
          </cell>
          <cell r="J59">
            <v>29</v>
          </cell>
          <cell r="K59">
            <v>33</v>
          </cell>
          <cell r="N59">
            <v>0</v>
          </cell>
          <cell r="O59">
            <v>0</v>
          </cell>
          <cell r="P59">
            <v>0</v>
          </cell>
          <cell r="R59">
            <v>29</v>
          </cell>
          <cell r="S59">
            <v>0</v>
          </cell>
          <cell r="T59">
            <v>0</v>
          </cell>
          <cell r="X59">
            <v>1500000</v>
          </cell>
          <cell r="AA59">
            <v>0</v>
          </cell>
          <cell r="AD59">
            <v>0</v>
          </cell>
          <cell r="AE59">
            <v>0</v>
          </cell>
          <cell r="AF59">
            <v>645000</v>
          </cell>
          <cell r="AG59">
            <v>47180</v>
          </cell>
          <cell r="AH59">
            <v>0</v>
          </cell>
          <cell r="AJ59">
            <v>22250</v>
          </cell>
          <cell r="AK59">
            <v>22250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C60" t="str">
            <v>Hồ Ngọc Lý</v>
          </cell>
          <cell r="D60" t="str">
            <v>DSCD</v>
          </cell>
          <cell r="E60">
            <v>16</v>
          </cell>
          <cell r="F60">
            <v>246.4</v>
          </cell>
          <cell r="G60">
            <v>0</v>
          </cell>
          <cell r="H60">
            <v>246.4</v>
          </cell>
          <cell r="I60">
            <v>16</v>
          </cell>
          <cell r="J60">
            <v>30</v>
          </cell>
          <cell r="K60">
            <v>31</v>
          </cell>
          <cell r="N60">
            <v>0</v>
          </cell>
          <cell r="O60">
            <v>0</v>
          </cell>
          <cell r="P60">
            <v>0</v>
          </cell>
          <cell r="R60">
            <v>30</v>
          </cell>
          <cell r="S60">
            <v>0</v>
          </cell>
          <cell r="T60">
            <v>0</v>
          </cell>
          <cell r="X60">
            <v>1500000</v>
          </cell>
          <cell r="AA60">
            <v>0</v>
          </cell>
          <cell r="AD60">
            <v>500000</v>
          </cell>
          <cell r="AE60">
            <v>0</v>
          </cell>
          <cell r="AF60">
            <v>0</v>
          </cell>
          <cell r="AG60">
            <v>3885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C61" t="str">
            <v>Nguyễn Thị Hương Giang</v>
          </cell>
          <cell r="D61" t="str">
            <v>DSBC</v>
          </cell>
          <cell r="E61">
            <v>194.68</v>
          </cell>
          <cell r="F61">
            <v>12.27</v>
          </cell>
          <cell r="G61">
            <v>194.68</v>
          </cell>
          <cell r="H61">
            <v>12.27</v>
          </cell>
          <cell r="J61">
            <v>27</v>
          </cell>
          <cell r="K61">
            <v>2</v>
          </cell>
          <cell r="N61">
            <v>0</v>
          </cell>
          <cell r="O61">
            <v>0</v>
          </cell>
          <cell r="P61">
            <v>0</v>
          </cell>
          <cell r="R61">
            <v>27</v>
          </cell>
          <cell r="S61">
            <v>0</v>
          </cell>
          <cell r="T61">
            <v>0</v>
          </cell>
          <cell r="X61">
            <v>0</v>
          </cell>
          <cell r="AA61">
            <v>0</v>
          </cell>
          <cell r="AD61">
            <v>0</v>
          </cell>
          <cell r="AE61">
            <v>833917</v>
          </cell>
          <cell r="AF61">
            <v>0</v>
          </cell>
          <cell r="AG61">
            <v>8180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C62" t="str">
            <v>Nguyễn Thị Thu Huyền</v>
          </cell>
          <cell r="D62" t="str">
            <v>DSCD</v>
          </cell>
          <cell r="E62">
            <v>74.98</v>
          </cell>
          <cell r="F62">
            <v>224.62</v>
          </cell>
          <cell r="G62">
            <v>74.98</v>
          </cell>
          <cell r="H62">
            <v>224.62</v>
          </cell>
          <cell r="J62">
            <v>28</v>
          </cell>
          <cell r="K62">
            <v>29</v>
          </cell>
          <cell r="N62">
            <v>0</v>
          </cell>
          <cell r="O62">
            <v>0</v>
          </cell>
          <cell r="P62">
            <v>0</v>
          </cell>
          <cell r="R62">
            <v>28</v>
          </cell>
          <cell r="S62">
            <v>0</v>
          </cell>
          <cell r="T62">
            <v>0</v>
          </cell>
          <cell r="X62">
            <v>1500000</v>
          </cell>
          <cell r="AA62">
            <v>0</v>
          </cell>
          <cell r="AD62">
            <v>1000000</v>
          </cell>
          <cell r="AE62">
            <v>0</v>
          </cell>
          <cell r="AF62">
            <v>0</v>
          </cell>
          <cell r="AG62">
            <v>24100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C63" t="str">
            <v>Nguyễn Trần Vĩnh Khang</v>
          </cell>
          <cell r="D63" t="str">
            <v>DSHV</v>
          </cell>
          <cell r="E63">
            <v>31.88</v>
          </cell>
          <cell r="F63">
            <v>0</v>
          </cell>
          <cell r="G63">
            <v>31.88</v>
          </cell>
          <cell r="H63">
            <v>0</v>
          </cell>
          <cell r="J63">
            <v>4</v>
          </cell>
          <cell r="K63">
            <v>0</v>
          </cell>
          <cell r="N63">
            <v>0</v>
          </cell>
          <cell r="O63">
            <v>0</v>
          </cell>
          <cell r="P63">
            <v>0</v>
          </cell>
          <cell r="R63">
            <v>4</v>
          </cell>
          <cell r="S63">
            <v>0</v>
          </cell>
          <cell r="T63">
            <v>0</v>
          </cell>
          <cell r="X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C64" t="str">
            <v>Võ Ngọc Giàu Sang</v>
          </cell>
          <cell r="D64" t="str">
            <v>CHT</v>
          </cell>
          <cell r="E64">
            <v>213.22</v>
          </cell>
          <cell r="F64">
            <v>0</v>
          </cell>
          <cell r="G64">
            <v>205.22</v>
          </cell>
          <cell r="H64">
            <v>0</v>
          </cell>
          <cell r="J64">
            <v>26</v>
          </cell>
          <cell r="K64">
            <v>0</v>
          </cell>
          <cell r="N64">
            <v>0</v>
          </cell>
          <cell r="O64">
            <v>0</v>
          </cell>
          <cell r="P64">
            <v>0</v>
          </cell>
          <cell r="R64">
            <v>26</v>
          </cell>
          <cell r="S64">
            <v>0</v>
          </cell>
          <cell r="T64">
            <v>8</v>
          </cell>
          <cell r="U64">
            <v>46229</v>
          </cell>
          <cell r="V64">
            <v>1500000</v>
          </cell>
          <cell r="X64">
            <v>0</v>
          </cell>
          <cell r="AA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C65" t="str">
            <v>Cù Thị Tường Vy</v>
          </cell>
          <cell r="D65" t="str">
            <v>CHT</v>
          </cell>
          <cell r="E65">
            <v>270.95</v>
          </cell>
          <cell r="F65">
            <v>37.049999999999997</v>
          </cell>
          <cell r="G65">
            <v>270.95</v>
          </cell>
          <cell r="H65">
            <v>37.049999999999997</v>
          </cell>
          <cell r="J65">
            <v>23</v>
          </cell>
          <cell r="K65">
            <v>5</v>
          </cell>
          <cell r="N65">
            <v>0</v>
          </cell>
          <cell r="O65">
            <v>0</v>
          </cell>
          <cell r="P65">
            <v>0</v>
          </cell>
          <cell r="R65">
            <v>23</v>
          </cell>
          <cell r="S65">
            <v>0</v>
          </cell>
          <cell r="T65">
            <v>0</v>
          </cell>
          <cell r="V65">
            <v>1500000</v>
          </cell>
          <cell r="X65">
            <v>0</v>
          </cell>
          <cell r="AA65">
            <v>16000</v>
          </cell>
          <cell r="AB65">
            <v>150000</v>
          </cell>
          <cell r="AD65">
            <v>0</v>
          </cell>
          <cell r="AE65">
            <v>0</v>
          </cell>
          <cell r="AF65">
            <v>1971700</v>
          </cell>
          <cell r="AG65">
            <v>245560</v>
          </cell>
          <cell r="AH65">
            <v>0</v>
          </cell>
          <cell r="AI65">
            <v>260000</v>
          </cell>
          <cell r="AJ65">
            <v>100950</v>
          </cell>
          <cell r="AK65">
            <v>100950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C66" t="str">
            <v>Huỳnh Thị Huệ Hiền</v>
          </cell>
          <cell r="D66" t="str">
            <v>DSCD</v>
          </cell>
          <cell r="E66">
            <v>22.95</v>
          </cell>
          <cell r="F66">
            <v>237.53</v>
          </cell>
          <cell r="G66">
            <v>6.95</v>
          </cell>
          <cell r="H66">
            <v>237.53</v>
          </cell>
          <cell r="I66">
            <v>16</v>
          </cell>
          <cell r="J66">
            <v>30</v>
          </cell>
          <cell r="K66">
            <v>30</v>
          </cell>
          <cell r="N66">
            <v>0</v>
          </cell>
          <cell r="O66">
            <v>0</v>
          </cell>
          <cell r="P66">
            <v>0</v>
          </cell>
          <cell r="R66">
            <v>30</v>
          </cell>
          <cell r="S66">
            <v>0</v>
          </cell>
          <cell r="T66">
            <v>0</v>
          </cell>
          <cell r="X66">
            <v>1500000</v>
          </cell>
          <cell r="AA66">
            <v>0</v>
          </cell>
          <cell r="AD66">
            <v>1000000</v>
          </cell>
          <cell r="AE66">
            <v>0</v>
          </cell>
          <cell r="AF66">
            <v>2084000</v>
          </cell>
          <cell r="AG66">
            <v>0</v>
          </cell>
          <cell r="AH66">
            <v>0</v>
          </cell>
          <cell r="AJ66">
            <v>100950</v>
          </cell>
          <cell r="AK66">
            <v>100950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C67" t="str">
            <v>Đỗ Thị Kim Tiến</v>
          </cell>
          <cell r="D67" t="str">
            <v>DSTV</v>
          </cell>
          <cell r="E67">
            <v>25.68</v>
          </cell>
          <cell r="F67">
            <v>16.149999999999999</v>
          </cell>
          <cell r="G67">
            <v>25.68</v>
          </cell>
          <cell r="H67">
            <v>16.149999999999999</v>
          </cell>
          <cell r="J67">
            <v>5</v>
          </cell>
          <cell r="K67">
            <v>2</v>
          </cell>
          <cell r="N67">
            <v>0</v>
          </cell>
          <cell r="O67">
            <v>0</v>
          </cell>
          <cell r="P67">
            <v>0</v>
          </cell>
          <cell r="R67">
            <v>5</v>
          </cell>
          <cell r="S67">
            <v>0</v>
          </cell>
          <cell r="T67">
            <v>0</v>
          </cell>
          <cell r="X67">
            <v>451613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C68" t="str">
            <v>Nguyễn Mẫn Tiệp</v>
          </cell>
          <cell r="D68" t="str">
            <v>DSTV</v>
          </cell>
          <cell r="E68">
            <v>49.63</v>
          </cell>
          <cell r="F68">
            <v>7.93</v>
          </cell>
          <cell r="G68">
            <v>49.63</v>
          </cell>
          <cell r="H68">
            <v>7.93</v>
          </cell>
          <cell r="J68">
            <v>6</v>
          </cell>
          <cell r="K68">
            <v>1</v>
          </cell>
          <cell r="N68">
            <v>0</v>
          </cell>
          <cell r="O68">
            <v>0</v>
          </cell>
          <cell r="P68">
            <v>0</v>
          </cell>
          <cell r="R68">
            <v>6</v>
          </cell>
          <cell r="S68">
            <v>0</v>
          </cell>
          <cell r="T68">
            <v>0</v>
          </cell>
          <cell r="X68">
            <v>0</v>
          </cell>
          <cell r="AA68">
            <v>0</v>
          </cell>
          <cell r="AE68">
            <v>0</v>
          </cell>
          <cell r="AF68">
            <v>166600</v>
          </cell>
          <cell r="AG68">
            <v>1140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C69" t="str">
            <v>Nguyễn Thị Phúc Lộc</v>
          </cell>
          <cell r="D69" t="str">
            <v>DSTV</v>
          </cell>
          <cell r="E69">
            <v>26.95</v>
          </cell>
          <cell r="F69">
            <v>24.05</v>
          </cell>
          <cell r="G69">
            <v>24.45</v>
          </cell>
          <cell r="H69">
            <v>24.05</v>
          </cell>
          <cell r="J69">
            <v>6</v>
          </cell>
          <cell r="K69">
            <v>3</v>
          </cell>
          <cell r="N69">
            <v>0</v>
          </cell>
          <cell r="O69">
            <v>0</v>
          </cell>
          <cell r="P69">
            <v>0</v>
          </cell>
          <cell r="R69">
            <v>6</v>
          </cell>
          <cell r="S69">
            <v>2.5</v>
          </cell>
          <cell r="T69">
            <v>0</v>
          </cell>
          <cell r="X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C70" t="str">
            <v>Ngô Thị Ngọc Thủy</v>
          </cell>
          <cell r="D70" t="str">
            <v>DSTV</v>
          </cell>
          <cell r="E70">
            <v>143.77000000000001</v>
          </cell>
          <cell r="F70">
            <v>40.17</v>
          </cell>
          <cell r="G70">
            <v>143.77000000000001</v>
          </cell>
          <cell r="H70">
            <v>40.17</v>
          </cell>
          <cell r="J70">
            <v>22</v>
          </cell>
          <cell r="K70">
            <v>5</v>
          </cell>
          <cell r="N70">
            <v>0</v>
          </cell>
          <cell r="O70">
            <v>0</v>
          </cell>
          <cell r="P70">
            <v>0</v>
          </cell>
          <cell r="R70">
            <v>22</v>
          </cell>
          <cell r="S70">
            <v>0</v>
          </cell>
          <cell r="T70">
            <v>0</v>
          </cell>
          <cell r="X70">
            <v>0</v>
          </cell>
          <cell r="AA70">
            <v>0</v>
          </cell>
          <cell r="AD70">
            <v>967742</v>
          </cell>
          <cell r="AE70">
            <v>0</v>
          </cell>
          <cell r="AF70">
            <v>636950</v>
          </cell>
          <cell r="AG70">
            <v>17980</v>
          </cell>
          <cell r="AH70">
            <v>0</v>
          </cell>
          <cell r="AJ70">
            <v>500000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500000</v>
          </cell>
          <cell r="AP70" t="str">
            <v>Cấn trừ chi phí đồng phục</v>
          </cell>
        </row>
        <row r="71">
          <cell r="C71" t="str">
            <v>Phạm Nguyễn Ngọc Quyền Trân</v>
          </cell>
          <cell r="D71" t="str">
            <v>DSTV</v>
          </cell>
          <cell r="E71">
            <v>231.35</v>
          </cell>
          <cell r="F71">
            <v>2</v>
          </cell>
          <cell r="G71">
            <v>231.35</v>
          </cell>
          <cell r="H71">
            <v>2</v>
          </cell>
          <cell r="J71">
            <v>26</v>
          </cell>
          <cell r="K71">
            <v>0</v>
          </cell>
          <cell r="N71">
            <v>0</v>
          </cell>
          <cell r="O71">
            <v>0</v>
          </cell>
          <cell r="P71">
            <v>0</v>
          </cell>
          <cell r="R71">
            <v>26</v>
          </cell>
          <cell r="S71">
            <v>0</v>
          </cell>
          <cell r="T71">
            <v>0</v>
          </cell>
          <cell r="X71">
            <v>0</v>
          </cell>
          <cell r="AA71">
            <v>0</v>
          </cell>
          <cell r="AD71">
            <v>0</v>
          </cell>
          <cell r="AE71">
            <v>0</v>
          </cell>
          <cell r="AF71">
            <v>1034050</v>
          </cell>
          <cell r="AG71">
            <v>8100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C72" t="str">
            <v>Trần Gia Tiến</v>
          </cell>
          <cell r="D72" t="str">
            <v>DSTV</v>
          </cell>
          <cell r="E72">
            <v>55</v>
          </cell>
          <cell r="F72">
            <v>0</v>
          </cell>
          <cell r="G72">
            <v>48</v>
          </cell>
          <cell r="H72">
            <v>0</v>
          </cell>
          <cell r="J72">
            <v>6</v>
          </cell>
          <cell r="K72">
            <v>0</v>
          </cell>
          <cell r="N72">
            <v>0</v>
          </cell>
          <cell r="O72">
            <v>0</v>
          </cell>
          <cell r="P72">
            <v>0</v>
          </cell>
          <cell r="R72">
            <v>6</v>
          </cell>
          <cell r="S72">
            <v>7</v>
          </cell>
          <cell r="T72">
            <v>0</v>
          </cell>
          <cell r="X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3">
          <cell r="C73" t="str">
            <v>Đinh Hoài Bảo</v>
          </cell>
          <cell r="D73" t="str">
            <v>DSTV</v>
          </cell>
          <cell r="E73">
            <v>7.0000000000000007E-2</v>
          </cell>
          <cell r="F73">
            <v>32.270000000000003</v>
          </cell>
          <cell r="G73">
            <v>7.0000000000000007E-2</v>
          </cell>
          <cell r="H73">
            <v>32.270000000000003</v>
          </cell>
          <cell r="J73">
            <v>5</v>
          </cell>
          <cell r="K73">
            <v>4</v>
          </cell>
          <cell r="N73">
            <v>0</v>
          </cell>
          <cell r="O73">
            <v>0</v>
          </cell>
          <cell r="P73">
            <v>0</v>
          </cell>
          <cell r="R73">
            <v>4</v>
          </cell>
          <cell r="S73">
            <v>0</v>
          </cell>
          <cell r="T73">
            <v>0</v>
          </cell>
          <cell r="X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C74" t="str">
            <v>Hứa Thị Kim Thoa</v>
          </cell>
          <cell r="D74" t="str">
            <v>CHT</v>
          </cell>
          <cell r="E74">
            <v>160.52000000000001</v>
          </cell>
          <cell r="F74">
            <v>93.18</v>
          </cell>
          <cell r="G74">
            <v>160.52000000000001</v>
          </cell>
          <cell r="H74">
            <v>93.18</v>
          </cell>
          <cell r="J74">
            <v>30</v>
          </cell>
          <cell r="K74">
            <v>12</v>
          </cell>
          <cell r="N74">
            <v>0</v>
          </cell>
          <cell r="O74">
            <v>0</v>
          </cell>
          <cell r="P74">
            <v>0</v>
          </cell>
          <cell r="R74">
            <v>28</v>
          </cell>
          <cell r="S74">
            <v>0</v>
          </cell>
          <cell r="T74">
            <v>0</v>
          </cell>
          <cell r="V74">
            <v>1500000</v>
          </cell>
          <cell r="X74">
            <v>0</v>
          </cell>
          <cell r="AA74">
            <v>0</v>
          </cell>
          <cell r="AD74">
            <v>0</v>
          </cell>
          <cell r="AE74">
            <v>0</v>
          </cell>
          <cell r="AF74">
            <v>1149900</v>
          </cell>
          <cell r="AG74">
            <v>13685</v>
          </cell>
          <cell r="AH74">
            <v>0</v>
          </cell>
          <cell r="AJ74">
            <v>90120</v>
          </cell>
          <cell r="AK74">
            <v>90120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C75" t="str">
            <v>Lê Thị Soạn</v>
          </cell>
          <cell r="D75" t="str">
            <v>DSCD</v>
          </cell>
          <cell r="E75">
            <v>22.72</v>
          </cell>
          <cell r="F75">
            <v>248.18</v>
          </cell>
          <cell r="G75">
            <v>6.72</v>
          </cell>
          <cell r="H75">
            <v>248.18</v>
          </cell>
          <cell r="I75">
            <v>16</v>
          </cell>
          <cell r="J75">
            <v>31</v>
          </cell>
          <cell r="K75">
            <v>31</v>
          </cell>
          <cell r="N75">
            <v>0</v>
          </cell>
          <cell r="O75">
            <v>0</v>
          </cell>
          <cell r="P75">
            <v>0</v>
          </cell>
          <cell r="R75">
            <v>31</v>
          </cell>
          <cell r="S75">
            <v>0</v>
          </cell>
          <cell r="T75">
            <v>0</v>
          </cell>
          <cell r="X75">
            <v>1500000</v>
          </cell>
          <cell r="AA75">
            <v>0</v>
          </cell>
          <cell r="AD75">
            <v>2000000</v>
          </cell>
          <cell r="AE75">
            <v>1857659</v>
          </cell>
          <cell r="AF75">
            <v>6259950</v>
          </cell>
          <cell r="AG75">
            <v>11115</v>
          </cell>
          <cell r="AH75">
            <v>0</v>
          </cell>
          <cell r="AJ75">
            <v>227120</v>
          </cell>
          <cell r="AK75">
            <v>90120</v>
          </cell>
          <cell r="AL75">
            <v>0</v>
          </cell>
          <cell r="AM75">
            <v>137000</v>
          </cell>
          <cell r="AN75">
            <v>0</v>
          </cell>
          <cell r="AO75">
            <v>0</v>
          </cell>
          <cell r="AP75" t="str">
            <v>Sai doanh thu HD.7X6WNOMV : 137.000đ</v>
          </cell>
        </row>
        <row r="76">
          <cell r="C76" t="str">
            <v>Nguyễn Thị Mai Duyên</v>
          </cell>
          <cell r="D76" t="str">
            <v>DSBC</v>
          </cell>
          <cell r="E76">
            <v>184.28</v>
          </cell>
          <cell r="F76">
            <v>79.45</v>
          </cell>
          <cell r="G76">
            <v>184.28</v>
          </cell>
          <cell r="H76">
            <v>79.45</v>
          </cell>
          <cell r="J76">
            <v>27</v>
          </cell>
          <cell r="K76">
            <v>10</v>
          </cell>
          <cell r="N76">
            <v>0</v>
          </cell>
          <cell r="O76">
            <v>0</v>
          </cell>
          <cell r="P76">
            <v>0</v>
          </cell>
          <cell r="R76">
            <v>27</v>
          </cell>
          <cell r="S76">
            <v>0</v>
          </cell>
          <cell r="T76">
            <v>0</v>
          </cell>
          <cell r="X76">
            <v>0</v>
          </cell>
          <cell r="AA76">
            <v>0</v>
          </cell>
          <cell r="AD76">
            <v>500000</v>
          </cell>
          <cell r="AE76">
            <v>1913795</v>
          </cell>
          <cell r="AF76">
            <v>4663500</v>
          </cell>
          <cell r="AG76">
            <v>85048</v>
          </cell>
          <cell r="AH76">
            <v>0</v>
          </cell>
          <cell r="AJ76">
            <v>90120</v>
          </cell>
          <cell r="AK76">
            <v>90120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C77" t="str">
            <v>Nguyễn Thị Tâm</v>
          </cell>
          <cell r="D77" t="str">
            <v>DSBC</v>
          </cell>
          <cell r="E77">
            <v>220.43</v>
          </cell>
          <cell r="F77">
            <v>35.380000000000003</v>
          </cell>
          <cell r="G77">
            <v>220.43</v>
          </cell>
          <cell r="H77">
            <v>35.380000000000003</v>
          </cell>
          <cell r="J77">
            <v>27</v>
          </cell>
          <cell r="K77">
            <v>4</v>
          </cell>
          <cell r="N77">
            <v>0</v>
          </cell>
          <cell r="O77">
            <v>0</v>
          </cell>
          <cell r="P77">
            <v>0</v>
          </cell>
          <cell r="R77">
            <v>27</v>
          </cell>
          <cell r="S77">
            <v>0</v>
          </cell>
          <cell r="T77">
            <v>0</v>
          </cell>
          <cell r="X77">
            <v>0</v>
          </cell>
          <cell r="AA77">
            <v>0</v>
          </cell>
          <cell r="AD77">
            <v>500000</v>
          </cell>
          <cell r="AE77">
            <v>1972045</v>
          </cell>
          <cell r="AF77">
            <v>3424600</v>
          </cell>
          <cell r="AG77">
            <v>69340</v>
          </cell>
          <cell r="AH77">
            <v>0</v>
          </cell>
          <cell r="AJ77">
            <v>90120</v>
          </cell>
          <cell r="AK77">
            <v>90120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C78" t="str">
            <v>Trần Ngọc Dung</v>
          </cell>
          <cell r="D78" t="str">
            <v>DSBC</v>
          </cell>
          <cell r="E78">
            <v>108.63</v>
          </cell>
          <cell r="F78">
            <v>168.62</v>
          </cell>
          <cell r="G78">
            <v>108.63</v>
          </cell>
          <cell r="H78">
            <v>168.62</v>
          </cell>
          <cell r="J78">
            <v>28</v>
          </cell>
          <cell r="K78">
            <v>21</v>
          </cell>
          <cell r="N78">
            <v>0</v>
          </cell>
          <cell r="O78">
            <v>0</v>
          </cell>
          <cell r="P78">
            <v>0</v>
          </cell>
          <cell r="R78">
            <v>28</v>
          </cell>
          <cell r="S78">
            <v>0</v>
          </cell>
          <cell r="T78">
            <v>0</v>
          </cell>
          <cell r="X78">
            <v>1125000</v>
          </cell>
          <cell r="AA78">
            <v>0</v>
          </cell>
          <cell r="AD78">
            <v>0</v>
          </cell>
          <cell r="AE78">
            <v>1601783</v>
          </cell>
          <cell r="AF78">
            <v>3256350</v>
          </cell>
          <cell r="AG78">
            <v>66380</v>
          </cell>
          <cell r="AH78">
            <v>0</v>
          </cell>
          <cell r="AJ78">
            <v>209120</v>
          </cell>
          <cell r="AK78">
            <v>90120</v>
          </cell>
          <cell r="AL78">
            <v>0</v>
          </cell>
          <cell r="AM78">
            <v>119000</v>
          </cell>
          <cell r="AN78">
            <v>0</v>
          </cell>
          <cell r="AO78">
            <v>0</v>
          </cell>
          <cell r="AP78" t="str">
            <v>Sai doanh thu HD.VQWXD95V : 119.000Đ</v>
          </cell>
        </row>
        <row r="79">
          <cell r="C79" t="str">
            <v>Nguyễn Mạnh Tuấn</v>
          </cell>
          <cell r="D79" t="str">
            <v>DSBC</v>
          </cell>
          <cell r="E79">
            <v>2</v>
          </cell>
          <cell r="F79">
            <v>211.85</v>
          </cell>
          <cell r="G79">
            <v>2</v>
          </cell>
          <cell r="H79">
            <v>211.85</v>
          </cell>
          <cell r="J79">
            <v>27</v>
          </cell>
          <cell r="K79">
            <v>27</v>
          </cell>
          <cell r="N79">
            <v>0</v>
          </cell>
          <cell r="O79">
            <v>0</v>
          </cell>
          <cell r="P79">
            <v>0</v>
          </cell>
          <cell r="R79">
            <v>27</v>
          </cell>
          <cell r="S79">
            <v>0</v>
          </cell>
          <cell r="T79">
            <v>0</v>
          </cell>
          <cell r="X79">
            <v>1446429</v>
          </cell>
          <cell r="AA79">
            <v>0</v>
          </cell>
          <cell r="AD79">
            <v>500000</v>
          </cell>
          <cell r="AE79">
            <v>0</v>
          </cell>
          <cell r="AF79">
            <v>4024800</v>
          </cell>
          <cell r="AG79">
            <v>31282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C80" t="str">
            <v>Nguyễn Thị Mai Duyên</v>
          </cell>
          <cell r="D80" t="str">
            <v>DSBC</v>
          </cell>
          <cell r="E80">
            <v>24</v>
          </cell>
          <cell r="F80">
            <v>44.52</v>
          </cell>
          <cell r="G80">
            <v>0</v>
          </cell>
          <cell r="H80">
            <v>44.52</v>
          </cell>
          <cell r="J80">
            <v>7</v>
          </cell>
          <cell r="K80">
            <v>7</v>
          </cell>
          <cell r="N80">
            <v>0</v>
          </cell>
          <cell r="O80">
            <v>0</v>
          </cell>
          <cell r="P80">
            <v>0</v>
          </cell>
          <cell r="R80">
            <v>7</v>
          </cell>
          <cell r="S80">
            <v>0</v>
          </cell>
          <cell r="T80">
            <v>24</v>
          </cell>
          <cell r="U80" t="str">
            <v>18/07/2026 &amp; 21/07/2026 &amp; 25/07/2026</v>
          </cell>
          <cell r="X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C81" t="str">
            <v>Vũ Thanh Hằng</v>
          </cell>
          <cell r="D81" t="str">
            <v>DSBC</v>
          </cell>
          <cell r="E81">
            <v>205.92</v>
          </cell>
          <cell r="F81">
            <v>34.72</v>
          </cell>
          <cell r="G81">
            <v>205.92</v>
          </cell>
          <cell r="H81">
            <v>34.72</v>
          </cell>
          <cell r="J81">
            <v>28</v>
          </cell>
          <cell r="K81">
            <v>4</v>
          </cell>
          <cell r="N81">
            <v>0</v>
          </cell>
          <cell r="O81">
            <v>0</v>
          </cell>
          <cell r="P81">
            <v>0</v>
          </cell>
          <cell r="R81">
            <v>27</v>
          </cell>
          <cell r="S81">
            <v>0</v>
          </cell>
          <cell r="T81">
            <v>0</v>
          </cell>
          <cell r="X81">
            <v>0</v>
          </cell>
          <cell r="AA81">
            <v>0</v>
          </cell>
          <cell r="AD81">
            <v>2000000</v>
          </cell>
          <cell r="AE81">
            <v>4582244</v>
          </cell>
          <cell r="AF81">
            <v>7329000</v>
          </cell>
          <cell r="AG81">
            <v>125525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C82" t="str">
            <v>Đinh Thị Khánh Ly</v>
          </cell>
          <cell r="D82" t="str">
            <v>DSBC</v>
          </cell>
          <cell r="E82">
            <v>215.38</v>
          </cell>
          <cell r="F82">
            <v>26.6</v>
          </cell>
          <cell r="G82">
            <v>215.38</v>
          </cell>
          <cell r="H82">
            <v>26.6</v>
          </cell>
          <cell r="J82">
            <v>28</v>
          </cell>
          <cell r="K82">
            <v>3</v>
          </cell>
          <cell r="N82">
            <v>0</v>
          </cell>
          <cell r="O82">
            <v>0</v>
          </cell>
          <cell r="P82">
            <v>0</v>
          </cell>
          <cell r="R82">
            <v>28</v>
          </cell>
          <cell r="S82">
            <v>0</v>
          </cell>
          <cell r="T82">
            <v>0</v>
          </cell>
          <cell r="X82">
            <v>0</v>
          </cell>
          <cell r="AA82">
            <v>0</v>
          </cell>
          <cell r="AC82">
            <v>288825</v>
          </cell>
          <cell r="AD82">
            <v>1200000</v>
          </cell>
          <cell r="AE82">
            <v>3510304</v>
          </cell>
          <cell r="AF82">
            <v>6452400</v>
          </cell>
          <cell r="AG82">
            <v>61430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C83" t="str">
            <v>Đinh Thị Lan Anh</v>
          </cell>
          <cell r="D83" t="str">
            <v>DSBC</v>
          </cell>
          <cell r="E83">
            <v>263.92</v>
          </cell>
          <cell r="F83">
            <v>18.420000000000002</v>
          </cell>
          <cell r="G83">
            <v>247.92</v>
          </cell>
          <cell r="H83">
            <v>18.420000000000002</v>
          </cell>
          <cell r="I83">
            <v>16</v>
          </cell>
          <cell r="J83">
            <v>30</v>
          </cell>
          <cell r="K83">
            <v>2</v>
          </cell>
          <cell r="N83">
            <v>0</v>
          </cell>
          <cell r="O83">
            <v>0</v>
          </cell>
          <cell r="P83">
            <v>0</v>
          </cell>
          <cell r="R83">
            <v>30</v>
          </cell>
          <cell r="S83">
            <v>0</v>
          </cell>
          <cell r="T83">
            <v>0</v>
          </cell>
          <cell r="V83">
            <v>500000</v>
          </cell>
          <cell r="X83">
            <v>0</v>
          </cell>
          <cell r="AA83">
            <v>0</v>
          </cell>
          <cell r="AD83">
            <v>2000000</v>
          </cell>
          <cell r="AE83">
            <v>4059232</v>
          </cell>
          <cell r="AF83">
            <v>6782000</v>
          </cell>
          <cell r="AG83">
            <v>94530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5">
          <cell r="D85" t="str">
            <v>Tổng</v>
          </cell>
          <cell r="E85">
            <v>8266</v>
          </cell>
          <cell r="F85">
            <v>5036</v>
          </cell>
          <cell r="G85">
            <v>7760</v>
          </cell>
          <cell r="H85">
            <v>5036</v>
          </cell>
          <cell r="I85">
            <v>256</v>
          </cell>
          <cell r="J85">
            <v>1463</v>
          </cell>
          <cell r="K85">
            <v>633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1454</v>
          </cell>
          <cell r="S85">
            <v>51</v>
          </cell>
          <cell r="T85">
            <v>200</v>
          </cell>
          <cell r="U85">
            <v>92438</v>
          </cell>
          <cell r="V85">
            <v>15323810</v>
          </cell>
          <cell r="W85">
            <v>0</v>
          </cell>
          <cell r="X85">
            <v>23651498</v>
          </cell>
          <cell r="Y85">
            <v>1000000</v>
          </cell>
          <cell r="Z85">
            <v>2000000</v>
          </cell>
          <cell r="AA85">
            <v>66000</v>
          </cell>
          <cell r="AB85">
            <v>450000</v>
          </cell>
          <cell r="AC85">
            <v>9632517</v>
          </cell>
          <cell r="AD85">
            <v>30174194</v>
          </cell>
          <cell r="AE85">
            <v>26480239</v>
          </cell>
          <cell r="AF85">
            <v>82837360</v>
          </cell>
          <cell r="AG85">
            <v>1501358</v>
          </cell>
          <cell r="AH85">
            <v>0</v>
          </cell>
          <cell r="AI85">
            <v>7707040</v>
          </cell>
          <cell r="AJ85">
            <v>7997500</v>
          </cell>
          <cell r="AK85">
            <v>741500</v>
          </cell>
          <cell r="AL85">
            <v>0</v>
          </cell>
          <cell r="AM85">
            <v>356000</v>
          </cell>
          <cell r="AN85">
            <v>0</v>
          </cell>
          <cell r="AO85">
            <v>6900000</v>
          </cell>
        </row>
        <row r="87">
          <cell r="E87" t="str">
            <v>Chi nhánh</v>
          </cell>
        </row>
        <row r="88">
          <cell r="E88" t="str">
            <v>24H</v>
          </cell>
          <cell r="G88">
            <v>750.63</v>
          </cell>
          <cell r="H88">
            <v>551.38</v>
          </cell>
          <cell r="I88">
            <v>1302.02</v>
          </cell>
        </row>
        <row r="89">
          <cell r="E89" t="str">
            <v>Đỗ Quang Đẩu</v>
          </cell>
          <cell r="G89">
            <v>970.4</v>
          </cell>
          <cell r="H89">
            <v>477.18</v>
          </cell>
          <cell r="I89">
            <v>1447.58</v>
          </cell>
        </row>
        <row r="90">
          <cell r="E90" t="str">
            <v>Nam Hòa</v>
          </cell>
          <cell r="G90">
            <v>745.67</v>
          </cell>
          <cell r="H90">
            <v>447.43</v>
          </cell>
          <cell r="I90">
            <v>1193.0999999999999</v>
          </cell>
        </row>
        <row r="91">
          <cell r="E91" t="str">
            <v>Minh Châu</v>
          </cell>
          <cell r="G91">
            <v>820.42</v>
          </cell>
          <cell r="H91">
            <v>451.5</v>
          </cell>
          <cell r="I91">
            <v>1271.92</v>
          </cell>
        </row>
        <row r="92">
          <cell r="E92" t="str">
            <v>Lê Bình</v>
          </cell>
          <cell r="G92">
            <v>364.88</v>
          </cell>
          <cell r="H92">
            <v>233.83</v>
          </cell>
          <cell r="I92">
            <v>598.72</v>
          </cell>
        </row>
        <row r="93">
          <cell r="E93" t="str">
            <v>Nguyễn Chí Thanh</v>
          </cell>
          <cell r="G93">
            <v>651.9</v>
          </cell>
          <cell r="H93">
            <v>499.98</v>
          </cell>
          <cell r="I93">
            <v>1151.8800000000001</v>
          </cell>
        </row>
        <row r="94">
          <cell r="E94" t="str">
            <v>Nguyễn Thị Thập</v>
          </cell>
          <cell r="G94">
            <v>796.62</v>
          </cell>
          <cell r="H94">
            <v>533.5</v>
          </cell>
          <cell r="I94">
            <v>1330.12</v>
          </cell>
        </row>
        <row r="95">
          <cell r="E95" t="str">
            <v>Nguyễn Văn Quá</v>
          </cell>
          <cell r="G95">
            <v>506.77</v>
          </cell>
          <cell r="H95">
            <v>483.28</v>
          </cell>
          <cell r="I95">
            <v>990.05</v>
          </cell>
        </row>
        <row r="96">
          <cell r="E96" t="str">
            <v>Rạch Bùng Binh</v>
          </cell>
          <cell r="G96">
            <v>800.85</v>
          </cell>
          <cell r="H96">
            <v>397.15</v>
          </cell>
          <cell r="I96">
            <v>1198</v>
          </cell>
        </row>
        <row r="97">
          <cell r="E97" t="str">
            <v>Đường Láng</v>
          </cell>
          <cell r="G97">
            <v>680.58</v>
          </cell>
          <cell r="H97">
            <v>624.82000000000005</v>
          </cell>
          <cell r="I97">
            <v>1305.4000000000001</v>
          </cell>
        </row>
        <row r="98">
          <cell r="E98" t="str">
            <v>Hàng Bông</v>
          </cell>
          <cell r="G98">
            <v>671.22</v>
          </cell>
          <cell r="H98">
            <v>336.1</v>
          </cell>
          <cell r="I98">
            <v>1007.32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ed Service"/>
      <sheetName val="TTCK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 refreshError="1">
        <row r="11">
          <cell r="D11" t="str">
            <v>Hồ Thị Minh Hòa</v>
          </cell>
          <cell r="E11" t="str">
            <v>HĐLĐ</v>
          </cell>
          <cell r="F11" t="str">
            <v>24H</v>
          </cell>
          <cell r="G11" t="str">
            <v>DSBC</v>
          </cell>
          <cell r="H11">
            <v>45352</v>
          </cell>
          <cell r="I11" t="str">
            <v>0051000542226</v>
          </cell>
          <cell r="J11" t="str">
            <v>Vietcombank</v>
          </cell>
          <cell r="K11">
            <v>28</v>
          </cell>
          <cell r="L11">
            <v>24</v>
          </cell>
          <cell r="M11">
            <v>168.6</v>
          </cell>
          <cell r="N11">
            <v>79.016666666666694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5310000</v>
          </cell>
          <cell r="T11">
            <v>428571.42857142899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6000000</v>
          </cell>
          <cell r="AB11">
            <v>0</v>
          </cell>
          <cell r="AC11">
            <v>0</v>
          </cell>
          <cell r="AD11">
            <v>0</v>
          </cell>
          <cell r="AE11">
            <v>4516071.42857143</v>
          </cell>
          <cell r="AF11">
            <v>3174776.7857142901</v>
          </cell>
          <cell r="AG11">
            <v>0</v>
          </cell>
          <cell r="AH11">
            <v>0</v>
          </cell>
          <cell r="AI11">
            <v>0</v>
          </cell>
          <cell r="AJ11">
            <v>500000</v>
          </cell>
          <cell r="AK11">
            <v>0</v>
          </cell>
          <cell r="AL11">
            <v>0</v>
          </cell>
          <cell r="AM11">
            <v>0</v>
          </cell>
          <cell r="AN11">
            <v>1049040</v>
          </cell>
          <cell r="AO11">
            <v>300</v>
          </cell>
          <cell r="AP11">
            <v>0</v>
          </cell>
          <cell r="AQ11">
            <v>500000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10168759.642857101</v>
          </cell>
          <cell r="BF11">
            <v>929250</v>
          </cell>
          <cell r="BG11">
            <v>159300</v>
          </cell>
          <cell r="BH11">
            <v>53100</v>
          </cell>
          <cell r="BI11">
            <v>0</v>
          </cell>
          <cell r="BJ11">
            <v>1141650</v>
          </cell>
          <cell r="BK11">
            <v>424800</v>
          </cell>
          <cell r="BL11">
            <v>79650</v>
          </cell>
          <cell r="BM11">
            <v>53100</v>
          </cell>
          <cell r="BN11">
            <v>0</v>
          </cell>
          <cell r="BO11">
            <v>557550</v>
          </cell>
          <cell r="BP11">
            <v>428571.42857142899</v>
          </cell>
          <cell r="BQ11">
            <v>9740188.2142857108</v>
          </cell>
          <cell r="BR11">
            <v>15500000</v>
          </cell>
          <cell r="BS11">
            <v>0</v>
          </cell>
          <cell r="BT11">
            <v>0</v>
          </cell>
          <cell r="BU11">
            <v>557550</v>
          </cell>
          <cell r="BV11">
            <v>16057550</v>
          </cell>
          <cell r="BW11">
            <v>0</v>
          </cell>
          <cell r="BX11">
            <v>0</v>
          </cell>
          <cell r="BY11">
            <v>9611210</v>
          </cell>
          <cell r="BZ11">
            <v>0</v>
          </cell>
          <cell r="CA11">
            <v>0</v>
          </cell>
          <cell r="CB11">
            <v>9611210</v>
          </cell>
          <cell r="CC11">
            <v>0</v>
          </cell>
          <cell r="CD11">
            <v>9611210</v>
          </cell>
          <cell r="CE11">
            <v>0</v>
          </cell>
          <cell r="CF11" t="str">
            <v>medigo.hoa.ho@gmail.com</v>
          </cell>
          <cell r="CG11" t="str"/>
          <cell r="CH11">
            <v>11</v>
          </cell>
          <cell r="CI11">
            <v>4.5</v>
          </cell>
          <cell r="CJ11">
            <v>1</v>
          </cell>
          <cell r="CK11">
            <v>3</v>
          </cell>
          <cell r="CL11">
            <v>2024</v>
          </cell>
          <cell r="CM11">
            <v>0</v>
          </cell>
          <cell r="CN11">
            <v>-23135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6000000</v>
          </cell>
          <cell r="CW11">
            <v>0</v>
          </cell>
          <cell r="CX11">
            <v>0</v>
          </cell>
          <cell r="CY11" t="str">
            <v>;</v>
          </cell>
          <cell r="CZ11">
            <v>0</v>
          </cell>
          <cell r="DA11" t="str">
            <v>Hồ Thị Minh Hòa</v>
          </cell>
          <cell r="DB11">
            <v>24</v>
          </cell>
          <cell r="DC11">
            <v>149.35</v>
          </cell>
          <cell r="DD11">
            <v>100.916666666667</v>
          </cell>
          <cell r="DE11">
            <v>4333816.9642857099</v>
          </cell>
          <cell r="DF11">
            <v>4392578.125</v>
          </cell>
          <cell r="DG11">
            <v>10646757</v>
          </cell>
          <cell r="DH11">
            <v>1035547</v>
          </cell>
          <cell r="DI11">
            <v>1035547</v>
          </cell>
        </row>
        <row r="12">
          <cell r="D12" t="str">
            <v>Trần Thị Kim Khánh</v>
          </cell>
          <cell r="E12" t="str">
            <v>HĐLĐ</v>
          </cell>
          <cell r="F12" t="str">
            <v>24H</v>
          </cell>
          <cell r="G12" t="str">
            <v>DSBC</v>
          </cell>
          <cell r="H12">
            <v>45099</v>
          </cell>
          <cell r="I12" t="str">
            <v>69110000565904</v>
          </cell>
          <cell r="J12" t="str">
            <v>BIDV</v>
          </cell>
          <cell r="K12">
            <v>28</v>
          </cell>
          <cell r="L12">
            <v>29</v>
          </cell>
          <cell r="M12">
            <v>305.05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5310000</v>
          </cell>
          <cell r="T12">
            <v>500000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6000000</v>
          </cell>
          <cell r="AB12">
            <v>0</v>
          </cell>
          <cell r="AC12">
            <v>0</v>
          </cell>
          <cell r="AD12">
            <v>0</v>
          </cell>
          <cell r="AE12">
            <v>8170982.1428571399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1000000</v>
          </cell>
          <cell r="AM12">
            <v>0</v>
          </cell>
          <cell r="AN12">
            <v>2121400</v>
          </cell>
          <cell r="AO12">
            <v>43850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11836232.142857101</v>
          </cell>
          <cell r="BF12">
            <v>929250</v>
          </cell>
          <cell r="BG12">
            <v>159300</v>
          </cell>
          <cell r="BH12">
            <v>53100</v>
          </cell>
          <cell r="BI12">
            <v>0</v>
          </cell>
          <cell r="BJ12">
            <v>1141650</v>
          </cell>
          <cell r="BK12">
            <v>424800</v>
          </cell>
          <cell r="BL12">
            <v>79650</v>
          </cell>
          <cell r="BM12">
            <v>53100</v>
          </cell>
          <cell r="BN12">
            <v>0</v>
          </cell>
          <cell r="BO12">
            <v>557550</v>
          </cell>
          <cell r="BP12">
            <v>500000</v>
          </cell>
          <cell r="BQ12">
            <v>11336232.142857101</v>
          </cell>
          <cell r="BR12">
            <v>15500000</v>
          </cell>
          <cell r="BS12">
            <v>0</v>
          </cell>
          <cell r="BT12">
            <v>0</v>
          </cell>
          <cell r="BU12">
            <v>557550</v>
          </cell>
          <cell r="BV12">
            <v>16057550</v>
          </cell>
          <cell r="BW12">
            <v>0</v>
          </cell>
          <cell r="BX12">
            <v>0</v>
          </cell>
          <cell r="BY12">
            <v>11278682</v>
          </cell>
          <cell r="BZ12">
            <v>0</v>
          </cell>
          <cell r="CA12">
            <v>0</v>
          </cell>
          <cell r="CB12">
            <v>11278682</v>
          </cell>
          <cell r="CC12">
            <v>0</v>
          </cell>
          <cell r="CD12">
            <v>11278682</v>
          </cell>
          <cell r="CE12">
            <v>0</v>
          </cell>
          <cell r="CF12" t="str">
            <v>medigo.khanh.tran@gmail.com</v>
          </cell>
          <cell r="CG12" t="str"/>
          <cell r="CH12">
            <v>8</v>
          </cell>
          <cell r="CI12">
            <v>2.5</v>
          </cell>
          <cell r="CJ12">
            <v>22</v>
          </cell>
          <cell r="CK12">
            <v>6</v>
          </cell>
          <cell r="CL12">
            <v>2023</v>
          </cell>
          <cell r="CM12">
            <v>0</v>
          </cell>
          <cell r="CN12">
            <v>-23126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6000000</v>
          </cell>
          <cell r="CW12">
            <v>0</v>
          </cell>
          <cell r="CX12">
            <v>0</v>
          </cell>
          <cell r="CY12" t="str">
            <v>;</v>
          </cell>
          <cell r="CZ12">
            <v>0</v>
          </cell>
          <cell r="DA12" t="str">
            <v>Trần Thị Kim Khánh</v>
          </cell>
          <cell r="DB12">
            <v>29</v>
          </cell>
          <cell r="DC12">
            <v>305.05</v>
          </cell>
          <cell r="DD12">
            <v>0</v>
          </cell>
          <cell r="DE12">
            <v>8851897.3214285709</v>
          </cell>
          <cell r="DF12">
            <v>0</v>
          </cell>
          <cell r="DG12">
            <v>11959597</v>
          </cell>
          <cell r="DH12">
            <v>0</v>
          </cell>
          <cell r="DI12">
            <v>0</v>
          </cell>
        </row>
        <row r="13">
          <cell r="D13" t="str">
            <v>Huỳnh Ngọc Liểu</v>
          </cell>
          <cell r="E13" t="str">
            <v>HĐLĐ</v>
          </cell>
          <cell r="F13" t="str">
            <v>24H</v>
          </cell>
          <cell r="G13" t="str">
            <v>DSBC</v>
          </cell>
          <cell r="H13">
            <v>45278</v>
          </cell>
          <cell r="I13" t="str">
            <v>0111000173413</v>
          </cell>
          <cell r="J13" t="str">
            <v>Vietcombank CN Cần Thơ</v>
          </cell>
          <cell r="K13">
            <v>28</v>
          </cell>
          <cell r="L13">
            <v>28</v>
          </cell>
          <cell r="M13">
            <v>2.5</v>
          </cell>
          <cell r="N13">
            <v>272.58333333333297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5310000</v>
          </cell>
          <cell r="T13">
            <v>500000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6000000</v>
          </cell>
          <cell r="AB13">
            <v>0</v>
          </cell>
          <cell r="AC13">
            <v>0</v>
          </cell>
          <cell r="AD13">
            <v>0</v>
          </cell>
          <cell r="AE13">
            <v>66964.285714285696</v>
          </cell>
          <cell r="AF13">
            <v>10952008.928571399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1622500</v>
          </cell>
          <cell r="AO13">
            <v>2600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13144073.2142857</v>
          </cell>
          <cell r="BF13">
            <v>929250</v>
          </cell>
          <cell r="BG13">
            <v>159300</v>
          </cell>
          <cell r="BH13">
            <v>53100</v>
          </cell>
          <cell r="BI13">
            <v>0</v>
          </cell>
          <cell r="BJ13">
            <v>1141650</v>
          </cell>
          <cell r="BK13">
            <v>424800</v>
          </cell>
          <cell r="BL13">
            <v>79650</v>
          </cell>
          <cell r="BM13">
            <v>53100</v>
          </cell>
          <cell r="BN13">
            <v>0</v>
          </cell>
          <cell r="BO13">
            <v>557550</v>
          </cell>
          <cell r="BP13">
            <v>500000</v>
          </cell>
          <cell r="BQ13">
            <v>12644073.2142857</v>
          </cell>
          <cell r="BR13">
            <v>15500000</v>
          </cell>
          <cell r="BS13">
            <v>0</v>
          </cell>
          <cell r="BT13">
            <v>0</v>
          </cell>
          <cell r="BU13">
            <v>557550</v>
          </cell>
          <cell r="BV13">
            <v>16057550</v>
          </cell>
          <cell r="BW13">
            <v>0</v>
          </cell>
          <cell r="BX13">
            <v>0</v>
          </cell>
          <cell r="BY13">
            <v>12586523</v>
          </cell>
          <cell r="BZ13">
            <v>0</v>
          </cell>
          <cell r="CA13">
            <v>0</v>
          </cell>
          <cell r="CB13">
            <v>12586523</v>
          </cell>
          <cell r="CC13">
            <v>0</v>
          </cell>
          <cell r="CD13">
            <v>12586523</v>
          </cell>
          <cell r="CE13">
            <v>0</v>
          </cell>
          <cell r="CF13" t="str">
            <v>huynhlieu1708@gmail.com</v>
          </cell>
          <cell r="CG13" t="str"/>
          <cell r="CH13">
            <v>8</v>
          </cell>
          <cell r="CI13" t="e">
            <v>#N/A</v>
          </cell>
          <cell r="CJ13">
            <v>18</v>
          </cell>
          <cell r="CK13">
            <v>12</v>
          </cell>
          <cell r="CL13">
            <v>2023</v>
          </cell>
          <cell r="CM13">
            <v>0</v>
          </cell>
          <cell r="CN13">
            <v>-23132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6000000</v>
          </cell>
          <cell r="CW13">
            <v>0</v>
          </cell>
          <cell r="CX13">
            <v>0</v>
          </cell>
          <cell r="CY13" t="str">
            <v>;</v>
          </cell>
          <cell r="CZ13">
            <v>0</v>
          </cell>
          <cell r="DA13" t="str">
            <v>Huỳnh Ngọc Liểu</v>
          </cell>
          <cell r="DB13">
            <v>28</v>
          </cell>
          <cell r="DC13">
            <v>2.5</v>
          </cell>
          <cell r="DD13">
            <v>272.58333333333297</v>
          </cell>
          <cell r="DE13">
            <v>72544.642857142899</v>
          </cell>
          <cell r="DF13">
            <v>11864676.3392857</v>
          </cell>
          <cell r="DG13">
            <v>13504771</v>
          </cell>
          <cell r="DH13">
            <v>918248</v>
          </cell>
          <cell r="DI13">
            <v>918248</v>
          </cell>
        </row>
        <row r="14">
          <cell r="D14" t="str">
            <v>Phạm Nguyễn Ngọc Quý</v>
          </cell>
          <cell r="E14" t="str">
            <v>HĐLĐ</v>
          </cell>
          <cell r="F14" t="str">
            <v>24H</v>
          </cell>
          <cell r="G14" t="str">
            <v>DSBC</v>
          </cell>
          <cell r="H14" t="str">
            <v>01/11/2024</v>
          </cell>
          <cell r="I14" t="str">
            <v>1026764251</v>
          </cell>
          <cell r="J14" t="str">
            <v>Vietcombank</v>
          </cell>
          <cell r="K14">
            <v>28</v>
          </cell>
          <cell r="L14">
            <v>29</v>
          </cell>
          <cell r="M14">
            <v>251.5</v>
          </cell>
          <cell r="N14">
            <v>56.266666666666701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5310000</v>
          </cell>
          <cell r="T14">
            <v>500000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6000000</v>
          </cell>
          <cell r="AB14">
            <v>0</v>
          </cell>
          <cell r="AC14">
            <v>0</v>
          </cell>
          <cell r="AD14">
            <v>0</v>
          </cell>
          <cell r="AE14">
            <v>6736607.1428571399</v>
          </cell>
          <cell r="AF14">
            <v>2260714.2857142901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1474320</v>
          </cell>
          <cell r="AO14">
            <v>16360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10988001.428571399</v>
          </cell>
          <cell r="BF14">
            <v>929250</v>
          </cell>
          <cell r="BG14">
            <v>159300</v>
          </cell>
          <cell r="BH14">
            <v>53100</v>
          </cell>
          <cell r="BI14">
            <v>0</v>
          </cell>
          <cell r="BJ14">
            <v>1141650</v>
          </cell>
          <cell r="BK14">
            <v>424800</v>
          </cell>
          <cell r="BL14">
            <v>79650</v>
          </cell>
          <cell r="BM14">
            <v>53100</v>
          </cell>
          <cell r="BN14">
            <v>0</v>
          </cell>
          <cell r="BO14">
            <v>557550</v>
          </cell>
          <cell r="BP14">
            <v>500000</v>
          </cell>
          <cell r="BQ14">
            <v>10488001.428571399</v>
          </cell>
          <cell r="BR14">
            <v>15500000</v>
          </cell>
          <cell r="BS14">
            <v>0</v>
          </cell>
          <cell r="BT14">
            <v>0</v>
          </cell>
          <cell r="BU14">
            <v>557550</v>
          </cell>
          <cell r="BV14">
            <v>16057550</v>
          </cell>
          <cell r="BW14">
            <v>0</v>
          </cell>
          <cell r="BX14">
            <v>0</v>
          </cell>
          <cell r="BY14">
            <v>10430451</v>
          </cell>
          <cell r="BZ14">
            <v>0</v>
          </cell>
          <cell r="CA14">
            <v>0</v>
          </cell>
          <cell r="CB14">
            <v>10430451</v>
          </cell>
          <cell r="CC14">
            <v>0</v>
          </cell>
          <cell r="CD14">
            <v>10430451</v>
          </cell>
          <cell r="CE14">
            <v>0</v>
          </cell>
          <cell r="CF14" t="str">
            <v>medigo.quy.pham@gmail.com</v>
          </cell>
          <cell r="CG14" t="str"/>
          <cell r="CH14">
            <v>6</v>
          </cell>
          <cell r="CI14">
            <v>0</v>
          </cell>
          <cell r="CJ14">
            <v>1</v>
          </cell>
          <cell r="CK14">
            <v>11</v>
          </cell>
          <cell r="CL14">
            <v>2024</v>
          </cell>
          <cell r="CM14">
            <v>0</v>
          </cell>
          <cell r="CN14">
            <v>-23143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6000000</v>
          </cell>
          <cell r="CW14">
            <v>0</v>
          </cell>
          <cell r="CX14">
            <v>0</v>
          </cell>
          <cell r="CY14" t="str">
            <v>;</v>
          </cell>
          <cell r="CZ14">
            <v>0</v>
          </cell>
          <cell r="DA14" t="str">
            <v>Phạm Nguyễn Ngọc Quý</v>
          </cell>
          <cell r="DB14">
            <v>29</v>
          </cell>
          <cell r="DC14">
            <v>251.5</v>
          </cell>
          <cell r="DD14">
            <v>56.266666666666701</v>
          </cell>
          <cell r="DE14">
            <v>6736607.1428571399</v>
          </cell>
          <cell r="DF14">
            <v>2260714.2857142901</v>
          </cell>
          <cell r="DG14">
            <v>10430451</v>
          </cell>
          <cell r="DH14">
            <v>0</v>
          </cell>
          <cell r="DI14">
            <v>0</v>
          </cell>
        </row>
        <row r="15">
          <cell r="D15" t="str">
            <v>Ngô Trần Tuyết Vy</v>
          </cell>
          <cell r="E15" t="str">
            <v>HĐLĐ</v>
          </cell>
          <cell r="F15" t="str">
            <v>24H</v>
          </cell>
          <cell r="G15" t="str">
            <v>DSBC</v>
          </cell>
          <cell r="H15">
            <v>44743</v>
          </cell>
          <cell r="I15" t="str">
            <v>060260188766</v>
          </cell>
          <cell r="J15" t="str">
            <v>Sacombank</v>
          </cell>
          <cell r="K15">
            <v>28</v>
          </cell>
          <cell r="L15">
            <v>26</v>
          </cell>
          <cell r="M15">
            <v>145.55000000000001</v>
          </cell>
          <cell r="N15">
            <v>80.783333333333303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5310000</v>
          </cell>
          <cell r="T15">
            <v>464285.71428571403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6000000</v>
          </cell>
          <cell r="AB15">
            <v>0</v>
          </cell>
          <cell r="AC15">
            <v>0</v>
          </cell>
          <cell r="AD15">
            <v>0</v>
          </cell>
          <cell r="AE15">
            <v>3898660.7142857099</v>
          </cell>
          <cell r="AF15">
            <v>3245758.92857143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1457700</v>
          </cell>
          <cell r="AO15">
            <v>1300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9067705.3571428601</v>
          </cell>
          <cell r="BF15">
            <v>929250</v>
          </cell>
          <cell r="BG15">
            <v>159300</v>
          </cell>
          <cell r="BH15">
            <v>53100</v>
          </cell>
          <cell r="BI15">
            <v>0</v>
          </cell>
          <cell r="BJ15">
            <v>1141650</v>
          </cell>
          <cell r="BK15">
            <v>424800</v>
          </cell>
          <cell r="BL15">
            <v>79650</v>
          </cell>
          <cell r="BM15">
            <v>53100</v>
          </cell>
          <cell r="BN15">
            <v>0</v>
          </cell>
          <cell r="BO15">
            <v>557550</v>
          </cell>
          <cell r="BP15">
            <v>464285.71428571403</v>
          </cell>
          <cell r="BQ15">
            <v>8603419.6428571399</v>
          </cell>
          <cell r="BR15">
            <v>15500000</v>
          </cell>
          <cell r="BS15">
            <v>0</v>
          </cell>
          <cell r="BT15">
            <v>0</v>
          </cell>
          <cell r="BU15">
            <v>557550</v>
          </cell>
          <cell r="BV15">
            <v>16057550</v>
          </cell>
          <cell r="BW15">
            <v>0</v>
          </cell>
          <cell r="BX15">
            <v>0</v>
          </cell>
          <cell r="BY15">
            <v>8510155</v>
          </cell>
          <cell r="BZ15">
            <v>0</v>
          </cell>
          <cell r="CA15">
            <v>0</v>
          </cell>
          <cell r="CB15">
            <v>8510155</v>
          </cell>
          <cell r="CC15">
            <v>0</v>
          </cell>
          <cell r="CD15">
            <v>8510155</v>
          </cell>
          <cell r="CE15">
            <v>0</v>
          </cell>
          <cell r="CF15" t="str">
            <v>vy.ngo@medigoapp.com</v>
          </cell>
          <cell r="CG15" t="str"/>
          <cell r="CH15">
            <v>3</v>
          </cell>
          <cell r="CI15">
            <v>2.5</v>
          </cell>
          <cell r="CJ15">
            <v>14</v>
          </cell>
          <cell r="CK15">
            <v>2</v>
          </cell>
          <cell r="CL15">
            <v>2021</v>
          </cell>
          <cell r="CM15">
            <v>0</v>
          </cell>
          <cell r="CN15">
            <v>-23098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6000000</v>
          </cell>
          <cell r="CW15">
            <v>0</v>
          </cell>
          <cell r="CX15">
            <v>0</v>
          </cell>
          <cell r="CY15" t="str">
            <v>;</v>
          </cell>
          <cell r="CZ15">
            <v>0</v>
          </cell>
          <cell r="DA15" t="str">
            <v>Ngô Trần Tuyết Vy</v>
          </cell>
          <cell r="DB15">
            <v>26</v>
          </cell>
          <cell r="DC15">
            <v>145.55000000000001</v>
          </cell>
          <cell r="DD15">
            <v>80.783333333333303</v>
          </cell>
          <cell r="DE15">
            <v>5425803.8031249996</v>
          </cell>
          <cell r="DF15">
            <v>4517154.0765624996</v>
          </cell>
          <cell r="DG15">
            <v>11308694</v>
          </cell>
          <cell r="DH15">
            <v>0</v>
          </cell>
          <cell r="DI15">
            <v>0</v>
          </cell>
        </row>
        <row r="16">
          <cell r="D16" t="str">
            <v>Hạ Ngân Khánh</v>
          </cell>
          <cell r="E16" t="str">
            <v>HĐLĐ</v>
          </cell>
          <cell r="F16" t="str">
            <v>24H</v>
          </cell>
          <cell r="G16" t="str">
            <v>DSBC</v>
          </cell>
          <cell r="H16" t="str">
            <v>23/06/2025</v>
          </cell>
          <cell r="I16" t="str">
            <v>109873777758</v>
          </cell>
          <cell r="J16" t="str">
            <v>VietinBank</v>
          </cell>
          <cell r="K16">
            <v>28</v>
          </cell>
          <cell r="L16">
            <v>9</v>
          </cell>
          <cell r="M16">
            <v>7.8666666666666698</v>
          </cell>
          <cell r="N16">
            <v>59.533333333333303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160714.285714286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6000000</v>
          </cell>
          <cell r="AB16">
            <v>0</v>
          </cell>
          <cell r="AC16">
            <v>0</v>
          </cell>
          <cell r="AD16">
            <v>0</v>
          </cell>
          <cell r="AE16">
            <v>210714.285714286</v>
          </cell>
          <cell r="AF16">
            <v>2391964.2857142901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2763392.8571428601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160714.285714286</v>
          </cell>
          <cell r="BQ16">
            <v>2602678.57142857</v>
          </cell>
          <cell r="BR16">
            <v>15500000</v>
          </cell>
          <cell r="BS16">
            <v>0</v>
          </cell>
          <cell r="BT16">
            <v>0</v>
          </cell>
          <cell r="BU16">
            <v>0</v>
          </cell>
          <cell r="BV16">
            <v>15500000</v>
          </cell>
          <cell r="BW16">
            <v>0</v>
          </cell>
          <cell r="BX16">
            <v>0</v>
          </cell>
          <cell r="BY16">
            <v>2763393</v>
          </cell>
          <cell r="BZ16">
            <v>0</v>
          </cell>
          <cell r="CA16">
            <v>0</v>
          </cell>
          <cell r="CB16">
            <v>2763393</v>
          </cell>
          <cell r="CC16">
            <v>0</v>
          </cell>
          <cell r="CD16">
            <v>2763393</v>
          </cell>
          <cell r="CE16">
            <v>0</v>
          </cell>
          <cell r="CF16" t="str">
            <v>medigo.ngankhanh.ha@gmail.com</v>
          </cell>
          <cell r="CG16" t="str"/>
          <cell r="CH16">
            <v>9</v>
          </cell>
          <cell r="CI16">
            <v>0</v>
          </cell>
          <cell r="CJ16">
            <v>23</v>
          </cell>
          <cell r="CK16">
            <v>6</v>
          </cell>
          <cell r="CL16">
            <v>2025</v>
          </cell>
          <cell r="CM16">
            <v>0</v>
          </cell>
          <cell r="CN16">
            <v>-23150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6000000</v>
          </cell>
          <cell r="CW16">
            <v>0</v>
          </cell>
          <cell r="CX16">
            <v>0</v>
          </cell>
          <cell r="CY16" t="str">
            <v>;</v>
          </cell>
          <cell r="CZ16">
            <v>0</v>
          </cell>
          <cell r="DA16" t="str">
            <v>Hạ Ngân Khánh</v>
          </cell>
          <cell r="DB16">
            <v>9</v>
          </cell>
          <cell r="DC16">
            <v>7.8666666666666698</v>
          </cell>
          <cell r="DD16">
            <v>59.533333333333303</v>
          </cell>
          <cell r="DE16">
            <v>210714.285714286</v>
          </cell>
          <cell r="DF16">
            <v>2391964.2857142901</v>
          </cell>
          <cell r="DG16">
            <v>2763393</v>
          </cell>
          <cell r="DH16">
            <v>0</v>
          </cell>
          <cell r="D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168</v>
          </cell>
          <cell r="L17">
            <v>145</v>
          </cell>
          <cell r="M17">
            <v>881.06666666666695</v>
          </cell>
          <cell r="N17">
            <v>548.18333333333305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26550000</v>
          </cell>
          <cell r="T17">
            <v>2553571.42857143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36000000</v>
          </cell>
          <cell r="AB17">
            <v>0</v>
          </cell>
          <cell r="AC17">
            <v>0</v>
          </cell>
          <cell r="AD17">
            <v>0</v>
          </cell>
          <cell r="AE17">
            <v>23600000</v>
          </cell>
          <cell r="AF17">
            <v>22025223.214285702</v>
          </cell>
          <cell r="AG17">
            <v>0</v>
          </cell>
          <cell r="AH17">
            <v>0</v>
          </cell>
          <cell r="AI17">
            <v>0</v>
          </cell>
          <cell r="AJ17">
            <v>500000</v>
          </cell>
          <cell r="AK17">
            <v>0</v>
          </cell>
          <cell r="AL17">
            <v>1000000</v>
          </cell>
          <cell r="AM17">
            <v>0</v>
          </cell>
          <cell r="AN17">
            <v>7724960</v>
          </cell>
          <cell r="AO17">
            <v>64410</v>
          </cell>
          <cell r="AP17">
            <v>0</v>
          </cell>
          <cell r="AQ17">
            <v>500000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57968164.642857097</v>
          </cell>
          <cell r="BF17">
            <v>4646250</v>
          </cell>
          <cell r="BG17">
            <v>796500</v>
          </cell>
          <cell r="BH17">
            <v>265500</v>
          </cell>
          <cell r="BI17">
            <v>0</v>
          </cell>
          <cell r="BJ17">
            <v>5708250</v>
          </cell>
          <cell r="BK17">
            <v>2124000</v>
          </cell>
          <cell r="BL17">
            <v>398250</v>
          </cell>
          <cell r="BM17">
            <v>265500</v>
          </cell>
          <cell r="BN17">
            <v>0</v>
          </cell>
          <cell r="BO17">
            <v>2787750</v>
          </cell>
          <cell r="BP17">
            <v>2553571.42857143</v>
          </cell>
          <cell r="BQ17">
            <v>55414593.214285702</v>
          </cell>
          <cell r="BR17">
            <v>93000000</v>
          </cell>
          <cell r="BS17">
            <v>0</v>
          </cell>
          <cell r="BT17">
            <v>0</v>
          </cell>
          <cell r="BU17">
            <v>2787750</v>
          </cell>
          <cell r="BV17">
            <v>95787750</v>
          </cell>
          <cell r="BW17">
            <v>0</v>
          </cell>
          <cell r="BX17">
            <v>0</v>
          </cell>
          <cell r="BY17">
            <v>55180414</v>
          </cell>
          <cell r="BZ17">
            <v>0</v>
          </cell>
          <cell r="CA17">
            <v>0</v>
          </cell>
          <cell r="CB17">
            <v>55180414</v>
          </cell>
          <cell r="CC17">
            <v>0</v>
          </cell>
          <cell r="CD17">
            <v>55180414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 t="e">
            <v>#N/A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 t="e">
            <v>#N/A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D18" t="str">
            <v>Phạm Thị Nghĩa Hương</v>
          </cell>
          <cell r="E18" t="str">
            <v>HĐLĐ</v>
          </cell>
          <cell r="F18" t="str">
            <v>Đỗ Quang Đẩu</v>
          </cell>
          <cell r="G18" t="str">
            <v>DSBC</v>
          </cell>
          <cell r="H18">
            <v>45575</v>
          </cell>
          <cell r="I18" t="str">
            <v>0968249073</v>
          </cell>
          <cell r="J18" t="str">
            <v>Mb bank</v>
          </cell>
          <cell r="K18">
            <v>28</v>
          </cell>
          <cell r="L18">
            <v>15</v>
          </cell>
          <cell r="M18">
            <v>106.466666666667</v>
          </cell>
          <cell r="N18">
            <v>40.0833333333333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5310000</v>
          </cell>
          <cell r="T18">
            <v>267857.14285714302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6000000</v>
          </cell>
          <cell r="AB18">
            <v>0</v>
          </cell>
          <cell r="AC18">
            <v>0</v>
          </cell>
          <cell r="AD18">
            <v>0</v>
          </cell>
          <cell r="AE18">
            <v>2851785.7142857099</v>
          </cell>
          <cell r="AF18">
            <v>1610491.07142857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46000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200000</v>
          </cell>
          <cell r="BA18">
            <v>0</v>
          </cell>
          <cell r="BB18">
            <v>300000</v>
          </cell>
          <cell r="BC18">
            <v>0</v>
          </cell>
          <cell r="BD18">
            <v>0</v>
          </cell>
          <cell r="BE18">
            <v>4276133.92857143</v>
          </cell>
          <cell r="BF18">
            <v>929250</v>
          </cell>
          <cell r="BG18">
            <v>46875</v>
          </cell>
          <cell r="BH18">
            <v>8035.7142857142899</v>
          </cell>
          <cell r="BI18">
            <v>0</v>
          </cell>
          <cell r="BJ18">
            <v>0</v>
          </cell>
          <cell r="BK18">
            <v>54910.714285714297</v>
          </cell>
          <cell r="BL18">
            <v>21428.571428571398</v>
          </cell>
          <cell r="BM18">
            <v>4017.8571428571399</v>
          </cell>
          <cell r="BN18">
            <v>0</v>
          </cell>
          <cell r="BO18">
            <v>80357.142857142899</v>
          </cell>
          <cell r="BP18">
            <v>105803.571428571</v>
          </cell>
          <cell r="BQ18">
            <v>4170330.3571428601</v>
          </cell>
          <cell r="BR18">
            <v>15500000</v>
          </cell>
          <cell r="BS18">
            <v>0</v>
          </cell>
          <cell r="BT18">
            <v>0</v>
          </cell>
          <cell r="BU18">
            <v>80357.142857142899</v>
          </cell>
          <cell r="BV18">
            <v>15580357.142857101</v>
          </cell>
          <cell r="BW18">
            <v>0</v>
          </cell>
          <cell r="BX18">
            <v>0</v>
          </cell>
          <cell r="BY18">
            <v>4195777</v>
          </cell>
          <cell r="BZ18">
            <v>0</v>
          </cell>
          <cell r="CA18">
            <v>0</v>
          </cell>
          <cell r="CB18">
            <v>4195777</v>
          </cell>
          <cell r="CC18">
            <v>0</v>
          </cell>
          <cell r="CD18">
            <v>4195777</v>
          </cell>
          <cell r="CE18">
            <v>0</v>
          </cell>
          <cell r="CF18" t="str">
            <v>medigo.huong.pham@gmail.com</v>
          </cell>
          <cell r="CG18" t="str">
            <v>Không báo cáo tiền lấy két chạy hàng ca 3- 03/04/2026: 100.000đ
Xuất HD1031338 quá thời gian : 100.000đ</v>
          </cell>
          <cell r="CH18">
            <v>10</v>
          </cell>
          <cell r="CI18">
            <v>2.5</v>
          </cell>
          <cell r="CJ18">
            <v>10</v>
          </cell>
          <cell r="CK18">
            <v>10</v>
          </cell>
          <cell r="CL18">
            <v>2024</v>
          </cell>
          <cell r="CM18">
            <v>0</v>
          </cell>
          <cell r="CN18">
            <v>17</v>
          </cell>
          <cell r="CO18">
            <v>0</v>
          </cell>
          <cell r="CP18">
            <v>0</v>
          </cell>
          <cell r="CQ18">
            <v>1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6000000</v>
          </cell>
          <cell r="CW18">
            <v>0</v>
          </cell>
          <cell r="CX18" t="str">
            <v>Không báo cáo tiền lấy két chạy hàng ca 3- 03/04/2026: 100.000đ
Xuất HD1031338 quá thời gian : 100.000đ</v>
          </cell>
          <cell r="CY18" t="str">
            <v>; Không báo cáo tiền lấy két chạy hàng ca 3- 03/04/2026: 100.000đ
Xuất HD1031338 quá thời gian : 100.000đ</v>
          </cell>
          <cell r="CZ18">
            <v>0</v>
          </cell>
          <cell r="DA18" t="str">
            <v>Phạm Thị Nghĩa Hương</v>
          </cell>
          <cell r="DB18">
            <v>15</v>
          </cell>
          <cell r="DC18">
            <v>106.466666666667</v>
          </cell>
          <cell r="DD18">
            <v>40.0833333333333</v>
          </cell>
          <cell r="DE18">
            <v>2851785.7142857099</v>
          </cell>
          <cell r="DF18">
            <v>1610491.07142857</v>
          </cell>
          <cell r="DG18">
            <v>4195777</v>
          </cell>
          <cell r="DH18">
            <v>0</v>
          </cell>
          <cell r="DI18">
            <v>0</v>
          </cell>
        </row>
        <row r="19">
          <cell r="D19" t="str">
            <v>Huỳnh Thị Kim Ngân</v>
          </cell>
          <cell r="E19" t="str">
            <v>HĐLĐ</v>
          </cell>
          <cell r="F19" t="str">
            <v>Đỗ Quang Đẩu</v>
          </cell>
          <cell r="G19" t="str">
            <v>DSBC</v>
          </cell>
          <cell r="H19" t="str">
            <v>4/9/2024</v>
          </cell>
          <cell r="I19" t="str">
            <v>00199839396666</v>
          </cell>
          <cell r="J19" t="str">
            <v>MB Bank</v>
          </cell>
          <cell r="K19">
            <v>28</v>
          </cell>
          <cell r="L19">
            <v>14</v>
          </cell>
          <cell r="M19">
            <v>75.45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5310000</v>
          </cell>
          <cell r="T19">
            <v>250000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6000000</v>
          </cell>
          <cell r="AB19">
            <v>0</v>
          </cell>
          <cell r="AC19">
            <v>0</v>
          </cell>
          <cell r="AD19">
            <v>0</v>
          </cell>
          <cell r="AE19">
            <v>2020982.1428571399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188400</v>
          </cell>
          <cell r="AO19">
            <v>11565</v>
          </cell>
          <cell r="AP19">
            <v>0</v>
          </cell>
          <cell r="AQ19">
            <v>316780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2787727.1428571399</v>
          </cell>
          <cell r="BF19">
            <v>929250</v>
          </cell>
          <cell r="BG19">
            <v>159300</v>
          </cell>
          <cell r="BH19">
            <v>53100</v>
          </cell>
          <cell r="BI19">
            <v>0</v>
          </cell>
          <cell r="BJ19">
            <v>1141650</v>
          </cell>
          <cell r="BK19">
            <v>424800</v>
          </cell>
          <cell r="BL19">
            <v>79650</v>
          </cell>
          <cell r="BM19">
            <v>53100</v>
          </cell>
          <cell r="BN19">
            <v>0</v>
          </cell>
          <cell r="BO19">
            <v>557550</v>
          </cell>
          <cell r="BP19">
            <v>250000</v>
          </cell>
          <cell r="BQ19">
            <v>2537727.1428571399</v>
          </cell>
          <cell r="BR19">
            <v>15500000</v>
          </cell>
          <cell r="BS19">
            <v>0</v>
          </cell>
          <cell r="BT19">
            <v>0</v>
          </cell>
          <cell r="BU19">
            <v>557550</v>
          </cell>
          <cell r="BV19">
            <v>16057550</v>
          </cell>
          <cell r="BW19">
            <v>0</v>
          </cell>
          <cell r="BX19">
            <v>0</v>
          </cell>
          <cell r="BY19">
            <v>2230177</v>
          </cell>
          <cell r="BZ19">
            <v>0</v>
          </cell>
          <cell r="CA19">
            <v>0</v>
          </cell>
          <cell r="CB19">
            <v>2230177</v>
          </cell>
          <cell r="CC19">
            <v>0</v>
          </cell>
          <cell r="CD19">
            <v>2230177</v>
          </cell>
          <cell r="CE19">
            <v>0</v>
          </cell>
          <cell r="CF19" t="str">
            <v>medigo.ngan.huynh@gmail.com</v>
          </cell>
          <cell r="CG19" t="str">
            <v>.</v>
          </cell>
          <cell r="CH19">
            <v>7</v>
          </cell>
          <cell r="CI19">
            <v>0</v>
          </cell>
          <cell r="CJ19">
            <v>4</v>
          </cell>
          <cell r="CK19">
            <v>9</v>
          </cell>
          <cell r="CL19">
            <v>2024</v>
          </cell>
          <cell r="CM19">
            <v>0</v>
          </cell>
          <cell r="CN19">
            <v>-23141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6000000</v>
          </cell>
          <cell r="CW19">
            <v>0</v>
          </cell>
          <cell r="CX19" t="str">
            <v>.</v>
          </cell>
          <cell r="CY19" t="str">
            <v>; .</v>
          </cell>
          <cell r="CZ19">
            <v>0</v>
          </cell>
          <cell r="DA19" t="str">
            <v>Huỳnh Thị Kim Ngân</v>
          </cell>
          <cell r="DB19">
            <v>9</v>
          </cell>
          <cell r="DC19">
            <v>75.45</v>
          </cell>
          <cell r="DD19">
            <v>0</v>
          </cell>
          <cell r="DE19">
            <v>2020982.1428571399</v>
          </cell>
          <cell r="DF19">
            <v>0</v>
          </cell>
          <cell r="DG19">
            <v>2140891</v>
          </cell>
          <cell r="DH19">
            <v>89286</v>
          </cell>
          <cell r="DI19">
            <v>89286</v>
          </cell>
        </row>
        <row r="20">
          <cell r="D20" t="str">
            <v>Trần Thiên Phát</v>
          </cell>
          <cell r="E20" t="str">
            <v>HĐLĐ</v>
          </cell>
          <cell r="F20" t="str">
            <v>Đỗ Quang Đẩu</v>
          </cell>
          <cell r="G20" t="str">
            <v>DSBC</v>
          </cell>
          <cell r="H20" t="str">
            <v>21/07/2025</v>
          </cell>
          <cell r="I20" t="str">
            <v>0345611564</v>
          </cell>
          <cell r="J20" t="str">
            <v>Mbbank</v>
          </cell>
          <cell r="K20">
            <v>28</v>
          </cell>
          <cell r="L20">
            <v>30</v>
          </cell>
          <cell r="M20">
            <v>16</v>
          </cell>
          <cell r="N20">
            <v>280.89999999999998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5310000</v>
          </cell>
          <cell r="T20">
            <v>500000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6000000</v>
          </cell>
          <cell r="AB20">
            <v>0</v>
          </cell>
          <cell r="AC20">
            <v>0</v>
          </cell>
          <cell r="AD20">
            <v>0</v>
          </cell>
          <cell r="AE20">
            <v>428571.42857142899</v>
          </cell>
          <cell r="AF20">
            <v>11286160.7142857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568400</v>
          </cell>
          <cell r="AO20">
            <v>17225</v>
          </cell>
          <cell r="AP20">
            <v>0</v>
          </cell>
          <cell r="AQ20">
            <v>571068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127200</v>
          </cell>
          <cell r="BB20">
            <v>0</v>
          </cell>
          <cell r="BC20">
            <v>0</v>
          </cell>
          <cell r="BD20">
            <v>0</v>
          </cell>
          <cell r="BE20">
            <v>13244225.142857101</v>
          </cell>
          <cell r="BF20">
            <v>929250</v>
          </cell>
          <cell r="BG20">
            <v>159300</v>
          </cell>
          <cell r="BH20">
            <v>53100</v>
          </cell>
          <cell r="BI20">
            <v>0</v>
          </cell>
          <cell r="BJ20">
            <v>1141650</v>
          </cell>
          <cell r="BK20">
            <v>424800</v>
          </cell>
          <cell r="BL20">
            <v>79650</v>
          </cell>
          <cell r="BM20">
            <v>53100</v>
          </cell>
          <cell r="BN20">
            <v>0</v>
          </cell>
          <cell r="BO20">
            <v>557550</v>
          </cell>
          <cell r="BP20">
            <v>500000</v>
          </cell>
          <cell r="BQ20">
            <v>12744225.142857101</v>
          </cell>
          <cell r="BR20">
            <v>15500000</v>
          </cell>
          <cell r="BS20">
            <v>0</v>
          </cell>
          <cell r="BT20">
            <v>0</v>
          </cell>
          <cell r="BU20">
            <v>557550</v>
          </cell>
          <cell r="BV20">
            <v>16057550</v>
          </cell>
          <cell r="BW20">
            <v>0</v>
          </cell>
          <cell r="BX20">
            <v>0</v>
          </cell>
          <cell r="BY20">
            <v>12686675</v>
          </cell>
          <cell r="BZ20">
            <v>0</v>
          </cell>
          <cell r="CA20">
            <v>0</v>
          </cell>
          <cell r="CB20">
            <v>12686675</v>
          </cell>
          <cell r="CC20">
            <v>0</v>
          </cell>
          <cell r="CD20">
            <v>12686675</v>
          </cell>
          <cell r="CE20">
            <v>0</v>
          </cell>
          <cell r="CF20" t="str">
            <v>medigo.thienphat.tran@gmail.com</v>
          </cell>
          <cell r="CG20" t="str">
            <v>quên nhập mã giảm giá 2,000d- 76M185OV : 127.200</v>
          </cell>
          <cell r="CH20">
            <v>8</v>
          </cell>
          <cell r="CI20">
            <v>0</v>
          </cell>
          <cell r="CJ20">
            <v>21</v>
          </cell>
          <cell r="CK20">
            <v>7</v>
          </cell>
          <cell r="CL20">
            <v>2025</v>
          </cell>
          <cell r="CM20">
            <v>0</v>
          </cell>
          <cell r="CN20">
            <v>-23151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6000000</v>
          </cell>
          <cell r="CW20">
            <v>0</v>
          </cell>
          <cell r="CX20" t="str">
            <v>quên nhập mã giảm giá 2,000d- 76M185OV : 127.200</v>
          </cell>
          <cell r="CY20" t="str">
            <v>; quên nhập mã giảm giá 2,000d- 76M185OV : 127.200</v>
          </cell>
          <cell r="CZ20">
            <v>0</v>
          </cell>
          <cell r="DA20" t="str">
            <v>Trần Thiên Phát</v>
          </cell>
          <cell r="DB20">
            <v>30</v>
          </cell>
          <cell r="DC20">
            <v>16</v>
          </cell>
          <cell r="DD20">
            <v>280.89999999999998</v>
          </cell>
          <cell r="DE20">
            <v>428571.42857142899</v>
          </cell>
          <cell r="DF20">
            <v>11286160.7142857</v>
          </cell>
          <cell r="DG20">
            <v>12686675</v>
          </cell>
          <cell r="DH20">
            <v>0</v>
          </cell>
          <cell r="DI20">
            <v>0</v>
          </cell>
        </row>
        <row r="21">
          <cell r="D21" t="str">
            <v>Ngô Thị Thanh Thắm</v>
          </cell>
          <cell r="E21" t="str">
            <v>HĐLĐ</v>
          </cell>
          <cell r="F21" t="str">
            <v>Đỗ Quang Đẩu</v>
          </cell>
          <cell r="G21" t="str">
            <v>CHT</v>
          </cell>
          <cell r="H21">
            <v>45524</v>
          </cell>
          <cell r="I21" t="str">
            <v>0431000219840</v>
          </cell>
          <cell r="J21" t="str">
            <v>Vietcombank</v>
          </cell>
          <cell r="K21">
            <v>28</v>
          </cell>
          <cell r="L21">
            <v>29</v>
          </cell>
          <cell r="M21">
            <v>286.89999999999998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5310000</v>
          </cell>
          <cell r="T21">
            <v>500000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6000000</v>
          </cell>
          <cell r="AB21">
            <v>0</v>
          </cell>
          <cell r="AC21">
            <v>0</v>
          </cell>
          <cell r="AD21">
            <v>0</v>
          </cell>
          <cell r="AE21">
            <v>7684821.42857143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1000000</v>
          </cell>
          <cell r="AK21">
            <v>0</v>
          </cell>
          <cell r="AL21">
            <v>0</v>
          </cell>
          <cell r="AM21">
            <v>0</v>
          </cell>
          <cell r="AN21">
            <v>579200</v>
          </cell>
          <cell r="AO21">
            <v>4730</v>
          </cell>
          <cell r="AP21">
            <v>0</v>
          </cell>
          <cell r="AQ21">
            <v>2153520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11922271.428571399</v>
          </cell>
          <cell r="BF21">
            <v>929250</v>
          </cell>
          <cell r="BG21">
            <v>159300</v>
          </cell>
          <cell r="BH21">
            <v>53100</v>
          </cell>
          <cell r="BI21">
            <v>0</v>
          </cell>
          <cell r="BJ21">
            <v>1141650</v>
          </cell>
          <cell r="BK21">
            <v>424800</v>
          </cell>
          <cell r="BL21">
            <v>79650</v>
          </cell>
          <cell r="BM21">
            <v>53100</v>
          </cell>
          <cell r="BN21">
            <v>0</v>
          </cell>
          <cell r="BO21">
            <v>557550</v>
          </cell>
          <cell r="BP21">
            <v>500000</v>
          </cell>
          <cell r="BQ21">
            <v>11422271.428571399</v>
          </cell>
          <cell r="BR21">
            <v>15500000</v>
          </cell>
          <cell r="BS21">
            <v>0</v>
          </cell>
          <cell r="BT21">
            <v>0</v>
          </cell>
          <cell r="BU21">
            <v>557550</v>
          </cell>
          <cell r="BV21">
            <v>16057550</v>
          </cell>
          <cell r="BW21">
            <v>0</v>
          </cell>
          <cell r="BX21">
            <v>0</v>
          </cell>
          <cell r="BY21">
            <v>11364721</v>
          </cell>
          <cell r="BZ21">
            <v>0</v>
          </cell>
          <cell r="CA21">
            <v>0</v>
          </cell>
          <cell r="CB21">
            <v>11364721</v>
          </cell>
          <cell r="CC21">
            <v>0</v>
          </cell>
          <cell r="CD21">
            <v>11364721</v>
          </cell>
          <cell r="CE21">
            <v>0</v>
          </cell>
          <cell r="CF21" t="str">
            <v>medigo.tham.ngo@gmail.com</v>
          </cell>
          <cell r="CG21" t="str"/>
          <cell r="CH21">
            <v>12</v>
          </cell>
          <cell r="CI21">
            <v>0</v>
          </cell>
          <cell r="CJ21">
            <v>20</v>
          </cell>
          <cell r="CK21">
            <v>8</v>
          </cell>
          <cell r="CL21">
            <v>2024</v>
          </cell>
          <cell r="CM21">
            <v>0</v>
          </cell>
          <cell r="CN21">
            <v>-23140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6000000</v>
          </cell>
          <cell r="CW21">
            <v>0</v>
          </cell>
          <cell r="CX21" t="str"/>
          <cell r="CY21" t="str">
            <v>;</v>
          </cell>
          <cell r="CZ21">
            <v>0</v>
          </cell>
          <cell r="DA21" t="str">
            <v>Ngô Thị Thanh Thắm</v>
          </cell>
          <cell r="DB21">
            <v>29</v>
          </cell>
          <cell r="DC21">
            <v>286.89999999999998</v>
          </cell>
          <cell r="DD21">
            <v>0</v>
          </cell>
          <cell r="DE21">
            <v>7684821.42857143</v>
          </cell>
          <cell r="DF21">
            <v>0</v>
          </cell>
          <cell r="DG21">
            <v>11364721</v>
          </cell>
          <cell r="DH21">
            <v>0</v>
          </cell>
          <cell r="DI21">
            <v>0</v>
          </cell>
        </row>
        <row r="22">
          <cell r="D22" t="str">
            <v>Hoàng Thanh Thủy</v>
          </cell>
          <cell r="E22" t="str">
            <v>HĐLĐ</v>
          </cell>
          <cell r="F22" t="str">
            <v>Đỗ Quang Đẩu</v>
          </cell>
          <cell r="G22" t="str">
            <v>DSBC</v>
          </cell>
          <cell r="H22" t="str">
            <v>27/10/2025</v>
          </cell>
          <cell r="I22" t="str">
            <v>615704060127761</v>
          </cell>
          <cell r="J22" t="str">
            <v>VIB</v>
          </cell>
          <cell r="K22">
            <v>28</v>
          </cell>
          <cell r="L22">
            <v>28</v>
          </cell>
          <cell r="M22">
            <v>277.3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5310000</v>
          </cell>
          <cell r="T22">
            <v>500000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6000000</v>
          </cell>
          <cell r="AB22">
            <v>0</v>
          </cell>
          <cell r="AC22">
            <v>0</v>
          </cell>
          <cell r="AD22">
            <v>0</v>
          </cell>
          <cell r="AE22">
            <v>7427678.57142857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1009864</v>
          </cell>
          <cell r="AO22">
            <v>13165</v>
          </cell>
          <cell r="AP22">
            <v>0</v>
          </cell>
          <cell r="AQ22">
            <v>3278424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12229131.571428601</v>
          </cell>
          <cell r="BF22">
            <v>929250</v>
          </cell>
          <cell r="BG22">
            <v>159300</v>
          </cell>
          <cell r="BH22">
            <v>53100</v>
          </cell>
          <cell r="BI22">
            <v>0</v>
          </cell>
          <cell r="BJ22">
            <v>1141650</v>
          </cell>
          <cell r="BK22">
            <v>424800</v>
          </cell>
          <cell r="BL22">
            <v>79650</v>
          </cell>
          <cell r="BM22">
            <v>53100</v>
          </cell>
          <cell r="BN22">
            <v>0</v>
          </cell>
          <cell r="BO22">
            <v>557550</v>
          </cell>
          <cell r="BP22">
            <v>500000</v>
          </cell>
          <cell r="BQ22">
            <v>11729131.571428601</v>
          </cell>
          <cell r="BR22">
            <v>15500000</v>
          </cell>
          <cell r="BS22">
            <v>0</v>
          </cell>
          <cell r="BT22">
            <v>0</v>
          </cell>
          <cell r="BU22">
            <v>557550</v>
          </cell>
          <cell r="BV22">
            <v>16057550</v>
          </cell>
          <cell r="BW22">
            <v>0</v>
          </cell>
          <cell r="BX22">
            <v>0</v>
          </cell>
          <cell r="BY22">
            <v>11671582</v>
          </cell>
          <cell r="BZ22">
            <v>0</v>
          </cell>
          <cell r="CA22">
            <v>0</v>
          </cell>
          <cell r="CB22">
            <v>11671582</v>
          </cell>
          <cell r="CC22">
            <v>0</v>
          </cell>
          <cell r="CD22">
            <v>11671582</v>
          </cell>
          <cell r="CE22">
            <v>0</v>
          </cell>
          <cell r="CF22" t="str">
            <v>thuy.hoang@medigoapp.com</v>
          </cell>
          <cell r="CG22" t="str"/>
          <cell r="CH22">
            <v>3</v>
          </cell>
          <cell r="CI22">
            <v>2.5</v>
          </cell>
          <cell r="CJ22">
            <v>27</v>
          </cell>
          <cell r="CK22">
            <v>10</v>
          </cell>
          <cell r="CL22">
            <v>2025</v>
          </cell>
          <cell r="CM22">
            <v>0</v>
          </cell>
          <cell r="CN22">
            <v>-23154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6000000</v>
          </cell>
          <cell r="CW22">
            <v>0</v>
          </cell>
          <cell r="CX22" t="str"/>
          <cell r="CY22" t="str">
            <v>;</v>
          </cell>
          <cell r="CZ22">
            <v>0</v>
          </cell>
          <cell r="DA22" t="str">
            <v>Hoàng Thanh Thủy</v>
          </cell>
          <cell r="DB22">
            <v>28</v>
          </cell>
          <cell r="DC22">
            <v>277.3</v>
          </cell>
          <cell r="DD22">
            <v>0</v>
          </cell>
          <cell r="DE22">
            <v>7427678.57142857</v>
          </cell>
          <cell r="DF22">
            <v>0</v>
          </cell>
          <cell r="DG22">
            <v>11671582</v>
          </cell>
          <cell r="DH22">
            <v>0</v>
          </cell>
          <cell r="DI22">
            <v>0</v>
          </cell>
        </row>
        <row r="23">
          <cell r="D23" t="str">
            <v>Lê Thị Huyền Trân</v>
          </cell>
          <cell r="E23" t="str">
            <v>HĐLĐ</v>
          </cell>
          <cell r="F23" t="str">
            <v>Đỗ Quang Đẩu</v>
          </cell>
          <cell r="G23" t="str">
            <v>DSBC</v>
          </cell>
          <cell r="H23">
            <v>45510</v>
          </cell>
          <cell r="I23" t="str">
            <v>03130767201</v>
          </cell>
          <cell r="J23" t="str">
            <v>Tiên Phong Bank</v>
          </cell>
          <cell r="K23">
            <v>28</v>
          </cell>
          <cell r="L23">
            <v>27</v>
          </cell>
          <cell r="M23">
            <v>264.73333333333301</v>
          </cell>
          <cell r="N23">
            <v>8.0833333333333304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5310000</v>
          </cell>
          <cell r="T23">
            <v>482142.85714285698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6000000</v>
          </cell>
          <cell r="AB23">
            <v>0</v>
          </cell>
          <cell r="AC23">
            <v>0</v>
          </cell>
          <cell r="AD23">
            <v>0</v>
          </cell>
          <cell r="AE23">
            <v>7091071.42857143</v>
          </cell>
          <cell r="AF23">
            <v>324776.78571428597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2412739</v>
          </cell>
          <cell r="AN23">
            <v>874300</v>
          </cell>
          <cell r="AO23">
            <v>5640</v>
          </cell>
          <cell r="AP23">
            <v>0</v>
          </cell>
          <cell r="AQ23">
            <v>1835748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13026418.071428601</v>
          </cell>
          <cell r="BF23">
            <v>929250</v>
          </cell>
          <cell r="BG23">
            <v>159300</v>
          </cell>
          <cell r="BH23">
            <v>53100</v>
          </cell>
          <cell r="BI23">
            <v>0</v>
          </cell>
          <cell r="BJ23">
            <v>1141650</v>
          </cell>
          <cell r="BK23">
            <v>424800</v>
          </cell>
          <cell r="BL23">
            <v>79650</v>
          </cell>
          <cell r="BM23">
            <v>53100</v>
          </cell>
          <cell r="BN23">
            <v>0</v>
          </cell>
          <cell r="BO23">
            <v>557550</v>
          </cell>
          <cell r="BP23">
            <v>482142.85714285698</v>
          </cell>
          <cell r="BQ23">
            <v>12544275.2142857</v>
          </cell>
          <cell r="BR23">
            <v>15500000</v>
          </cell>
          <cell r="BS23">
            <v>0</v>
          </cell>
          <cell r="BT23">
            <v>0</v>
          </cell>
          <cell r="BU23">
            <v>557550</v>
          </cell>
          <cell r="BV23">
            <v>16057550</v>
          </cell>
          <cell r="BW23">
            <v>0</v>
          </cell>
          <cell r="BX23">
            <v>0</v>
          </cell>
          <cell r="BY23">
            <v>12468868</v>
          </cell>
          <cell r="BZ23">
            <v>0</v>
          </cell>
          <cell r="CA23">
            <v>0</v>
          </cell>
          <cell r="CB23">
            <v>12468868</v>
          </cell>
          <cell r="CC23">
            <v>0</v>
          </cell>
          <cell r="CD23">
            <v>12468868</v>
          </cell>
          <cell r="CE23">
            <v>0</v>
          </cell>
          <cell r="CF23" t="str">
            <v>medigo.tran.le@gmail.com</v>
          </cell>
          <cell r="CG23" t="str"/>
          <cell r="CH23">
            <v>1</v>
          </cell>
          <cell r="CI23">
            <v>2.5</v>
          </cell>
          <cell r="CJ23">
            <v>6</v>
          </cell>
          <cell r="CK23">
            <v>8</v>
          </cell>
          <cell r="CL23">
            <v>2024</v>
          </cell>
          <cell r="CM23">
            <v>0</v>
          </cell>
          <cell r="CN23">
            <v>-23140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6000000</v>
          </cell>
          <cell r="CW23">
            <v>0</v>
          </cell>
          <cell r="CX23" t="str"/>
          <cell r="CY23" t="str">
            <v>;</v>
          </cell>
          <cell r="CZ23">
            <v>0</v>
          </cell>
          <cell r="DA23" t="str">
            <v>Lê Thị Huyền Trân</v>
          </cell>
          <cell r="DB23">
            <v>27</v>
          </cell>
          <cell r="DC23">
            <v>264.73333333333301</v>
          </cell>
          <cell r="DD23">
            <v>8.0833333333333304</v>
          </cell>
          <cell r="DE23">
            <v>7091071.42857143</v>
          </cell>
          <cell r="DF23">
            <v>324776.78571428597</v>
          </cell>
          <cell r="DG23">
            <v>12468868</v>
          </cell>
          <cell r="DH23">
            <v>0</v>
          </cell>
          <cell r="DI23">
            <v>0</v>
          </cell>
        </row>
        <row r="24">
          <cell r="D24" t="str">
            <v>Nguyễn Thị Phương Linh</v>
          </cell>
          <cell r="E24" t="str">
            <v>HĐTV</v>
          </cell>
          <cell r="F24" t="str">
            <v>Đỗ Quang Đẩu</v>
          </cell>
          <cell r="G24" t="str">
            <v>DSTV</v>
          </cell>
          <cell r="H24" t="str">
            <v>16/3/2026</v>
          </cell>
          <cell r="I24" t="str">
            <v>104872776864</v>
          </cell>
          <cell r="J24" t="str">
            <v>VietinBank</v>
          </cell>
          <cell r="K24">
            <v>28</v>
          </cell>
          <cell r="L24">
            <v>10</v>
          </cell>
          <cell r="M24">
            <v>85.15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178571.42857142899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5100000</v>
          </cell>
          <cell r="AB24">
            <v>0</v>
          </cell>
          <cell r="AC24">
            <v>0</v>
          </cell>
          <cell r="AD24">
            <v>0</v>
          </cell>
          <cell r="AE24">
            <v>1938683.0357142901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448100</v>
          </cell>
          <cell r="AO24">
            <v>13365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2578719.4642857099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178571.42857142899</v>
          </cell>
          <cell r="BQ24">
            <v>2400148.0357142901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2400148.0357142901</v>
          </cell>
          <cell r="BX24">
            <v>240014.80357142899</v>
          </cell>
          <cell r="BY24">
            <v>2338705</v>
          </cell>
          <cell r="BZ24">
            <v>0</v>
          </cell>
          <cell r="CA24">
            <v>0</v>
          </cell>
          <cell r="CB24">
            <v>2338705</v>
          </cell>
          <cell r="CC24">
            <v>0</v>
          </cell>
          <cell r="CD24">
            <v>2338705</v>
          </cell>
          <cell r="CE24">
            <v>0</v>
          </cell>
          <cell r="CF24" t="str">
            <v>linh.nguyen@medigoapp.com</v>
          </cell>
          <cell r="CG24" t="str"/>
          <cell r="CH24">
            <v>10</v>
          </cell>
          <cell r="CI24">
            <v>4.5</v>
          </cell>
          <cell r="CJ24">
            <v>16</v>
          </cell>
          <cell r="CK24">
            <v>3</v>
          </cell>
          <cell r="CL24">
            <v>2026</v>
          </cell>
          <cell r="CM24">
            <v>0</v>
          </cell>
          <cell r="CN24">
            <v>-23159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5100000</v>
          </cell>
          <cell r="CW24">
            <v>0</v>
          </cell>
          <cell r="CX24" t="str"/>
          <cell r="CY24" t="str">
            <v>;</v>
          </cell>
          <cell r="CZ24">
            <v>0</v>
          </cell>
          <cell r="DA24" t="str">
            <v>Nguyễn Thị Phương Linh</v>
          </cell>
          <cell r="DB24">
            <v>10</v>
          </cell>
          <cell r="DC24">
            <v>85.15</v>
          </cell>
          <cell r="DD24">
            <v>0</v>
          </cell>
          <cell r="DE24">
            <v>1938683.0357142901</v>
          </cell>
          <cell r="DF24">
            <v>0</v>
          </cell>
          <cell r="DG24">
            <v>2338705</v>
          </cell>
          <cell r="DH24">
            <v>0</v>
          </cell>
          <cell r="DI24">
            <v>0</v>
          </cell>
        </row>
        <row r="25">
          <cell r="D25" t="str">
            <v>Tống Xuân Giang</v>
          </cell>
          <cell r="E25" t="str">
            <v>HĐTV</v>
          </cell>
          <cell r="F25" t="str">
            <v>Đỗ Quang Đẩu</v>
          </cell>
          <cell r="G25" t="str">
            <v>DSTV</v>
          </cell>
          <cell r="H25" t="str">
            <v>10/3/2026</v>
          </cell>
          <cell r="I25" t="str">
            <v>0121000876739</v>
          </cell>
          <cell r="J25" t="str">
            <v>Vietcombank</v>
          </cell>
          <cell r="K25">
            <v>28</v>
          </cell>
          <cell r="L25">
            <v>26</v>
          </cell>
          <cell r="M25">
            <v>18.116666666666699</v>
          </cell>
          <cell r="N25">
            <v>240.083333333333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464285.71428571403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5100000</v>
          </cell>
          <cell r="AB25">
            <v>0</v>
          </cell>
          <cell r="AC25">
            <v>0</v>
          </cell>
          <cell r="AD25">
            <v>0</v>
          </cell>
          <cell r="AE25">
            <v>412477.67857142899</v>
          </cell>
          <cell r="AF25">
            <v>8199274.55357143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306800</v>
          </cell>
          <cell r="AO25">
            <v>4020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56200</v>
          </cell>
          <cell r="BB25">
            <v>0</v>
          </cell>
          <cell r="BC25">
            <v>0</v>
          </cell>
          <cell r="BD25">
            <v>0</v>
          </cell>
          <cell r="BE25">
            <v>9330657.9464285709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464285.71428571403</v>
          </cell>
          <cell r="BQ25">
            <v>8866372.2321428601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8866372.2321428601</v>
          </cell>
          <cell r="BX25">
            <v>886637.22321428603</v>
          </cell>
          <cell r="BY25">
            <v>8444021</v>
          </cell>
          <cell r="BZ25">
            <v>0</v>
          </cell>
          <cell r="CA25">
            <v>0</v>
          </cell>
          <cell r="CB25">
            <v>8444021</v>
          </cell>
          <cell r="CC25">
            <v>0</v>
          </cell>
          <cell r="CD25">
            <v>8444021</v>
          </cell>
          <cell r="CE25">
            <v>0</v>
          </cell>
          <cell r="CF25" t="str">
            <v>giang.tong@medigoapp.com</v>
          </cell>
          <cell r="CG25" t="str">
            <v>Lệch doanh thu BJ46O327 : 56.200</v>
          </cell>
          <cell r="CH25">
            <v>8</v>
          </cell>
          <cell r="CI25">
            <v>2</v>
          </cell>
          <cell r="CJ25">
            <v>10</v>
          </cell>
          <cell r="CK25">
            <v>3</v>
          </cell>
          <cell r="CL25">
            <v>2026</v>
          </cell>
          <cell r="CM25">
            <v>0</v>
          </cell>
          <cell r="CN25">
            <v>-23159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5100000</v>
          </cell>
          <cell r="CW25">
            <v>0</v>
          </cell>
          <cell r="CX25" t="str">
            <v>Lệch doanh thu BJ46O327 : 56.200</v>
          </cell>
          <cell r="CY25" t="str">
            <v>; Lệch doanh thu BJ46O327 : 56.200</v>
          </cell>
          <cell r="CZ25">
            <v>0</v>
          </cell>
          <cell r="DA25" t="str">
            <v>Tống Xuân Giang</v>
          </cell>
          <cell r="DB25">
            <v>26</v>
          </cell>
          <cell r="DC25">
            <v>18.116666666666699</v>
          </cell>
          <cell r="DD25">
            <v>240.083333333333</v>
          </cell>
          <cell r="DE25">
            <v>412477.67857142899</v>
          </cell>
          <cell r="DF25">
            <v>8199274.55357143</v>
          </cell>
          <cell r="DG25">
            <v>8444021</v>
          </cell>
          <cell r="DH25">
            <v>0</v>
          </cell>
          <cell r="DI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224</v>
          </cell>
          <cell r="L26">
            <v>179</v>
          </cell>
          <cell r="M26">
            <v>1130.11666666667</v>
          </cell>
          <cell r="N26">
            <v>569.15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31860000</v>
          </cell>
          <cell r="T26">
            <v>3142857.1428571399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46200000</v>
          </cell>
          <cell r="AB26">
            <v>0</v>
          </cell>
          <cell r="AC26">
            <v>0</v>
          </cell>
          <cell r="AD26">
            <v>0</v>
          </cell>
          <cell r="AE26">
            <v>29856071.428571399</v>
          </cell>
          <cell r="AF26">
            <v>21420703.125</v>
          </cell>
          <cell r="AG26">
            <v>0</v>
          </cell>
          <cell r="AH26">
            <v>0</v>
          </cell>
          <cell r="AI26">
            <v>0</v>
          </cell>
          <cell r="AJ26">
            <v>1000000</v>
          </cell>
          <cell r="AK26">
            <v>0</v>
          </cell>
          <cell r="AL26">
            <v>0</v>
          </cell>
          <cell r="AM26">
            <v>2412739</v>
          </cell>
          <cell r="AN26">
            <v>3975064</v>
          </cell>
          <cell r="AO26">
            <v>69710</v>
          </cell>
          <cell r="AP26">
            <v>0</v>
          </cell>
          <cell r="AQ26">
            <v>8201540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200000</v>
          </cell>
          <cell r="BA26">
            <v>183400</v>
          </cell>
          <cell r="BB26">
            <v>300000</v>
          </cell>
          <cell r="BC26">
            <v>0</v>
          </cell>
          <cell r="BD26">
            <v>0</v>
          </cell>
          <cell r="BE26">
            <v>69395284.696428597</v>
          </cell>
          <cell r="BF26">
            <v>5575500</v>
          </cell>
          <cell r="BG26">
            <v>843375</v>
          </cell>
          <cell r="BH26">
            <v>273535.71428571403</v>
          </cell>
          <cell r="BI26">
            <v>0</v>
          </cell>
          <cell r="BJ26">
            <v>5708250</v>
          </cell>
          <cell r="BK26">
            <v>2178910.7142857099</v>
          </cell>
          <cell r="BL26">
            <v>419678.57142857101</v>
          </cell>
          <cell r="BM26">
            <v>269517.85714285698</v>
          </cell>
          <cell r="BN26">
            <v>0</v>
          </cell>
          <cell r="BO26">
            <v>2868107.1428571399</v>
          </cell>
          <cell r="BP26">
            <v>2980803.57142857</v>
          </cell>
          <cell r="BQ26">
            <v>66414481.125</v>
          </cell>
          <cell r="BR26">
            <v>93000000</v>
          </cell>
          <cell r="BS26">
            <v>0</v>
          </cell>
          <cell r="BT26">
            <v>0</v>
          </cell>
          <cell r="BU26">
            <v>2868107.1428571399</v>
          </cell>
          <cell r="BV26">
            <v>95868107.142857105</v>
          </cell>
          <cell r="BW26">
            <v>11266520.267857101</v>
          </cell>
          <cell r="BX26">
            <v>1126652.0267857099</v>
          </cell>
          <cell r="BY26">
            <v>65400526</v>
          </cell>
          <cell r="BZ26">
            <v>0</v>
          </cell>
          <cell r="CA26">
            <v>0</v>
          </cell>
          <cell r="CB26">
            <v>65400526</v>
          </cell>
          <cell r="CC26">
            <v>0</v>
          </cell>
          <cell r="CD26">
            <v>65400526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14</v>
          </cell>
          <cell r="CJ26">
            <v>114</v>
          </cell>
          <cell r="CK26">
            <v>58</v>
          </cell>
          <cell r="CL26">
            <v>16198</v>
          </cell>
          <cell r="CM26">
            <v>0</v>
          </cell>
          <cell r="CN26">
            <v>-162027</v>
          </cell>
          <cell r="CO26">
            <v>0</v>
          </cell>
          <cell r="CP26">
            <v>0</v>
          </cell>
          <cell r="CQ26">
            <v>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46200000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D27" t="str">
            <v>Trần Lê Quỳnh Hương</v>
          </cell>
          <cell r="E27" t="str">
            <v>HĐCTV</v>
          </cell>
          <cell r="F27" t="str">
            <v>Minh Châu</v>
          </cell>
          <cell r="G27" t="str">
            <v>DSHV</v>
          </cell>
          <cell r="H27" t="str">
            <v>24/11/2025</v>
          </cell>
          <cell r="I27" t="str">
            <v>21731287</v>
          </cell>
          <cell r="J27" t="str">
            <v>ACB</v>
          </cell>
          <cell r="K27">
            <v>28</v>
          </cell>
          <cell r="L27">
            <v>11</v>
          </cell>
          <cell r="M27">
            <v>139.21666666666701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3000000</v>
          </cell>
          <cell r="AB27">
            <v>0</v>
          </cell>
          <cell r="AC27">
            <v>0</v>
          </cell>
          <cell r="AD27">
            <v>0</v>
          </cell>
          <cell r="AE27">
            <v>1864508.92857143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1864508.92857143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1864508.92857143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1864508.92857143</v>
          </cell>
          <cell r="BX27">
            <v>0</v>
          </cell>
          <cell r="BY27">
            <v>1864509</v>
          </cell>
          <cell r="BZ27">
            <v>0</v>
          </cell>
          <cell r="CA27">
            <v>0</v>
          </cell>
          <cell r="CB27">
            <v>1864509</v>
          </cell>
          <cell r="CC27">
            <v>0</v>
          </cell>
          <cell r="CD27">
            <v>1864509</v>
          </cell>
          <cell r="CE27">
            <v>0</v>
          </cell>
          <cell r="CF27" t="str">
            <v>huong.tran@medigoapp.com</v>
          </cell>
          <cell r="CG27" t="str"/>
          <cell r="CH27">
            <v>8</v>
          </cell>
          <cell r="CI27">
            <v>0</v>
          </cell>
          <cell r="CJ27">
            <v>24</v>
          </cell>
          <cell r="CK27">
            <v>11</v>
          </cell>
          <cell r="CL27">
            <v>2025</v>
          </cell>
          <cell r="CM27">
            <v>0</v>
          </cell>
          <cell r="CN27">
            <v>-23155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3000000</v>
          </cell>
          <cell r="CW27">
            <v>0</v>
          </cell>
          <cell r="CX27" t="str"/>
          <cell r="CY27" t="str">
            <v>;</v>
          </cell>
          <cell r="CZ27">
            <v>0</v>
          </cell>
          <cell r="DA27" t="str">
            <v>Trần Lê Quỳnh Hương</v>
          </cell>
          <cell r="DB27">
            <v>11</v>
          </cell>
          <cell r="DC27">
            <v>122.98333333333299</v>
          </cell>
          <cell r="DD27">
            <v>0</v>
          </cell>
          <cell r="DE27">
            <v>1647098.2142857099</v>
          </cell>
          <cell r="DF27">
            <v>0</v>
          </cell>
          <cell r="DG27">
            <v>1647098</v>
          </cell>
          <cell r="DH27">
            <v>217411</v>
          </cell>
          <cell r="DI27">
            <v>217411</v>
          </cell>
        </row>
        <row r="28">
          <cell r="D28" t="str">
            <v>Thái Thùy Linh</v>
          </cell>
          <cell r="E28" t="str">
            <v>HĐLĐ</v>
          </cell>
          <cell r="F28" t="str">
            <v>Minh Châu</v>
          </cell>
          <cell r="G28" t="str">
            <v>CHT</v>
          </cell>
          <cell r="H28">
            <v>44644</v>
          </cell>
          <cell r="I28" t="str">
            <v>070077077837</v>
          </cell>
          <cell r="J28" t="str">
            <v>Sacombank</v>
          </cell>
          <cell r="K28">
            <v>28</v>
          </cell>
          <cell r="L28">
            <v>27</v>
          </cell>
          <cell r="M28">
            <v>206.666666666667</v>
          </cell>
          <cell r="N28">
            <v>64.6666666666667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5310000</v>
          </cell>
          <cell r="T28">
            <v>482142.85714285698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6000000</v>
          </cell>
          <cell r="AB28">
            <v>0</v>
          </cell>
          <cell r="AC28">
            <v>0</v>
          </cell>
          <cell r="AD28">
            <v>0</v>
          </cell>
          <cell r="AE28">
            <v>5535714.2857142901</v>
          </cell>
          <cell r="AF28">
            <v>2598214.2857142901</v>
          </cell>
          <cell r="AG28">
            <v>0</v>
          </cell>
          <cell r="AH28">
            <v>0</v>
          </cell>
          <cell r="AI28">
            <v>0</v>
          </cell>
          <cell r="AJ28">
            <v>1000000</v>
          </cell>
          <cell r="AK28">
            <v>0</v>
          </cell>
          <cell r="AL28">
            <v>0</v>
          </cell>
          <cell r="AM28">
            <v>1666195</v>
          </cell>
          <cell r="AN28">
            <v>861300</v>
          </cell>
          <cell r="AO28">
            <v>14540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135000</v>
          </cell>
          <cell r="BB28">
            <v>100000</v>
          </cell>
          <cell r="BC28">
            <v>0</v>
          </cell>
          <cell r="BD28">
            <v>0</v>
          </cell>
          <cell r="BE28">
            <v>11923106.428571399</v>
          </cell>
          <cell r="BF28">
            <v>929250</v>
          </cell>
          <cell r="BG28">
            <v>159300</v>
          </cell>
          <cell r="BH28">
            <v>53100</v>
          </cell>
          <cell r="BI28">
            <v>0</v>
          </cell>
          <cell r="BJ28">
            <v>1141650</v>
          </cell>
          <cell r="BK28">
            <v>424800</v>
          </cell>
          <cell r="BL28">
            <v>79650</v>
          </cell>
          <cell r="BM28">
            <v>53100</v>
          </cell>
          <cell r="BN28">
            <v>0</v>
          </cell>
          <cell r="BO28">
            <v>557550</v>
          </cell>
          <cell r="BP28">
            <v>482142.85714285698</v>
          </cell>
          <cell r="BQ28">
            <v>11440963.571428601</v>
          </cell>
          <cell r="BR28">
            <v>15500000</v>
          </cell>
          <cell r="BS28">
            <v>0</v>
          </cell>
          <cell r="BT28">
            <v>0</v>
          </cell>
          <cell r="BU28">
            <v>557550</v>
          </cell>
          <cell r="BV28">
            <v>16057550</v>
          </cell>
          <cell r="BW28">
            <v>0</v>
          </cell>
          <cell r="BX28">
            <v>0</v>
          </cell>
          <cell r="BY28">
            <v>11365556</v>
          </cell>
          <cell r="BZ28">
            <v>0</v>
          </cell>
          <cell r="CA28">
            <v>0</v>
          </cell>
          <cell r="CB28">
            <v>11365556</v>
          </cell>
          <cell r="CC28">
            <v>0</v>
          </cell>
          <cell r="CD28">
            <v>11365556</v>
          </cell>
          <cell r="CE28">
            <v>0</v>
          </cell>
          <cell r="CF28" t="str">
            <v>medigo.linh.thai@gmail.com</v>
          </cell>
          <cell r="CG28" t="str">
            <v>Lệch doanh thu 7MRXYPKV : 135.000</v>
          </cell>
          <cell r="CH28">
            <v>12</v>
          </cell>
          <cell r="CI28">
            <v>2.5</v>
          </cell>
          <cell r="CJ28">
            <v>24</v>
          </cell>
          <cell r="CK28">
            <v>3</v>
          </cell>
          <cell r="CL28">
            <v>2022</v>
          </cell>
          <cell r="CM28">
            <v>0</v>
          </cell>
          <cell r="CN28">
            <v>-23111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6000000</v>
          </cell>
          <cell r="CW28">
            <v>0</v>
          </cell>
          <cell r="CX28" t="str">
            <v>Lệch doanh thu 7MRXYPKV : 135.000</v>
          </cell>
          <cell r="CY28" t="str">
            <v>; Lệch doanh thu 7MRXYPKV : 135.000</v>
          </cell>
          <cell r="CZ28">
            <v>0</v>
          </cell>
          <cell r="DA28" t="str">
            <v>Thái Thùy Linh</v>
          </cell>
          <cell r="DB28">
            <v>27</v>
          </cell>
          <cell r="DC28">
            <v>184.51666666666699</v>
          </cell>
          <cell r="DD28">
            <v>88.816666666666706</v>
          </cell>
          <cell r="DE28">
            <v>6482301.1458333302</v>
          </cell>
          <cell r="DF28">
            <v>4680360.78125</v>
          </cell>
          <cell r="DG28">
            <v>14394290</v>
          </cell>
          <cell r="DH28">
            <v>3028734</v>
          </cell>
          <cell r="DI28">
            <v>3028734</v>
          </cell>
        </row>
        <row r="29">
          <cell r="D29" t="str">
            <v>Trịnh Thị Phượng</v>
          </cell>
          <cell r="E29" t="str">
            <v>HĐLĐ</v>
          </cell>
          <cell r="F29" t="str">
            <v>Minh Châu</v>
          </cell>
          <cell r="G29" t="str">
            <v>DSBC</v>
          </cell>
          <cell r="H29">
            <v>45096</v>
          </cell>
          <cell r="I29" t="str">
            <v>10200014211025</v>
          </cell>
          <cell r="J29" t="str">
            <v>Đông Nam Á (Seabank)</v>
          </cell>
          <cell r="K29">
            <v>28</v>
          </cell>
          <cell r="L29">
            <v>21</v>
          </cell>
          <cell r="M29">
            <v>0</v>
          </cell>
          <cell r="N29">
            <v>216.03333333333299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5310000</v>
          </cell>
          <cell r="T29">
            <v>375000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6000000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8679910.7142857108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1600000</v>
          </cell>
          <cell r="AM29">
            <v>0</v>
          </cell>
          <cell r="AN29">
            <v>2224000</v>
          </cell>
          <cell r="AO29">
            <v>5200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100000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12984110.7142857</v>
          </cell>
          <cell r="BF29">
            <v>929250</v>
          </cell>
          <cell r="BG29">
            <v>159300</v>
          </cell>
          <cell r="BH29">
            <v>53100</v>
          </cell>
          <cell r="BI29">
            <v>0</v>
          </cell>
          <cell r="BJ29">
            <v>1141650</v>
          </cell>
          <cell r="BK29">
            <v>424800</v>
          </cell>
          <cell r="BL29">
            <v>79650</v>
          </cell>
          <cell r="BM29">
            <v>53100</v>
          </cell>
          <cell r="BN29">
            <v>0</v>
          </cell>
          <cell r="BO29">
            <v>557550</v>
          </cell>
          <cell r="BP29">
            <v>375000</v>
          </cell>
          <cell r="BQ29">
            <v>12609110.7142857</v>
          </cell>
          <cell r="BR29">
            <v>15500000</v>
          </cell>
          <cell r="BS29">
            <v>1</v>
          </cell>
          <cell r="BT29">
            <v>6200000</v>
          </cell>
          <cell r="BU29">
            <v>557550</v>
          </cell>
          <cell r="BV29">
            <v>22257550</v>
          </cell>
          <cell r="BW29">
            <v>0</v>
          </cell>
          <cell r="BX29">
            <v>0</v>
          </cell>
          <cell r="BY29">
            <v>12426561</v>
          </cell>
          <cell r="BZ29">
            <v>0</v>
          </cell>
          <cell r="CA29">
            <v>0</v>
          </cell>
          <cell r="CB29">
            <v>12426561</v>
          </cell>
          <cell r="CC29">
            <v>0</v>
          </cell>
          <cell r="CD29">
            <v>12426561</v>
          </cell>
          <cell r="CE29">
            <v>0</v>
          </cell>
          <cell r="CF29" t="str">
            <v>medigo.phuong.trinh@gmail.com</v>
          </cell>
          <cell r="CG29" t="str"/>
          <cell r="CH29">
            <v>4</v>
          </cell>
          <cell r="CI29">
            <v>0</v>
          </cell>
          <cell r="CJ29">
            <v>19</v>
          </cell>
          <cell r="CK29">
            <v>6</v>
          </cell>
          <cell r="CL29">
            <v>2023</v>
          </cell>
          <cell r="CM29">
            <v>0</v>
          </cell>
          <cell r="CN29">
            <v>-23126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6000000</v>
          </cell>
          <cell r="CW29">
            <v>0</v>
          </cell>
          <cell r="CX29" t="str"/>
          <cell r="CY29" t="str">
            <v>;</v>
          </cell>
          <cell r="CZ29">
            <v>0</v>
          </cell>
          <cell r="DA29" t="str">
            <v>Trịnh Thị Phượng</v>
          </cell>
          <cell r="DB29">
            <v>21</v>
          </cell>
          <cell r="DC29">
            <v>0</v>
          </cell>
          <cell r="DD29">
            <v>216.03333333333299</v>
          </cell>
          <cell r="DE29">
            <v>0</v>
          </cell>
          <cell r="DF29">
            <v>9403236.6071428601</v>
          </cell>
          <cell r="DG29">
            <v>13149887</v>
          </cell>
          <cell r="DH29">
            <v>0</v>
          </cell>
          <cell r="DI29">
            <v>0</v>
          </cell>
        </row>
        <row r="30">
          <cell r="D30" t="str">
            <v>Phan Công Vũ Tài</v>
          </cell>
          <cell r="E30" t="str">
            <v>HĐLĐ</v>
          </cell>
          <cell r="F30" t="str">
            <v>Minh Châu</v>
          </cell>
          <cell r="G30" t="str">
            <v>DSBC</v>
          </cell>
          <cell r="H30" t="str">
            <v>26/01/2026</v>
          </cell>
          <cell r="I30" t="str">
            <v>02446989901</v>
          </cell>
          <cell r="J30" t="str">
            <v>Tp Bank</v>
          </cell>
          <cell r="K30">
            <v>28</v>
          </cell>
          <cell r="L30">
            <v>10</v>
          </cell>
          <cell r="M30">
            <v>104.95</v>
          </cell>
          <cell r="N30">
            <v>0.58333333333333304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5310000</v>
          </cell>
          <cell r="T30">
            <v>178571.42857142899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5310000</v>
          </cell>
          <cell r="AB30">
            <v>0</v>
          </cell>
          <cell r="AC30">
            <v>0</v>
          </cell>
          <cell r="AD30">
            <v>0</v>
          </cell>
          <cell r="AE30">
            <v>2487877.2321428601</v>
          </cell>
          <cell r="AF30">
            <v>20742.1875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510800</v>
          </cell>
          <cell r="AO30">
            <v>36550</v>
          </cell>
          <cell r="AP30">
            <v>0</v>
          </cell>
          <cell r="AQ30">
            <v>35714.285714285703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100000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3370255.13392857</v>
          </cell>
          <cell r="BF30">
            <v>929250</v>
          </cell>
          <cell r="BG30">
            <v>159300</v>
          </cell>
          <cell r="BH30">
            <v>53100</v>
          </cell>
          <cell r="BI30">
            <v>0</v>
          </cell>
          <cell r="BJ30">
            <v>1141650</v>
          </cell>
          <cell r="BK30">
            <v>424800</v>
          </cell>
          <cell r="BL30">
            <v>79650</v>
          </cell>
          <cell r="BM30">
            <v>53100</v>
          </cell>
          <cell r="BN30">
            <v>0</v>
          </cell>
          <cell r="BO30">
            <v>557550</v>
          </cell>
          <cell r="BP30">
            <v>178571.42857142899</v>
          </cell>
          <cell r="BQ30">
            <v>3191683.7053571399</v>
          </cell>
          <cell r="BR30">
            <v>15500000</v>
          </cell>
          <cell r="BS30">
            <v>0</v>
          </cell>
          <cell r="BT30">
            <v>0</v>
          </cell>
          <cell r="BU30">
            <v>557550</v>
          </cell>
          <cell r="BV30">
            <v>16057550</v>
          </cell>
          <cell r="BW30">
            <v>0</v>
          </cell>
          <cell r="BX30">
            <v>0</v>
          </cell>
          <cell r="BY30">
            <v>2812705</v>
          </cell>
          <cell r="BZ30">
            <v>0</v>
          </cell>
          <cell r="CA30">
            <v>0</v>
          </cell>
          <cell r="CB30">
            <v>2812705</v>
          </cell>
          <cell r="CC30">
            <v>0</v>
          </cell>
          <cell r="CD30">
            <v>2812705</v>
          </cell>
          <cell r="CE30">
            <v>0</v>
          </cell>
          <cell r="CF30" t="str">
            <v>tai.phan@medigoapp.com</v>
          </cell>
          <cell r="CG30" t="str"/>
          <cell r="CH30">
            <v>4</v>
          </cell>
          <cell r="CI30">
            <v>4.5</v>
          </cell>
          <cell r="CJ30">
            <v>26</v>
          </cell>
          <cell r="CK30">
            <v>1</v>
          </cell>
          <cell r="CL30">
            <v>2026</v>
          </cell>
          <cell r="CM30">
            <v>0</v>
          </cell>
          <cell r="CN30">
            <v>-23157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5310000</v>
          </cell>
          <cell r="CW30">
            <v>0</v>
          </cell>
          <cell r="CX30" t="str"/>
          <cell r="CY30" t="str">
            <v>;</v>
          </cell>
          <cell r="CZ30">
            <v>0</v>
          </cell>
          <cell r="DA30" t="str">
            <v>Phan Công Vũ Tài</v>
          </cell>
          <cell r="DB30">
            <v>10</v>
          </cell>
          <cell r="DC30">
            <v>104.95</v>
          </cell>
          <cell r="DD30">
            <v>0.58333333333333304</v>
          </cell>
          <cell r="DE30">
            <v>2487877.2321428601</v>
          </cell>
          <cell r="DF30">
            <v>20742.1875</v>
          </cell>
          <cell r="DG30">
            <v>2812705</v>
          </cell>
          <cell r="DH30">
            <v>0</v>
          </cell>
          <cell r="DI30">
            <v>0</v>
          </cell>
        </row>
        <row r="31">
          <cell r="D31" t="str">
            <v>Đoàn Quốc Tâm</v>
          </cell>
          <cell r="E31" t="str">
            <v>HĐLĐ</v>
          </cell>
          <cell r="F31" t="str">
            <v>Minh Châu</v>
          </cell>
          <cell r="G31" t="str">
            <v>DSBC</v>
          </cell>
          <cell r="H31" t="str">
            <v>25/3/2024</v>
          </cell>
          <cell r="I31" t="str">
            <v>23241857</v>
          </cell>
          <cell r="J31" t="str">
            <v>ACB</v>
          </cell>
          <cell r="K31">
            <v>28</v>
          </cell>
          <cell r="L31">
            <v>27</v>
          </cell>
          <cell r="M31">
            <v>287.23333333333301</v>
          </cell>
          <cell r="N31">
            <v>8.5500000000000007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5310000</v>
          </cell>
          <cell r="T31">
            <v>482142.85714285698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6000000</v>
          </cell>
          <cell r="AB31">
            <v>0</v>
          </cell>
          <cell r="AC31">
            <v>0</v>
          </cell>
          <cell r="AD31">
            <v>0</v>
          </cell>
          <cell r="AE31">
            <v>7693750</v>
          </cell>
          <cell r="AF31">
            <v>343526.78571428597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811734</v>
          </cell>
          <cell r="AN31">
            <v>1092000</v>
          </cell>
          <cell r="AO31">
            <v>35850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10459003.642857101</v>
          </cell>
          <cell r="BF31">
            <v>929250</v>
          </cell>
          <cell r="BG31">
            <v>159300</v>
          </cell>
          <cell r="BH31">
            <v>53100</v>
          </cell>
          <cell r="BI31">
            <v>0</v>
          </cell>
          <cell r="BJ31">
            <v>1141650</v>
          </cell>
          <cell r="BK31">
            <v>424800</v>
          </cell>
          <cell r="BL31">
            <v>79650</v>
          </cell>
          <cell r="BM31">
            <v>53100</v>
          </cell>
          <cell r="BN31">
            <v>0</v>
          </cell>
          <cell r="BO31">
            <v>557550</v>
          </cell>
          <cell r="BP31">
            <v>482142.85714285698</v>
          </cell>
          <cell r="BQ31">
            <v>9976860.7857142892</v>
          </cell>
          <cell r="BR31">
            <v>15500000</v>
          </cell>
          <cell r="BS31">
            <v>0</v>
          </cell>
          <cell r="BT31">
            <v>0</v>
          </cell>
          <cell r="BU31">
            <v>557550</v>
          </cell>
          <cell r="BV31">
            <v>16057550</v>
          </cell>
          <cell r="BW31">
            <v>0</v>
          </cell>
          <cell r="BX31">
            <v>0</v>
          </cell>
          <cell r="BY31">
            <v>9901454</v>
          </cell>
          <cell r="BZ31">
            <v>0</v>
          </cell>
          <cell r="CA31">
            <v>0</v>
          </cell>
          <cell r="CB31">
            <v>9901454</v>
          </cell>
          <cell r="CC31">
            <v>0</v>
          </cell>
          <cell r="CD31">
            <v>9901454</v>
          </cell>
          <cell r="CE31">
            <v>0</v>
          </cell>
          <cell r="CF31" t="str">
            <v>medigo.tam.doan@gmail.com</v>
          </cell>
          <cell r="CG31" t="str"/>
          <cell r="CH31">
            <v>11</v>
          </cell>
          <cell r="CI31">
            <v>2.5</v>
          </cell>
          <cell r="CJ31">
            <v>25</v>
          </cell>
          <cell r="CK31">
            <v>3</v>
          </cell>
          <cell r="CL31">
            <v>2024</v>
          </cell>
          <cell r="CM31">
            <v>0</v>
          </cell>
          <cell r="CN31">
            <v>-23135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6000000</v>
          </cell>
          <cell r="CW31">
            <v>0</v>
          </cell>
          <cell r="CX31" t="str"/>
          <cell r="CY31" t="str">
            <v>;</v>
          </cell>
          <cell r="CZ31">
            <v>0</v>
          </cell>
          <cell r="DA31" t="str">
            <v>Đoàn Quốc Tâm</v>
          </cell>
          <cell r="DB31">
            <v>27</v>
          </cell>
          <cell r="DC31">
            <v>287.23333333333301</v>
          </cell>
          <cell r="DD31">
            <v>8.5500000000000007</v>
          </cell>
          <cell r="DE31">
            <v>8334895.8333333302</v>
          </cell>
          <cell r="DF31">
            <v>372154.01785714302</v>
          </cell>
          <cell r="DG31">
            <v>10571227</v>
          </cell>
          <cell r="DH31">
            <v>0</v>
          </cell>
          <cell r="DI31">
            <v>0</v>
          </cell>
        </row>
        <row r="32">
          <cell r="D32" t="str">
            <v>Nguyễn Trí Nghĩa</v>
          </cell>
          <cell r="E32" t="str">
            <v>HĐLĐ</v>
          </cell>
          <cell r="F32" t="str">
            <v>Minh Châu</v>
          </cell>
          <cell r="G32" t="str">
            <v>DSBC</v>
          </cell>
          <cell r="H32">
            <v>45439</v>
          </cell>
          <cell r="I32" t="str">
            <v>0251002787705</v>
          </cell>
          <cell r="J32" t="str">
            <v>Vietcombank</v>
          </cell>
          <cell r="K32">
            <v>28</v>
          </cell>
          <cell r="L32">
            <v>25</v>
          </cell>
          <cell r="M32">
            <v>4.9666666666666703</v>
          </cell>
          <cell r="N32">
            <v>193.416666666667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5310000</v>
          </cell>
          <cell r="T32">
            <v>446428.57142857101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6000000</v>
          </cell>
          <cell r="AB32">
            <v>0</v>
          </cell>
          <cell r="AC32">
            <v>0</v>
          </cell>
          <cell r="AD32">
            <v>0</v>
          </cell>
          <cell r="AE32">
            <v>133035.714285714</v>
          </cell>
          <cell r="AF32">
            <v>7771205.3571428601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835077</v>
          </cell>
          <cell r="AN32">
            <v>1300500</v>
          </cell>
          <cell r="AO32">
            <v>9250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A32">
            <v>0</v>
          </cell>
          <cell r="BB32">
            <v>0</v>
          </cell>
          <cell r="BC32">
            <v>3864060</v>
          </cell>
          <cell r="BD32">
            <v>0</v>
          </cell>
          <cell r="BE32">
            <v>6531436.6428571399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446428.57142857101</v>
          </cell>
          <cell r="BQ32">
            <v>6085008.07142857</v>
          </cell>
          <cell r="BR32">
            <v>15500000</v>
          </cell>
          <cell r="BS32">
            <v>0</v>
          </cell>
          <cell r="BT32">
            <v>0</v>
          </cell>
          <cell r="BU32">
            <v>0</v>
          </cell>
          <cell r="BV32">
            <v>15500000</v>
          </cell>
          <cell r="BW32">
            <v>0</v>
          </cell>
          <cell r="BX32">
            <v>0</v>
          </cell>
          <cell r="BY32">
            <v>6531437</v>
          </cell>
          <cell r="BZ32">
            <v>0</v>
          </cell>
          <cell r="CA32">
            <v>6531437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str">
            <v>medigo.nghia.nguyen@gmail.com</v>
          </cell>
          <cell r="CG32" t="str">
            <v>Hoàn trả như cam kết, thiếu của tháng 3:1.265.53
Đèn bù chênh lệch kiểm kê tháng 4.2026: 2.601.525
Nhập sai thao tác HD1054195 bán hàng: 100.000</v>
          </cell>
          <cell r="CH32">
            <v>5</v>
          </cell>
          <cell r="CI32">
            <v>2.5</v>
          </cell>
          <cell r="CJ32">
            <v>27</v>
          </cell>
          <cell r="CK32">
            <v>5</v>
          </cell>
          <cell r="CL32">
            <v>2024</v>
          </cell>
          <cell r="CM32">
            <v>0</v>
          </cell>
          <cell r="CN32">
            <v>-23137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6000000</v>
          </cell>
          <cell r="CW32">
            <v>0</v>
          </cell>
          <cell r="CX32" t="str">
            <v>Hoàn trả như cam kết, thiếu của tháng 3:1.265.53
Đèn bù chênh lệch kiểm kê tháng 4.2026: 2.601.525
Nhập sai thao tác HD1054195 bán hàng: 100.000</v>
          </cell>
          <cell r="CY32" t="str">
            <v>; Hoàn trả như cam kết, thiếu của tháng 3:1.265.53
Đèn bù chênh lệch kiểm kê tháng 4.2026: 2.601.525
Nhập sai thao tác HD1054195 bán hàng: 100.000</v>
          </cell>
          <cell r="CZ32">
            <v>0</v>
          </cell>
          <cell r="DA32" t="str">
            <v>Nguyễn Trí Nghĩa</v>
          </cell>
          <cell r="DB32">
            <v>25</v>
          </cell>
          <cell r="DC32">
            <v>4.9666666666666703</v>
          </cell>
          <cell r="DD32">
            <v>193.416666666667</v>
          </cell>
          <cell r="DE32">
            <v>133035.714285714</v>
          </cell>
          <cell r="DF32">
            <v>7771205.3571428601</v>
          </cell>
          <cell r="DG32">
            <v>0</v>
          </cell>
          <cell r="DH32">
            <v>0</v>
          </cell>
          <cell r="DI32">
            <v>0</v>
          </cell>
        </row>
        <row r="33">
          <cell r="D33" t="str">
            <v>Nguyễn Trúc Linh</v>
          </cell>
          <cell r="E33" t="str">
            <v>HĐLĐ</v>
          </cell>
          <cell r="F33" t="str">
            <v>Minh Châu</v>
          </cell>
          <cell r="G33" t="str">
            <v>DSBC</v>
          </cell>
          <cell r="H33" t="str">
            <v>26/04/2025</v>
          </cell>
          <cell r="I33" t="str">
            <v>109006916698</v>
          </cell>
          <cell r="J33" t="str">
            <v>Vietinbank</v>
          </cell>
          <cell r="K33">
            <v>28</v>
          </cell>
          <cell r="L33">
            <v>17</v>
          </cell>
          <cell r="M33">
            <v>180.316666666667</v>
          </cell>
          <cell r="N33">
            <v>0.7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5310000</v>
          </cell>
          <cell r="T33">
            <v>303571.42857142899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6000000</v>
          </cell>
          <cell r="AB33">
            <v>0</v>
          </cell>
          <cell r="AC33">
            <v>0</v>
          </cell>
          <cell r="AD33">
            <v>0</v>
          </cell>
          <cell r="AE33">
            <v>4829910.7142857201</v>
          </cell>
          <cell r="AF33">
            <v>28125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904700</v>
          </cell>
          <cell r="AO33">
            <v>323000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38000</v>
          </cell>
          <cell r="AZ33">
            <v>100000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6251307.1428571399</v>
          </cell>
          <cell r="BF33">
            <v>929250</v>
          </cell>
          <cell r="BG33">
            <v>159300</v>
          </cell>
          <cell r="BH33">
            <v>53100</v>
          </cell>
          <cell r="BI33">
            <v>0</v>
          </cell>
          <cell r="BJ33">
            <v>1141650</v>
          </cell>
          <cell r="BK33">
            <v>424800</v>
          </cell>
          <cell r="BL33">
            <v>79650</v>
          </cell>
          <cell r="BM33">
            <v>53100</v>
          </cell>
          <cell r="BN33">
            <v>0</v>
          </cell>
          <cell r="BO33">
            <v>557550</v>
          </cell>
          <cell r="BP33">
            <v>303571.42857142899</v>
          </cell>
          <cell r="BQ33">
            <v>5947735.7142857201</v>
          </cell>
          <cell r="BR33">
            <v>15500000</v>
          </cell>
          <cell r="BS33">
            <v>0</v>
          </cell>
          <cell r="BT33">
            <v>0</v>
          </cell>
          <cell r="BU33">
            <v>557550</v>
          </cell>
          <cell r="BV33">
            <v>16057550</v>
          </cell>
          <cell r="BW33">
            <v>0</v>
          </cell>
          <cell r="BX33">
            <v>0</v>
          </cell>
          <cell r="BY33">
            <v>5693757</v>
          </cell>
          <cell r="BZ33">
            <v>0</v>
          </cell>
          <cell r="CA33">
            <v>0</v>
          </cell>
          <cell r="CB33">
            <v>5693757</v>
          </cell>
          <cell r="CC33">
            <v>0</v>
          </cell>
          <cell r="CD33">
            <v>5693757</v>
          </cell>
          <cell r="CE33">
            <v>0</v>
          </cell>
          <cell r="CF33" t="str">
            <v>medigo.truclinh.nguyen@gmail.com</v>
          </cell>
          <cell r="CG33" t="str">
            <v>Không báo cáo tiền lấy két chạy hàng ca 3- 03/04/2026: 100.000đ</v>
          </cell>
          <cell r="CH33">
            <v>12</v>
          </cell>
          <cell r="CI33">
            <v>2.5</v>
          </cell>
          <cell r="CJ33">
            <v>26</v>
          </cell>
          <cell r="CK33">
            <v>4</v>
          </cell>
          <cell r="CL33">
            <v>2025</v>
          </cell>
          <cell r="CM33">
            <v>0</v>
          </cell>
          <cell r="CN33">
            <v>11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6000000</v>
          </cell>
          <cell r="CW33">
            <v>0</v>
          </cell>
          <cell r="CX33" t="str">
            <v>Không báo cáo tiền lấy két chạy hàng ca 3- 03/04/2026: 100.000đ</v>
          </cell>
          <cell r="CY33" t="str">
            <v>; Không báo cáo tiền lấy két chạy hàng ca 3- 03/04/2026: 100.000đ</v>
          </cell>
          <cell r="CZ33">
            <v>0</v>
          </cell>
          <cell r="DA33" t="str">
            <v>Nguyễn Trúc Linh</v>
          </cell>
          <cell r="DB33">
            <v>17</v>
          </cell>
          <cell r="DC33">
            <v>158.76666666666699</v>
          </cell>
          <cell r="DD33">
            <v>0.7</v>
          </cell>
          <cell r="DE33">
            <v>4252678.57142857</v>
          </cell>
          <cell r="DF33">
            <v>28125</v>
          </cell>
          <cell r="DG33">
            <v>5116525</v>
          </cell>
          <cell r="DH33">
            <v>577232</v>
          </cell>
          <cell r="DI33">
            <v>577232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196</v>
          </cell>
          <cell r="L34">
            <v>138</v>
          </cell>
          <cell r="M34">
            <v>923.35</v>
          </cell>
          <cell r="N34">
            <v>483.95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31860000</v>
          </cell>
          <cell r="T34">
            <v>2267857.1428571399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38310000</v>
          </cell>
          <cell r="AB34">
            <v>0</v>
          </cell>
          <cell r="AC34">
            <v>0</v>
          </cell>
          <cell r="AD34">
            <v>0</v>
          </cell>
          <cell r="AE34">
            <v>22544796.875</v>
          </cell>
          <cell r="AF34">
            <v>19441724.330357101</v>
          </cell>
          <cell r="AG34">
            <v>0</v>
          </cell>
          <cell r="AH34">
            <v>0</v>
          </cell>
          <cell r="AI34">
            <v>0</v>
          </cell>
          <cell r="AJ34">
            <v>1000000</v>
          </cell>
          <cell r="AK34">
            <v>0</v>
          </cell>
          <cell r="AL34">
            <v>1600000</v>
          </cell>
          <cell r="AM34">
            <v>3313006</v>
          </cell>
          <cell r="AN34">
            <v>6893300</v>
          </cell>
          <cell r="AO34">
            <v>424390</v>
          </cell>
          <cell r="AP34">
            <v>0</v>
          </cell>
          <cell r="AQ34">
            <v>35714.285714285703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200000</v>
          </cell>
          <cell r="AX34">
            <v>0</v>
          </cell>
          <cell r="AY34">
            <v>38000</v>
          </cell>
          <cell r="AZ34">
            <v>200000</v>
          </cell>
          <cell r="BA34">
            <v>135000</v>
          </cell>
          <cell r="BB34">
            <v>100000</v>
          </cell>
          <cell r="BC34">
            <v>3864060</v>
          </cell>
          <cell r="BD34">
            <v>0</v>
          </cell>
          <cell r="BE34">
            <v>53383728.633928597</v>
          </cell>
          <cell r="BF34">
            <v>4646250</v>
          </cell>
          <cell r="BG34">
            <v>796500</v>
          </cell>
          <cell r="BH34">
            <v>265500</v>
          </cell>
          <cell r="BI34">
            <v>0</v>
          </cell>
          <cell r="BJ34">
            <v>5708250</v>
          </cell>
          <cell r="BK34">
            <v>2124000</v>
          </cell>
          <cell r="BL34">
            <v>398250</v>
          </cell>
          <cell r="BM34">
            <v>265500</v>
          </cell>
          <cell r="BN34">
            <v>0</v>
          </cell>
          <cell r="BO34">
            <v>2787750</v>
          </cell>
          <cell r="BP34">
            <v>2267857.1428571399</v>
          </cell>
          <cell r="BQ34">
            <v>51115871.491071403</v>
          </cell>
          <cell r="BR34">
            <v>93000000</v>
          </cell>
          <cell r="BS34">
            <v>1</v>
          </cell>
          <cell r="BT34">
            <v>6200000</v>
          </cell>
          <cell r="BU34">
            <v>2787750</v>
          </cell>
          <cell r="BV34">
            <v>101987750</v>
          </cell>
          <cell r="BW34">
            <v>1864508.92857143</v>
          </cell>
          <cell r="BX34">
            <v>0</v>
          </cell>
          <cell r="BY34">
            <v>50595979</v>
          </cell>
          <cell r="BZ34">
            <v>0</v>
          </cell>
          <cell r="CA34">
            <v>6531437</v>
          </cell>
          <cell r="CB34">
            <v>44064542</v>
          </cell>
          <cell r="CC34">
            <v>0</v>
          </cell>
          <cell r="CD34">
            <v>44064542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14.5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-138810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38310000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D35" t="str">
            <v>PHẠM VĂN LONG</v>
          </cell>
          <cell r="E35" t="str">
            <v>HĐTV</v>
          </cell>
          <cell r="F35" t="str">
            <v>Nam Hòa</v>
          </cell>
          <cell r="G35" t="str">
            <v>DSTV</v>
          </cell>
          <cell r="H35" t="str">
            <v>03/4/2026</v>
          </cell>
          <cell r="I35" t="str">
            <v>7351192058</v>
          </cell>
          <cell r="J35" t="str">
            <v>BIDV</v>
          </cell>
          <cell r="K35">
            <v>28</v>
          </cell>
          <cell r="L35">
            <v>13</v>
          </cell>
          <cell r="M35">
            <v>140.433333333333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232142.85714285701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5100000</v>
          </cell>
          <cell r="AB35">
            <v>0</v>
          </cell>
          <cell r="AC35">
            <v>0</v>
          </cell>
          <cell r="AD35">
            <v>0</v>
          </cell>
          <cell r="AE35">
            <v>3197366.07142857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500000</v>
          </cell>
          <cell r="AK35">
            <v>0</v>
          </cell>
          <cell r="AL35">
            <v>0</v>
          </cell>
          <cell r="AM35">
            <v>0</v>
          </cell>
          <cell r="AN35">
            <v>59400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20000</v>
          </cell>
          <cell r="BA35">
            <v>0</v>
          </cell>
          <cell r="BB35">
            <v>100000</v>
          </cell>
          <cell r="BC35">
            <v>0</v>
          </cell>
          <cell r="BD35">
            <v>0</v>
          </cell>
          <cell r="BE35">
            <v>3868908.92857143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232142.85714285701</v>
          </cell>
          <cell r="BQ35">
            <v>3636766.07142857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3636766.07142857</v>
          </cell>
          <cell r="BX35">
            <v>363676.60714285698</v>
          </cell>
          <cell r="BY35">
            <v>3505232</v>
          </cell>
          <cell r="BZ35">
            <v>0</v>
          </cell>
          <cell r="CA35">
            <v>0</v>
          </cell>
          <cell r="CB35">
            <v>3505232</v>
          </cell>
          <cell r="CC35">
            <v>0</v>
          </cell>
          <cell r="CD35">
            <v>3505232</v>
          </cell>
          <cell r="CE35">
            <v>0</v>
          </cell>
          <cell r="CF35" t="str">
            <v>long.pham@medigoapp.com</v>
          </cell>
          <cell r="CG35" t="str">
            <v>Vào ca trễ 18-19/04/2026: 10.000
Đi trễ về sớm        25/04/2026 : 10.000</v>
          </cell>
          <cell r="CH35">
            <v>2</v>
          </cell>
          <cell r="CI35">
            <v>8.75</v>
          </cell>
          <cell r="CJ35">
            <v>13</v>
          </cell>
          <cell r="CK35">
            <v>3</v>
          </cell>
          <cell r="CL35">
            <v>2026</v>
          </cell>
          <cell r="CM35">
            <v>0</v>
          </cell>
          <cell r="CN35">
            <v>-23159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5100000</v>
          </cell>
          <cell r="CW35">
            <v>0</v>
          </cell>
          <cell r="CX35" t="str">
            <v>Vào ca trễ 18-19/04/2026: 10.000
Đi trễ về sớm        25/04/2026 : 10.000</v>
          </cell>
          <cell r="CY35" t="str">
            <v>; Vào ca trễ 18-19/04/2026: 10.000
Đi trễ về sớm        25/04/2026 : 10.000</v>
          </cell>
          <cell r="CZ35">
            <v>0</v>
          </cell>
          <cell r="DA35" t="str">
            <v>PHẠM VĂN LONG</v>
          </cell>
          <cell r="DB35">
            <v>13</v>
          </cell>
          <cell r="DC35">
            <v>140.433333333333</v>
          </cell>
          <cell r="DD35">
            <v>0</v>
          </cell>
          <cell r="DE35">
            <v>3197366.07142857</v>
          </cell>
          <cell r="DF35">
            <v>0</v>
          </cell>
          <cell r="DG35">
            <v>3505232</v>
          </cell>
          <cell r="DH35">
            <v>0</v>
          </cell>
          <cell r="DI35">
            <v>0</v>
          </cell>
        </row>
        <row r="36">
          <cell r="D36" t="str">
            <v>Phạm Thị Kiều Diễm</v>
          </cell>
          <cell r="E36" t="str">
            <v>HĐLĐ</v>
          </cell>
          <cell r="F36" t="str">
            <v>Nam Hòa</v>
          </cell>
          <cell r="G36" t="str">
            <v>DSBC</v>
          </cell>
          <cell r="H36" t="str">
            <v>01/04/2025</v>
          </cell>
          <cell r="I36" t="str">
            <v>0110137819</v>
          </cell>
          <cell r="J36" t="str">
            <v>Vikkibank (dongabank)</v>
          </cell>
          <cell r="K36">
            <v>28</v>
          </cell>
          <cell r="L36">
            <v>13</v>
          </cell>
          <cell r="M36">
            <v>76.5</v>
          </cell>
          <cell r="N36">
            <v>29.816666666666698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5310000</v>
          </cell>
          <cell r="T36">
            <v>232142.85714285701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6000000</v>
          </cell>
          <cell r="AB36">
            <v>0</v>
          </cell>
          <cell r="AC36">
            <v>0</v>
          </cell>
          <cell r="AD36">
            <v>0</v>
          </cell>
          <cell r="AE36">
            <v>2049107.1428571399</v>
          </cell>
          <cell r="AF36">
            <v>1197991.07142857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274842</v>
          </cell>
          <cell r="AO36">
            <v>630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555933</v>
          </cell>
          <cell r="AZ36">
            <v>20000</v>
          </cell>
          <cell r="BA36">
            <v>0</v>
          </cell>
          <cell r="BB36">
            <v>100000</v>
          </cell>
          <cell r="BC36">
            <v>0</v>
          </cell>
          <cell r="BD36">
            <v>0</v>
          </cell>
          <cell r="BE36">
            <v>3078780.07142857</v>
          </cell>
          <cell r="BF36">
            <v>929250</v>
          </cell>
          <cell r="BG36">
            <v>159300</v>
          </cell>
          <cell r="BH36">
            <v>53100</v>
          </cell>
          <cell r="BI36">
            <v>0</v>
          </cell>
          <cell r="BJ36">
            <v>1141650</v>
          </cell>
          <cell r="BK36">
            <v>424800</v>
          </cell>
          <cell r="BL36">
            <v>79650</v>
          </cell>
          <cell r="BM36">
            <v>53100</v>
          </cell>
          <cell r="BN36">
            <v>0</v>
          </cell>
          <cell r="BO36">
            <v>557550</v>
          </cell>
          <cell r="BP36">
            <v>232142.85714285701</v>
          </cell>
          <cell r="BQ36">
            <v>2846637.2142857099</v>
          </cell>
          <cell r="BR36">
            <v>15500000</v>
          </cell>
          <cell r="BS36">
            <v>0</v>
          </cell>
          <cell r="BT36">
            <v>0</v>
          </cell>
          <cell r="BU36">
            <v>557550</v>
          </cell>
          <cell r="BV36">
            <v>16057550</v>
          </cell>
          <cell r="BW36">
            <v>0</v>
          </cell>
          <cell r="BX36">
            <v>0</v>
          </cell>
          <cell r="BY36">
            <v>2521230</v>
          </cell>
          <cell r="BZ36">
            <v>0</v>
          </cell>
          <cell r="CA36">
            <v>0</v>
          </cell>
          <cell r="CB36">
            <v>2521230</v>
          </cell>
          <cell r="CC36">
            <v>0</v>
          </cell>
          <cell r="CD36">
            <v>2521230</v>
          </cell>
          <cell r="CE36">
            <v>0</v>
          </cell>
          <cell r="CF36" t="str">
            <v>diemdzuidze@gmail.com</v>
          </cell>
          <cell r="CG36" t="str">
            <v>Vào ca trễ 11/04/2026: 10.000
Vào ca trễ 18-19/04/2026: 10.000</v>
          </cell>
          <cell r="CH36">
            <v>3</v>
          </cell>
          <cell r="CI36">
            <v>0</v>
          </cell>
          <cell r="CJ36">
            <v>1</v>
          </cell>
          <cell r="CK36">
            <v>4</v>
          </cell>
          <cell r="CL36">
            <v>2025</v>
          </cell>
          <cell r="CM36">
            <v>0</v>
          </cell>
          <cell r="CN36">
            <v>-23148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6000000</v>
          </cell>
          <cell r="CW36">
            <v>0</v>
          </cell>
          <cell r="CX36" t="str">
            <v>Vào ca trễ 11/04/2026: 10.000
Vào ca trễ 18-19/04/2026: 10.000</v>
          </cell>
          <cell r="CY36" t="str">
            <v>; Vào ca trễ 11/04/2026: 10.000
Vào ca trễ 18-19/04/2026: 10.000</v>
          </cell>
          <cell r="CZ36">
            <v>0</v>
          </cell>
          <cell r="DA36" t="str">
            <v>Phạm Thị Kiều Diễm</v>
          </cell>
          <cell r="DB36">
            <v>13</v>
          </cell>
          <cell r="DC36">
            <v>76.5</v>
          </cell>
          <cell r="DD36">
            <v>29.816666666666698</v>
          </cell>
          <cell r="DE36">
            <v>2049107.1428571399</v>
          </cell>
          <cell r="DF36">
            <v>1197991.07142857</v>
          </cell>
          <cell r="DG36">
            <v>2521230</v>
          </cell>
          <cell r="DH36">
            <v>0</v>
          </cell>
          <cell r="DI36">
            <v>0</v>
          </cell>
        </row>
        <row r="37">
          <cell r="D37" t="str">
            <v>Đỗ Thị Thu Hương</v>
          </cell>
          <cell r="E37" t="str">
            <v>HĐLĐ</v>
          </cell>
          <cell r="F37" t="str">
            <v>Nam Hòa</v>
          </cell>
          <cell r="G37" t="str">
            <v>DSBC</v>
          </cell>
          <cell r="H37" t="str">
            <v>19/08/2025</v>
          </cell>
          <cell r="I37" t="str">
            <v>9903670079</v>
          </cell>
          <cell r="J37" t="str">
            <v>Vietcombank</v>
          </cell>
          <cell r="K37">
            <v>28</v>
          </cell>
          <cell r="L37">
            <v>28</v>
          </cell>
          <cell r="M37">
            <v>10.216666666666701</v>
          </cell>
          <cell r="N37">
            <v>265.75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5310000</v>
          </cell>
          <cell r="T37">
            <v>500000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6000000</v>
          </cell>
          <cell r="AB37">
            <v>0</v>
          </cell>
          <cell r="AC37">
            <v>0</v>
          </cell>
          <cell r="AD37">
            <v>0</v>
          </cell>
          <cell r="AE37">
            <v>273660.71428571502</v>
          </cell>
          <cell r="AF37">
            <v>10677455.357142899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1309500</v>
          </cell>
          <cell r="AO37">
            <v>300</v>
          </cell>
          <cell r="AP37">
            <v>0</v>
          </cell>
          <cell r="AQ37">
            <v>280000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555933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12484983.071428601</v>
          </cell>
          <cell r="BF37">
            <v>929250</v>
          </cell>
          <cell r="BG37">
            <v>159300</v>
          </cell>
          <cell r="BH37">
            <v>53100</v>
          </cell>
          <cell r="BI37">
            <v>0</v>
          </cell>
          <cell r="BJ37">
            <v>1141650</v>
          </cell>
          <cell r="BK37">
            <v>424800</v>
          </cell>
          <cell r="BL37">
            <v>79650</v>
          </cell>
          <cell r="BM37">
            <v>53100</v>
          </cell>
          <cell r="BN37">
            <v>0</v>
          </cell>
          <cell r="BO37">
            <v>557550</v>
          </cell>
          <cell r="BP37">
            <v>500000</v>
          </cell>
          <cell r="BQ37">
            <v>11984983.071428601</v>
          </cell>
          <cell r="BR37">
            <v>15500000</v>
          </cell>
          <cell r="BS37">
            <v>0</v>
          </cell>
          <cell r="BT37">
            <v>0</v>
          </cell>
          <cell r="BU37">
            <v>557550</v>
          </cell>
          <cell r="BV37">
            <v>16057550</v>
          </cell>
          <cell r="BW37">
            <v>0</v>
          </cell>
          <cell r="BX37">
            <v>0</v>
          </cell>
          <cell r="BY37">
            <v>11927433</v>
          </cell>
          <cell r="BZ37">
            <v>0</v>
          </cell>
          <cell r="CA37">
            <v>0</v>
          </cell>
          <cell r="CB37">
            <v>11927433</v>
          </cell>
          <cell r="CC37">
            <v>0</v>
          </cell>
          <cell r="CD37">
            <v>11927433</v>
          </cell>
          <cell r="CE37">
            <v>0</v>
          </cell>
          <cell r="CF37" t="str">
            <v>huong.do@medigoapp.com</v>
          </cell>
          <cell r="CG37" t="str"/>
          <cell r="CH37">
            <v>7</v>
          </cell>
          <cell r="CI37">
            <v>0</v>
          </cell>
          <cell r="CJ37">
            <v>19</v>
          </cell>
          <cell r="CK37">
            <v>8</v>
          </cell>
          <cell r="CL37">
            <v>2025</v>
          </cell>
          <cell r="CM37">
            <v>0</v>
          </cell>
          <cell r="CN37">
            <v>-23152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6000000</v>
          </cell>
          <cell r="CW37">
            <v>0</v>
          </cell>
          <cell r="CX37" t="str"/>
          <cell r="CY37" t="str">
            <v>;</v>
          </cell>
          <cell r="CZ37">
            <v>0</v>
          </cell>
          <cell r="DA37" t="str">
            <v>Đỗ Thị Thu Hương</v>
          </cell>
          <cell r="DB37">
            <v>28</v>
          </cell>
          <cell r="DC37">
            <v>6.5166666666666799</v>
          </cell>
          <cell r="DD37">
            <v>241.55</v>
          </cell>
          <cell r="DE37">
            <v>174553.571428572</v>
          </cell>
          <cell r="DF37">
            <v>9705133.9285714291</v>
          </cell>
          <cell r="DG37">
            <v>10856005</v>
          </cell>
          <cell r="DH37">
            <v>1071428</v>
          </cell>
          <cell r="DI37">
            <v>1071428</v>
          </cell>
        </row>
        <row r="38">
          <cell r="D38" t="str">
            <v>Mai Ngọc Oanh</v>
          </cell>
          <cell r="E38" t="str">
            <v>HĐLĐ</v>
          </cell>
          <cell r="F38" t="str">
            <v>Nam Hòa</v>
          </cell>
          <cell r="G38" t="str">
            <v>DSBC</v>
          </cell>
          <cell r="H38" t="str">
            <v>23/06/2025</v>
          </cell>
          <cell r="I38" t="str">
            <v>90373224900</v>
          </cell>
          <cell r="J38" t="str">
            <v>MB bank</v>
          </cell>
          <cell r="K38">
            <v>28</v>
          </cell>
          <cell r="L38">
            <v>24</v>
          </cell>
          <cell r="M38">
            <v>247.7</v>
          </cell>
          <cell r="N38">
            <v>0.43333333333333302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5310000</v>
          </cell>
          <cell r="T38">
            <v>428571.42857142899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6000000</v>
          </cell>
          <cell r="AB38">
            <v>0</v>
          </cell>
          <cell r="AC38">
            <v>0</v>
          </cell>
          <cell r="AD38">
            <v>0</v>
          </cell>
          <cell r="AE38">
            <v>6634821.42857143</v>
          </cell>
          <cell r="AF38">
            <v>17410.714285714301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461400</v>
          </cell>
          <cell r="AO38">
            <v>1210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555933</v>
          </cell>
          <cell r="AZ38">
            <v>0</v>
          </cell>
          <cell r="BA38">
            <v>0</v>
          </cell>
          <cell r="BB38">
            <v>100000</v>
          </cell>
          <cell r="BC38">
            <v>0</v>
          </cell>
          <cell r="BD38">
            <v>0</v>
          </cell>
          <cell r="BE38">
            <v>6887480.57142857</v>
          </cell>
          <cell r="BF38">
            <v>929250</v>
          </cell>
          <cell r="BG38">
            <v>159300</v>
          </cell>
          <cell r="BH38">
            <v>53100</v>
          </cell>
          <cell r="BI38">
            <v>0</v>
          </cell>
          <cell r="BJ38">
            <v>1141650</v>
          </cell>
          <cell r="BK38">
            <v>424800</v>
          </cell>
          <cell r="BL38">
            <v>79650</v>
          </cell>
          <cell r="BM38">
            <v>53100</v>
          </cell>
          <cell r="BN38">
            <v>0</v>
          </cell>
          <cell r="BO38">
            <v>557550</v>
          </cell>
          <cell r="BP38">
            <v>428571.42857142899</v>
          </cell>
          <cell r="BQ38">
            <v>6458909.1428571399</v>
          </cell>
          <cell r="BR38">
            <v>15500000</v>
          </cell>
          <cell r="BS38">
            <v>0</v>
          </cell>
          <cell r="BT38">
            <v>0</v>
          </cell>
          <cell r="BU38">
            <v>557550</v>
          </cell>
          <cell r="BV38">
            <v>16057550</v>
          </cell>
          <cell r="BW38">
            <v>0</v>
          </cell>
          <cell r="BX38">
            <v>0</v>
          </cell>
          <cell r="BY38">
            <v>6329931</v>
          </cell>
          <cell r="BZ38">
            <v>0</v>
          </cell>
          <cell r="CA38">
            <v>0</v>
          </cell>
          <cell r="CB38">
            <v>6329931</v>
          </cell>
          <cell r="CC38">
            <v>0</v>
          </cell>
          <cell r="CD38">
            <v>6329931</v>
          </cell>
          <cell r="CE38">
            <v>0</v>
          </cell>
          <cell r="CF38" t="str">
            <v>medigo.oanh.mai@gmail.com</v>
          </cell>
          <cell r="CG38" t="str"/>
          <cell r="CH38">
            <v>8</v>
          </cell>
          <cell r="CI38">
            <v>0</v>
          </cell>
          <cell r="CJ38">
            <v>23</v>
          </cell>
          <cell r="CK38">
            <v>6</v>
          </cell>
          <cell r="CL38">
            <v>2025</v>
          </cell>
          <cell r="CM38">
            <v>0</v>
          </cell>
          <cell r="CN38">
            <v>-23150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6000000</v>
          </cell>
          <cell r="CW38">
            <v>0</v>
          </cell>
          <cell r="CX38" t="str"/>
          <cell r="CY38" t="str">
            <v>;</v>
          </cell>
          <cell r="CZ38">
            <v>0</v>
          </cell>
          <cell r="DA38" t="str">
            <v>Mai Ngọc Oanh</v>
          </cell>
          <cell r="DB38">
            <v>24</v>
          </cell>
          <cell r="DC38">
            <v>247.7</v>
          </cell>
          <cell r="DD38">
            <v>0.43333333333333302</v>
          </cell>
          <cell r="DE38">
            <v>6634821.42857143</v>
          </cell>
          <cell r="DF38">
            <v>17410.714285714301</v>
          </cell>
          <cell r="DG38">
            <v>6329931</v>
          </cell>
          <cell r="DH38">
            <v>0</v>
          </cell>
          <cell r="DI38">
            <v>0</v>
          </cell>
        </row>
        <row r="39">
          <cell r="D39" t="str">
            <v>Hạ Ngân Khánh</v>
          </cell>
          <cell r="E39" t="str">
            <v>HĐLĐ</v>
          </cell>
          <cell r="F39" t="str">
            <v>Nam Hòa</v>
          </cell>
          <cell r="G39" t="str">
            <v>DSBC</v>
          </cell>
          <cell r="H39" t="str">
            <v>23/06/2025</v>
          </cell>
          <cell r="I39" t="str">
            <v>109873777758</v>
          </cell>
          <cell r="J39" t="str">
            <v>VietinBank</v>
          </cell>
          <cell r="K39">
            <v>28</v>
          </cell>
          <cell r="L39">
            <v>13</v>
          </cell>
          <cell r="M39">
            <v>132.96666666666701</v>
          </cell>
          <cell r="N39">
            <v>1.8333333333333299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5310000</v>
          </cell>
          <cell r="T39">
            <v>232142.85714285701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6000000</v>
          </cell>
          <cell r="AB39">
            <v>0</v>
          </cell>
          <cell r="AC39">
            <v>0</v>
          </cell>
          <cell r="AD39">
            <v>0</v>
          </cell>
          <cell r="AE39">
            <v>3561607.1428571399</v>
          </cell>
          <cell r="AF39">
            <v>73660.714285714304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526800</v>
          </cell>
          <cell r="AO39">
            <v>37800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4432010.7142857099</v>
          </cell>
          <cell r="BF39">
            <v>929250</v>
          </cell>
          <cell r="BG39">
            <v>159300</v>
          </cell>
          <cell r="BH39">
            <v>53100</v>
          </cell>
          <cell r="BI39">
            <v>0</v>
          </cell>
          <cell r="BJ39">
            <v>1141650</v>
          </cell>
          <cell r="BK39">
            <v>424800</v>
          </cell>
          <cell r="BL39">
            <v>79650</v>
          </cell>
          <cell r="BM39">
            <v>53100</v>
          </cell>
          <cell r="BN39">
            <v>0</v>
          </cell>
          <cell r="BO39">
            <v>557550</v>
          </cell>
          <cell r="BP39">
            <v>232142.85714285701</v>
          </cell>
          <cell r="BQ39">
            <v>4199867.8571428601</v>
          </cell>
          <cell r="BR39">
            <v>15500000</v>
          </cell>
          <cell r="BS39">
            <v>0</v>
          </cell>
          <cell r="BT39">
            <v>0</v>
          </cell>
          <cell r="BU39">
            <v>557550</v>
          </cell>
          <cell r="BV39">
            <v>16057550</v>
          </cell>
          <cell r="BW39">
            <v>0</v>
          </cell>
          <cell r="BX39">
            <v>0</v>
          </cell>
          <cell r="BY39">
            <v>3874461</v>
          </cell>
          <cell r="BZ39">
            <v>0</v>
          </cell>
          <cell r="CA39">
            <v>0</v>
          </cell>
          <cell r="CB39">
            <v>3874461</v>
          </cell>
          <cell r="CC39">
            <v>0</v>
          </cell>
          <cell r="CD39">
            <v>3874461</v>
          </cell>
          <cell r="CE39">
            <v>0</v>
          </cell>
          <cell r="CF39" t="str">
            <v>medigo.ngankhanh.ha@gmail.com</v>
          </cell>
          <cell r="CG39" t="str"/>
          <cell r="CH39">
            <v>9</v>
          </cell>
          <cell r="CI39">
            <v>0</v>
          </cell>
          <cell r="CJ39">
            <v>23</v>
          </cell>
          <cell r="CK39">
            <v>6</v>
          </cell>
          <cell r="CL39">
            <v>2025</v>
          </cell>
          <cell r="CM39">
            <v>0</v>
          </cell>
          <cell r="CN39">
            <v>-23150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6000000</v>
          </cell>
          <cell r="CW39">
            <v>0</v>
          </cell>
          <cell r="CX39" t="str"/>
          <cell r="CY39" t="str">
            <v>;</v>
          </cell>
          <cell r="CZ39">
            <v>0</v>
          </cell>
          <cell r="DA39" t="str">
            <v>Hạ Ngân Khánh</v>
          </cell>
          <cell r="DB39">
            <v>9</v>
          </cell>
          <cell r="DC39">
            <v>7.8666666666666698</v>
          </cell>
          <cell r="DD39">
            <v>59.533333333333303</v>
          </cell>
          <cell r="DE39">
            <v>210714.285714286</v>
          </cell>
          <cell r="DF39">
            <v>2391964.2857142901</v>
          </cell>
          <cell r="DG39">
            <v>2763393</v>
          </cell>
          <cell r="DH39">
            <v>0</v>
          </cell>
          <cell r="DI39">
            <v>0</v>
          </cell>
        </row>
        <row r="40">
          <cell r="D40" t="str">
            <v>Phan Công Vũ Tài</v>
          </cell>
          <cell r="E40" t="str">
            <v>HĐLĐ</v>
          </cell>
          <cell r="F40" t="str">
            <v>Nam Hòa</v>
          </cell>
          <cell r="G40" t="str">
            <v>DSBC</v>
          </cell>
          <cell r="H40" t="str">
            <v>26/01/2026</v>
          </cell>
          <cell r="I40" t="str">
            <v>02446989901</v>
          </cell>
          <cell r="J40" t="str">
            <v>Tp Bank</v>
          </cell>
          <cell r="K40">
            <v>28</v>
          </cell>
          <cell r="L40">
            <v>2</v>
          </cell>
          <cell r="M40">
            <v>4.8499999999999996</v>
          </cell>
          <cell r="N40">
            <v>25.533333333333299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35714.285714285703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5310000</v>
          </cell>
          <cell r="AB40">
            <v>0</v>
          </cell>
          <cell r="AC40">
            <v>0</v>
          </cell>
          <cell r="AD40">
            <v>0</v>
          </cell>
          <cell r="AE40">
            <v>114970.982142857</v>
          </cell>
          <cell r="AF40">
            <v>907915.17857142899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1058600.44642857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35714.285714285703</v>
          </cell>
          <cell r="BQ40">
            <v>1022886.16071429</v>
          </cell>
          <cell r="BR40">
            <v>15500000</v>
          </cell>
          <cell r="BS40">
            <v>0</v>
          </cell>
          <cell r="BT40">
            <v>0</v>
          </cell>
          <cell r="BU40">
            <v>0</v>
          </cell>
          <cell r="BV40">
            <v>15500000</v>
          </cell>
          <cell r="BW40">
            <v>0</v>
          </cell>
          <cell r="BX40">
            <v>0</v>
          </cell>
          <cell r="BY40">
            <v>1058600</v>
          </cell>
          <cell r="BZ40">
            <v>0</v>
          </cell>
          <cell r="CA40">
            <v>0</v>
          </cell>
          <cell r="CB40">
            <v>1058600</v>
          </cell>
          <cell r="CC40">
            <v>0</v>
          </cell>
          <cell r="CD40">
            <v>1058600</v>
          </cell>
          <cell r="CE40">
            <v>0</v>
          </cell>
          <cell r="CF40" t="str">
            <v>tai.phan@medigoapp.com</v>
          </cell>
          <cell r="CG40" t="str"/>
          <cell r="CH40">
            <v>4</v>
          </cell>
          <cell r="CI40">
            <v>0</v>
          </cell>
          <cell r="CJ40">
            <v>26</v>
          </cell>
          <cell r="CK40">
            <v>1</v>
          </cell>
          <cell r="CL40">
            <v>2026</v>
          </cell>
          <cell r="CM40">
            <v>0</v>
          </cell>
          <cell r="CN40">
            <v>-23157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5310000</v>
          </cell>
          <cell r="CW40">
            <v>0</v>
          </cell>
          <cell r="CX40" t="str"/>
          <cell r="CY40" t="str">
            <v>;</v>
          </cell>
          <cell r="CZ40">
            <v>0</v>
          </cell>
          <cell r="DA40" t="str">
            <v>Phan Công Vũ Tài</v>
          </cell>
          <cell r="DB40">
            <v>10</v>
          </cell>
          <cell r="DC40">
            <v>104.95</v>
          </cell>
          <cell r="DD40">
            <v>0.58333333333333304</v>
          </cell>
          <cell r="DE40">
            <v>2487877.2321428601</v>
          </cell>
          <cell r="DF40">
            <v>20742.1875</v>
          </cell>
          <cell r="DG40">
            <v>2812705</v>
          </cell>
          <cell r="DH40">
            <v>0</v>
          </cell>
          <cell r="DI40">
            <v>0</v>
          </cell>
        </row>
        <row r="41">
          <cell r="D41" t="str">
            <v>Trần Thị Ánh Nguyệt</v>
          </cell>
          <cell r="E41" t="str">
            <v>HĐTV</v>
          </cell>
          <cell r="F41" t="str">
            <v>Nam Hòa</v>
          </cell>
          <cell r="G41" t="str">
            <v>DSTV</v>
          </cell>
          <cell r="H41" t="str">
            <v>13/3/2026</v>
          </cell>
          <cell r="I41" t="str">
            <v>19035042801010</v>
          </cell>
          <cell r="J41" t="str">
            <v>techcombank - chi nhánh Bình Đăng</v>
          </cell>
          <cell r="K41">
            <v>28</v>
          </cell>
          <cell r="L41">
            <v>28</v>
          </cell>
          <cell r="M41">
            <v>32.1666666666667</v>
          </cell>
          <cell r="N41">
            <v>259.38333333333298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500000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5100000</v>
          </cell>
          <cell r="AB41">
            <v>0</v>
          </cell>
          <cell r="AC41">
            <v>0</v>
          </cell>
          <cell r="AD41">
            <v>0</v>
          </cell>
          <cell r="AE41">
            <v>732366.07142857101</v>
          </cell>
          <cell r="AF41">
            <v>8858404.0178571399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826400</v>
          </cell>
          <cell r="AO41">
            <v>6220</v>
          </cell>
          <cell r="AP41">
            <v>0</v>
          </cell>
          <cell r="AQ41">
            <v>60000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10983390.0892857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500000</v>
          </cell>
          <cell r="BQ41">
            <v>10483390.0892857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10483390.0892857</v>
          </cell>
          <cell r="BX41">
            <v>1048339.00892857</v>
          </cell>
          <cell r="BY41">
            <v>9935051</v>
          </cell>
          <cell r="BZ41">
            <v>0</v>
          </cell>
          <cell r="CA41">
            <v>0</v>
          </cell>
          <cell r="CB41">
            <v>9935051</v>
          </cell>
          <cell r="CC41">
            <v>0</v>
          </cell>
          <cell r="CD41">
            <v>9935051</v>
          </cell>
          <cell r="CE41">
            <v>0</v>
          </cell>
          <cell r="CF41" t="str">
            <v>nguyet.tran@medigoapp.com</v>
          </cell>
          <cell r="CG41" t="str"/>
          <cell r="CH41">
            <v>2</v>
          </cell>
          <cell r="CI41">
            <v>4.5</v>
          </cell>
          <cell r="CJ41">
            <v>13</v>
          </cell>
          <cell r="CK41">
            <v>3</v>
          </cell>
          <cell r="CL41">
            <v>2026</v>
          </cell>
          <cell r="CM41">
            <v>0</v>
          </cell>
          <cell r="CN41">
            <v>-23159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5100000</v>
          </cell>
          <cell r="CW41">
            <v>0</v>
          </cell>
          <cell r="CX41" t="str"/>
          <cell r="CY41" t="str">
            <v>;</v>
          </cell>
          <cell r="CZ41">
            <v>0</v>
          </cell>
          <cell r="DA41" t="str">
            <v>Trần Thị Ánh Nguyệt</v>
          </cell>
          <cell r="DB41">
            <v>28</v>
          </cell>
          <cell r="DC41">
            <v>32.1666666666667</v>
          </cell>
          <cell r="DD41">
            <v>259.38333333333298</v>
          </cell>
          <cell r="DE41">
            <v>732366.07142857101</v>
          </cell>
          <cell r="DF41">
            <v>8858404.0178571399</v>
          </cell>
          <cell r="DG41">
            <v>9935051</v>
          </cell>
          <cell r="DH41">
            <v>0</v>
          </cell>
          <cell r="DI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196</v>
          </cell>
          <cell r="L42">
            <v>121</v>
          </cell>
          <cell r="M42">
            <v>644.83333333333303</v>
          </cell>
          <cell r="N42">
            <v>582.75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21240000</v>
          </cell>
          <cell r="T42">
            <v>2160714.2857142901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39510000</v>
          </cell>
          <cell r="AB42">
            <v>0</v>
          </cell>
          <cell r="AC42">
            <v>0</v>
          </cell>
          <cell r="AD42">
            <v>0</v>
          </cell>
          <cell r="AE42">
            <v>16563899.553571399</v>
          </cell>
          <cell r="AF42">
            <v>21732837.053571399</v>
          </cell>
          <cell r="AG42">
            <v>0</v>
          </cell>
          <cell r="AH42">
            <v>0</v>
          </cell>
          <cell r="AI42">
            <v>0</v>
          </cell>
          <cell r="AJ42">
            <v>500000</v>
          </cell>
          <cell r="AK42">
            <v>0</v>
          </cell>
          <cell r="AL42">
            <v>0</v>
          </cell>
          <cell r="AM42">
            <v>0</v>
          </cell>
          <cell r="AN42">
            <v>3458342</v>
          </cell>
          <cell r="AO42">
            <v>46160</v>
          </cell>
          <cell r="AP42">
            <v>0</v>
          </cell>
          <cell r="AQ42">
            <v>340000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1667799</v>
          </cell>
          <cell r="AZ42">
            <v>40000</v>
          </cell>
          <cell r="BA42">
            <v>0</v>
          </cell>
          <cell r="BB42">
            <v>300000</v>
          </cell>
          <cell r="BC42">
            <v>0</v>
          </cell>
          <cell r="BD42">
            <v>0</v>
          </cell>
          <cell r="BE42">
            <v>42794153.892857097</v>
          </cell>
          <cell r="BF42">
            <v>3717000</v>
          </cell>
          <cell r="BG42">
            <v>637200</v>
          </cell>
          <cell r="BH42">
            <v>212400</v>
          </cell>
          <cell r="BI42">
            <v>0</v>
          </cell>
          <cell r="BJ42">
            <v>4566600</v>
          </cell>
          <cell r="BK42">
            <v>1699200</v>
          </cell>
          <cell r="BL42">
            <v>318600</v>
          </cell>
          <cell r="BM42">
            <v>212400</v>
          </cell>
          <cell r="BN42">
            <v>0</v>
          </cell>
          <cell r="BO42">
            <v>2230200</v>
          </cell>
          <cell r="BP42">
            <v>2160714.2857142901</v>
          </cell>
          <cell r="BQ42">
            <v>40633439.607142903</v>
          </cell>
          <cell r="BR42">
            <v>77500000</v>
          </cell>
          <cell r="BS42">
            <v>0</v>
          </cell>
          <cell r="BT42">
            <v>0</v>
          </cell>
          <cell r="BU42">
            <v>2230200</v>
          </cell>
          <cell r="BV42">
            <v>79730200</v>
          </cell>
          <cell r="BW42">
            <v>14120156.1607143</v>
          </cell>
          <cell r="BX42">
            <v>1412015.61607143</v>
          </cell>
          <cell r="BY42">
            <v>39151938</v>
          </cell>
          <cell r="BZ42">
            <v>0</v>
          </cell>
          <cell r="CA42">
            <v>0</v>
          </cell>
          <cell r="CB42">
            <v>39151938</v>
          </cell>
          <cell r="CC42">
            <v>0</v>
          </cell>
          <cell r="CD42">
            <v>39151938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13.25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-162075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39510000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D43" t="str">
            <v>Nguyễn Thị Hồng Hạnh</v>
          </cell>
          <cell r="E43" t="str">
            <v>HĐLĐ</v>
          </cell>
          <cell r="F43" t="str">
            <v>Nguyễn Chí Thanh</v>
          </cell>
          <cell r="G43" t="str">
            <v>DSBC</v>
          </cell>
          <cell r="H43">
            <v>45502</v>
          </cell>
          <cell r="I43" t="str">
            <v>19036469088011</v>
          </cell>
          <cell r="J43" t="str">
            <v>Techcombank</v>
          </cell>
          <cell r="K43">
            <v>28</v>
          </cell>
          <cell r="L43">
            <v>30</v>
          </cell>
          <cell r="M43">
            <v>16</v>
          </cell>
          <cell r="N43">
            <v>283.683333333333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5310000</v>
          </cell>
          <cell r="T43">
            <v>500000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6000000</v>
          </cell>
          <cell r="AB43">
            <v>0</v>
          </cell>
          <cell r="AC43">
            <v>0</v>
          </cell>
          <cell r="AD43">
            <v>0</v>
          </cell>
          <cell r="AE43">
            <v>428571.42857142899</v>
          </cell>
          <cell r="AF43">
            <v>11397991.071428601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491200</v>
          </cell>
          <cell r="AM43">
            <v>0</v>
          </cell>
          <cell r="AN43">
            <v>1498100</v>
          </cell>
          <cell r="AO43">
            <v>15555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26500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14304917.5</v>
          </cell>
          <cell r="BF43">
            <v>929250</v>
          </cell>
          <cell r="BG43">
            <v>159300</v>
          </cell>
          <cell r="BH43">
            <v>53100</v>
          </cell>
          <cell r="BI43">
            <v>0</v>
          </cell>
          <cell r="BJ43">
            <v>1141650</v>
          </cell>
          <cell r="BK43">
            <v>424800</v>
          </cell>
          <cell r="BL43">
            <v>79650</v>
          </cell>
          <cell r="BM43">
            <v>53100</v>
          </cell>
          <cell r="BN43">
            <v>0</v>
          </cell>
          <cell r="BO43">
            <v>557550</v>
          </cell>
          <cell r="BP43">
            <v>500000</v>
          </cell>
          <cell r="BQ43">
            <v>13804917.5</v>
          </cell>
          <cell r="BR43">
            <v>15500000</v>
          </cell>
          <cell r="BS43">
            <v>0</v>
          </cell>
          <cell r="BT43">
            <v>0</v>
          </cell>
          <cell r="BU43">
            <v>557550</v>
          </cell>
          <cell r="BV43">
            <v>16057550</v>
          </cell>
          <cell r="BW43">
            <v>0</v>
          </cell>
          <cell r="BX43">
            <v>0</v>
          </cell>
          <cell r="BY43">
            <v>13747368</v>
          </cell>
          <cell r="BZ43">
            <v>0</v>
          </cell>
          <cell r="CA43">
            <v>0</v>
          </cell>
          <cell r="CB43">
            <v>13747368</v>
          </cell>
          <cell r="CC43">
            <v>0</v>
          </cell>
          <cell r="CD43">
            <v>13747368</v>
          </cell>
          <cell r="CE43">
            <v>0</v>
          </cell>
          <cell r="CF43" t="str">
            <v>medigo.honghanh.nguyen@gmail.com</v>
          </cell>
          <cell r="CG43" t="str"/>
          <cell r="CH43">
            <v>2</v>
          </cell>
          <cell r="CI43">
            <v>0</v>
          </cell>
          <cell r="CJ43">
            <v>29</v>
          </cell>
          <cell r="CK43">
            <v>7</v>
          </cell>
          <cell r="CL43">
            <v>2024</v>
          </cell>
          <cell r="CM43">
            <v>0</v>
          </cell>
          <cell r="CN43">
            <v>-23139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6000000</v>
          </cell>
          <cell r="CW43">
            <v>0</v>
          </cell>
          <cell r="CX43" t="str"/>
          <cell r="CY43" t="str">
            <v>;</v>
          </cell>
          <cell r="CZ43">
            <v>0</v>
          </cell>
          <cell r="DA43" t="str">
            <v>Nguyễn Thị Hồng Hạnh</v>
          </cell>
          <cell r="DB43">
            <v>30</v>
          </cell>
          <cell r="DC43">
            <v>16</v>
          </cell>
          <cell r="DD43">
            <v>283.683333333333</v>
          </cell>
          <cell r="DE43">
            <v>428571.42857142899</v>
          </cell>
          <cell r="DF43">
            <v>11397991.071428601</v>
          </cell>
          <cell r="DG43">
            <v>13747368</v>
          </cell>
          <cell r="DH43">
            <v>0</v>
          </cell>
          <cell r="DI43">
            <v>0</v>
          </cell>
        </row>
        <row r="44">
          <cell r="D44" t="str">
            <v>Nguyễn Trúc Linh</v>
          </cell>
          <cell r="E44" t="str">
            <v>HĐLĐ</v>
          </cell>
          <cell r="F44" t="str">
            <v>Nguyễn Chí Thanh</v>
          </cell>
          <cell r="G44" t="str">
            <v>DSBC</v>
          </cell>
          <cell r="H44" t="str">
            <v>26/04/2025</v>
          </cell>
          <cell r="I44" t="str">
            <v>109006916698</v>
          </cell>
          <cell r="J44" t="str">
            <v>Vietinbank</v>
          </cell>
          <cell r="K44">
            <v>28</v>
          </cell>
          <cell r="L44">
            <v>1</v>
          </cell>
          <cell r="M44">
            <v>0</v>
          </cell>
          <cell r="N44">
            <v>8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17857.142857142899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6000000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321428.57142857101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339285.71428571403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17857.142857142899</v>
          </cell>
          <cell r="BQ44">
            <v>321428.57142857101</v>
          </cell>
          <cell r="BR44">
            <v>15500000</v>
          </cell>
          <cell r="BS44">
            <v>0</v>
          </cell>
          <cell r="BT44">
            <v>0</v>
          </cell>
          <cell r="BU44">
            <v>0</v>
          </cell>
          <cell r="BV44">
            <v>15500000</v>
          </cell>
          <cell r="BW44">
            <v>0</v>
          </cell>
          <cell r="BX44">
            <v>0</v>
          </cell>
          <cell r="BY44">
            <v>339286</v>
          </cell>
          <cell r="BZ44">
            <v>0</v>
          </cell>
          <cell r="CA44">
            <v>0</v>
          </cell>
          <cell r="CB44">
            <v>339286</v>
          </cell>
          <cell r="CC44">
            <v>0</v>
          </cell>
          <cell r="CD44">
            <v>339286</v>
          </cell>
          <cell r="CE44">
            <v>0</v>
          </cell>
          <cell r="CF44" t="str">
            <v>medigo.truclinh.nguyen@gmail.com</v>
          </cell>
          <cell r="CG44">
            <v>0</v>
          </cell>
          <cell r="CH44">
            <v>12</v>
          </cell>
          <cell r="CI44">
            <v>0</v>
          </cell>
          <cell r="CJ44">
            <v>26</v>
          </cell>
          <cell r="CK44">
            <v>4</v>
          </cell>
          <cell r="CL44">
            <v>2025</v>
          </cell>
          <cell r="CM44">
            <v>0</v>
          </cell>
          <cell r="CN44">
            <v>11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6000000</v>
          </cell>
          <cell r="CW44">
            <v>0</v>
          </cell>
          <cell r="CX44">
            <v>0</v>
          </cell>
          <cell r="CY44" t="str">
            <v>; 0</v>
          </cell>
          <cell r="CZ44">
            <v>0</v>
          </cell>
          <cell r="DA44" t="str">
            <v>Nguyễn Trúc Linh</v>
          </cell>
          <cell r="DB44">
            <v>17</v>
          </cell>
          <cell r="DC44">
            <v>0</v>
          </cell>
          <cell r="DD44">
            <v>8</v>
          </cell>
          <cell r="DE44">
            <v>0</v>
          </cell>
          <cell r="DF44">
            <v>321428.57142857101</v>
          </cell>
          <cell r="DG44">
            <v>339286</v>
          </cell>
          <cell r="DH44">
            <v>0</v>
          </cell>
          <cell r="DI44">
            <v>0</v>
          </cell>
        </row>
        <row r="45">
          <cell r="D45" t="str">
            <v>Đỗ Thị Phương Thảo</v>
          </cell>
          <cell r="E45" t="str">
            <v>HĐLĐ</v>
          </cell>
          <cell r="F45" t="str">
            <v>Nguyễn Chí Thanh</v>
          </cell>
          <cell r="G45" t="str">
            <v>DSBC</v>
          </cell>
          <cell r="H45" t="str">
            <v>19/04/2025</v>
          </cell>
          <cell r="I45" t="str">
            <v>0561000503731</v>
          </cell>
          <cell r="J45" t="str">
            <v>Vietcombank</v>
          </cell>
          <cell r="K45">
            <v>28</v>
          </cell>
          <cell r="L45">
            <v>25</v>
          </cell>
          <cell r="M45">
            <v>254.2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5310000</v>
          </cell>
          <cell r="T45">
            <v>446428.57142857101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6000000</v>
          </cell>
          <cell r="AB45">
            <v>0</v>
          </cell>
          <cell r="AC45">
            <v>0</v>
          </cell>
          <cell r="AD45">
            <v>0</v>
          </cell>
          <cell r="AE45">
            <v>6808928.57142857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471300</v>
          </cell>
          <cell r="AO45">
            <v>232110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26500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7932267.1428571399</v>
          </cell>
          <cell r="BF45">
            <v>929250</v>
          </cell>
          <cell r="BG45">
            <v>159300</v>
          </cell>
          <cell r="BH45">
            <v>53100</v>
          </cell>
          <cell r="BI45">
            <v>0</v>
          </cell>
          <cell r="BJ45">
            <v>1141650</v>
          </cell>
          <cell r="BK45">
            <v>424800</v>
          </cell>
          <cell r="BL45">
            <v>79650</v>
          </cell>
          <cell r="BM45">
            <v>53100</v>
          </cell>
          <cell r="BN45">
            <v>0</v>
          </cell>
          <cell r="BO45">
            <v>557550</v>
          </cell>
          <cell r="BP45">
            <v>446428.57142857101</v>
          </cell>
          <cell r="BQ45">
            <v>7485838.57142857</v>
          </cell>
          <cell r="BR45">
            <v>15500000</v>
          </cell>
          <cell r="BS45">
            <v>0</v>
          </cell>
          <cell r="BT45">
            <v>0</v>
          </cell>
          <cell r="BU45">
            <v>557550</v>
          </cell>
          <cell r="BV45">
            <v>16057550</v>
          </cell>
          <cell r="BW45">
            <v>0</v>
          </cell>
          <cell r="BX45">
            <v>0</v>
          </cell>
          <cell r="BY45">
            <v>7374717</v>
          </cell>
          <cell r="BZ45">
            <v>0</v>
          </cell>
          <cell r="CA45">
            <v>0</v>
          </cell>
          <cell r="CB45">
            <v>7374717</v>
          </cell>
          <cell r="CC45">
            <v>0</v>
          </cell>
          <cell r="CD45">
            <v>7374717</v>
          </cell>
          <cell r="CE45">
            <v>0</v>
          </cell>
          <cell r="CF45" t="str">
            <v>medigo.thao.do@gmail.com</v>
          </cell>
          <cell r="CG45" t="str"/>
          <cell r="CH45">
            <v>8</v>
          </cell>
          <cell r="CI45">
            <v>2.5</v>
          </cell>
          <cell r="CJ45">
            <v>19</v>
          </cell>
          <cell r="CK45">
            <v>4</v>
          </cell>
          <cell r="CL45">
            <v>2025</v>
          </cell>
          <cell r="CM45">
            <v>0</v>
          </cell>
          <cell r="CN45">
            <v>-23148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6000000</v>
          </cell>
          <cell r="CW45">
            <v>0</v>
          </cell>
          <cell r="CX45" t="str"/>
          <cell r="CY45" t="str">
            <v>;</v>
          </cell>
          <cell r="CZ45">
            <v>0</v>
          </cell>
          <cell r="DA45" t="str">
            <v>Đỗ Thị Phương Thảo</v>
          </cell>
          <cell r="DB45">
            <v>25</v>
          </cell>
          <cell r="DC45">
            <v>254.2</v>
          </cell>
          <cell r="DD45">
            <v>0</v>
          </cell>
          <cell r="DE45">
            <v>6808928.57142857</v>
          </cell>
          <cell r="DF45">
            <v>0</v>
          </cell>
          <cell r="DG45">
            <v>7374717</v>
          </cell>
          <cell r="DH45">
            <v>0</v>
          </cell>
          <cell r="DI45">
            <v>0</v>
          </cell>
        </row>
        <row r="46">
          <cell r="D46" t="str">
            <v>Lê Thị Quỳnh Trâm</v>
          </cell>
          <cell r="E46" t="str">
            <v>HĐLĐ</v>
          </cell>
          <cell r="F46" t="str">
            <v>Nguyễn Chí Thanh</v>
          </cell>
          <cell r="G46" t="str">
            <v>CHT</v>
          </cell>
          <cell r="H46" t="str">
            <v>18/08/2025</v>
          </cell>
          <cell r="I46" t="str">
            <v>6321205302943</v>
          </cell>
          <cell r="J46" t="str">
            <v>AGRIBANK</v>
          </cell>
          <cell r="K46">
            <v>28</v>
          </cell>
          <cell r="L46">
            <v>28</v>
          </cell>
          <cell r="M46">
            <v>288.05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5310000</v>
          </cell>
          <cell r="T46">
            <v>500000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6000000</v>
          </cell>
          <cell r="AB46">
            <v>0</v>
          </cell>
          <cell r="AC46">
            <v>0</v>
          </cell>
          <cell r="AD46">
            <v>0</v>
          </cell>
          <cell r="AE46">
            <v>7715625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1000000</v>
          </cell>
          <cell r="AK46">
            <v>0</v>
          </cell>
          <cell r="AL46">
            <v>0</v>
          </cell>
          <cell r="AM46">
            <v>0</v>
          </cell>
          <cell r="AN46">
            <v>555100</v>
          </cell>
          <cell r="AO46">
            <v>53545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26500</v>
          </cell>
          <cell r="AZ46">
            <v>0</v>
          </cell>
          <cell r="BA46">
            <v>0</v>
          </cell>
          <cell r="BB46">
            <v>100000</v>
          </cell>
          <cell r="BC46">
            <v>0</v>
          </cell>
          <cell r="BD46">
            <v>0</v>
          </cell>
          <cell r="BE46">
            <v>9697770</v>
          </cell>
          <cell r="BF46">
            <v>929250</v>
          </cell>
          <cell r="BG46">
            <v>159300</v>
          </cell>
          <cell r="BH46">
            <v>53100</v>
          </cell>
          <cell r="BI46">
            <v>0</v>
          </cell>
          <cell r="BJ46">
            <v>1141650</v>
          </cell>
          <cell r="BK46">
            <v>424800</v>
          </cell>
          <cell r="BL46">
            <v>79650</v>
          </cell>
          <cell r="BM46">
            <v>53100</v>
          </cell>
          <cell r="BN46">
            <v>0</v>
          </cell>
          <cell r="BO46">
            <v>557550</v>
          </cell>
          <cell r="BP46">
            <v>500000</v>
          </cell>
          <cell r="BQ46">
            <v>9197770</v>
          </cell>
          <cell r="BR46">
            <v>15500000</v>
          </cell>
          <cell r="BS46">
            <v>0</v>
          </cell>
          <cell r="BT46">
            <v>0</v>
          </cell>
          <cell r="BU46">
            <v>557550</v>
          </cell>
          <cell r="BV46">
            <v>16057550</v>
          </cell>
          <cell r="BW46">
            <v>0</v>
          </cell>
          <cell r="BX46">
            <v>0</v>
          </cell>
          <cell r="BY46">
            <v>9140220</v>
          </cell>
          <cell r="BZ46">
            <v>0</v>
          </cell>
          <cell r="CA46">
            <v>0</v>
          </cell>
          <cell r="CB46">
            <v>9140220</v>
          </cell>
          <cell r="CC46">
            <v>0</v>
          </cell>
          <cell r="CD46">
            <v>9140220</v>
          </cell>
          <cell r="CE46">
            <v>0</v>
          </cell>
          <cell r="CF46" t="str">
            <v>tram.le@medigoapp.com</v>
          </cell>
          <cell r="CG46" t="str"/>
          <cell r="CH46">
            <v>11</v>
          </cell>
          <cell r="CI46">
            <v>2.5</v>
          </cell>
          <cell r="CJ46">
            <v>18</v>
          </cell>
          <cell r="CK46">
            <v>8</v>
          </cell>
          <cell r="CL46">
            <v>2025</v>
          </cell>
          <cell r="CM46">
            <v>0</v>
          </cell>
          <cell r="CN46">
            <v>-23152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6000000</v>
          </cell>
          <cell r="CW46">
            <v>0</v>
          </cell>
          <cell r="CX46" t="str"/>
          <cell r="CY46" t="str">
            <v>;</v>
          </cell>
          <cell r="CZ46">
            <v>0</v>
          </cell>
          <cell r="DA46" t="str">
            <v>Lê Thị Quỳnh Trâm</v>
          </cell>
          <cell r="DB46">
            <v>28</v>
          </cell>
          <cell r="DC46">
            <v>288.05</v>
          </cell>
          <cell r="DD46">
            <v>0</v>
          </cell>
          <cell r="DE46">
            <v>7715625</v>
          </cell>
          <cell r="DF46">
            <v>0</v>
          </cell>
          <cell r="DG46">
            <v>9140220</v>
          </cell>
          <cell r="DH46">
            <v>0</v>
          </cell>
          <cell r="DI46">
            <v>0</v>
          </cell>
        </row>
        <row r="47">
          <cell r="D47" t="str">
            <v>Hồ Tấn Nguyên</v>
          </cell>
          <cell r="E47" t="str">
            <v>HĐTV</v>
          </cell>
          <cell r="F47" t="str">
            <v>Nguyễn Chí Thanh</v>
          </cell>
          <cell r="G47" t="str">
            <v>DSTV</v>
          </cell>
          <cell r="H47" t="str">
            <v>20/3/2026</v>
          </cell>
          <cell r="I47" t="str">
            <v>1303032027</v>
          </cell>
          <cell r="J47" t="str">
            <v>BIDV</v>
          </cell>
          <cell r="K47">
            <v>28</v>
          </cell>
          <cell r="L47">
            <v>25</v>
          </cell>
          <cell r="M47">
            <v>2.75</v>
          </cell>
          <cell r="N47">
            <v>224.98333333333301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446428.57142857101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5100000</v>
          </cell>
          <cell r="AB47">
            <v>0</v>
          </cell>
          <cell r="AC47">
            <v>0</v>
          </cell>
          <cell r="AD47">
            <v>0</v>
          </cell>
          <cell r="AE47">
            <v>62611.607142857101</v>
          </cell>
          <cell r="AF47">
            <v>7683582.5892857099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483100</v>
          </cell>
          <cell r="AO47">
            <v>4100</v>
          </cell>
          <cell r="AP47">
            <v>0</v>
          </cell>
          <cell r="AQ47">
            <v>0</v>
          </cell>
          <cell r="AR47">
            <v>695672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9475494.7678571399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446428.57142857101</v>
          </cell>
          <cell r="BQ47">
            <v>9029066.1964285709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9029066.1964285709</v>
          </cell>
          <cell r="BX47">
            <v>902906.619642857</v>
          </cell>
          <cell r="BY47">
            <v>8572588</v>
          </cell>
          <cell r="BZ47">
            <v>0</v>
          </cell>
          <cell r="CA47">
            <v>0</v>
          </cell>
          <cell r="CB47">
            <v>8572588</v>
          </cell>
          <cell r="CC47">
            <v>0</v>
          </cell>
          <cell r="CD47">
            <v>8572588</v>
          </cell>
          <cell r="CE47">
            <v>0</v>
          </cell>
          <cell r="CF47" t="str">
            <v>nguyen.ho@medigoapp.com</v>
          </cell>
          <cell r="CG47" t="str"/>
          <cell r="CH47">
            <v>4</v>
          </cell>
          <cell r="CI47">
            <v>2.5</v>
          </cell>
          <cell r="CJ47">
            <v>20</v>
          </cell>
          <cell r="CK47">
            <v>3</v>
          </cell>
          <cell r="CL47">
            <v>2026</v>
          </cell>
          <cell r="CM47">
            <v>0</v>
          </cell>
          <cell r="CN47">
            <v>-23159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5100000</v>
          </cell>
          <cell r="CW47">
            <v>0</v>
          </cell>
          <cell r="CX47" t="str"/>
          <cell r="CY47" t="str">
            <v>;</v>
          </cell>
          <cell r="CZ47">
            <v>0</v>
          </cell>
          <cell r="DA47" t="str">
            <v>Hồ Tấn Nguyên</v>
          </cell>
          <cell r="DB47">
            <v>25</v>
          </cell>
          <cell r="DC47">
            <v>2.75</v>
          </cell>
          <cell r="DD47">
            <v>224.98333333333301</v>
          </cell>
          <cell r="DE47">
            <v>62611.607142857101</v>
          </cell>
          <cell r="DF47">
            <v>7683582.5892857099</v>
          </cell>
          <cell r="DG47">
            <v>7946483</v>
          </cell>
          <cell r="DH47">
            <v>0</v>
          </cell>
          <cell r="DI47">
            <v>0</v>
          </cell>
        </row>
        <row r="48">
          <cell r="D48" t="str">
            <v>Hạ Ngân Khánh</v>
          </cell>
          <cell r="E48" t="str">
            <v>HĐLĐ</v>
          </cell>
          <cell r="F48" t="str">
            <v>Nguyễn Chí Thanh</v>
          </cell>
          <cell r="G48" t="str">
            <v>DSBC</v>
          </cell>
          <cell r="H48" t="str">
            <v>23/06/2025</v>
          </cell>
          <cell r="I48" t="str">
            <v>109873777758</v>
          </cell>
          <cell r="J48" t="str">
            <v>VietinBank</v>
          </cell>
          <cell r="K48">
            <v>28</v>
          </cell>
          <cell r="L48">
            <v>1</v>
          </cell>
          <cell r="M48">
            <v>10.3333333333333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17857.142857142899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6000000</v>
          </cell>
          <cell r="AB48">
            <v>0</v>
          </cell>
          <cell r="AC48">
            <v>0</v>
          </cell>
          <cell r="AD48">
            <v>0</v>
          </cell>
          <cell r="AE48">
            <v>276785.71428571403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873214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40000</v>
          </cell>
          <cell r="BA48">
            <v>0</v>
          </cell>
          <cell r="BB48">
            <v>100000</v>
          </cell>
          <cell r="BC48">
            <v>0</v>
          </cell>
          <cell r="BD48">
            <v>0</v>
          </cell>
          <cell r="BE48">
            <v>1027856.85714286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17857.142857142899</v>
          </cell>
          <cell r="BQ48">
            <v>1009999.71428571</v>
          </cell>
          <cell r="BR48">
            <v>15500000</v>
          </cell>
          <cell r="BS48">
            <v>0</v>
          </cell>
          <cell r="BT48">
            <v>0</v>
          </cell>
          <cell r="BU48">
            <v>0</v>
          </cell>
          <cell r="BV48">
            <v>15500000</v>
          </cell>
          <cell r="BW48">
            <v>0</v>
          </cell>
          <cell r="BX48">
            <v>0</v>
          </cell>
          <cell r="BY48">
            <v>1027857</v>
          </cell>
          <cell r="BZ48">
            <v>0</v>
          </cell>
          <cell r="CA48">
            <v>0</v>
          </cell>
          <cell r="CB48">
            <v>1027857</v>
          </cell>
          <cell r="CC48">
            <v>0</v>
          </cell>
          <cell r="CD48">
            <v>1027857</v>
          </cell>
          <cell r="CE48">
            <v>0</v>
          </cell>
          <cell r="CF48" t="str">
            <v>medigo.ngankhanh.ha@gmail.com</v>
          </cell>
          <cell r="CG48" t="str"/>
          <cell r="CH48">
            <v>9</v>
          </cell>
          <cell r="CI48">
            <v>2.5</v>
          </cell>
          <cell r="CJ48">
            <v>23</v>
          </cell>
          <cell r="CK48">
            <v>6</v>
          </cell>
          <cell r="CL48">
            <v>2025</v>
          </cell>
          <cell r="CM48">
            <v>0</v>
          </cell>
          <cell r="CN48">
            <v>-23150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6000000</v>
          </cell>
          <cell r="CW48">
            <v>0</v>
          </cell>
          <cell r="CX48" t="str"/>
          <cell r="CY48" t="str">
            <v>;</v>
          </cell>
          <cell r="CZ48">
            <v>0</v>
          </cell>
          <cell r="DA48" t="str">
            <v>Hạ Ngân Khánh</v>
          </cell>
          <cell r="DB48">
            <v>9</v>
          </cell>
          <cell r="DC48">
            <v>7.8666666666666698</v>
          </cell>
          <cell r="DD48">
            <v>59.533333333333303</v>
          </cell>
          <cell r="DE48">
            <v>210714.285714286</v>
          </cell>
          <cell r="DF48">
            <v>2391964.2857142901</v>
          </cell>
          <cell r="DG48">
            <v>2763393</v>
          </cell>
          <cell r="DH48">
            <v>0</v>
          </cell>
          <cell r="DI48">
            <v>0</v>
          </cell>
        </row>
        <row r="49">
          <cell r="D49" t="str">
            <v>Nguyễn Trí Nghĩa</v>
          </cell>
          <cell r="E49" t="str">
            <v>HĐLĐ</v>
          </cell>
          <cell r="F49" t="str">
            <v>Nguyễn Chí Thanh</v>
          </cell>
          <cell r="G49" t="str">
            <v>DSBC</v>
          </cell>
          <cell r="H49">
            <v>45439</v>
          </cell>
          <cell r="I49" t="str">
            <v>0251002787705</v>
          </cell>
          <cell r="J49" t="str">
            <v>Vietcombank</v>
          </cell>
          <cell r="K49">
            <v>28</v>
          </cell>
          <cell r="L49">
            <v>3</v>
          </cell>
          <cell r="M49">
            <v>41.95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53571.428571428602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6000000</v>
          </cell>
          <cell r="AB49">
            <v>0</v>
          </cell>
          <cell r="AC49">
            <v>0</v>
          </cell>
          <cell r="AD49">
            <v>0</v>
          </cell>
          <cell r="AE49">
            <v>1123660.7142857099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1177232.1428571399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53571.428571428602</v>
          </cell>
          <cell r="BQ49">
            <v>1123660.7142857099</v>
          </cell>
          <cell r="BR49">
            <v>15500000</v>
          </cell>
          <cell r="BS49">
            <v>0</v>
          </cell>
          <cell r="BT49">
            <v>0</v>
          </cell>
          <cell r="BU49">
            <v>0</v>
          </cell>
          <cell r="BV49">
            <v>15500000</v>
          </cell>
          <cell r="BW49">
            <v>0</v>
          </cell>
          <cell r="BX49">
            <v>0</v>
          </cell>
          <cell r="BY49">
            <v>1177232</v>
          </cell>
          <cell r="BZ49">
            <v>0</v>
          </cell>
          <cell r="CA49">
            <v>1177232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str">
            <v>medigo.nghia.nguyen@gmail.com</v>
          </cell>
          <cell r="CG49">
            <v>0</v>
          </cell>
          <cell r="CH49">
            <v>5</v>
          </cell>
          <cell r="CI49">
            <v>0</v>
          </cell>
          <cell r="CJ49">
            <v>27</v>
          </cell>
          <cell r="CK49">
            <v>5</v>
          </cell>
          <cell r="CL49">
            <v>2024</v>
          </cell>
          <cell r="CM49">
            <v>0</v>
          </cell>
          <cell r="CN49">
            <v>22</v>
          </cell>
          <cell r="CO49">
            <v>0</v>
          </cell>
          <cell r="CP49">
            <v>0</v>
          </cell>
          <cell r="CQ49">
            <v>1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6000000</v>
          </cell>
          <cell r="CW49">
            <v>0</v>
          </cell>
          <cell r="CX49">
            <v>0</v>
          </cell>
          <cell r="CY49" t="str">
            <v>; 0</v>
          </cell>
          <cell r="CZ49">
            <v>0</v>
          </cell>
          <cell r="DA49" t="str">
            <v>Nguyễn Trí Nghĩa</v>
          </cell>
          <cell r="DB49">
            <v>25</v>
          </cell>
          <cell r="DC49">
            <v>4.9666666666666703</v>
          </cell>
          <cell r="DD49">
            <v>193.416666666667</v>
          </cell>
          <cell r="DE49">
            <v>133035.714285714</v>
          </cell>
          <cell r="DF49">
            <v>7771205.3571428601</v>
          </cell>
          <cell r="DG49">
            <v>0</v>
          </cell>
          <cell r="DH49">
            <v>0</v>
          </cell>
          <cell r="DI49">
            <v>0</v>
          </cell>
        </row>
        <row r="50">
          <cell r="D50" t="str">
            <v>Phạm Thị Nghĩa Hương</v>
          </cell>
          <cell r="E50" t="str">
            <v>HĐLĐ</v>
          </cell>
          <cell r="F50" t="str">
            <v>Nguyễn Chí Thanh</v>
          </cell>
          <cell r="G50" t="str">
            <v>DSBC</v>
          </cell>
          <cell r="H50">
            <v>45575</v>
          </cell>
          <cell r="I50" t="str">
            <v>0968249073</v>
          </cell>
          <cell r="J50" t="str">
            <v>Mb bank</v>
          </cell>
          <cell r="K50">
            <v>28</v>
          </cell>
          <cell r="L50">
            <v>1</v>
          </cell>
          <cell r="M50">
            <v>0</v>
          </cell>
          <cell r="N50">
            <v>8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17857.142857142899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6000000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321428.57142857101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339285.71428571403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17857.142857142899</v>
          </cell>
          <cell r="BQ50">
            <v>321428.57142857101</v>
          </cell>
          <cell r="BR50">
            <v>15500000</v>
          </cell>
          <cell r="BS50">
            <v>0</v>
          </cell>
          <cell r="BT50">
            <v>0</v>
          </cell>
          <cell r="BU50">
            <v>0</v>
          </cell>
          <cell r="BV50">
            <v>15500000</v>
          </cell>
          <cell r="BW50">
            <v>0</v>
          </cell>
          <cell r="BX50">
            <v>0</v>
          </cell>
          <cell r="BY50">
            <v>339286</v>
          </cell>
          <cell r="BZ50">
            <v>0</v>
          </cell>
          <cell r="CA50">
            <v>0</v>
          </cell>
          <cell r="CB50">
            <v>339286</v>
          </cell>
          <cell r="CC50">
            <v>0</v>
          </cell>
          <cell r="CD50">
            <v>339286</v>
          </cell>
          <cell r="CE50">
            <v>0</v>
          </cell>
          <cell r="CF50" t="str">
            <v>medigo.huong.pham@gmail.com</v>
          </cell>
          <cell r="CG50">
            <v>0</v>
          </cell>
          <cell r="CH50">
            <v>10</v>
          </cell>
          <cell r="CI50">
            <v>0</v>
          </cell>
          <cell r="CJ50">
            <v>10</v>
          </cell>
          <cell r="CK50">
            <v>10</v>
          </cell>
          <cell r="CL50">
            <v>2024</v>
          </cell>
          <cell r="CM50">
            <v>0</v>
          </cell>
          <cell r="CN50">
            <v>17</v>
          </cell>
          <cell r="CO50">
            <v>0</v>
          </cell>
          <cell r="CP50">
            <v>0</v>
          </cell>
          <cell r="CQ50">
            <v>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6000000</v>
          </cell>
          <cell r="CW50">
            <v>0</v>
          </cell>
          <cell r="CX50">
            <v>0</v>
          </cell>
          <cell r="CY50" t="str">
            <v>; 0</v>
          </cell>
          <cell r="CZ50">
            <v>0</v>
          </cell>
          <cell r="DA50" t="str">
            <v>Phạm Thị Nghĩa Hương</v>
          </cell>
          <cell r="DB50">
            <v>15</v>
          </cell>
          <cell r="DC50">
            <v>106.466666666667</v>
          </cell>
          <cell r="DD50">
            <v>40.0833333333333</v>
          </cell>
          <cell r="DE50">
            <v>2851785.7142857099</v>
          </cell>
          <cell r="DF50">
            <v>1610491.07142857</v>
          </cell>
          <cell r="DG50">
            <v>4195777</v>
          </cell>
          <cell r="DH50">
            <v>0</v>
          </cell>
          <cell r="DI50">
            <v>0</v>
          </cell>
        </row>
        <row r="51">
          <cell r="D51" t="str">
            <v>Trần Hoàng Khánh</v>
          </cell>
          <cell r="E51" t="str">
            <v>HĐLĐ</v>
          </cell>
          <cell r="F51" t="str">
            <v>Nguyễn Chí Thanh</v>
          </cell>
          <cell r="G51" t="str">
            <v>DSBC</v>
          </cell>
          <cell r="H51" t="str">
            <v>02/06/2025</v>
          </cell>
          <cell r="I51" t="str">
            <v>0985967065</v>
          </cell>
          <cell r="J51" t="str">
            <v>Tp Bank</v>
          </cell>
          <cell r="K51">
            <v>28</v>
          </cell>
          <cell r="L51">
            <v>17</v>
          </cell>
          <cell r="M51">
            <v>121.366666666667</v>
          </cell>
          <cell r="N51">
            <v>48.266666666666701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5310000</v>
          </cell>
          <cell r="T51">
            <v>303571.42857142899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6000000</v>
          </cell>
          <cell r="AB51">
            <v>0</v>
          </cell>
          <cell r="AC51">
            <v>0</v>
          </cell>
          <cell r="AD51">
            <v>0</v>
          </cell>
          <cell r="AE51">
            <v>3250892.8571428601</v>
          </cell>
          <cell r="AF51">
            <v>1939285.7142857099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45390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26500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5512640</v>
          </cell>
          <cell r="BF51">
            <v>929250</v>
          </cell>
          <cell r="BG51">
            <v>159300</v>
          </cell>
          <cell r="BH51">
            <v>53100</v>
          </cell>
          <cell r="BI51">
            <v>0</v>
          </cell>
          <cell r="BJ51">
            <v>1141650</v>
          </cell>
          <cell r="BK51">
            <v>424800</v>
          </cell>
          <cell r="BL51">
            <v>79650</v>
          </cell>
          <cell r="BM51">
            <v>53100</v>
          </cell>
          <cell r="BN51">
            <v>0</v>
          </cell>
          <cell r="BO51">
            <v>557550</v>
          </cell>
          <cell r="BP51">
            <v>303571.42857142899</v>
          </cell>
          <cell r="BQ51">
            <v>5209068.57142857</v>
          </cell>
          <cell r="BR51">
            <v>15500000</v>
          </cell>
          <cell r="BS51">
            <v>0</v>
          </cell>
          <cell r="BT51">
            <v>0</v>
          </cell>
          <cell r="BU51">
            <v>557550</v>
          </cell>
          <cell r="BV51">
            <v>16057550</v>
          </cell>
          <cell r="BW51">
            <v>0</v>
          </cell>
          <cell r="BX51">
            <v>0</v>
          </cell>
          <cell r="BY51">
            <v>4955090</v>
          </cell>
          <cell r="BZ51">
            <v>0</v>
          </cell>
          <cell r="CA51">
            <v>0</v>
          </cell>
          <cell r="CB51">
            <v>4955090</v>
          </cell>
          <cell r="CC51">
            <v>0</v>
          </cell>
          <cell r="CD51">
            <v>4955090</v>
          </cell>
          <cell r="CE51">
            <v>0</v>
          </cell>
          <cell r="CF51" t="str">
            <v>medigo.hoangkhanh.tran@gmail.com</v>
          </cell>
          <cell r="CG51" t="str"/>
          <cell r="CH51">
            <v>9</v>
          </cell>
          <cell r="CI51">
            <v>2.5</v>
          </cell>
          <cell r="CJ51">
            <v>2</v>
          </cell>
          <cell r="CK51">
            <v>6</v>
          </cell>
          <cell r="CL51">
            <v>2025</v>
          </cell>
          <cell r="CM51">
            <v>0</v>
          </cell>
          <cell r="CN51">
            <v>9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6000000</v>
          </cell>
          <cell r="CW51">
            <v>0</v>
          </cell>
          <cell r="CX51" t="str"/>
          <cell r="CY51" t="str">
            <v>;</v>
          </cell>
          <cell r="CZ51">
            <v>0</v>
          </cell>
          <cell r="DA51" t="str">
            <v>Trần Hoàng Khánh</v>
          </cell>
          <cell r="DB51">
            <v>17</v>
          </cell>
          <cell r="DC51">
            <v>121.366666666667</v>
          </cell>
          <cell r="DD51">
            <v>48.266666666666701</v>
          </cell>
          <cell r="DE51">
            <v>3250892.8571428601</v>
          </cell>
          <cell r="DF51">
            <v>1939285.7142857099</v>
          </cell>
          <cell r="DG51">
            <v>4955090</v>
          </cell>
          <cell r="DH51">
            <v>0</v>
          </cell>
          <cell r="DI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252</v>
          </cell>
          <cell r="L52">
            <v>131</v>
          </cell>
          <cell r="M52">
            <v>734.65</v>
          </cell>
          <cell r="N52">
            <v>572.93333333333305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21240000</v>
          </cell>
          <cell r="T52">
            <v>2303571.42857143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53100000</v>
          </cell>
          <cell r="AB52">
            <v>0</v>
          </cell>
          <cell r="AC52">
            <v>0</v>
          </cell>
          <cell r="AD52">
            <v>0</v>
          </cell>
          <cell r="AE52">
            <v>19667075.892857101</v>
          </cell>
          <cell r="AF52">
            <v>21663716.517857101</v>
          </cell>
          <cell r="AG52">
            <v>0</v>
          </cell>
          <cell r="AH52">
            <v>0</v>
          </cell>
          <cell r="AI52">
            <v>0</v>
          </cell>
          <cell r="AJ52">
            <v>1000000</v>
          </cell>
          <cell r="AK52">
            <v>0</v>
          </cell>
          <cell r="AL52">
            <v>491200</v>
          </cell>
          <cell r="AM52">
            <v>0</v>
          </cell>
          <cell r="AN52">
            <v>3007600</v>
          </cell>
          <cell r="AO52">
            <v>350700</v>
          </cell>
          <cell r="AP52">
            <v>0</v>
          </cell>
          <cell r="AQ52">
            <v>0</v>
          </cell>
          <cell r="AR52">
            <v>1568886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100000</v>
          </cell>
          <cell r="AX52">
            <v>0</v>
          </cell>
          <cell r="AY52">
            <v>106000</v>
          </cell>
          <cell r="AZ52">
            <v>40000</v>
          </cell>
          <cell r="BA52">
            <v>0</v>
          </cell>
          <cell r="BB52">
            <v>200000</v>
          </cell>
          <cell r="BC52">
            <v>0</v>
          </cell>
          <cell r="BD52">
            <v>0</v>
          </cell>
          <cell r="BE52">
            <v>49806749.839285702</v>
          </cell>
          <cell r="BF52">
            <v>3717000</v>
          </cell>
          <cell r="BG52">
            <v>637200</v>
          </cell>
          <cell r="BH52">
            <v>212400</v>
          </cell>
          <cell r="BI52">
            <v>0</v>
          </cell>
          <cell r="BJ52">
            <v>4566600</v>
          </cell>
          <cell r="BK52">
            <v>1699200</v>
          </cell>
          <cell r="BL52">
            <v>318600</v>
          </cell>
          <cell r="BM52">
            <v>212400</v>
          </cell>
          <cell r="BN52">
            <v>0</v>
          </cell>
          <cell r="BO52">
            <v>2230200</v>
          </cell>
          <cell r="BP52">
            <v>2303571.42857143</v>
          </cell>
          <cell r="BQ52">
            <v>47503178.410714298</v>
          </cell>
          <cell r="BR52">
            <v>124000000</v>
          </cell>
          <cell r="BS52">
            <v>0</v>
          </cell>
          <cell r="BT52">
            <v>0</v>
          </cell>
          <cell r="BU52">
            <v>2230200</v>
          </cell>
          <cell r="BV52">
            <v>126230200</v>
          </cell>
          <cell r="BW52">
            <v>9029066.1964285709</v>
          </cell>
          <cell r="BX52">
            <v>902906.619642857</v>
          </cell>
          <cell r="BY52">
            <v>46673644</v>
          </cell>
          <cell r="BZ52">
            <v>0</v>
          </cell>
          <cell r="CA52">
            <v>1177232</v>
          </cell>
          <cell r="CB52">
            <v>45496412</v>
          </cell>
          <cell r="CC52">
            <v>0</v>
          </cell>
          <cell r="CD52">
            <v>45496412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12.5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-115689</v>
          </cell>
          <cell r="CO52">
            <v>0</v>
          </cell>
          <cell r="CP52">
            <v>0</v>
          </cell>
          <cell r="CQ52">
            <v>2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53100000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</row>
        <row r="53">
          <cell r="D53" t="str">
            <v>Trần Thành Đạt</v>
          </cell>
          <cell r="E53" t="str">
            <v>HĐLĐ</v>
          </cell>
          <cell r="F53" t="str">
            <v>Nguyễn Thị Thập</v>
          </cell>
          <cell r="G53" t="str">
            <v>DSBC</v>
          </cell>
          <cell r="H53" t="str">
            <v>21/07/2025</v>
          </cell>
          <cell r="I53" t="str">
            <v>0621000445313</v>
          </cell>
          <cell r="J53" t="str">
            <v>Vietcombank</v>
          </cell>
          <cell r="K53">
            <v>28</v>
          </cell>
          <cell r="L53">
            <v>29</v>
          </cell>
          <cell r="M53">
            <v>14.683333333333399</v>
          </cell>
          <cell r="N53">
            <v>306.96666666666698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5310000</v>
          </cell>
          <cell r="T53">
            <v>500000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6000000</v>
          </cell>
          <cell r="AB53">
            <v>0</v>
          </cell>
          <cell r="AC53">
            <v>0</v>
          </cell>
          <cell r="AD53">
            <v>0</v>
          </cell>
          <cell r="AE53">
            <v>393303.571428572</v>
          </cell>
          <cell r="AF53">
            <v>12333482.142857101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716100</v>
          </cell>
          <cell r="AO53">
            <v>36725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2500000</v>
          </cell>
          <cell r="AY53">
            <v>61466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16418144.7142857</v>
          </cell>
          <cell r="BF53">
            <v>929250</v>
          </cell>
          <cell r="BG53">
            <v>159300</v>
          </cell>
          <cell r="BH53">
            <v>53100</v>
          </cell>
          <cell r="BI53">
            <v>0</v>
          </cell>
          <cell r="BJ53">
            <v>1141650</v>
          </cell>
          <cell r="BK53">
            <v>424800</v>
          </cell>
          <cell r="BL53">
            <v>79650</v>
          </cell>
          <cell r="BM53">
            <v>53100</v>
          </cell>
          <cell r="BN53">
            <v>0</v>
          </cell>
          <cell r="BO53">
            <v>557550</v>
          </cell>
          <cell r="BP53">
            <v>500000</v>
          </cell>
          <cell r="BQ53">
            <v>15918144.7142857</v>
          </cell>
          <cell r="BR53">
            <v>15500000</v>
          </cell>
          <cell r="BS53">
            <v>0</v>
          </cell>
          <cell r="BT53">
            <v>0</v>
          </cell>
          <cell r="BU53">
            <v>557550</v>
          </cell>
          <cell r="BV53">
            <v>16057550</v>
          </cell>
          <cell r="BW53">
            <v>0</v>
          </cell>
          <cell r="BX53">
            <v>0</v>
          </cell>
          <cell r="BY53">
            <v>15860595</v>
          </cell>
          <cell r="BZ53">
            <v>0</v>
          </cell>
          <cell r="CA53">
            <v>0</v>
          </cell>
          <cell r="CB53">
            <v>15860595</v>
          </cell>
          <cell r="CC53">
            <v>0</v>
          </cell>
          <cell r="CD53">
            <v>15860595</v>
          </cell>
          <cell r="CE53">
            <v>0</v>
          </cell>
          <cell r="CF53" t="str">
            <v>medigo.thanhdat.tran@gmail.com</v>
          </cell>
          <cell r="CG53" t="str"/>
          <cell r="CH53">
            <v>9</v>
          </cell>
          <cell r="CI53">
            <v>2.5</v>
          </cell>
          <cell r="CJ53">
            <v>21</v>
          </cell>
          <cell r="CK53">
            <v>7</v>
          </cell>
          <cell r="CL53">
            <v>2025</v>
          </cell>
          <cell r="CM53">
            <v>0</v>
          </cell>
          <cell r="CN53">
            <v>-23151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6000000</v>
          </cell>
          <cell r="CW53">
            <v>0</v>
          </cell>
          <cell r="CX53" t="str"/>
          <cell r="CY53" t="str">
            <v>;</v>
          </cell>
          <cell r="CZ53">
            <v>0</v>
          </cell>
          <cell r="DA53" t="str">
            <v>Trần Thành Đạt</v>
          </cell>
          <cell r="DB53">
            <v>29</v>
          </cell>
          <cell r="DC53">
            <v>14.683333333333399</v>
          </cell>
          <cell r="DD53">
            <v>306.96666666666698</v>
          </cell>
          <cell r="DE53">
            <v>393303.571428572</v>
          </cell>
          <cell r="DF53">
            <v>12333482.142857101</v>
          </cell>
          <cell r="DG53">
            <v>15860595</v>
          </cell>
          <cell r="DH53">
            <v>0</v>
          </cell>
          <cell r="DI53">
            <v>0</v>
          </cell>
        </row>
        <row r="54">
          <cell r="D54" t="str">
            <v>Triệu Thị Ngọc Lý</v>
          </cell>
          <cell r="E54" t="str">
            <v>HĐLĐ</v>
          </cell>
          <cell r="F54" t="str">
            <v>Nguyễn Thị Thập</v>
          </cell>
          <cell r="G54" t="str">
            <v>CHT</v>
          </cell>
          <cell r="H54">
            <v>45194</v>
          </cell>
          <cell r="I54" t="str">
            <v>0989442883</v>
          </cell>
          <cell r="J54" t="str">
            <v>MB BANK</v>
          </cell>
          <cell r="K54">
            <v>28</v>
          </cell>
          <cell r="L54">
            <v>27</v>
          </cell>
          <cell r="M54">
            <v>308.51666666666699</v>
          </cell>
          <cell r="N54">
            <v>5.5833333333333304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5310000</v>
          </cell>
          <cell r="T54">
            <v>482142.85714285698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6000000</v>
          </cell>
          <cell r="AB54">
            <v>0</v>
          </cell>
          <cell r="AC54">
            <v>0</v>
          </cell>
          <cell r="AD54">
            <v>0</v>
          </cell>
          <cell r="AE54">
            <v>8263839.2857142901</v>
          </cell>
          <cell r="AF54">
            <v>224330.35714285701</v>
          </cell>
          <cell r="AG54">
            <v>0</v>
          </cell>
          <cell r="AH54">
            <v>0</v>
          </cell>
          <cell r="AI54">
            <v>0</v>
          </cell>
          <cell r="AJ54">
            <v>1000000</v>
          </cell>
          <cell r="AK54">
            <v>0</v>
          </cell>
          <cell r="AL54">
            <v>0</v>
          </cell>
          <cell r="AM54">
            <v>0</v>
          </cell>
          <cell r="AN54">
            <v>862000</v>
          </cell>
          <cell r="AO54">
            <v>33035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61466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10803881.5</v>
          </cell>
          <cell r="BF54">
            <v>929250</v>
          </cell>
          <cell r="BG54">
            <v>159300</v>
          </cell>
          <cell r="BH54">
            <v>53100</v>
          </cell>
          <cell r="BI54">
            <v>0</v>
          </cell>
          <cell r="BJ54">
            <v>1141650</v>
          </cell>
          <cell r="BK54">
            <v>424800</v>
          </cell>
          <cell r="BL54">
            <v>79650</v>
          </cell>
          <cell r="BM54">
            <v>53100</v>
          </cell>
          <cell r="BN54">
            <v>0</v>
          </cell>
          <cell r="BO54">
            <v>557550</v>
          </cell>
          <cell r="BP54">
            <v>482142.85714285698</v>
          </cell>
          <cell r="BQ54">
            <v>10321738.642857101</v>
          </cell>
          <cell r="BR54">
            <v>15500000</v>
          </cell>
          <cell r="BS54">
            <v>0</v>
          </cell>
          <cell r="BT54">
            <v>0</v>
          </cell>
          <cell r="BU54">
            <v>557550</v>
          </cell>
          <cell r="BV54">
            <v>16057550</v>
          </cell>
          <cell r="BW54">
            <v>0</v>
          </cell>
          <cell r="BX54">
            <v>0</v>
          </cell>
          <cell r="BY54">
            <v>10246332</v>
          </cell>
          <cell r="BZ54">
            <v>0</v>
          </cell>
          <cell r="CA54">
            <v>0</v>
          </cell>
          <cell r="CB54">
            <v>10246332</v>
          </cell>
          <cell r="CC54">
            <v>0</v>
          </cell>
          <cell r="CD54">
            <v>10246332</v>
          </cell>
          <cell r="CE54">
            <v>0</v>
          </cell>
          <cell r="CF54" t="str">
            <v>medigo.ly.trieu@gmail.com</v>
          </cell>
          <cell r="CG54" t="str"/>
          <cell r="CH54">
            <v>5</v>
          </cell>
          <cell r="CI54">
            <v>0</v>
          </cell>
          <cell r="CJ54">
            <v>25</v>
          </cell>
          <cell r="CK54">
            <v>9</v>
          </cell>
          <cell r="CL54">
            <v>2023</v>
          </cell>
          <cell r="CM54">
            <v>0</v>
          </cell>
          <cell r="CN54">
            <v>-23129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6000000</v>
          </cell>
          <cell r="CW54">
            <v>0</v>
          </cell>
          <cell r="CX54" t="str"/>
          <cell r="CY54" t="str">
            <v>;</v>
          </cell>
          <cell r="CZ54">
            <v>0</v>
          </cell>
          <cell r="DA54" t="str">
            <v>Triệu Thị Ngọc Lý</v>
          </cell>
          <cell r="DB54">
            <v>27</v>
          </cell>
          <cell r="DC54">
            <v>308.51666666666699</v>
          </cell>
          <cell r="DD54">
            <v>5.5833333333333304</v>
          </cell>
          <cell r="DE54">
            <v>8952492.5595238097</v>
          </cell>
          <cell r="DF54">
            <v>243024.55357142899</v>
          </cell>
          <cell r="DG54">
            <v>10953679</v>
          </cell>
          <cell r="DH54">
            <v>0</v>
          </cell>
          <cell r="DI54">
            <v>0</v>
          </cell>
        </row>
        <row r="55">
          <cell r="D55" t="str">
            <v>Cao Trọng Nhân</v>
          </cell>
          <cell r="E55" t="str">
            <v>HĐLĐ</v>
          </cell>
          <cell r="F55" t="str">
            <v>Nguyễn Thị Thập</v>
          </cell>
          <cell r="G55" t="str">
            <v>DSBC</v>
          </cell>
          <cell r="H55" t="str">
            <v>18/12/2025</v>
          </cell>
          <cell r="I55" t="str">
            <v>109868265987</v>
          </cell>
          <cell r="J55" t="str">
            <v>Vietinbank</v>
          </cell>
          <cell r="K55">
            <v>28</v>
          </cell>
          <cell r="L55">
            <v>30</v>
          </cell>
          <cell r="M55">
            <v>41.983333333333299</v>
          </cell>
          <cell r="N55">
            <v>288.566666666667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5310000</v>
          </cell>
          <cell r="T55">
            <v>500000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6000000</v>
          </cell>
          <cell r="AB55">
            <v>0</v>
          </cell>
          <cell r="AC55">
            <v>0</v>
          </cell>
          <cell r="AD55">
            <v>0</v>
          </cell>
          <cell r="AE55">
            <v>1124553.57142857</v>
          </cell>
          <cell r="AF55">
            <v>11594196.428571399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1000000</v>
          </cell>
          <cell r="AM55">
            <v>1063565</v>
          </cell>
          <cell r="AN55">
            <v>1798800</v>
          </cell>
          <cell r="AO55">
            <v>2900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143600</v>
          </cell>
          <cell r="BB55">
            <v>0</v>
          </cell>
          <cell r="BC55">
            <v>0</v>
          </cell>
          <cell r="BD55">
            <v>0</v>
          </cell>
          <cell r="BE55">
            <v>16940415</v>
          </cell>
          <cell r="BF55">
            <v>929250</v>
          </cell>
          <cell r="BG55">
            <v>159300</v>
          </cell>
          <cell r="BH55">
            <v>53100</v>
          </cell>
          <cell r="BI55">
            <v>0</v>
          </cell>
          <cell r="BJ55">
            <v>1141650</v>
          </cell>
          <cell r="BK55">
            <v>424800</v>
          </cell>
          <cell r="BL55">
            <v>79650</v>
          </cell>
          <cell r="BM55">
            <v>53100</v>
          </cell>
          <cell r="BN55">
            <v>0</v>
          </cell>
          <cell r="BO55">
            <v>557550</v>
          </cell>
          <cell r="BP55">
            <v>500000</v>
          </cell>
          <cell r="BQ55">
            <v>16440415</v>
          </cell>
          <cell r="BR55">
            <v>15500000</v>
          </cell>
          <cell r="BS55">
            <v>0</v>
          </cell>
          <cell r="BT55">
            <v>0</v>
          </cell>
          <cell r="BU55">
            <v>557550</v>
          </cell>
          <cell r="BV55">
            <v>16057550</v>
          </cell>
          <cell r="BW55">
            <v>382865</v>
          </cell>
          <cell r="BX55">
            <v>19143</v>
          </cell>
          <cell r="BY55">
            <v>16363722</v>
          </cell>
          <cell r="BZ55">
            <v>0</v>
          </cell>
          <cell r="CA55">
            <v>0</v>
          </cell>
          <cell r="CB55">
            <v>16363722</v>
          </cell>
          <cell r="CC55">
            <v>0</v>
          </cell>
          <cell r="CD55">
            <v>16363722</v>
          </cell>
          <cell r="CE55">
            <v>0</v>
          </cell>
          <cell r="CF55" t="str">
            <v>nhan.cao@medigoapp.com</v>
          </cell>
          <cell r="CG55" t="str">
            <v>Lệch tiền HD 7X6X6RMV : 143.600</v>
          </cell>
          <cell r="CH55">
            <v>8</v>
          </cell>
          <cell r="CI55">
            <v>2.5</v>
          </cell>
          <cell r="CJ55">
            <v>18</v>
          </cell>
          <cell r="CK55">
            <v>12</v>
          </cell>
          <cell r="CL55">
            <v>2025</v>
          </cell>
          <cell r="CM55">
            <v>0</v>
          </cell>
          <cell r="CN55">
            <v>-23156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6000000</v>
          </cell>
          <cell r="CW55">
            <v>0</v>
          </cell>
          <cell r="CX55" t="str">
            <v>Lệch tiền HD 7X6X6RMV : 143.600</v>
          </cell>
          <cell r="CY55" t="str">
            <v>; Lệch tiền HD 7X6X6RMV : 143.600</v>
          </cell>
          <cell r="CZ55">
            <v>0</v>
          </cell>
          <cell r="DA55" t="str">
            <v>Cao Trọng Nhân</v>
          </cell>
          <cell r="DB55">
            <v>30</v>
          </cell>
          <cell r="DC55">
            <v>41.983333333333299</v>
          </cell>
          <cell r="DD55">
            <v>288.566666666667</v>
          </cell>
          <cell r="DE55">
            <v>1124553.57142857</v>
          </cell>
          <cell r="DF55">
            <v>11594196.428571399</v>
          </cell>
          <cell r="DG55">
            <v>16363722</v>
          </cell>
          <cell r="DH55">
            <v>0</v>
          </cell>
          <cell r="DI55">
            <v>0</v>
          </cell>
        </row>
        <row r="56">
          <cell r="D56" t="str">
            <v>Nguyễn Cao Huyền Thanh</v>
          </cell>
          <cell r="E56" t="str">
            <v>HĐTV</v>
          </cell>
          <cell r="F56" t="str">
            <v>Nguyễn Thị Thập</v>
          </cell>
          <cell r="G56" t="str">
            <v>DSTV</v>
          </cell>
          <cell r="H56" t="str">
            <v>12/12/2025</v>
          </cell>
          <cell r="I56" t="str">
            <v>9942733393</v>
          </cell>
          <cell r="J56" t="str">
            <v>Vietcombank</v>
          </cell>
          <cell r="K56">
            <v>28</v>
          </cell>
          <cell r="L56">
            <v>24</v>
          </cell>
          <cell r="M56">
            <v>226.55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428571.42857142899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5100000</v>
          </cell>
          <cell r="AB56">
            <v>0</v>
          </cell>
          <cell r="AC56">
            <v>0</v>
          </cell>
          <cell r="AD56">
            <v>0</v>
          </cell>
          <cell r="AE56">
            <v>5158058.0357142901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5586629.4642857099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428571.42857142899</v>
          </cell>
          <cell r="BQ56">
            <v>5158058.0357142901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5158058.0357142901</v>
          </cell>
          <cell r="BX56">
            <v>515805.80357142899</v>
          </cell>
          <cell r="BY56">
            <v>5070824</v>
          </cell>
          <cell r="BZ56">
            <v>0</v>
          </cell>
          <cell r="CA56">
            <v>0</v>
          </cell>
          <cell r="CB56">
            <v>5070824</v>
          </cell>
          <cell r="CC56">
            <v>0</v>
          </cell>
          <cell r="CD56">
            <v>5070824</v>
          </cell>
          <cell r="CE56">
            <v>0</v>
          </cell>
          <cell r="CF56" t="str">
            <v>nguyencaohuyenthanh.blc@gmail.com</v>
          </cell>
          <cell r="CG56" t="str"/>
          <cell r="CH56">
            <v>11</v>
          </cell>
          <cell r="CI56">
            <v>2.5</v>
          </cell>
          <cell r="CJ56">
            <v>12</v>
          </cell>
          <cell r="CK56">
            <v>12</v>
          </cell>
          <cell r="CL56">
            <v>2025</v>
          </cell>
          <cell r="CM56">
            <v>0</v>
          </cell>
          <cell r="CN56">
            <v>-23156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5100000</v>
          </cell>
          <cell r="CW56">
            <v>0</v>
          </cell>
          <cell r="CX56" t="str"/>
          <cell r="CY56" t="str">
            <v>;</v>
          </cell>
          <cell r="CZ56">
            <v>0</v>
          </cell>
          <cell r="DA56" t="str">
            <v>Nguyễn Cao Huyền Thanh</v>
          </cell>
          <cell r="DB56">
            <v>24</v>
          </cell>
          <cell r="DC56">
            <v>226.55</v>
          </cell>
          <cell r="DD56">
            <v>0</v>
          </cell>
          <cell r="DE56">
            <v>3034151.7857142901</v>
          </cell>
          <cell r="DF56">
            <v>0</v>
          </cell>
          <cell r="DG56">
            <v>2730737</v>
          </cell>
          <cell r="DH56">
            <v>2340087</v>
          </cell>
          <cell r="DI56">
            <v>2340087</v>
          </cell>
        </row>
        <row r="57">
          <cell r="D57" t="str">
            <v>Nguyễn Kim Xuân</v>
          </cell>
          <cell r="E57" t="str">
            <v>HĐLĐ</v>
          </cell>
          <cell r="F57" t="str">
            <v>Nguyễn Thị Thập</v>
          </cell>
          <cell r="G57" t="str">
            <v>DSBC</v>
          </cell>
          <cell r="H57">
            <v>45131</v>
          </cell>
          <cell r="I57" t="str">
            <v>03831562501</v>
          </cell>
          <cell r="J57" t="str">
            <v>TP Bank</v>
          </cell>
          <cell r="K57">
            <v>28</v>
          </cell>
          <cell r="L57">
            <v>25</v>
          </cell>
          <cell r="M57">
            <v>243.95</v>
          </cell>
          <cell r="N57">
            <v>7.8333333333333304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5310000</v>
          </cell>
          <cell r="T57">
            <v>446428.57142857101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6000000</v>
          </cell>
          <cell r="AB57">
            <v>0</v>
          </cell>
          <cell r="AC57">
            <v>0</v>
          </cell>
          <cell r="AD57">
            <v>0</v>
          </cell>
          <cell r="AE57">
            <v>6534375</v>
          </cell>
          <cell r="AF57">
            <v>314732.14285714302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567300</v>
          </cell>
          <cell r="AO57">
            <v>2200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61466</v>
          </cell>
          <cell r="AZ57">
            <v>10000</v>
          </cell>
          <cell r="BA57">
            <v>0</v>
          </cell>
          <cell r="BB57">
            <v>100000</v>
          </cell>
          <cell r="BC57">
            <v>0</v>
          </cell>
          <cell r="BD57">
            <v>0</v>
          </cell>
          <cell r="BE57">
            <v>7693569.7142857099</v>
          </cell>
          <cell r="BF57">
            <v>929250</v>
          </cell>
          <cell r="BG57">
            <v>159300</v>
          </cell>
          <cell r="BH57">
            <v>53100</v>
          </cell>
          <cell r="BI57">
            <v>0</v>
          </cell>
          <cell r="BJ57">
            <v>1141650</v>
          </cell>
          <cell r="BK57">
            <v>424800</v>
          </cell>
          <cell r="BL57">
            <v>79650</v>
          </cell>
          <cell r="BM57">
            <v>53100</v>
          </cell>
          <cell r="BN57">
            <v>0</v>
          </cell>
          <cell r="BO57">
            <v>557550</v>
          </cell>
          <cell r="BP57">
            <v>446428.57142857101</v>
          </cell>
          <cell r="BQ57">
            <v>7247141.1428571399</v>
          </cell>
          <cell r="BR57">
            <v>15500000</v>
          </cell>
          <cell r="BS57">
            <v>0</v>
          </cell>
          <cell r="BT57">
            <v>0</v>
          </cell>
          <cell r="BU57">
            <v>557550</v>
          </cell>
          <cell r="BV57">
            <v>16057550</v>
          </cell>
          <cell r="BW57">
            <v>0</v>
          </cell>
          <cell r="BX57">
            <v>0</v>
          </cell>
          <cell r="BY57">
            <v>7136020</v>
          </cell>
          <cell r="BZ57">
            <v>0</v>
          </cell>
          <cell r="CA57">
            <v>3000000</v>
          </cell>
          <cell r="CB57">
            <v>4136020</v>
          </cell>
          <cell r="CC57">
            <v>0</v>
          </cell>
          <cell r="CD57">
            <v>4136020</v>
          </cell>
          <cell r="CE57">
            <v>0</v>
          </cell>
          <cell r="CF57" t="str">
            <v>medigo.xuan.nguyen@gmail.com</v>
          </cell>
          <cell r="CG57" t="str">
            <v>Vào ca trễ 12/04/2026: 10.000</v>
          </cell>
          <cell r="CH57">
            <v>6</v>
          </cell>
          <cell r="CI57">
            <v>0</v>
          </cell>
          <cell r="CJ57">
            <v>24</v>
          </cell>
          <cell r="CK57">
            <v>7</v>
          </cell>
          <cell r="CL57">
            <v>2023</v>
          </cell>
          <cell r="CM57">
            <v>0</v>
          </cell>
          <cell r="CN57">
            <v>-23127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6000000</v>
          </cell>
          <cell r="CW57">
            <v>0</v>
          </cell>
          <cell r="CX57" t="str">
            <v>Vào ca trễ 12/04/2026: 10.000</v>
          </cell>
          <cell r="CY57" t="str">
            <v>; Vào ca trễ 12/04/2026: 10.000</v>
          </cell>
          <cell r="CZ57">
            <v>0</v>
          </cell>
          <cell r="DA57" t="str">
            <v>Nguyễn Kim Xuân</v>
          </cell>
          <cell r="DB57">
            <v>25</v>
          </cell>
          <cell r="DC57">
            <v>243.95</v>
          </cell>
          <cell r="DD57">
            <v>7.8333333333333304</v>
          </cell>
          <cell r="DE57">
            <v>7078906.25</v>
          </cell>
          <cell r="DF57">
            <v>340959.82142857101</v>
          </cell>
          <cell r="DG57">
            <v>4706779</v>
          </cell>
          <cell r="DH57">
            <v>0</v>
          </cell>
          <cell r="DI57">
            <v>0</v>
          </cell>
        </row>
        <row r="58">
          <cell r="D58" t="str">
            <v>Nguyễn Trí Nghĩa</v>
          </cell>
          <cell r="E58" t="str">
            <v>HĐLĐ</v>
          </cell>
          <cell r="F58" t="str">
            <v>Nguyễn Thị Thập</v>
          </cell>
          <cell r="G58" t="str">
            <v>DSBC</v>
          </cell>
          <cell r="H58">
            <v>45439</v>
          </cell>
          <cell r="I58" t="str">
            <v>0251002787705</v>
          </cell>
          <cell r="J58" t="str">
            <v>Vietcombank</v>
          </cell>
          <cell r="K58">
            <v>28</v>
          </cell>
          <cell r="L58">
            <v>1</v>
          </cell>
          <cell r="M58">
            <v>4.0333333333333297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6000000</v>
          </cell>
          <cell r="AB58">
            <v>0</v>
          </cell>
          <cell r="AC58">
            <v>0</v>
          </cell>
          <cell r="AD58">
            <v>0</v>
          </cell>
          <cell r="AE58">
            <v>108035.714285714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108035.714285714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108035.714285714</v>
          </cell>
          <cell r="BR58">
            <v>15500000</v>
          </cell>
          <cell r="BS58">
            <v>0</v>
          </cell>
          <cell r="BT58">
            <v>0</v>
          </cell>
          <cell r="BU58">
            <v>0</v>
          </cell>
          <cell r="BV58">
            <v>15500000</v>
          </cell>
          <cell r="BW58">
            <v>0</v>
          </cell>
          <cell r="BX58">
            <v>0</v>
          </cell>
          <cell r="BY58">
            <v>108036</v>
          </cell>
          <cell r="BZ58">
            <v>0</v>
          </cell>
          <cell r="CA58">
            <v>108036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 t="str">
            <v>medigo.nghia.nguyen@gmail.com</v>
          </cell>
          <cell r="CG58">
            <v>0</v>
          </cell>
          <cell r="CH58">
            <v>5</v>
          </cell>
          <cell r="CI58">
            <v>0</v>
          </cell>
          <cell r="CJ58">
            <v>27</v>
          </cell>
          <cell r="CK58">
            <v>5</v>
          </cell>
          <cell r="CL58">
            <v>2024</v>
          </cell>
          <cell r="CM58">
            <v>0</v>
          </cell>
          <cell r="CN58">
            <v>22</v>
          </cell>
          <cell r="CO58">
            <v>0</v>
          </cell>
          <cell r="CP58">
            <v>0</v>
          </cell>
          <cell r="CQ58">
            <v>1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6000000</v>
          </cell>
          <cell r="CW58">
            <v>0</v>
          </cell>
          <cell r="CX58">
            <v>0</v>
          </cell>
          <cell r="CY58" t="str">
            <v>; 0</v>
          </cell>
          <cell r="CZ58">
            <v>0</v>
          </cell>
          <cell r="DA58" t="str">
            <v>Nguyễn Trí Nghĩa</v>
          </cell>
          <cell r="DB58">
            <v>25</v>
          </cell>
          <cell r="DC58">
            <v>4.9666666666666703</v>
          </cell>
          <cell r="DD58">
            <v>193.416666666667</v>
          </cell>
          <cell r="DE58">
            <v>133035.714285714</v>
          </cell>
          <cell r="DF58">
            <v>7771205.3571428601</v>
          </cell>
          <cell r="DG58">
            <v>0</v>
          </cell>
          <cell r="DH58">
            <v>0</v>
          </cell>
          <cell r="D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168</v>
          </cell>
          <cell r="L59">
            <v>136</v>
          </cell>
          <cell r="M59">
            <v>839.71666666666704</v>
          </cell>
          <cell r="N59">
            <v>608.95000000000005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21240000</v>
          </cell>
          <cell r="T59">
            <v>2357142.8571428601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35100000</v>
          </cell>
          <cell r="AB59">
            <v>0</v>
          </cell>
          <cell r="AC59">
            <v>0</v>
          </cell>
          <cell r="AD59">
            <v>0</v>
          </cell>
          <cell r="AE59">
            <v>21582165.178571399</v>
          </cell>
          <cell r="AF59">
            <v>24466741.071428601</v>
          </cell>
          <cell r="AG59">
            <v>0</v>
          </cell>
          <cell r="AH59">
            <v>0</v>
          </cell>
          <cell r="AI59">
            <v>0</v>
          </cell>
          <cell r="AJ59">
            <v>1000000</v>
          </cell>
          <cell r="AK59">
            <v>0</v>
          </cell>
          <cell r="AL59">
            <v>1000000</v>
          </cell>
          <cell r="AM59">
            <v>1063565</v>
          </cell>
          <cell r="AN59">
            <v>3944200</v>
          </cell>
          <cell r="AO59">
            <v>74860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2500000</v>
          </cell>
          <cell r="AY59">
            <v>184398</v>
          </cell>
          <cell r="AZ59">
            <v>10000</v>
          </cell>
          <cell r="BA59">
            <v>143600</v>
          </cell>
          <cell r="BB59">
            <v>100000</v>
          </cell>
          <cell r="BC59">
            <v>0</v>
          </cell>
          <cell r="BD59">
            <v>0</v>
          </cell>
          <cell r="BE59">
            <v>57550676.107142903</v>
          </cell>
          <cell r="BF59">
            <v>3717000</v>
          </cell>
          <cell r="BG59">
            <v>637200</v>
          </cell>
          <cell r="BH59">
            <v>212400</v>
          </cell>
          <cell r="BI59">
            <v>0</v>
          </cell>
          <cell r="BJ59">
            <v>4566600</v>
          </cell>
          <cell r="BK59">
            <v>1699200</v>
          </cell>
          <cell r="BL59">
            <v>318600</v>
          </cell>
          <cell r="BM59">
            <v>212400</v>
          </cell>
          <cell r="BN59">
            <v>0</v>
          </cell>
          <cell r="BO59">
            <v>2230200</v>
          </cell>
          <cell r="BP59">
            <v>2357142.8571428601</v>
          </cell>
          <cell r="BQ59">
            <v>55193533.25</v>
          </cell>
          <cell r="BR59">
            <v>77500000</v>
          </cell>
          <cell r="BS59">
            <v>0</v>
          </cell>
          <cell r="BT59">
            <v>0</v>
          </cell>
          <cell r="BU59">
            <v>2230200</v>
          </cell>
          <cell r="BV59">
            <v>79730200</v>
          </cell>
          <cell r="BW59">
            <v>5540923.0357142901</v>
          </cell>
          <cell r="BX59">
            <v>534948.80357142899</v>
          </cell>
          <cell r="BY59">
            <v>54785529</v>
          </cell>
          <cell r="BZ59">
            <v>0</v>
          </cell>
          <cell r="CA59">
            <v>3108036</v>
          </cell>
          <cell r="CB59">
            <v>51677493</v>
          </cell>
          <cell r="CC59">
            <v>0</v>
          </cell>
          <cell r="CD59">
            <v>51677493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7.5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-115697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35100000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</row>
        <row r="60">
          <cell r="D60" t="str">
            <v>Nguyễn Thị Hương Giang</v>
          </cell>
          <cell r="E60" t="str">
            <v>HĐLĐ</v>
          </cell>
          <cell r="F60" t="str">
            <v>Nguyễn Văn Quá</v>
          </cell>
          <cell r="G60" t="str">
            <v>DSBC</v>
          </cell>
          <cell r="H60">
            <v>45544</v>
          </cell>
          <cell r="I60" t="str">
            <v>1028255437</v>
          </cell>
          <cell r="J60" t="str">
            <v>Vietcombank</v>
          </cell>
          <cell r="K60">
            <v>28</v>
          </cell>
          <cell r="L60">
            <v>29</v>
          </cell>
          <cell r="M60">
            <v>273.60000000000002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5310000</v>
          </cell>
          <cell r="T60">
            <v>500000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6000000</v>
          </cell>
          <cell r="AB60">
            <v>0</v>
          </cell>
          <cell r="AC60">
            <v>0</v>
          </cell>
          <cell r="AD60">
            <v>0</v>
          </cell>
          <cell r="AE60">
            <v>7328571.42857143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654000</v>
          </cell>
          <cell r="AM60">
            <v>0</v>
          </cell>
          <cell r="AN60">
            <v>1427100</v>
          </cell>
          <cell r="AO60">
            <v>1200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100000</v>
          </cell>
          <cell r="BC60">
            <v>0</v>
          </cell>
          <cell r="BD60">
            <v>0</v>
          </cell>
          <cell r="BE60">
            <v>9810871.4285714291</v>
          </cell>
          <cell r="BF60">
            <v>929250</v>
          </cell>
          <cell r="BG60">
            <v>159300</v>
          </cell>
          <cell r="BH60">
            <v>53100</v>
          </cell>
          <cell r="BI60">
            <v>0</v>
          </cell>
          <cell r="BJ60">
            <v>1141650</v>
          </cell>
          <cell r="BK60">
            <v>424800</v>
          </cell>
          <cell r="BL60">
            <v>79650</v>
          </cell>
          <cell r="BM60">
            <v>53100</v>
          </cell>
          <cell r="BN60">
            <v>0</v>
          </cell>
          <cell r="BO60">
            <v>557550</v>
          </cell>
          <cell r="BP60">
            <v>500000</v>
          </cell>
          <cell r="BQ60">
            <v>9310871.4285714291</v>
          </cell>
          <cell r="BR60">
            <v>15500000</v>
          </cell>
          <cell r="BS60">
            <v>0</v>
          </cell>
          <cell r="BT60">
            <v>0</v>
          </cell>
          <cell r="BU60">
            <v>557550</v>
          </cell>
          <cell r="BV60">
            <v>16057550</v>
          </cell>
          <cell r="BW60">
            <v>0</v>
          </cell>
          <cell r="BX60">
            <v>0</v>
          </cell>
          <cell r="BY60">
            <v>9253321</v>
          </cell>
          <cell r="BZ60">
            <v>0</v>
          </cell>
          <cell r="CA60">
            <v>0</v>
          </cell>
          <cell r="CB60">
            <v>9253321</v>
          </cell>
          <cell r="CC60">
            <v>0</v>
          </cell>
          <cell r="CD60">
            <v>9253321</v>
          </cell>
          <cell r="CE60">
            <v>0</v>
          </cell>
          <cell r="CF60" t="str">
            <v>medigo.giang.nguyen@gmail.com</v>
          </cell>
          <cell r="CG60" t="str"/>
          <cell r="CH60">
            <v>11</v>
          </cell>
          <cell r="CI60">
            <v>2.5</v>
          </cell>
          <cell r="CJ60">
            <v>9</v>
          </cell>
          <cell r="CK60">
            <v>9</v>
          </cell>
          <cell r="CL60">
            <v>2024</v>
          </cell>
          <cell r="CM60">
            <v>0</v>
          </cell>
          <cell r="CN60">
            <v>-23141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6000000</v>
          </cell>
          <cell r="CW60">
            <v>0</v>
          </cell>
          <cell r="CX60" t="str"/>
          <cell r="CY60" t="str">
            <v>;</v>
          </cell>
          <cell r="CZ60">
            <v>0</v>
          </cell>
          <cell r="DA60" t="str">
            <v>Nguyễn Thị Hương Giang</v>
          </cell>
          <cell r="DB60">
            <v>29</v>
          </cell>
          <cell r="DC60">
            <v>273.60000000000002</v>
          </cell>
          <cell r="DD60">
            <v>0</v>
          </cell>
          <cell r="DE60">
            <v>7328571.42857143</v>
          </cell>
          <cell r="DF60">
            <v>0</v>
          </cell>
          <cell r="DG60">
            <v>9253321</v>
          </cell>
          <cell r="DH60">
            <v>0</v>
          </cell>
          <cell r="DI60">
            <v>0</v>
          </cell>
        </row>
        <row r="61">
          <cell r="D61" t="str">
            <v>Nguyễn Thị Thu Huyền</v>
          </cell>
          <cell r="E61" t="str">
            <v>HĐLĐ</v>
          </cell>
          <cell r="F61" t="str">
            <v>Nguyễn Văn Quá</v>
          </cell>
          <cell r="G61" t="str">
            <v>DSBC</v>
          </cell>
          <cell r="H61" t="str">
            <v>24/06/2025</v>
          </cell>
          <cell r="I61" t="str">
            <v>0964455650</v>
          </cell>
          <cell r="J61" t="str">
            <v>Sacombank</v>
          </cell>
          <cell r="K61">
            <v>28</v>
          </cell>
          <cell r="L61">
            <v>26</v>
          </cell>
          <cell r="M61">
            <v>25.483333333333299</v>
          </cell>
          <cell r="N61">
            <v>267.08333333333297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5310000</v>
          </cell>
          <cell r="T61">
            <v>464285.71428571403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6000000</v>
          </cell>
          <cell r="AB61">
            <v>0</v>
          </cell>
          <cell r="AC61">
            <v>0</v>
          </cell>
          <cell r="AD61">
            <v>0</v>
          </cell>
          <cell r="AE61">
            <v>682589.28571428498</v>
          </cell>
          <cell r="AF61">
            <v>10731026.7857143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1000000</v>
          </cell>
          <cell r="AM61">
            <v>0</v>
          </cell>
          <cell r="AN61">
            <v>1181700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14059601.7857143</v>
          </cell>
          <cell r="BF61">
            <v>929250</v>
          </cell>
          <cell r="BG61">
            <v>159300</v>
          </cell>
          <cell r="BH61">
            <v>53100</v>
          </cell>
          <cell r="BI61">
            <v>0</v>
          </cell>
          <cell r="BJ61">
            <v>1141650</v>
          </cell>
          <cell r="BK61">
            <v>424800</v>
          </cell>
          <cell r="BL61">
            <v>79650</v>
          </cell>
          <cell r="BM61">
            <v>53100</v>
          </cell>
          <cell r="BN61">
            <v>0</v>
          </cell>
          <cell r="BO61">
            <v>557550</v>
          </cell>
          <cell r="BP61">
            <v>464285.71428571403</v>
          </cell>
          <cell r="BQ61">
            <v>13595316.071428601</v>
          </cell>
          <cell r="BR61">
            <v>15500000</v>
          </cell>
          <cell r="BS61">
            <v>0</v>
          </cell>
          <cell r="BT61">
            <v>0</v>
          </cell>
          <cell r="BU61">
            <v>557550</v>
          </cell>
          <cell r="BV61">
            <v>16057550</v>
          </cell>
          <cell r="BW61">
            <v>0</v>
          </cell>
          <cell r="BX61">
            <v>0</v>
          </cell>
          <cell r="BY61">
            <v>13502052</v>
          </cell>
          <cell r="BZ61">
            <v>0</v>
          </cell>
          <cell r="CA61">
            <v>0</v>
          </cell>
          <cell r="CB61">
            <v>13502052</v>
          </cell>
          <cell r="CC61">
            <v>0</v>
          </cell>
          <cell r="CD61">
            <v>13502052</v>
          </cell>
          <cell r="CE61">
            <v>0</v>
          </cell>
          <cell r="CF61" t="str">
            <v>medigo.thuhuyen.nguyen@gmail.com</v>
          </cell>
          <cell r="CG61" t="str"/>
          <cell r="CH61">
            <v>6</v>
          </cell>
          <cell r="CI61">
            <v>2.5</v>
          </cell>
          <cell r="CJ61">
            <v>24</v>
          </cell>
          <cell r="CK61">
            <v>6</v>
          </cell>
          <cell r="CL61">
            <v>2025</v>
          </cell>
          <cell r="CM61">
            <v>0</v>
          </cell>
          <cell r="CN61">
            <v>-23150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6000000</v>
          </cell>
          <cell r="CW61">
            <v>0</v>
          </cell>
          <cell r="CX61" t="str"/>
          <cell r="CY61" t="str">
            <v>;</v>
          </cell>
          <cell r="CZ61">
            <v>0</v>
          </cell>
          <cell r="DA61" t="str">
            <v>Nguyễn Thị Thu Huyền</v>
          </cell>
          <cell r="DB61">
            <v>26</v>
          </cell>
          <cell r="DC61">
            <v>25.483333333333299</v>
          </cell>
          <cell r="DD61">
            <v>267.08333333333297</v>
          </cell>
          <cell r="DE61">
            <v>682589.28571428498</v>
          </cell>
          <cell r="DF61">
            <v>10731026.7857143</v>
          </cell>
          <cell r="DG61">
            <v>13502052</v>
          </cell>
          <cell r="DH61">
            <v>0</v>
          </cell>
          <cell r="DI61">
            <v>0</v>
          </cell>
        </row>
        <row r="62">
          <cell r="D62" t="str">
            <v>Hồ Ngọc Lý</v>
          </cell>
          <cell r="E62" t="str">
            <v>HĐLĐ</v>
          </cell>
          <cell r="F62" t="str">
            <v>Nguyễn Văn Quá</v>
          </cell>
          <cell r="G62" t="str">
            <v>DSBC</v>
          </cell>
          <cell r="H62" t="str">
            <v>08/07/2024</v>
          </cell>
          <cell r="I62" t="str">
            <v>0081765868686</v>
          </cell>
          <cell r="J62" t="str">
            <v>MB bank</v>
          </cell>
          <cell r="K62">
            <v>28</v>
          </cell>
          <cell r="L62">
            <v>27</v>
          </cell>
          <cell r="M62">
            <v>10.3166666666667</v>
          </cell>
          <cell r="N62">
            <v>273.11666666666702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5310000</v>
          </cell>
          <cell r="T62">
            <v>482142.85714285698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6000000</v>
          </cell>
          <cell r="AB62">
            <v>0</v>
          </cell>
          <cell r="AC62">
            <v>0</v>
          </cell>
          <cell r="AD62">
            <v>0</v>
          </cell>
          <cell r="AE62">
            <v>276339.28571428597</v>
          </cell>
          <cell r="AF62">
            <v>10973437.5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1000000</v>
          </cell>
          <cell r="AM62">
            <v>0</v>
          </cell>
          <cell r="AN62">
            <v>1326800</v>
          </cell>
          <cell r="AO62">
            <v>7550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10000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14056269.642857101</v>
          </cell>
          <cell r="BF62">
            <v>929250</v>
          </cell>
          <cell r="BG62">
            <v>159300</v>
          </cell>
          <cell r="BH62">
            <v>53100</v>
          </cell>
          <cell r="BI62">
            <v>0</v>
          </cell>
          <cell r="BJ62">
            <v>1141650</v>
          </cell>
          <cell r="BK62">
            <v>424800</v>
          </cell>
          <cell r="BL62">
            <v>79650</v>
          </cell>
          <cell r="BM62">
            <v>53100</v>
          </cell>
          <cell r="BN62">
            <v>0</v>
          </cell>
          <cell r="BO62">
            <v>557550</v>
          </cell>
          <cell r="BP62">
            <v>482142.85714285698</v>
          </cell>
          <cell r="BQ62">
            <v>13574126.7857143</v>
          </cell>
          <cell r="BR62">
            <v>15500000</v>
          </cell>
          <cell r="BS62">
            <v>0</v>
          </cell>
          <cell r="BT62">
            <v>0</v>
          </cell>
          <cell r="BU62">
            <v>557550</v>
          </cell>
          <cell r="BV62">
            <v>16057550</v>
          </cell>
          <cell r="BW62">
            <v>0</v>
          </cell>
          <cell r="BX62">
            <v>0</v>
          </cell>
          <cell r="BY62">
            <v>13498720</v>
          </cell>
          <cell r="BZ62">
            <v>0</v>
          </cell>
          <cell r="CA62">
            <v>0</v>
          </cell>
          <cell r="CB62">
            <v>13498720</v>
          </cell>
          <cell r="CC62">
            <v>0</v>
          </cell>
          <cell r="CD62">
            <v>13498720</v>
          </cell>
          <cell r="CE62">
            <v>0</v>
          </cell>
          <cell r="CF62" t="str">
            <v>medigo.ly.ho@gmail.com</v>
          </cell>
          <cell r="CG62" t="str">
            <v>Không đạt chấm điểm Checklist 28/04/2026: 10.000</v>
          </cell>
          <cell r="CH62">
            <v>12</v>
          </cell>
          <cell r="CI62">
            <v>2.5</v>
          </cell>
          <cell r="CJ62">
            <v>8</v>
          </cell>
          <cell r="CK62">
            <v>7</v>
          </cell>
          <cell r="CL62">
            <v>2024</v>
          </cell>
          <cell r="CM62">
            <v>0</v>
          </cell>
          <cell r="CN62">
            <v>-23139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6000000</v>
          </cell>
          <cell r="CW62">
            <v>0</v>
          </cell>
          <cell r="CX62" t="str">
            <v>Không đạt chấm điểm Checklist 28/04/2026: 10.000</v>
          </cell>
          <cell r="CY62" t="str">
            <v>; Không đạt chấm điểm Checklist 28/04/2026: 10.000</v>
          </cell>
          <cell r="CZ62">
            <v>0</v>
          </cell>
          <cell r="DA62" t="str">
            <v>Hồ Ngọc Lý</v>
          </cell>
          <cell r="DB62">
            <v>27</v>
          </cell>
          <cell r="DC62">
            <v>10.3166666666667</v>
          </cell>
          <cell r="DD62">
            <v>273.11666666666702</v>
          </cell>
          <cell r="DE62">
            <v>276339.28571428597</v>
          </cell>
          <cell r="DF62">
            <v>10973437.5</v>
          </cell>
          <cell r="DG62">
            <v>13498720</v>
          </cell>
          <cell r="DH62">
            <v>0</v>
          </cell>
          <cell r="DI62">
            <v>0</v>
          </cell>
        </row>
        <row r="63">
          <cell r="D63" t="str">
            <v>Võ Ngọc Giàu Sang</v>
          </cell>
          <cell r="E63" t="str">
            <v>HĐLĐ</v>
          </cell>
          <cell r="F63" t="str">
            <v>Nguyễn Văn Quá</v>
          </cell>
          <cell r="G63" t="str">
            <v>CHT</v>
          </cell>
          <cell r="H63" t="str">
            <v>08/07/2024</v>
          </cell>
          <cell r="I63" t="str">
            <v>04015933001</v>
          </cell>
          <cell r="J63" t="str">
            <v>TP bank</v>
          </cell>
          <cell r="K63">
            <v>28</v>
          </cell>
          <cell r="L63">
            <v>27</v>
          </cell>
          <cell r="M63">
            <v>262.683333333333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5310000</v>
          </cell>
          <cell r="T63">
            <v>482142.85714285698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6000000</v>
          </cell>
          <cell r="AB63">
            <v>0</v>
          </cell>
          <cell r="AC63">
            <v>0</v>
          </cell>
          <cell r="AD63">
            <v>0</v>
          </cell>
          <cell r="AE63">
            <v>7036160.7142857099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1000000</v>
          </cell>
          <cell r="AK63">
            <v>0</v>
          </cell>
          <cell r="AL63">
            <v>0</v>
          </cell>
          <cell r="AM63">
            <v>0</v>
          </cell>
          <cell r="AN63">
            <v>1034000</v>
          </cell>
          <cell r="AO63">
            <v>935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20000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9533238.5714285709</v>
          </cell>
          <cell r="BF63">
            <v>929250</v>
          </cell>
          <cell r="BG63">
            <v>159300</v>
          </cell>
          <cell r="BH63">
            <v>53100</v>
          </cell>
          <cell r="BI63">
            <v>0</v>
          </cell>
          <cell r="BJ63">
            <v>1141650</v>
          </cell>
          <cell r="BK63">
            <v>424800</v>
          </cell>
          <cell r="BL63">
            <v>79650</v>
          </cell>
          <cell r="BM63">
            <v>53100</v>
          </cell>
          <cell r="BN63">
            <v>0</v>
          </cell>
          <cell r="BO63">
            <v>557550</v>
          </cell>
          <cell r="BP63">
            <v>482142.85714285698</v>
          </cell>
          <cell r="BQ63">
            <v>9051095.7142857108</v>
          </cell>
          <cell r="BR63">
            <v>15500000</v>
          </cell>
          <cell r="BS63">
            <v>0</v>
          </cell>
          <cell r="BT63">
            <v>0</v>
          </cell>
          <cell r="BU63">
            <v>557550</v>
          </cell>
          <cell r="BV63">
            <v>16057550</v>
          </cell>
          <cell r="BW63">
            <v>0</v>
          </cell>
          <cell r="BX63">
            <v>0</v>
          </cell>
          <cell r="BY63">
            <v>8975689</v>
          </cell>
          <cell r="BZ63">
            <v>0</v>
          </cell>
          <cell r="CA63">
            <v>0</v>
          </cell>
          <cell r="CB63">
            <v>8975689</v>
          </cell>
          <cell r="CC63">
            <v>0</v>
          </cell>
          <cell r="CD63">
            <v>8975689</v>
          </cell>
          <cell r="CE63">
            <v>0</v>
          </cell>
          <cell r="CF63" t="str">
            <v>medigo.sang.vo@gmail.com</v>
          </cell>
          <cell r="CG63" t="str">
            <v>Không đạt chấm điểm Checklist 25/04/2026 : 10.000
Đi trễ về sớm        25/04/2026 : 10.000</v>
          </cell>
          <cell r="CH63">
            <v>11</v>
          </cell>
          <cell r="CI63">
            <v>0</v>
          </cell>
          <cell r="CJ63">
            <v>8</v>
          </cell>
          <cell r="CK63">
            <v>7</v>
          </cell>
          <cell r="CL63">
            <v>2024</v>
          </cell>
          <cell r="CM63">
            <v>0</v>
          </cell>
          <cell r="CN63">
            <v>-23139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6000000</v>
          </cell>
          <cell r="CW63">
            <v>0</v>
          </cell>
          <cell r="CX63" t="str">
            <v>Không đạt chấm điểm Checklist 25/04/2026 : 10.000
Đi trễ về sớm        25/04/2026 : 10.000</v>
          </cell>
          <cell r="CY63" t="str">
            <v>; Không đạt chấm điểm Checklist 25/04/2026 : 10.000
Đi trễ về sớm        25/04/2026 : 10.000</v>
          </cell>
          <cell r="CZ63">
            <v>0</v>
          </cell>
          <cell r="DA63" t="str">
            <v>Võ Ngọc Giàu Sang</v>
          </cell>
          <cell r="DB63">
            <v>27</v>
          </cell>
          <cell r="DC63">
            <v>262.683333333333</v>
          </cell>
          <cell r="DD63">
            <v>0</v>
          </cell>
          <cell r="DE63">
            <v>7036160.7142857099</v>
          </cell>
          <cell r="DF63">
            <v>0</v>
          </cell>
          <cell r="DG63">
            <v>8975689</v>
          </cell>
          <cell r="DH63">
            <v>0</v>
          </cell>
          <cell r="DI63">
            <v>0</v>
          </cell>
        </row>
        <row r="64">
          <cell r="D64" t="str">
            <v>Văn Minh Trí</v>
          </cell>
          <cell r="E64" t="str">
            <v>HĐCTV</v>
          </cell>
          <cell r="F64" t="str">
            <v>Nguyễn Văn Quá</v>
          </cell>
          <cell r="G64" t="str">
            <v>DSHV</v>
          </cell>
          <cell r="H64" t="str">
            <v>19/01/2026</v>
          </cell>
          <cell r="I64" t="str">
            <v>0843630854</v>
          </cell>
          <cell r="J64" t="str">
            <v>Mb bank</v>
          </cell>
          <cell r="K64">
            <v>28</v>
          </cell>
          <cell r="L64">
            <v>14</v>
          </cell>
          <cell r="M64">
            <v>112.316666666667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3000000</v>
          </cell>
          <cell r="AB64">
            <v>0</v>
          </cell>
          <cell r="AC64">
            <v>0</v>
          </cell>
          <cell r="AD64">
            <v>0</v>
          </cell>
          <cell r="AE64">
            <v>1504241.07142857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1504241.07142857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1504241.07142857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1504241.07142857</v>
          </cell>
          <cell r="BX64">
            <v>0</v>
          </cell>
          <cell r="BY64">
            <v>1504241</v>
          </cell>
          <cell r="BZ64">
            <v>0</v>
          </cell>
          <cell r="CA64">
            <v>0</v>
          </cell>
          <cell r="CB64">
            <v>1504241</v>
          </cell>
          <cell r="CC64">
            <v>0</v>
          </cell>
          <cell r="CD64">
            <v>1504241</v>
          </cell>
          <cell r="CE64">
            <v>0</v>
          </cell>
          <cell r="CF64" t="str">
            <v>tri.van@medigoapp.com</v>
          </cell>
          <cell r="CG64" t="str"/>
          <cell r="CH64">
            <v>1</v>
          </cell>
          <cell r="CI64">
            <v>0</v>
          </cell>
          <cell r="CJ64">
            <v>19</v>
          </cell>
          <cell r="CK64">
            <v>1</v>
          </cell>
          <cell r="CL64">
            <v>2026</v>
          </cell>
          <cell r="CM64">
            <v>0</v>
          </cell>
          <cell r="CN64">
            <v>-23157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3000000</v>
          </cell>
          <cell r="CW64">
            <v>0</v>
          </cell>
          <cell r="CX64" t="str"/>
          <cell r="CY64" t="str">
            <v>;</v>
          </cell>
          <cell r="CZ64">
            <v>0</v>
          </cell>
          <cell r="DA64" t="str">
            <v>Văn Minh Trí</v>
          </cell>
          <cell r="DB64">
            <v>14</v>
          </cell>
          <cell r="DC64">
            <v>112.316666666667</v>
          </cell>
          <cell r="DD64">
            <v>0</v>
          </cell>
          <cell r="DE64">
            <v>1504241.07142857</v>
          </cell>
          <cell r="DF64">
            <v>0</v>
          </cell>
          <cell r="DG64">
            <v>1504241</v>
          </cell>
          <cell r="DH64">
            <v>0</v>
          </cell>
          <cell r="D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140</v>
          </cell>
          <cell r="L65">
            <v>123</v>
          </cell>
          <cell r="M65">
            <v>684.4</v>
          </cell>
          <cell r="N65">
            <v>540.20000000000005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21240000</v>
          </cell>
          <cell r="T65">
            <v>1928571.42857143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27000000</v>
          </cell>
          <cell r="AB65">
            <v>0</v>
          </cell>
          <cell r="AC65">
            <v>0</v>
          </cell>
          <cell r="AD65">
            <v>0</v>
          </cell>
          <cell r="AE65">
            <v>16827901.785714298</v>
          </cell>
          <cell r="AF65">
            <v>21704464.285714298</v>
          </cell>
          <cell r="AG65">
            <v>0</v>
          </cell>
          <cell r="AH65">
            <v>0</v>
          </cell>
          <cell r="AI65">
            <v>0</v>
          </cell>
          <cell r="AJ65">
            <v>1000000</v>
          </cell>
          <cell r="AK65">
            <v>0</v>
          </cell>
          <cell r="AL65">
            <v>2654000</v>
          </cell>
          <cell r="AM65">
            <v>0</v>
          </cell>
          <cell r="AN65">
            <v>4969600</v>
          </cell>
          <cell r="AO65">
            <v>9685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30000</v>
          </cell>
          <cell r="BA65">
            <v>0</v>
          </cell>
          <cell r="BB65">
            <v>100000</v>
          </cell>
          <cell r="BC65">
            <v>0</v>
          </cell>
          <cell r="BD65">
            <v>0</v>
          </cell>
          <cell r="BE65">
            <v>48964222.5</v>
          </cell>
          <cell r="BF65">
            <v>3717000</v>
          </cell>
          <cell r="BG65">
            <v>637200</v>
          </cell>
          <cell r="BH65">
            <v>212400</v>
          </cell>
          <cell r="BI65">
            <v>0</v>
          </cell>
          <cell r="BJ65">
            <v>4566600</v>
          </cell>
          <cell r="BK65">
            <v>1699200</v>
          </cell>
          <cell r="BL65">
            <v>318600</v>
          </cell>
          <cell r="BM65">
            <v>212400</v>
          </cell>
          <cell r="BN65">
            <v>0</v>
          </cell>
          <cell r="BO65">
            <v>2230200</v>
          </cell>
          <cell r="BP65">
            <v>1928571.42857143</v>
          </cell>
          <cell r="BQ65">
            <v>47035651.071428597</v>
          </cell>
          <cell r="BR65">
            <v>62000000</v>
          </cell>
          <cell r="BS65">
            <v>0</v>
          </cell>
          <cell r="BT65">
            <v>0</v>
          </cell>
          <cell r="BU65">
            <v>2230200</v>
          </cell>
          <cell r="BV65">
            <v>64230200</v>
          </cell>
          <cell r="BW65">
            <v>1504241.07142857</v>
          </cell>
          <cell r="BX65">
            <v>0</v>
          </cell>
          <cell r="BY65">
            <v>46734023</v>
          </cell>
          <cell r="BZ65">
            <v>0</v>
          </cell>
          <cell r="CA65">
            <v>0</v>
          </cell>
          <cell r="CB65">
            <v>46734023</v>
          </cell>
          <cell r="CC65">
            <v>0</v>
          </cell>
          <cell r="CD65">
            <v>46734023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7.5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-115726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27000000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D66" t="str">
            <v>Cù Thị Tường Vy</v>
          </cell>
          <cell r="E66" t="str">
            <v>HĐTV</v>
          </cell>
          <cell r="F66" t="str">
            <v>Rạch Bùng Binh</v>
          </cell>
          <cell r="G66" t="str">
            <v>Q.CHT</v>
          </cell>
          <cell r="H66" t="str">
            <v>16/3/2026</v>
          </cell>
          <cell r="I66" t="str">
            <v>0071000937911</v>
          </cell>
          <cell r="J66" t="str">
            <v>Vietcombank</v>
          </cell>
          <cell r="K66">
            <v>28</v>
          </cell>
          <cell r="L66">
            <v>24</v>
          </cell>
          <cell r="M66">
            <v>157.5</v>
          </cell>
          <cell r="N66">
            <v>89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428571.42857142899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6000000</v>
          </cell>
          <cell r="AB66">
            <v>0</v>
          </cell>
          <cell r="AC66">
            <v>0</v>
          </cell>
          <cell r="AD66">
            <v>0</v>
          </cell>
          <cell r="AE66">
            <v>4218750</v>
          </cell>
          <cell r="AF66">
            <v>3575892.8571428601</v>
          </cell>
          <cell r="AG66">
            <v>0</v>
          </cell>
          <cell r="AH66">
            <v>0</v>
          </cell>
          <cell r="AI66">
            <v>0</v>
          </cell>
          <cell r="AJ66">
            <v>500000</v>
          </cell>
          <cell r="AK66">
            <v>0</v>
          </cell>
          <cell r="AL66">
            <v>0</v>
          </cell>
          <cell r="AM66">
            <v>0</v>
          </cell>
          <cell r="AN66">
            <v>480700</v>
          </cell>
          <cell r="AO66">
            <v>21025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38000</v>
          </cell>
          <cell r="AZ66">
            <v>0</v>
          </cell>
          <cell r="BA66">
            <v>0</v>
          </cell>
          <cell r="BB66">
            <v>150000</v>
          </cell>
          <cell r="BC66">
            <v>0</v>
          </cell>
          <cell r="BD66">
            <v>0</v>
          </cell>
          <cell r="BE66">
            <v>9036939.2857142892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428571.42857142899</v>
          </cell>
          <cell r="BQ66">
            <v>8608367.8571428601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8608367.8571428601</v>
          </cell>
          <cell r="BX66">
            <v>860836.78571428603</v>
          </cell>
          <cell r="BY66">
            <v>8176103</v>
          </cell>
          <cell r="BZ66">
            <v>0</v>
          </cell>
          <cell r="CA66">
            <v>0</v>
          </cell>
          <cell r="CB66">
            <v>8176103</v>
          </cell>
          <cell r="CC66">
            <v>0</v>
          </cell>
          <cell r="CD66">
            <v>8176103</v>
          </cell>
          <cell r="CE66">
            <v>0</v>
          </cell>
          <cell r="CF66" t="str">
            <v>vy.cu@medigoapp.com</v>
          </cell>
          <cell r="CG66" t="str"/>
          <cell r="CH66">
            <v>10</v>
          </cell>
          <cell r="CI66">
            <v>4.5</v>
          </cell>
          <cell r="CJ66">
            <v>4</v>
          </cell>
          <cell r="CK66">
            <v>9</v>
          </cell>
          <cell r="CL66">
            <v>2024</v>
          </cell>
          <cell r="CM66">
            <v>0</v>
          </cell>
          <cell r="CN66">
            <v>-23141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6000000</v>
          </cell>
          <cell r="CW66">
            <v>0</v>
          </cell>
          <cell r="CX66" t="str"/>
          <cell r="CY66" t="str">
            <v>;</v>
          </cell>
          <cell r="CZ66">
            <v>0</v>
          </cell>
          <cell r="DA66" t="str">
            <v>Cù Thị Tường Vy</v>
          </cell>
          <cell r="DB66">
            <v>24</v>
          </cell>
          <cell r="DC66">
            <v>157.5</v>
          </cell>
          <cell r="DD66">
            <v>89</v>
          </cell>
          <cell r="DE66">
            <v>4218750</v>
          </cell>
          <cell r="DF66">
            <v>3575892.8571428601</v>
          </cell>
          <cell r="DG66">
            <v>8176103</v>
          </cell>
          <cell r="DH66">
            <v>0</v>
          </cell>
          <cell r="DI66">
            <v>0</v>
          </cell>
        </row>
        <row r="67">
          <cell r="D67" t="str">
            <v>Huỳnh Thị Huệ Hiền</v>
          </cell>
          <cell r="E67" t="str">
            <v>HĐLĐ</v>
          </cell>
          <cell r="F67" t="str">
            <v>Rạch Bùng Binh</v>
          </cell>
          <cell r="G67" t="str">
            <v>DSBC</v>
          </cell>
          <cell r="H67" t="str">
            <v>01/11/2024</v>
          </cell>
          <cell r="I67" t="str">
            <v>0421000443270</v>
          </cell>
          <cell r="J67" t="str">
            <v>VietComBank</v>
          </cell>
          <cell r="K67">
            <v>28</v>
          </cell>
          <cell r="L67">
            <v>30</v>
          </cell>
          <cell r="M67">
            <v>25.1666666666667</v>
          </cell>
          <cell r="N67">
            <v>283.39999999999998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5310000</v>
          </cell>
          <cell r="T67">
            <v>500000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6000000</v>
          </cell>
          <cell r="AB67">
            <v>0</v>
          </cell>
          <cell r="AC67">
            <v>0</v>
          </cell>
          <cell r="AD67">
            <v>0</v>
          </cell>
          <cell r="AE67">
            <v>674107.14285714296</v>
          </cell>
          <cell r="AF67">
            <v>11386607.142857101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1330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38000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12524044.2857143</v>
          </cell>
          <cell r="BF67">
            <v>929250</v>
          </cell>
          <cell r="BG67">
            <v>159300</v>
          </cell>
          <cell r="BH67">
            <v>53100</v>
          </cell>
          <cell r="BI67">
            <v>0</v>
          </cell>
          <cell r="BJ67">
            <v>1141650</v>
          </cell>
          <cell r="BK67">
            <v>424800</v>
          </cell>
          <cell r="BL67">
            <v>79650</v>
          </cell>
          <cell r="BM67">
            <v>53100</v>
          </cell>
          <cell r="BN67">
            <v>0</v>
          </cell>
          <cell r="BO67">
            <v>557550</v>
          </cell>
          <cell r="BP67">
            <v>500000</v>
          </cell>
          <cell r="BQ67">
            <v>12024044.2857143</v>
          </cell>
          <cell r="BR67">
            <v>15500000</v>
          </cell>
          <cell r="BS67">
            <v>0</v>
          </cell>
          <cell r="BT67">
            <v>0</v>
          </cell>
          <cell r="BU67">
            <v>557550</v>
          </cell>
          <cell r="BV67">
            <v>16057550</v>
          </cell>
          <cell r="BW67">
            <v>0</v>
          </cell>
          <cell r="BX67">
            <v>0</v>
          </cell>
          <cell r="BY67">
            <v>11966494</v>
          </cell>
          <cell r="BZ67">
            <v>0</v>
          </cell>
          <cell r="CA67">
            <v>0</v>
          </cell>
          <cell r="CB67">
            <v>11966494</v>
          </cell>
          <cell r="CC67">
            <v>0</v>
          </cell>
          <cell r="CD67">
            <v>11966494</v>
          </cell>
          <cell r="CE67">
            <v>0</v>
          </cell>
          <cell r="CF67" t="str">
            <v>medigo.hien.huynh@gmail.com</v>
          </cell>
          <cell r="CG67" t="str"/>
          <cell r="CH67">
            <v>5</v>
          </cell>
          <cell r="CI67">
            <v>2.5</v>
          </cell>
          <cell r="CJ67">
            <v>1</v>
          </cell>
          <cell r="CK67">
            <v>11</v>
          </cell>
          <cell r="CL67">
            <v>2024</v>
          </cell>
          <cell r="CM67">
            <v>0</v>
          </cell>
          <cell r="CN67">
            <v>16</v>
          </cell>
          <cell r="CO67">
            <v>0</v>
          </cell>
          <cell r="CP67">
            <v>0</v>
          </cell>
          <cell r="CQ67">
            <v>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6000000</v>
          </cell>
          <cell r="CW67">
            <v>0</v>
          </cell>
          <cell r="CX67" t="str"/>
          <cell r="CY67" t="str">
            <v>;</v>
          </cell>
          <cell r="CZ67">
            <v>0</v>
          </cell>
          <cell r="DA67" t="str">
            <v>Huỳnh Thị Huệ Hiền</v>
          </cell>
          <cell r="DB67">
            <v>30</v>
          </cell>
          <cell r="DC67">
            <v>25.1666666666667</v>
          </cell>
          <cell r="DD67">
            <v>283.39999999999998</v>
          </cell>
          <cell r="DE67">
            <v>674107.14285714296</v>
          </cell>
          <cell r="DF67">
            <v>11386607.142857101</v>
          </cell>
          <cell r="DG67">
            <v>11966494</v>
          </cell>
          <cell r="DH67">
            <v>0</v>
          </cell>
          <cell r="DI67">
            <v>0</v>
          </cell>
        </row>
        <row r="68">
          <cell r="D68" t="str">
            <v>Nguyễn Thị Phương Linh</v>
          </cell>
          <cell r="E68" t="str">
            <v>HĐTV</v>
          </cell>
          <cell r="F68" t="str">
            <v>Rạch Bùng Binh</v>
          </cell>
          <cell r="G68" t="str">
            <v>DSTV</v>
          </cell>
          <cell r="H68" t="str">
            <v>16/3/2026</v>
          </cell>
          <cell r="I68" t="str">
            <v>104872776864</v>
          </cell>
          <cell r="J68" t="str">
            <v>VietinBank</v>
          </cell>
          <cell r="K68">
            <v>28</v>
          </cell>
          <cell r="L68">
            <v>17</v>
          </cell>
          <cell r="M68">
            <v>196.833333333333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303571.42857142899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5100000</v>
          </cell>
          <cell r="AB68">
            <v>0</v>
          </cell>
          <cell r="AC68">
            <v>0</v>
          </cell>
          <cell r="AD68">
            <v>0</v>
          </cell>
          <cell r="AE68">
            <v>4481473.2142857099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4785044.6428571399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303571.42857142899</v>
          </cell>
          <cell r="BQ68">
            <v>4481473.2142857099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4481473.2142857099</v>
          </cell>
          <cell r="BX68">
            <v>448147.32142857101</v>
          </cell>
          <cell r="BY68">
            <v>4336897</v>
          </cell>
          <cell r="BZ68">
            <v>0</v>
          </cell>
          <cell r="CA68">
            <v>0</v>
          </cell>
          <cell r="CB68">
            <v>4336897</v>
          </cell>
          <cell r="CC68">
            <v>0</v>
          </cell>
          <cell r="CD68">
            <v>4336897</v>
          </cell>
          <cell r="CE68">
            <v>0</v>
          </cell>
          <cell r="CF68" t="str">
            <v>linh.nguyen@medigoapp.com</v>
          </cell>
          <cell r="CG68" t="str"/>
          <cell r="CH68">
            <v>10</v>
          </cell>
          <cell r="CI68">
            <v>0</v>
          </cell>
          <cell r="CJ68">
            <v>16</v>
          </cell>
          <cell r="CK68">
            <v>3</v>
          </cell>
          <cell r="CL68">
            <v>2026</v>
          </cell>
          <cell r="CM68">
            <v>0</v>
          </cell>
          <cell r="CN68">
            <v>-23159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5100000</v>
          </cell>
          <cell r="CW68">
            <v>0</v>
          </cell>
          <cell r="CX68" t="str"/>
          <cell r="CY68" t="str">
            <v>;</v>
          </cell>
          <cell r="CZ68">
            <v>0</v>
          </cell>
          <cell r="DA68" t="str">
            <v>Nguyễn Thị Phương Linh</v>
          </cell>
          <cell r="DB68">
            <v>10</v>
          </cell>
          <cell r="DC68">
            <v>85.15</v>
          </cell>
          <cell r="DD68">
            <v>0</v>
          </cell>
          <cell r="DE68">
            <v>1938683.0357142901</v>
          </cell>
          <cell r="DF68">
            <v>0</v>
          </cell>
          <cell r="DG68">
            <v>2338705</v>
          </cell>
          <cell r="DH68">
            <v>0</v>
          </cell>
          <cell r="DI68">
            <v>0</v>
          </cell>
        </row>
        <row r="69">
          <cell r="D69" t="str">
            <v>Phạm Thị Nghĩa Hương</v>
          </cell>
          <cell r="E69" t="str">
            <v>HĐLĐ</v>
          </cell>
          <cell r="F69" t="str">
            <v>Rạch Bùng Binh</v>
          </cell>
          <cell r="G69" t="str">
            <v>DSBC</v>
          </cell>
          <cell r="H69">
            <v>45575</v>
          </cell>
          <cell r="I69" t="str">
            <v>0968249073</v>
          </cell>
          <cell r="J69" t="str">
            <v>Mb bank</v>
          </cell>
          <cell r="K69">
            <v>28</v>
          </cell>
          <cell r="L69">
            <v>6</v>
          </cell>
          <cell r="M69">
            <v>43.116666666666703</v>
          </cell>
          <cell r="N69">
            <v>7.9833333333333298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107142.857142857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6000000</v>
          </cell>
          <cell r="AB69">
            <v>0</v>
          </cell>
          <cell r="AC69">
            <v>0</v>
          </cell>
          <cell r="AD69">
            <v>0</v>
          </cell>
          <cell r="AE69">
            <v>1154910.7142857099</v>
          </cell>
          <cell r="AF69">
            <v>320758.92857142899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1582812.5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1582812.5</v>
          </cell>
          <cell r="BR69">
            <v>15500000</v>
          </cell>
          <cell r="BS69">
            <v>0</v>
          </cell>
          <cell r="BT69">
            <v>0</v>
          </cell>
          <cell r="BU69">
            <v>0</v>
          </cell>
          <cell r="BV69">
            <v>15500000</v>
          </cell>
          <cell r="BW69">
            <v>0</v>
          </cell>
          <cell r="BX69">
            <v>0</v>
          </cell>
          <cell r="BY69">
            <v>1582813</v>
          </cell>
          <cell r="BZ69">
            <v>0</v>
          </cell>
          <cell r="CA69">
            <v>0</v>
          </cell>
          <cell r="CB69">
            <v>1582813</v>
          </cell>
          <cell r="CC69">
            <v>0</v>
          </cell>
          <cell r="CD69">
            <v>1582813</v>
          </cell>
          <cell r="CE69">
            <v>0</v>
          </cell>
          <cell r="CF69" t="str">
            <v>medigo.huong.pham@gmail.com</v>
          </cell>
          <cell r="CG69">
            <v>0</v>
          </cell>
          <cell r="CH69">
            <v>10</v>
          </cell>
          <cell r="CI69">
            <v>0</v>
          </cell>
          <cell r="CJ69">
            <v>10</v>
          </cell>
          <cell r="CK69">
            <v>10</v>
          </cell>
          <cell r="CL69">
            <v>2024</v>
          </cell>
          <cell r="CM69">
            <v>0</v>
          </cell>
          <cell r="CN69">
            <v>-23142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6000000</v>
          </cell>
          <cell r="CW69">
            <v>0</v>
          </cell>
          <cell r="CX69">
            <v>0</v>
          </cell>
          <cell r="CY69" t="str">
            <v>; 0</v>
          </cell>
          <cell r="CZ69">
            <v>0</v>
          </cell>
          <cell r="DA69" t="str">
            <v>Phạm Thị Nghĩa Hương</v>
          </cell>
          <cell r="DB69">
            <v>15</v>
          </cell>
          <cell r="DC69">
            <v>106.466666666667</v>
          </cell>
          <cell r="DD69">
            <v>40.0833333333333</v>
          </cell>
          <cell r="DE69">
            <v>2851785.7142857099</v>
          </cell>
          <cell r="DF69">
            <v>1610491.07142857</v>
          </cell>
          <cell r="DG69">
            <v>4195777</v>
          </cell>
          <cell r="DH69">
            <v>0</v>
          </cell>
          <cell r="DI69">
            <v>0</v>
          </cell>
        </row>
        <row r="70">
          <cell r="D70" t="str">
            <v>Trần Hoàng Khánh</v>
          </cell>
          <cell r="E70" t="str">
            <v>HĐLĐ</v>
          </cell>
          <cell r="F70" t="str">
            <v>Rạch Bùng Binh</v>
          </cell>
          <cell r="G70" t="str">
            <v>DSBC</v>
          </cell>
          <cell r="H70" t="str">
            <v>02/06/2025</v>
          </cell>
          <cell r="I70" t="str">
            <v>0985967065</v>
          </cell>
          <cell r="J70" t="str">
            <v>Tp Bank</v>
          </cell>
          <cell r="K70">
            <v>28</v>
          </cell>
          <cell r="L70">
            <v>8</v>
          </cell>
          <cell r="M70">
            <v>70.533333333333303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142857.14285714299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6000000</v>
          </cell>
          <cell r="AB70">
            <v>0</v>
          </cell>
          <cell r="AC70">
            <v>0</v>
          </cell>
          <cell r="AD70">
            <v>0</v>
          </cell>
          <cell r="AE70">
            <v>1889285.7142857099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2032142.8571428601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142857.14285714299</v>
          </cell>
          <cell r="BQ70">
            <v>1889285.7142857099</v>
          </cell>
          <cell r="BR70">
            <v>15500000</v>
          </cell>
          <cell r="BS70">
            <v>0</v>
          </cell>
          <cell r="BT70">
            <v>0</v>
          </cell>
          <cell r="BU70">
            <v>0</v>
          </cell>
          <cell r="BV70">
            <v>15500000</v>
          </cell>
          <cell r="BW70">
            <v>0</v>
          </cell>
          <cell r="BX70">
            <v>0</v>
          </cell>
          <cell r="BY70">
            <v>2032143</v>
          </cell>
          <cell r="BZ70">
            <v>0</v>
          </cell>
          <cell r="CA70">
            <v>0</v>
          </cell>
          <cell r="CB70">
            <v>2032143</v>
          </cell>
          <cell r="CC70">
            <v>0</v>
          </cell>
          <cell r="CD70">
            <v>2032143</v>
          </cell>
          <cell r="CE70">
            <v>0</v>
          </cell>
          <cell r="CF70" t="str">
            <v>medigo.hoangkhanh.tran@gmail.com</v>
          </cell>
          <cell r="CG70" t="str"/>
          <cell r="CH70">
            <v>9</v>
          </cell>
          <cell r="CI70">
            <v>0</v>
          </cell>
          <cell r="CJ70">
            <v>2</v>
          </cell>
          <cell r="CK70">
            <v>6</v>
          </cell>
          <cell r="CL70">
            <v>2025</v>
          </cell>
          <cell r="CM70">
            <v>0</v>
          </cell>
          <cell r="CN70">
            <v>-23150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6000000</v>
          </cell>
          <cell r="CW70">
            <v>0</v>
          </cell>
          <cell r="CX70" t="str"/>
          <cell r="CY70" t="str">
            <v>;</v>
          </cell>
          <cell r="CZ70">
            <v>0</v>
          </cell>
          <cell r="DA70" t="str">
            <v>Trần Hoàng Khánh</v>
          </cell>
          <cell r="DB70">
            <v>17</v>
          </cell>
          <cell r="DC70">
            <v>121.366666666667</v>
          </cell>
          <cell r="DD70">
            <v>48.266666666666701</v>
          </cell>
          <cell r="DE70">
            <v>3250892.8571428601</v>
          </cell>
          <cell r="DF70">
            <v>1939285.7142857099</v>
          </cell>
          <cell r="DG70">
            <v>4955090</v>
          </cell>
          <cell r="DH70">
            <v>0</v>
          </cell>
          <cell r="DI70">
            <v>0</v>
          </cell>
        </row>
        <row r="71">
          <cell r="D71" t="str">
            <v>Hạ Ngân Khánh</v>
          </cell>
          <cell r="E71" t="str">
            <v>HĐLĐ</v>
          </cell>
          <cell r="F71" t="str">
            <v>Rạch Bùng Binh</v>
          </cell>
          <cell r="G71" t="str">
            <v>DSBC</v>
          </cell>
          <cell r="H71" t="str">
            <v>23/06/2025</v>
          </cell>
          <cell r="I71" t="str">
            <v>109873777758</v>
          </cell>
          <cell r="J71" t="str">
            <v>VietinBank</v>
          </cell>
          <cell r="K71">
            <v>28</v>
          </cell>
          <cell r="L71">
            <v>7</v>
          </cell>
          <cell r="M71">
            <v>0</v>
          </cell>
          <cell r="N71">
            <v>53.15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89286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6000000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2135491.07142857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3000000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5224777.07142857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89286</v>
          </cell>
          <cell r="BQ71">
            <v>5135491.07142857</v>
          </cell>
          <cell r="BR71">
            <v>15500000</v>
          </cell>
          <cell r="BS71">
            <v>0</v>
          </cell>
          <cell r="BT71">
            <v>0</v>
          </cell>
          <cell r="BU71">
            <v>0</v>
          </cell>
          <cell r="BV71">
            <v>15500000</v>
          </cell>
          <cell r="BW71">
            <v>0</v>
          </cell>
          <cell r="BX71">
            <v>0</v>
          </cell>
          <cell r="BY71">
            <v>5224777</v>
          </cell>
          <cell r="BZ71">
            <v>0</v>
          </cell>
          <cell r="CA71">
            <v>0</v>
          </cell>
          <cell r="CB71">
            <v>5224777</v>
          </cell>
          <cell r="CC71">
            <v>0</v>
          </cell>
          <cell r="CD71">
            <v>5224777</v>
          </cell>
          <cell r="CE71">
            <v>0</v>
          </cell>
          <cell r="CF71" t="str">
            <v>medigo.ngankhanh.ha@gmail.com</v>
          </cell>
          <cell r="CG71" t="str"/>
          <cell r="CH71">
            <v>9</v>
          </cell>
          <cell r="CI71">
            <v>0</v>
          </cell>
          <cell r="CJ71">
            <v>23</v>
          </cell>
          <cell r="CK71">
            <v>6</v>
          </cell>
          <cell r="CL71">
            <v>2025</v>
          </cell>
          <cell r="CM71">
            <v>0</v>
          </cell>
          <cell r="CN71">
            <v>-23150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6000000</v>
          </cell>
          <cell r="CW71">
            <v>0</v>
          </cell>
          <cell r="CX71" t="str"/>
          <cell r="CY71" t="str">
            <v>;</v>
          </cell>
          <cell r="CZ71">
            <v>0</v>
          </cell>
          <cell r="DA71" t="str">
            <v>Hạ Ngân Khánh</v>
          </cell>
          <cell r="DB71">
            <v>9</v>
          </cell>
          <cell r="DC71">
            <v>7.8666666666666698</v>
          </cell>
          <cell r="DD71">
            <v>59.533333333333303</v>
          </cell>
          <cell r="DE71">
            <v>210714.285714286</v>
          </cell>
          <cell r="DF71">
            <v>2391964.2857142901</v>
          </cell>
          <cell r="DG71">
            <v>2763393</v>
          </cell>
          <cell r="DH71">
            <v>0</v>
          </cell>
          <cell r="DI71">
            <v>0</v>
          </cell>
        </row>
        <row r="72">
          <cell r="D72" t="str">
            <v>Nguyễn Trúc Linh</v>
          </cell>
          <cell r="E72" t="str">
            <v>HĐLĐ</v>
          </cell>
          <cell r="F72" t="str">
            <v>Rạch Bùng Binh</v>
          </cell>
          <cell r="G72" t="str">
            <v>DSBC</v>
          </cell>
          <cell r="H72" t="str">
            <v>26/04/2025</v>
          </cell>
          <cell r="I72" t="str">
            <v>109006916698</v>
          </cell>
          <cell r="J72" t="str">
            <v>Vietinbank</v>
          </cell>
          <cell r="K72">
            <v>28</v>
          </cell>
          <cell r="L72">
            <v>11</v>
          </cell>
          <cell r="M72">
            <v>96.233333333333306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196428.57142857101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6000000</v>
          </cell>
          <cell r="AB72">
            <v>0</v>
          </cell>
          <cell r="AC72">
            <v>0</v>
          </cell>
          <cell r="AD72">
            <v>0</v>
          </cell>
          <cell r="AE72">
            <v>2577678.57142857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2774107.1428571399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196428.57142857101</v>
          </cell>
          <cell r="BQ72">
            <v>2577678.57142857</v>
          </cell>
          <cell r="BR72">
            <v>15500000</v>
          </cell>
          <cell r="BS72">
            <v>0</v>
          </cell>
          <cell r="BT72">
            <v>0</v>
          </cell>
          <cell r="BU72">
            <v>0</v>
          </cell>
          <cell r="BV72">
            <v>15500000</v>
          </cell>
          <cell r="BW72">
            <v>0</v>
          </cell>
          <cell r="BX72">
            <v>0</v>
          </cell>
          <cell r="BY72">
            <v>2774107</v>
          </cell>
          <cell r="BZ72">
            <v>0</v>
          </cell>
          <cell r="CA72">
            <v>0</v>
          </cell>
          <cell r="CB72">
            <v>2774107</v>
          </cell>
          <cell r="CC72">
            <v>0</v>
          </cell>
          <cell r="CD72">
            <v>2774107</v>
          </cell>
          <cell r="CE72">
            <v>0</v>
          </cell>
          <cell r="CF72" t="str">
            <v>medigo.truclinh.nguyen@gmail.com</v>
          </cell>
          <cell r="CG72">
            <v>0</v>
          </cell>
          <cell r="CH72">
            <v>12</v>
          </cell>
          <cell r="CI72">
            <v>0</v>
          </cell>
          <cell r="CJ72">
            <v>26</v>
          </cell>
          <cell r="CK72">
            <v>4</v>
          </cell>
          <cell r="CL72">
            <v>2025</v>
          </cell>
          <cell r="CM72">
            <v>0</v>
          </cell>
          <cell r="CN72">
            <v>-23148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6000000</v>
          </cell>
          <cell r="CW72">
            <v>0</v>
          </cell>
          <cell r="CX72">
            <v>0</v>
          </cell>
          <cell r="CY72" t="str">
            <v>; 0</v>
          </cell>
          <cell r="CZ72">
            <v>0</v>
          </cell>
          <cell r="DA72" t="str">
            <v>Nguyễn Trúc Linh</v>
          </cell>
          <cell r="DB72">
            <v>17</v>
          </cell>
          <cell r="DC72">
            <v>158.76666666666699</v>
          </cell>
          <cell r="DD72">
            <v>0.7</v>
          </cell>
          <cell r="DE72">
            <v>2577678.57142857</v>
          </cell>
          <cell r="DF72">
            <v>0</v>
          </cell>
          <cell r="DG72">
            <v>2774107</v>
          </cell>
          <cell r="DH72">
            <v>0</v>
          </cell>
          <cell r="DI72">
            <v>0</v>
          </cell>
        </row>
        <row r="73">
          <cell r="D73" t="str">
            <v>Phan Công Vũ Tài</v>
          </cell>
          <cell r="E73" t="str">
            <v>HĐLĐ</v>
          </cell>
          <cell r="F73" t="str">
            <v>Rạch Bùng Binh</v>
          </cell>
          <cell r="G73" t="str">
            <v>DSBC</v>
          </cell>
          <cell r="H73" t="str">
            <v>26/01/2026</v>
          </cell>
          <cell r="I73" t="str">
            <v>02446989901</v>
          </cell>
          <cell r="J73" t="str">
            <v>Tp Bank</v>
          </cell>
          <cell r="K73">
            <v>28</v>
          </cell>
          <cell r="L73">
            <v>12</v>
          </cell>
          <cell r="M73">
            <v>137.416666666667</v>
          </cell>
          <cell r="N73">
            <v>18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214285.714285714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5310000</v>
          </cell>
          <cell r="AB73">
            <v>0</v>
          </cell>
          <cell r="AC73">
            <v>0</v>
          </cell>
          <cell r="AD73">
            <v>0</v>
          </cell>
          <cell r="AE73">
            <v>3257511.1607142901</v>
          </cell>
          <cell r="AF73">
            <v>640044.64285714296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4111841.5178571399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214285.714285714</v>
          </cell>
          <cell r="BQ73">
            <v>3897555.80357143</v>
          </cell>
          <cell r="BR73">
            <v>15500000</v>
          </cell>
          <cell r="BS73">
            <v>0</v>
          </cell>
          <cell r="BT73">
            <v>0</v>
          </cell>
          <cell r="BU73">
            <v>0</v>
          </cell>
          <cell r="BV73">
            <v>15500000</v>
          </cell>
          <cell r="BW73">
            <v>0</v>
          </cell>
          <cell r="BX73">
            <v>0</v>
          </cell>
          <cell r="BY73">
            <v>4111842</v>
          </cell>
          <cell r="BZ73">
            <v>0</v>
          </cell>
          <cell r="CA73">
            <v>0</v>
          </cell>
          <cell r="CB73">
            <v>4111842</v>
          </cell>
          <cell r="CC73">
            <v>0</v>
          </cell>
          <cell r="CD73">
            <v>4111842</v>
          </cell>
          <cell r="CE73">
            <v>0</v>
          </cell>
          <cell r="CF73" t="str">
            <v>tai.phan@medigoapp.com</v>
          </cell>
          <cell r="CG73" t="str"/>
          <cell r="CH73">
            <v>4</v>
          </cell>
          <cell r="CI73">
            <v>0</v>
          </cell>
          <cell r="CJ73">
            <v>26</v>
          </cell>
          <cell r="CK73">
            <v>1</v>
          </cell>
          <cell r="CL73">
            <v>2026</v>
          </cell>
          <cell r="CM73">
            <v>0</v>
          </cell>
          <cell r="CN73">
            <v>-23157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5310000</v>
          </cell>
          <cell r="CW73">
            <v>0</v>
          </cell>
          <cell r="CX73" t="str"/>
          <cell r="CY73" t="str">
            <v>;</v>
          </cell>
          <cell r="CZ73">
            <v>0</v>
          </cell>
          <cell r="DA73" t="str">
            <v>Phan Công Vũ Tài</v>
          </cell>
          <cell r="DB73">
            <v>10</v>
          </cell>
          <cell r="DC73">
            <v>104.95</v>
          </cell>
          <cell r="DD73">
            <v>0.58333333333333304</v>
          </cell>
          <cell r="DE73">
            <v>2487877.2321428601</v>
          </cell>
          <cell r="DF73">
            <v>20742.1875</v>
          </cell>
          <cell r="DG73">
            <v>2812705</v>
          </cell>
          <cell r="DH73">
            <v>0</v>
          </cell>
          <cell r="DI73">
            <v>0</v>
          </cell>
        </row>
        <row r="74">
          <cell r="D74" t="str">
            <v>Hồ Tấn Nguyên</v>
          </cell>
          <cell r="E74" t="str">
            <v>HĐTV</v>
          </cell>
          <cell r="F74" t="str">
            <v>Nguyễn Chí Thanh</v>
          </cell>
          <cell r="G74" t="str">
            <v>DSTV</v>
          </cell>
          <cell r="H74" t="str">
            <v>20/3/2026</v>
          </cell>
          <cell r="I74" t="str">
            <v>1303032027</v>
          </cell>
          <cell r="J74" t="str">
            <v>BIDV</v>
          </cell>
          <cell r="K74">
            <v>28</v>
          </cell>
          <cell r="L74">
            <v>3</v>
          </cell>
          <cell r="M74">
            <v>0</v>
          </cell>
          <cell r="N74">
            <v>24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53571.428571428602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5100000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819642.85714285704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873214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1746428.2857142901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53571.428571428602</v>
          </cell>
          <cell r="BQ74">
            <v>1692856.8571428601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1692856.8571428601</v>
          </cell>
          <cell r="BX74">
            <v>0</v>
          </cell>
          <cell r="BY74">
            <v>1746428</v>
          </cell>
          <cell r="BZ74">
            <v>0</v>
          </cell>
          <cell r="CA74">
            <v>0</v>
          </cell>
          <cell r="CB74">
            <v>1746428</v>
          </cell>
          <cell r="CC74">
            <v>0</v>
          </cell>
          <cell r="CD74">
            <v>1746428</v>
          </cell>
          <cell r="CE74">
            <v>0</v>
          </cell>
          <cell r="CF74" t="str">
            <v>nguyen.ho@medigoapp.com</v>
          </cell>
          <cell r="CG74" t="str"/>
          <cell r="CH74">
            <v>4</v>
          </cell>
          <cell r="CI74">
            <v>2.5</v>
          </cell>
          <cell r="CJ74">
            <v>20</v>
          </cell>
          <cell r="CK74">
            <v>3</v>
          </cell>
          <cell r="CL74">
            <v>2026</v>
          </cell>
          <cell r="CM74">
            <v>0</v>
          </cell>
          <cell r="CN74">
            <v>-23159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5100000</v>
          </cell>
          <cell r="CW74">
            <v>0</v>
          </cell>
          <cell r="CX74" t="str"/>
          <cell r="CY74" t="str">
            <v>;</v>
          </cell>
          <cell r="CZ74">
            <v>0</v>
          </cell>
          <cell r="DA74" t="str">
            <v>Hồ Tấn Nguyên</v>
          </cell>
          <cell r="DB74">
            <v>25</v>
          </cell>
          <cell r="DC74">
            <v>2.75</v>
          </cell>
          <cell r="DD74">
            <v>224.98333333333301</v>
          </cell>
          <cell r="DE74">
            <v>62611.607142857101</v>
          </cell>
          <cell r="DF74">
            <v>7683582.5892857099</v>
          </cell>
          <cell r="DG74">
            <v>7946483</v>
          </cell>
          <cell r="DH74">
            <v>0</v>
          </cell>
          <cell r="DI74">
            <v>0</v>
          </cell>
        </row>
        <row r="75">
          <cell r="D75" t="str">
            <v>Nguyễn Mẫn Tiệp</v>
          </cell>
          <cell r="E75" t="str">
            <v>HĐCTV</v>
          </cell>
          <cell r="F75" t="str">
            <v>Rạch Bùng Binh</v>
          </cell>
          <cell r="G75" t="str">
            <v>DSHV</v>
          </cell>
          <cell r="H75" t="str">
            <v>10/3/2026</v>
          </cell>
          <cell r="I75" t="str">
            <v>1015496176</v>
          </cell>
          <cell r="J75" t="str">
            <v>Vietcombank</v>
          </cell>
          <cell r="K75">
            <v>28</v>
          </cell>
          <cell r="L75">
            <v>26</v>
          </cell>
          <cell r="M75">
            <v>182.55</v>
          </cell>
          <cell r="N75">
            <v>87.866666666666703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3000000</v>
          </cell>
          <cell r="AB75">
            <v>0</v>
          </cell>
          <cell r="AC75">
            <v>0</v>
          </cell>
          <cell r="AD75">
            <v>0</v>
          </cell>
          <cell r="AE75">
            <v>2444866.07142857</v>
          </cell>
          <cell r="AF75">
            <v>1765178.57142857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4210044.6428571399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4210044.6428571399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4210044.6428571399</v>
          </cell>
          <cell r="BX75">
            <v>421004.46428571403</v>
          </cell>
          <cell r="BY75">
            <v>3789040</v>
          </cell>
          <cell r="BZ75">
            <v>0</v>
          </cell>
          <cell r="CA75">
            <v>0</v>
          </cell>
          <cell r="CB75">
            <v>3789040</v>
          </cell>
          <cell r="CC75">
            <v>0</v>
          </cell>
          <cell r="CD75">
            <v>3789040</v>
          </cell>
          <cell r="CE75">
            <v>0</v>
          </cell>
          <cell r="CF75" t="str">
            <v>tiep.nguyen@medigoapp.com</v>
          </cell>
          <cell r="CG75" t="str"/>
          <cell r="CH75">
            <v>7</v>
          </cell>
          <cell r="CI75">
            <v>0</v>
          </cell>
          <cell r="CJ75">
            <v>10</v>
          </cell>
          <cell r="CK75">
            <v>3</v>
          </cell>
          <cell r="CL75">
            <v>2026</v>
          </cell>
          <cell r="CM75">
            <v>0</v>
          </cell>
          <cell r="CN75">
            <v>-23159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3000000</v>
          </cell>
          <cell r="CW75">
            <v>0</v>
          </cell>
          <cell r="CX75" t="str"/>
          <cell r="CY75" t="str">
            <v>;</v>
          </cell>
          <cell r="CZ75">
            <v>0</v>
          </cell>
          <cell r="DA75" t="str">
            <v>Nguyễn Mẫn Tiệp</v>
          </cell>
          <cell r="DB75">
            <v>26</v>
          </cell>
          <cell r="DC75">
            <v>182.55</v>
          </cell>
          <cell r="DD75">
            <v>87.866666666666703</v>
          </cell>
          <cell r="DE75">
            <v>2444866.07142857</v>
          </cell>
          <cell r="DF75">
            <v>1765178.57142857</v>
          </cell>
          <cell r="DG75">
            <v>3789040</v>
          </cell>
          <cell r="DH75">
            <v>0</v>
          </cell>
          <cell r="D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280</v>
          </cell>
          <cell r="L76">
            <v>144</v>
          </cell>
          <cell r="M76">
            <v>909.35</v>
          </cell>
          <cell r="N76">
            <v>563.4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5310000</v>
          </cell>
          <cell r="T76">
            <v>2035714.57142857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54510000</v>
          </cell>
          <cell r="AB76">
            <v>0</v>
          </cell>
          <cell r="AC76">
            <v>0</v>
          </cell>
          <cell r="AD76">
            <v>0</v>
          </cell>
          <cell r="AE76">
            <v>20698582.589285702</v>
          </cell>
          <cell r="AF76">
            <v>20643616.071428601</v>
          </cell>
          <cell r="AG76">
            <v>0</v>
          </cell>
          <cell r="AH76">
            <v>0</v>
          </cell>
          <cell r="AI76">
            <v>0</v>
          </cell>
          <cell r="AJ76">
            <v>500000</v>
          </cell>
          <cell r="AK76">
            <v>0</v>
          </cell>
          <cell r="AL76">
            <v>0</v>
          </cell>
          <cell r="AM76">
            <v>0</v>
          </cell>
          <cell r="AN76">
            <v>480700</v>
          </cell>
          <cell r="AO76">
            <v>22355</v>
          </cell>
          <cell r="AP76">
            <v>0</v>
          </cell>
          <cell r="AQ76">
            <v>3000000</v>
          </cell>
          <cell r="AR76">
            <v>873214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76000</v>
          </cell>
          <cell r="AZ76">
            <v>0</v>
          </cell>
          <cell r="BA76">
            <v>0</v>
          </cell>
          <cell r="BB76">
            <v>150000</v>
          </cell>
          <cell r="BC76">
            <v>0</v>
          </cell>
          <cell r="BD76">
            <v>0</v>
          </cell>
          <cell r="BE76">
            <v>48028182.232142903</v>
          </cell>
          <cell r="BF76">
            <v>929250</v>
          </cell>
          <cell r="BG76">
            <v>159300</v>
          </cell>
          <cell r="BH76">
            <v>53100</v>
          </cell>
          <cell r="BI76">
            <v>0</v>
          </cell>
          <cell r="BJ76">
            <v>1141650</v>
          </cell>
          <cell r="BK76">
            <v>424800</v>
          </cell>
          <cell r="BL76">
            <v>79650</v>
          </cell>
          <cell r="BM76">
            <v>53100</v>
          </cell>
          <cell r="BN76">
            <v>0</v>
          </cell>
          <cell r="BO76">
            <v>557550</v>
          </cell>
          <cell r="BP76">
            <v>1928571.7142857099</v>
          </cell>
          <cell r="BQ76">
            <v>46099610.517857097</v>
          </cell>
          <cell r="BR76">
            <v>93000000</v>
          </cell>
          <cell r="BS76">
            <v>0</v>
          </cell>
          <cell r="BT76">
            <v>0</v>
          </cell>
          <cell r="BU76">
            <v>557550</v>
          </cell>
          <cell r="BV76">
            <v>93557550</v>
          </cell>
          <cell r="BW76">
            <v>18992742.571428601</v>
          </cell>
          <cell r="BX76">
            <v>1729988.57142857</v>
          </cell>
          <cell r="BY76">
            <v>45740644</v>
          </cell>
          <cell r="BZ76">
            <v>0</v>
          </cell>
          <cell r="CA76">
            <v>0</v>
          </cell>
          <cell r="CB76">
            <v>45740644</v>
          </cell>
          <cell r="CC76">
            <v>0</v>
          </cell>
          <cell r="CD76">
            <v>45740644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9.5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-208349</v>
          </cell>
          <cell r="CO76">
            <v>0</v>
          </cell>
          <cell r="CP76">
            <v>0</v>
          </cell>
          <cell r="CQ76">
            <v>1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54510000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 t="e">
            <v>#N/A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D77" t="str">
            <v>Lê Thị Soạn</v>
          </cell>
          <cell r="E77" t="str">
            <v>HĐLĐ</v>
          </cell>
          <cell r="F77" t="str">
            <v>Đường Láng</v>
          </cell>
          <cell r="G77" t="str">
            <v>DSBC</v>
          </cell>
          <cell r="H77">
            <v>44562</v>
          </cell>
          <cell r="I77" t="str">
            <v>0987524738</v>
          </cell>
          <cell r="J77" t="str">
            <v>Vietinbank</v>
          </cell>
          <cell r="K77">
            <v>28</v>
          </cell>
          <cell r="L77">
            <v>30</v>
          </cell>
          <cell r="M77">
            <v>20.033333333333299</v>
          </cell>
          <cell r="N77">
            <v>286.816666666667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5310000</v>
          </cell>
          <cell r="T77">
            <v>500000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6000000</v>
          </cell>
          <cell r="AB77">
            <v>0</v>
          </cell>
          <cell r="AC77">
            <v>0</v>
          </cell>
          <cell r="AD77">
            <v>0</v>
          </cell>
          <cell r="AE77">
            <v>536607.14285714296</v>
          </cell>
          <cell r="AF77">
            <v>11523883.928571399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1665600</v>
          </cell>
          <cell r="AM77">
            <v>2178543</v>
          </cell>
          <cell r="AN77">
            <v>5357700</v>
          </cell>
          <cell r="AO77">
            <v>24575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6750</v>
          </cell>
          <cell r="AZ77">
            <v>10000</v>
          </cell>
          <cell r="BA77">
            <v>0</v>
          </cell>
          <cell r="BB77">
            <v>100000</v>
          </cell>
          <cell r="BC77">
            <v>0</v>
          </cell>
          <cell r="BD77">
            <v>0</v>
          </cell>
          <cell r="BE77">
            <v>21670159.071428601</v>
          </cell>
          <cell r="BF77">
            <v>929250</v>
          </cell>
          <cell r="BG77">
            <v>159300</v>
          </cell>
          <cell r="BH77">
            <v>53100</v>
          </cell>
          <cell r="BI77">
            <v>0</v>
          </cell>
          <cell r="BJ77">
            <v>1141650</v>
          </cell>
          <cell r="BK77">
            <v>424800</v>
          </cell>
          <cell r="BL77">
            <v>79650</v>
          </cell>
          <cell r="BM77">
            <v>53100</v>
          </cell>
          <cell r="BN77">
            <v>0</v>
          </cell>
          <cell r="BO77">
            <v>557550</v>
          </cell>
          <cell r="BP77">
            <v>500000</v>
          </cell>
          <cell r="BQ77">
            <v>21170159.071428601</v>
          </cell>
          <cell r="BR77">
            <v>15500000</v>
          </cell>
          <cell r="BS77">
            <v>0</v>
          </cell>
          <cell r="BT77">
            <v>0</v>
          </cell>
          <cell r="BU77">
            <v>557550</v>
          </cell>
          <cell r="BV77">
            <v>16057550</v>
          </cell>
          <cell r="BW77">
            <v>5112609.07142857</v>
          </cell>
          <cell r="BX77">
            <v>261261</v>
          </cell>
          <cell r="BY77">
            <v>20851348</v>
          </cell>
          <cell r="BZ77">
            <v>0</v>
          </cell>
          <cell r="CA77">
            <v>0</v>
          </cell>
          <cell r="CB77">
            <v>20851348</v>
          </cell>
          <cell r="CC77">
            <v>0</v>
          </cell>
          <cell r="CD77">
            <v>20851348</v>
          </cell>
          <cell r="CE77">
            <v>0</v>
          </cell>
          <cell r="CF77" t="str">
            <v>medigo.soan.le123@gmail.com</v>
          </cell>
          <cell r="CG77" t="str">
            <v>Vào ca trễ  05/04/2026 : 10.000</v>
          </cell>
          <cell r="CH77">
            <v>2</v>
          </cell>
          <cell r="CI77">
            <v>0</v>
          </cell>
          <cell r="CJ77">
            <v>25</v>
          </cell>
          <cell r="CK77">
            <v>3</v>
          </cell>
          <cell r="CL77">
            <v>2022</v>
          </cell>
          <cell r="CM77">
            <v>0</v>
          </cell>
          <cell r="CN77">
            <v>-23111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6000000</v>
          </cell>
          <cell r="CW77">
            <v>0</v>
          </cell>
          <cell r="CX77" t="str">
            <v>Vào ca trễ  05/04/2026 : 10.000</v>
          </cell>
          <cell r="CY77" t="str">
            <v>; Vào ca trễ  05/04/2026 : 10.000</v>
          </cell>
          <cell r="CZ77">
            <v>0</v>
          </cell>
          <cell r="DA77" t="str">
            <v>Lê Thị Soạn</v>
          </cell>
          <cell r="DB77">
            <v>30</v>
          </cell>
          <cell r="DC77">
            <v>20.033333333333299</v>
          </cell>
          <cell r="DD77">
            <v>286.816666666667</v>
          </cell>
          <cell r="DE77">
            <v>703796.04166666698</v>
          </cell>
          <cell r="DF77">
            <v>15114342.03125</v>
          </cell>
          <cell r="DG77">
            <v>24233230</v>
          </cell>
          <cell r="DH77">
            <v>0</v>
          </cell>
          <cell r="DI77">
            <v>0</v>
          </cell>
        </row>
        <row r="78">
          <cell r="D78" t="str">
            <v>Nguyễn Thị Tâm</v>
          </cell>
          <cell r="E78" t="str">
            <v>HĐLĐ</v>
          </cell>
          <cell r="F78" t="str">
            <v>Đường Láng</v>
          </cell>
          <cell r="G78" t="str">
            <v>DSBC</v>
          </cell>
          <cell r="H78">
            <v>45062</v>
          </cell>
          <cell r="I78" t="str">
            <v>0924479717</v>
          </cell>
          <cell r="J78" t="str">
            <v>Vietinbank</v>
          </cell>
          <cell r="K78">
            <v>28</v>
          </cell>
          <cell r="L78">
            <v>28</v>
          </cell>
          <cell r="M78">
            <v>203.65</v>
          </cell>
          <cell r="N78">
            <v>108.23333333333299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5310000</v>
          </cell>
          <cell r="T78">
            <v>500000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6000000</v>
          </cell>
          <cell r="AB78">
            <v>0</v>
          </cell>
          <cell r="AC78">
            <v>0</v>
          </cell>
          <cell r="AD78">
            <v>0</v>
          </cell>
          <cell r="AE78">
            <v>5454910.7142857099</v>
          </cell>
          <cell r="AF78">
            <v>4348660.7142857099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1138400</v>
          </cell>
          <cell r="AM78">
            <v>0</v>
          </cell>
          <cell r="AN78">
            <v>3437400</v>
          </cell>
          <cell r="AO78">
            <v>11080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100000</v>
          </cell>
          <cell r="AX78">
            <v>0</v>
          </cell>
          <cell r="AY78">
            <v>6750</v>
          </cell>
          <cell r="AZ78">
            <v>0</v>
          </cell>
          <cell r="BA78">
            <v>0</v>
          </cell>
          <cell r="BB78">
            <v>100000</v>
          </cell>
          <cell r="BC78">
            <v>0</v>
          </cell>
          <cell r="BD78">
            <v>0</v>
          </cell>
          <cell r="BE78">
            <v>14883701.428571399</v>
          </cell>
          <cell r="BF78">
            <v>929250</v>
          </cell>
          <cell r="BG78">
            <v>159300</v>
          </cell>
          <cell r="BH78">
            <v>53100</v>
          </cell>
          <cell r="BI78">
            <v>0</v>
          </cell>
          <cell r="BJ78">
            <v>1141650</v>
          </cell>
          <cell r="BK78">
            <v>424800</v>
          </cell>
          <cell r="BL78">
            <v>79650</v>
          </cell>
          <cell r="BM78">
            <v>53100</v>
          </cell>
          <cell r="BN78">
            <v>0</v>
          </cell>
          <cell r="BO78">
            <v>557550</v>
          </cell>
          <cell r="BP78">
            <v>500000</v>
          </cell>
          <cell r="BQ78">
            <v>14383701.428571399</v>
          </cell>
          <cell r="BR78">
            <v>15500000</v>
          </cell>
          <cell r="BS78">
            <v>0</v>
          </cell>
          <cell r="BT78">
            <v>0</v>
          </cell>
          <cell r="BU78">
            <v>557550</v>
          </cell>
          <cell r="BV78">
            <v>16057550</v>
          </cell>
          <cell r="BW78">
            <v>0</v>
          </cell>
          <cell r="BX78">
            <v>0</v>
          </cell>
          <cell r="BY78">
            <v>14326151</v>
          </cell>
          <cell r="BZ78">
            <v>0</v>
          </cell>
          <cell r="CA78">
            <v>0</v>
          </cell>
          <cell r="CB78">
            <v>14326151</v>
          </cell>
          <cell r="CC78">
            <v>0</v>
          </cell>
          <cell r="CD78">
            <v>14326151</v>
          </cell>
          <cell r="CE78">
            <v>0</v>
          </cell>
          <cell r="CF78" t="str">
            <v>medigo.tam.nguyen@gmail.com</v>
          </cell>
          <cell r="CG78" t="str"/>
          <cell r="CH78">
            <v>4</v>
          </cell>
          <cell r="CI78">
            <v>0</v>
          </cell>
          <cell r="CJ78">
            <v>16</v>
          </cell>
          <cell r="CK78">
            <v>5</v>
          </cell>
          <cell r="CL78">
            <v>2023</v>
          </cell>
          <cell r="CM78">
            <v>0</v>
          </cell>
          <cell r="CN78">
            <v>-23125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6000000</v>
          </cell>
          <cell r="CW78">
            <v>0</v>
          </cell>
          <cell r="CX78" t="str"/>
          <cell r="CY78" t="str">
            <v>;</v>
          </cell>
          <cell r="CZ78">
            <v>0</v>
          </cell>
          <cell r="DA78" t="str">
            <v>Nguyễn Thị Tâm</v>
          </cell>
          <cell r="DB78">
            <v>28</v>
          </cell>
          <cell r="DC78">
            <v>203.65</v>
          </cell>
          <cell r="DD78">
            <v>108.23333333333299</v>
          </cell>
          <cell r="DE78">
            <v>5909486.6071428601</v>
          </cell>
          <cell r="DF78">
            <v>4711049.1071428601</v>
          </cell>
          <cell r="DG78">
            <v>15143116</v>
          </cell>
          <cell r="DH78">
            <v>0</v>
          </cell>
          <cell r="DI78">
            <v>0</v>
          </cell>
        </row>
        <row r="79">
          <cell r="D79" t="str">
            <v>Hứa Thị Kim Thoa</v>
          </cell>
          <cell r="E79" t="str">
            <v>HĐLĐ</v>
          </cell>
          <cell r="F79" t="str">
            <v>Đường Láng</v>
          </cell>
          <cell r="G79" t="str">
            <v>CHT</v>
          </cell>
          <cell r="H79">
            <v>45008</v>
          </cell>
          <cell r="I79" t="str">
            <v>30961328046</v>
          </cell>
          <cell r="J79" t="str">
            <v>TPbank</v>
          </cell>
          <cell r="K79">
            <v>28</v>
          </cell>
          <cell r="L79">
            <v>28</v>
          </cell>
          <cell r="M79">
            <v>44.6666666666667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5310000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5500000</v>
          </cell>
          <cell r="AB79">
            <v>0</v>
          </cell>
          <cell r="AC79">
            <v>0</v>
          </cell>
          <cell r="AD79">
            <v>5500000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6750</v>
          </cell>
          <cell r="AZ79">
            <v>10000</v>
          </cell>
          <cell r="BA79">
            <v>0</v>
          </cell>
          <cell r="BB79">
            <v>100000</v>
          </cell>
          <cell r="BC79">
            <v>0</v>
          </cell>
          <cell r="BD79">
            <v>0</v>
          </cell>
          <cell r="BE79">
            <v>5383250</v>
          </cell>
          <cell r="BF79">
            <v>929250</v>
          </cell>
          <cell r="BG79">
            <v>159300</v>
          </cell>
          <cell r="BH79">
            <v>53100</v>
          </cell>
          <cell r="BI79">
            <v>0</v>
          </cell>
          <cell r="BJ79">
            <v>1141650</v>
          </cell>
          <cell r="BK79">
            <v>424800</v>
          </cell>
          <cell r="BL79">
            <v>79650</v>
          </cell>
          <cell r="BM79">
            <v>53100</v>
          </cell>
          <cell r="BN79">
            <v>0</v>
          </cell>
          <cell r="BO79">
            <v>557550</v>
          </cell>
          <cell r="BP79">
            <v>0</v>
          </cell>
          <cell r="BQ79">
            <v>5383250</v>
          </cell>
          <cell r="BR79">
            <v>15500000</v>
          </cell>
          <cell r="BS79">
            <v>0</v>
          </cell>
          <cell r="BT79">
            <v>0</v>
          </cell>
          <cell r="BU79">
            <v>557550</v>
          </cell>
          <cell r="BV79">
            <v>16057550</v>
          </cell>
          <cell r="BW79">
            <v>0</v>
          </cell>
          <cell r="BX79">
            <v>0</v>
          </cell>
          <cell r="BY79">
            <v>4825700</v>
          </cell>
          <cell r="BZ79">
            <v>0</v>
          </cell>
          <cell r="CA79">
            <v>0</v>
          </cell>
          <cell r="CB79">
            <v>4825700</v>
          </cell>
          <cell r="CC79">
            <v>0</v>
          </cell>
          <cell r="CD79">
            <v>4825700</v>
          </cell>
          <cell r="CE79">
            <v>0</v>
          </cell>
          <cell r="CF79" t="str">
            <v>medigo.thoa.hua@gmail.com</v>
          </cell>
          <cell r="CG79" t="str">
            <v>Không đạt chấm điểm Checklist 28/04/2026: 10.000</v>
          </cell>
          <cell r="CH79">
            <v>3</v>
          </cell>
          <cell r="CI79">
            <v>0</v>
          </cell>
          <cell r="CJ79">
            <v>23</v>
          </cell>
          <cell r="CK79">
            <v>3</v>
          </cell>
          <cell r="CL79">
            <v>2023</v>
          </cell>
          <cell r="CM79">
            <v>0</v>
          </cell>
          <cell r="CN79">
            <v>-23123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6000000</v>
          </cell>
          <cell r="CW79">
            <v>0</v>
          </cell>
          <cell r="CX79" t="str">
            <v>Không đạt chấm điểm Checklist 28/04/2026: 10.000</v>
          </cell>
          <cell r="CY79" t="str">
            <v>; Không đạt chấm điểm Checklist 28/04/2026: 10.000</v>
          </cell>
          <cell r="CZ79">
            <v>0</v>
          </cell>
          <cell r="DA79" t="str">
            <v>Hứa Thị Kim Thoa</v>
          </cell>
          <cell r="DB79">
            <v>28</v>
          </cell>
          <cell r="DC79">
            <v>44.6666666666667</v>
          </cell>
          <cell r="DD79">
            <v>0</v>
          </cell>
          <cell r="DE79">
            <v>0</v>
          </cell>
          <cell r="DF79">
            <v>0</v>
          </cell>
          <cell r="DG79">
            <v>4825700</v>
          </cell>
          <cell r="DH79">
            <v>0</v>
          </cell>
          <cell r="DI79">
            <v>0</v>
          </cell>
        </row>
        <row r="80">
          <cell r="D80" t="str">
            <v>Nguyễn Thị Mai Duyên</v>
          </cell>
          <cell r="E80" t="str">
            <v>HĐLĐ</v>
          </cell>
          <cell r="F80" t="str">
            <v>Đường Láng</v>
          </cell>
          <cell r="G80" t="str">
            <v>DSBC</v>
          </cell>
          <cell r="H80" t="str">
            <v>21/03/2025</v>
          </cell>
          <cell r="I80" t="str">
            <v>51016102001</v>
          </cell>
          <cell r="J80" t="str">
            <v>VP Bank</v>
          </cell>
          <cell r="K80">
            <v>28</v>
          </cell>
          <cell r="L80">
            <v>27</v>
          </cell>
          <cell r="M80">
            <v>161.066666666667</v>
          </cell>
          <cell r="N80">
            <v>138.61666666666699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5310000</v>
          </cell>
          <cell r="T80">
            <v>482142.85714285698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6000000</v>
          </cell>
          <cell r="AB80">
            <v>0</v>
          </cell>
          <cell r="AC80">
            <v>0</v>
          </cell>
          <cell r="AD80">
            <v>0</v>
          </cell>
          <cell r="AE80">
            <v>4314285.7142857201</v>
          </cell>
          <cell r="AF80">
            <v>5569419.6428571399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1694400</v>
          </cell>
          <cell r="AM80">
            <v>3079438</v>
          </cell>
          <cell r="AN80">
            <v>5105700</v>
          </cell>
          <cell r="AO80">
            <v>21510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6750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20260146.214285702</v>
          </cell>
          <cell r="BF80">
            <v>929250</v>
          </cell>
          <cell r="BG80">
            <v>159300</v>
          </cell>
          <cell r="BH80">
            <v>53100</v>
          </cell>
          <cell r="BI80">
            <v>0</v>
          </cell>
          <cell r="BJ80">
            <v>1141650</v>
          </cell>
          <cell r="BK80">
            <v>424800</v>
          </cell>
          <cell r="BL80">
            <v>79650</v>
          </cell>
          <cell r="BM80">
            <v>53100</v>
          </cell>
          <cell r="BN80">
            <v>0</v>
          </cell>
          <cell r="BO80">
            <v>557550</v>
          </cell>
          <cell r="BP80">
            <v>482142.85714285698</v>
          </cell>
          <cell r="BQ80">
            <v>19778003.357142899</v>
          </cell>
          <cell r="BR80">
            <v>15500000</v>
          </cell>
          <cell r="BS80">
            <v>0</v>
          </cell>
          <cell r="BT80">
            <v>0</v>
          </cell>
          <cell r="BU80">
            <v>557550</v>
          </cell>
          <cell r="BV80">
            <v>16057550</v>
          </cell>
          <cell r="BW80">
            <v>3720453.3571428601</v>
          </cell>
          <cell r="BX80">
            <v>186023</v>
          </cell>
          <cell r="BY80">
            <v>19516573</v>
          </cell>
          <cell r="BZ80">
            <v>0</v>
          </cell>
          <cell r="CA80">
            <v>0</v>
          </cell>
          <cell r="CB80">
            <v>19516573</v>
          </cell>
          <cell r="CC80">
            <v>0</v>
          </cell>
          <cell r="CD80">
            <v>19516573</v>
          </cell>
          <cell r="CE80">
            <v>0</v>
          </cell>
          <cell r="CF80" t="str">
            <v>medigo.maiduyen.nguyen@gmail.com</v>
          </cell>
          <cell r="CG80" t="str"/>
          <cell r="CH80">
            <v>10</v>
          </cell>
          <cell r="CI80">
            <v>0</v>
          </cell>
          <cell r="CJ80">
            <v>21</v>
          </cell>
          <cell r="CK80">
            <v>3</v>
          </cell>
          <cell r="CL80">
            <v>2025</v>
          </cell>
          <cell r="CM80">
            <v>0</v>
          </cell>
          <cell r="CN80">
            <v>-23147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6000000</v>
          </cell>
          <cell r="CW80">
            <v>0</v>
          </cell>
          <cell r="CX80" t="str"/>
          <cell r="CY80" t="str">
            <v>;</v>
          </cell>
          <cell r="CZ80">
            <v>0</v>
          </cell>
          <cell r="DA80" t="str">
            <v>Nguyễn Thị Mai Duyên</v>
          </cell>
          <cell r="DB80">
            <v>27</v>
          </cell>
          <cell r="DC80">
            <v>161.066666666667</v>
          </cell>
          <cell r="DD80">
            <v>138.61666666666699</v>
          </cell>
          <cell r="DE80">
            <v>4314285.7142857201</v>
          </cell>
          <cell r="DF80">
            <v>5569419.6428571399</v>
          </cell>
          <cell r="DG80">
            <v>19516573</v>
          </cell>
          <cell r="DH80">
            <v>0</v>
          </cell>
          <cell r="DI80">
            <v>0</v>
          </cell>
        </row>
        <row r="81">
          <cell r="D81" t="str">
            <v>Trần Ngọc Dung</v>
          </cell>
          <cell r="E81" t="str">
            <v>HĐTV</v>
          </cell>
          <cell r="F81" t="str">
            <v>Đường Láng</v>
          </cell>
          <cell r="G81" t="str">
            <v>DSTV</v>
          </cell>
          <cell r="H81" t="str">
            <v>10/3/2026</v>
          </cell>
          <cell r="I81" t="str">
            <v>19036814716010</v>
          </cell>
          <cell r="J81" t="str">
            <v>Techcombank</v>
          </cell>
          <cell r="K81">
            <v>28</v>
          </cell>
          <cell r="L81">
            <v>27</v>
          </cell>
          <cell r="M81">
            <v>225.933333333333</v>
          </cell>
          <cell r="N81">
            <v>90.433333333333294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482142.85714285698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5100000</v>
          </cell>
          <cell r="AB81">
            <v>0</v>
          </cell>
          <cell r="AC81">
            <v>0</v>
          </cell>
          <cell r="AD81">
            <v>0</v>
          </cell>
          <cell r="AE81">
            <v>5144017.8571428601</v>
          </cell>
          <cell r="AF81">
            <v>3088459.82142857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1508300</v>
          </cell>
          <cell r="AO81">
            <v>14210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10237130.5357143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482142.85714285698</v>
          </cell>
          <cell r="BQ81">
            <v>9754987.6785714291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9754987.6785714291</v>
          </cell>
          <cell r="BX81">
            <v>975498.76785714296</v>
          </cell>
          <cell r="BY81">
            <v>9261632</v>
          </cell>
          <cell r="BZ81">
            <v>0</v>
          </cell>
          <cell r="CA81">
            <v>0</v>
          </cell>
          <cell r="CB81">
            <v>9261632</v>
          </cell>
          <cell r="CC81">
            <v>0</v>
          </cell>
          <cell r="CD81">
            <v>9261632</v>
          </cell>
          <cell r="CE81">
            <v>0</v>
          </cell>
          <cell r="CF81" t="str">
            <v>dung.tran@medigoapp.com</v>
          </cell>
          <cell r="CG81" t="str"/>
          <cell r="CH81">
            <v>10</v>
          </cell>
          <cell r="CI81">
            <v>2</v>
          </cell>
          <cell r="CJ81">
            <v>10</v>
          </cell>
          <cell r="CK81">
            <v>3</v>
          </cell>
          <cell r="CL81">
            <v>2026</v>
          </cell>
          <cell r="CM81">
            <v>0</v>
          </cell>
          <cell r="CN81">
            <v>-23159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5100000</v>
          </cell>
          <cell r="CW81">
            <v>0</v>
          </cell>
          <cell r="CX81" t="str"/>
          <cell r="CY81" t="str">
            <v>;</v>
          </cell>
          <cell r="CZ81">
            <v>0</v>
          </cell>
          <cell r="DA81" t="str">
            <v>Trần Ngọc Dung</v>
          </cell>
          <cell r="DB81">
            <v>27</v>
          </cell>
          <cell r="DC81">
            <v>225.933333333333</v>
          </cell>
          <cell r="DD81">
            <v>90.433333333333294</v>
          </cell>
          <cell r="DE81">
            <v>5144017.8571428601</v>
          </cell>
          <cell r="DF81">
            <v>3088459.82142857</v>
          </cell>
          <cell r="DG81">
            <v>9261632</v>
          </cell>
          <cell r="DH81">
            <v>0</v>
          </cell>
          <cell r="DI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140</v>
          </cell>
          <cell r="L82">
            <v>140</v>
          </cell>
          <cell r="M82">
            <v>655.35</v>
          </cell>
          <cell r="N82">
            <v>624.1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21240000</v>
          </cell>
          <cell r="T82">
            <v>1964285.7142857099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28600000</v>
          </cell>
          <cell r="AB82">
            <v>0</v>
          </cell>
          <cell r="AC82">
            <v>0</v>
          </cell>
          <cell r="AD82">
            <v>5500000</v>
          </cell>
          <cell r="AE82">
            <v>15449821.428571399</v>
          </cell>
          <cell r="AF82">
            <v>24530424.107142899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4498400</v>
          </cell>
          <cell r="AM82">
            <v>5257981</v>
          </cell>
          <cell r="AN82">
            <v>15409100</v>
          </cell>
          <cell r="AO82">
            <v>71375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100000</v>
          </cell>
          <cell r="AX82">
            <v>0</v>
          </cell>
          <cell r="AY82">
            <v>27000</v>
          </cell>
          <cell r="AZ82">
            <v>20000</v>
          </cell>
          <cell r="BA82">
            <v>0</v>
          </cell>
          <cell r="BB82">
            <v>300000</v>
          </cell>
          <cell r="BC82">
            <v>0</v>
          </cell>
          <cell r="BD82">
            <v>0</v>
          </cell>
          <cell r="BE82">
            <v>72434387.25</v>
          </cell>
          <cell r="BF82">
            <v>3717000</v>
          </cell>
          <cell r="BG82">
            <v>637200</v>
          </cell>
          <cell r="BH82">
            <v>212400</v>
          </cell>
          <cell r="BI82">
            <v>0</v>
          </cell>
          <cell r="BJ82">
            <v>4566600</v>
          </cell>
          <cell r="BK82">
            <v>1699200</v>
          </cell>
          <cell r="BL82">
            <v>318600</v>
          </cell>
          <cell r="BM82">
            <v>212400</v>
          </cell>
          <cell r="BN82">
            <v>0</v>
          </cell>
          <cell r="BO82">
            <v>2230200</v>
          </cell>
          <cell r="BP82">
            <v>1964285.7142857099</v>
          </cell>
          <cell r="BQ82">
            <v>70470101.535714298</v>
          </cell>
          <cell r="BR82">
            <v>62000000</v>
          </cell>
          <cell r="BS82">
            <v>0</v>
          </cell>
          <cell r="BT82">
            <v>0</v>
          </cell>
          <cell r="BU82">
            <v>2230200</v>
          </cell>
          <cell r="BV82">
            <v>64230200</v>
          </cell>
          <cell r="BW82">
            <v>18588050.107142899</v>
          </cell>
          <cell r="BX82">
            <v>1422782.7678571399</v>
          </cell>
          <cell r="BY82">
            <v>68781404</v>
          </cell>
          <cell r="BZ82">
            <v>0</v>
          </cell>
          <cell r="CA82">
            <v>0</v>
          </cell>
          <cell r="CB82">
            <v>68781404</v>
          </cell>
          <cell r="CC82">
            <v>0</v>
          </cell>
          <cell r="CD82">
            <v>68781404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-115665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 t="e">
            <v>#N/A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D83" t="str">
            <v>Đinh Thị Lan Anh</v>
          </cell>
          <cell r="E83" t="str">
            <v>HĐLĐ</v>
          </cell>
          <cell r="F83" t="str">
            <v>Hàng Bông</v>
          </cell>
          <cell r="G83" t="str">
            <v>DSBC</v>
          </cell>
          <cell r="H83">
            <v>44674</v>
          </cell>
          <cell r="I83" t="str">
            <v>16010000495222</v>
          </cell>
          <cell r="J83" t="str">
            <v>BIDV</v>
          </cell>
          <cell r="K83">
            <v>28</v>
          </cell>
          <cell r="L83">
            <v>30</v>
          </cell>
          <cell r="M83">
            <v>223.96666666666701</v>
          </cell>
          <cell r="N83">
            <v>96.1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5310000</v>
          </cell>
          <cell r="T83">
            <v>500000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6000000</v>
          </cell>
          <cell r="AB83">
            <v>0</v>
          </cell>
          <cell r="AC83">
            <v>0</v>
          </cell>
          <cell r="AD83">
            <v>0</v>
          </cell>
          <cell r="AE83">
            <v>5999107.1428571399</v>
          </cell>
          <cell r="AF83">
            <v>3861160.7142857099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1786000</v>
          </cell>
          <cell r="AM83">
            <v>4182491</v>
          </cell>
          <cell r="AN83">
            <v>3909700</v>
          </cell>
          <cell r="AO83">
            <v>57172.65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100000</v>
          </cell>
          <cell r="AX83">
            <v>0</v>
          </cell>
          <cell r="AY83">
            <v>39600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20356031.507142901</v>
          </cell>
          <cell r="BF83">
            <v>929250</v>
          </cell>
          <cell r="BG83">
            <v>159300</v>
          </cell>
          <cell r="BH83">
            <v>53100</v>
          </cell>
          <cell r="BI83">
            <v>0</v>
          </cell>
          <cell r="BJ83">
            <v>1141650</v>
          </cell>
          <cell r="BK83">
            <v>424800</v>
          </cell>
          <cell r="BL83">
            <v>79650</v>
          </cell>
          <cell r="BM83">
            <v>53100</v>
          </cell>
          <cell r="BN83">
            <v>0</v>
          </cell>
          <cell r="BO83">
            <v>557550</v>
          </cell>
          <cell r="BP83">
            <v>500000</v>
          </cell>
          <cell r="BQ83">
            <v>19856031.507142901</v>
          </cell>
          <cell r="BR83">
            <v>15500000</v>
          </cell>
          <cell r="BS83">
            <v>0</v>
          </cell>
          <cell r="BT83">
            <v>0</v>
          </cell>
          <cell r="BU83">
            <v>557550</v>
          </cell>
          <cell r="BV83">
            <v>16057550</v>
          </cell>
          <cell r="BW83">
            <v>3798481.50714286</v>
          </cell>
          <cell r="BX83">
            <v>189924</v>
          </cell>
          <cell r="BY83">
            <v>19608558</v>
          </cell>
          <cell r="BZ83">
            <v>0</v>
          </cell>
          <cell r="CA83">
            <v>0</v>
          </cell>
          <cell r="CB83">
            <v>19608558</v>
          </cell>
          <cell r="CC83">
            <v>0</v>
          </cell>
          <cell r="CD83">
            <v>19608558</v>
          </cell>
          <cell r="CE83">
            <v>0</v>
          </cell>
          <cell r="CF83" t="str">
            <v>medigo.anh.dinh@gmail.com</v>
          </cell>
          <cell r="CG83" t="str"/>
          <cell r="CH83">
            <v>4</v>
          </cell>
          <cell r="CI83">
            <v>0</v>
          </cell>
          <cell r="CJ83">
            <v>23</v>
          </cell>
          <cell r="CK83">
            <v>4</v>
          </cell>
          <cell r="CL83">
            <v>2022</v>
          </cell>
          <cell r="CM83">
            <v>0</v>
          </cell>
          <cell r="CN83">
            <v>-23112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6000000</v>
          </cell>
          <cell r="CW83">
            <v>0</v>
          </cell>
          <cell r="CX83" t="str"/>
          <cell r="CY83" t="str">
            <v>;</v>
          </cell>
          <cell r="CZ83">
            <v>0</v>
          </cell>
          <cell r="DA83" t="str">
            <v>Đinh Thị Lan Anh</v>
          </cell>
          <cell r="DB83">
            <v>30</v>
          </cell>
          <cell r="DC83">
            <v>223.96666666666701</v>
          </cell>
          <cell r="DD83">
            <v>96.1</v>
          </cell>
          <cell r="DE83">
            <v>7918821.42857143</v>
          </cell>
          <cell r="DF83">
            <v>5096732.1428571399</v>
          </cell>
          <cell r="DG83">
            <v>22508390</v>
          </cell>
          <cell r="DH83">
            <v>0</v>
          </cell>
          <cell r="DI83">
            <v>0</v>
          </cell>
        </row>
        <row r="84">
          <cell r="D84" t="str">
            <v>Lê Ngọc Anh</v>
          </cell>
          <cell r="E84" t="str">
            <v>HĐLĐ</v>
          </cell>
          <cell r="F84" t="str">
            <v>Hàng Bông</v>
          </cell>
          <cell r="G84" t="str">
            <v>CHT</v>
          </cell>
          <cell r="H84" t="str">
            <v>14/07/2025</v>
          </cell>
          <cell r="I84" t="str">
            <v>19035368311013</v>
          </cell>
          <cell r="J84" t="str">
            <v>techcombank</v>
          </cell>
          <cell r="K84">
            <v>28</v>
          </cell>
          <cell r="L84">
            <v>20</v>
          </cell>
          <cell r="M84">
            <v>124.216666666667</v>
          </cell>
          <cell r="N84">
            <v>35.25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5310000</v>
          </cell>
          <cell r="T84">
            <v>357142.85714285698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6000000</v>
          </cell>
          <cell r="AB84">
            <v>0</v>
          </cell>
          <cell r="AC84">
            <v>0</v>
          </cell>
          <cell r="AD84">
            <v>0</v>
          </cell>
          <cell r="AE84">
            <v>3327232.1428571399</v>
          </cell>
          <cell r="AF84">
            <v>1416294.6428571399</v>
          </cell>
          <cell r="AG84">
            <v>0</v>
          </cell>
          <cell r="AH84">
            <v>0</v>
          </cell>
          <cell r="AI84">
            <v>0</v>
          </cell>
          <cell r="AJ84">
            <v>1000000</v>
          </cell>
          <cell r="AK84">
            <v>0</v>
          </cell>
          <cell r="AL84">
            <v>0</v>
          </cell>
          <cell r="AM84">
            <v>4656042</v>
          </cell>
          <cell r="AN84">
            <v>2200</v>
          </cell>
          <cell r="AO84">
            <v>140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39600</v>
          </cell>
          <cell r="AZ84">
            <v>10000</v>
          </cell>
          <cell r="BA84">
            <v>0</v>
          </cell>
          <cell r="BB84">
            <v>150000</v>
          </cell>
          <cell r="BC84">
            <v>0</v>
          </cell>
          <cell r="BD84">
            <v>0</v>
          </cell>
          <cell r="BE84">
            <v>10559451.642857101</v>
          </cell>
          <cell r="BF84">
            <v>929250</v>
          </cell>
          <cell r="BG84">
            <v>159300</v>
          </cell>
          <cell r="BH84">
            <v>53100</v>
          </cell>
          <cell r="BI84">
            <v>0</v>
          </cell>
          <cell r="BJ84">
            <v>1141650</v>
          </cell>
          <cell r="BK84">
            <v>424800</v>
          </cell>
          <cell r="BL84">
            <v>79650</v>
          </cell>
          <cell r="BM84">
            <v>53100</v>
          </cell>
          <cell r="BN84">
            <v>0</v>
          </cell>
          <cell r="BO84">
            <v>557550</v>
          </cell>
          <cell r="BP84">
            <v>357142.85714285698</v>
          </cell>
          <cell r="BQ84">
            <v>10202308.7857143</v>
          </cell>
          <cell r="BR84">
            <v>15500000</v>
          </cell>
          <cell r="BS84">
            <v>0</v>
          </cell>
          <cell r="BT84">
            <v>0</v>
          </cell>
          <cell r="BU84">
            <v>557550</v>
          </cell>
          <cell r="BV84">
            <v>16057550</v>
          </cell>
          <cell r="BW84">
            <v>0</v>
          </cell>
          <cell r="BX84">
            <v>0</v>
          </cell>
          <cell r="BY84">
            <v>10001902</v>
          </cell>
          <cell r="BZ84">
            <v>0</v>
          </cell>
          <cell r="CA84">
            <v>0</v>
          </cell>
          <cell r="CB84">
            <v>10001902</v>
          </cell>
          <cell r="CC84">
            <v>0</v>
          </cell>
          <cell r="CD84">
            <v>10001902</v>
          </cell>
          <cell r="CE84">
            <v>0</v>
          </cell>
          <cell r="CF84" t="str">
            <v>medigo.ngocanh.lehn@gmail.com</v>
          </cell>
          <cell r="CG84" t="str">
            <v>Về sớm  07/04/2026: 10.000</v>
          </cell>
          <cell r="CH84">
            <v>6</v>
          </cell>
          <cell r="CI84">
            <v>0</v>
          </cell>
          <cell r="CJ84">
            <v>14</v>
          </cell>
          <cell r="CK84">
            <v>7</v>
          </cell>
          <cell r="CL84">
            <v>2025</v>
          </cell>
          <cell r="CM84">
            <v>0</v>
          </cell>
          <cell r="CN84">
            <v>-23151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6000000</v>
          </cell>
          <cell r="CW84">
            <v>0</v>
          </cell>
          <cell r="CX84" t="str">
            <v>Về sớm  07/04/2026: 10.000</v>
          </cell>
          <cell r="CY84" t="str">
            <v>; Về sớm  07/04/2026: 10.000</v>
          </cell>
          <cell r="CZ84">
            <v>0</v>
          </cell>
          <cell r="DA84" t="str">
            <v>Lê Ngọc Anh</v>
          </cell>
          <cell r="DB84">
            <v>20</v>
          </cell>
          <cell r="DC84">
            <v>124.216666666667</v>
          </cell>
          <cell r="DD84">
            <v>35.25</v>
          </cell>
          <cell r="DE84">
            <v>3327232.1428571399</v>
          </cell>
          <cell r="DF84">
            <v>1416294.6428571399</v>
          </cell>
          <cell r="DG84">
            <v>10001902</v>
          </cell>
          <cell r="DH84">
            <v>0</v>
          </cell>
          <cell r="DI84">
            <v>0</v>
          </cell>
        </row>
        <row r="85">
          <cell r="D85" t="str">
            <v>Vũ Thanh Hằng</v>
          </cell>
          <cell r="E85" t="str">
            <v>HĐLĐ</v>
          </cell>
          <cell r="F85" t="str">
            <v>Hàng Bông</v>
          </cell>
          <cell r="G85" t="str">
            <v>DSBC</v>
          </cell>
          <cell r="H85" t="str">
            <v>22/9/2025</v>
          </cell>
          <cell r="I85" t="str">
            <v>9993886688</v>
          </cell>
          <cell r="J85" t="str">
            <v>Techcombank</v>
          </cell>
          <cell r="K85">
            <v>28</v>
          </cell>
          <cell r="L85">
            <v>29</v>
          </cell>
          <cell r="M85">
            <v>229.23333333333301</v>
          </cell>
          <cell r="N85">
            <v>71.7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5310000</v>
          </cell>
          <cell r="T85">
            <v>500000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6000000</v>
          </cell>
          <cell r="AB85">
            <v>0</v>
          </cell>
          <cell r="AC85">
            <v>0</v>
          </cell>
          <cell r="AD85">
            <v>0</v>
          </cell>
          <cell r="AE85">
            <v>6140178.57142857</v>
          </cell>
          <cell r="AF85">
            <v>2880803.57142857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4000000</v>
          </cell>
          <cell r="AM85">
            <v>5649660</v>
          </cell>
          <cell r="AN85">
            <v>5900900</v>
          </cell>
          <cell r="AO85">
            <v>9530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39600</v>
          </cell>
          <cell r="AZ85">
            <v>10000</v>
          </cell>
          <cell r="BA85">
            <v>0</v>
          </cell>
          <cell r="BB85">
            <v>100000</v>
          </cell>
          <cell r="BC85">
            <v>0</v>
          </cell>
          <cell r="BD85">
            <v>0</v>
          </cell>
          <cell r="BE85">
            <v>24931472.142857101</v>
          </cell>
          <cell r="BF85">
            <v>26550</v>
          </cell>
          <cell r="BG85">
            <v>0</v>
          </cell>
          <cell r="BH85">
            <v>0</v>
          </cell>
          <cell r="BI85">
            <v>0</v>
          </cell>
          <cell r="BJ85">
            <v>26550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500000</v>
          </cell>
          <cell r="BQ85">
            <v>24431472.142857101</v>
          </cell>
          <cell r="BR85">
            <v>15500000</v>
          </cell>
          <cell r="BS85">
            <v>0</v>
          </cell>
          <cell r="BT85">
            <v>0</v>
          </cell>
          <cell r="BU85">
            <v>0</v>
          </cell>
          <cell r="BV85">
            <v>15500000</v>
          </cell>
          <cell r="BW85">
            <v>8931472.1428571399</v>
          </cell>
          <cell r="BX85">
            <v>643147</v>
          </cell>
          <cell r="BY85">
            <v>24288325</v>
          </cell>
          <cell r="BZ85">
            <v>0</v>
          </cell>
          <cell r="CA85">
            <v>0</v>
          </cell>
          <cell r="CB85">
            <v>24288325</v>
          </cell>
          <cell r="CC85">
            <v>0</v>
          </cell>
          <cell r="CD85">
            <v>24288325</v>
          </cell>
          <cell r="CE85">
            <v>0</v>
          </cell>
          <cell r="CF85" t="str">
            <v>hang.vu@medigoapp.com</v>
          </cell>
          <cell r="CG85" t="str">
            <v>Đi trễ về sớm        25/04/2026 : 10.000</v>
          </cell>
          <cell r="CH85">
            <v>9</v>
          </cell>
          <cell r="CI85">
            <v>0</v>
          </cell>
          <cell r="CJ85">
            <v>22</v>
          </cell>
          <cell r="CK85">
            <v>9</v>
          </cell>
          <cell r="CL85">
            <v>2025</v>
          </cell>
          <cell r="CM85">
            <v>0</v>
          </cell>
          <cell r="CN85">
            <v>-23153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6000000</v>
          </cell>
          <cell r="CW85">
            <v>0</v>
          </cell>
          <cell r="CX85" t="str">
            <v>Đi trễ về sớm        25/04/2026 : 10.000</v>
          </cell>
          <cell r="CY85" t="str">
            <v>; Đi trễ về sớm        25/04/2026 : 10.000</v>
          </cell>
          <cell r="CZ85">
            <v>0</v>
          </cell>
          <cell r="DA85" t="str">
            <v>Vũ Thanh Hằng</v>
          </cell>
          <cell r="DB85">
            <v>29</v>
          </cell>
          <cell r="DC85">
            <v>229.23333333333301</v>
          </cell>
          <cell r="DD85">
            <v>71.7</v>
          </cell>
          <cell r="DE85">
            <v>6140178.57142857</v>
          </cell>
          <cell r="DF85">
            <v>2880803.57142857</v>
          </cell>
          <cell r="DG85">
            <v>24288325</v>
          </cell>
          <cell r="DH85">
            <v>0</v>
          </cell>
          <cell r="DI85">
            <v>0</v>
          </cell>
        </row>
        <row r="86">
          <cell r="D86" t="str">
            <v>Đinh Thị Khánh Ly</v>
          </cell>
          <cell r="E86" t="str">
            <v>HĐLĐ</v>
          </cell>
          <cell r="F86" t="str">
            <v>Hàng Bông</v>
          </cell>
          <cell r="G86" t="str">
            <v>DSBC</v>
          </cell>
          <cell r="H86" t="str">
            <v>03/11/2025</v>
          </cell>
          <cell r="I86" t="str">
            <v>0021000423384</v>
          </cell>
          <cell r="J86" t="str">
            <v>Vietcombank</v>
          </cell>
          <cell r="K86">
            <v>28</v>
          </cell>
          <cell r="L86">
            <v>26</v>
          </cell>
          <cell r="M86">
            <v>179.933333333333</v>
          </cell>
          <cell r="N86">
            <v>80.2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5310000</v>
          </cell>
          <cell r="T86">
            <v>464285.71428571403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6000000</v>
          </cell>
          <cell r="AB86">
            <v>0</v>
          </cell>
          <cell r="AC86">
            <v>0</v>
          </cell>
          <cell r="AD86">
            <v>0</v>
          </cell>
          <cell r="AE86">
            <v>4819642.8571428601</v>
          </cell>
          <cell r="AF86">
            <v>3222321.42857143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1902000</v>
          </cell>
          <cell r="AM86">
            <v>0</v>
          </cell>
          <cell r="AN86">
            <v>4293200</v>
          </cell>
          <cell r="AO86">
            <v>9100</v>
          </cell>
          <cell r="AP86">
            <v>0</v>
          </cell>
          <cell r="AQ86">
            <v>513260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39600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15184210</v>
          </cell>
          <cell r="BF86">
            <v>929250</v>
          </cell>
          <cell r="BG86">
            <v>159300</v>
          </cell>
          <cell r="BH86">
            <v>53100</v>
          </cell>
          <cell r="BI86">
            <v>0</v>
          </cell>
          <cell r="BJ86">
            <v>1141650</v>
          </cell>
          <cell r="BK86">
            <v>424800</v>
          </cell>
          <cell r="BL86">
            <v>79650</v>
          </cell>
          <cell r="BM86">
            <v>53100</v>
          </cell>
          <cell r="BN86">
            <v>0</v>
          </cell>
          <cell r="BO86">
            <v>557550</v>
          </cell>
          <cell r="BP86">
            <v>464285.71428571403</v>
          </cell>
          <cell r="BQ86">
            <v>14719924.2857143</v>
          </cell>
          <cell r="BR86">
            <v>15500000</v>
          </cell>
          <cell r="BS86">
            <v>0</v>
          </cell>
          <cell r="BT86">
            <v>0</v>
          </cell>
          <cell r="BU86">
            <v>557550</v>
          </cell>
          <cell r="BV86">
            <v>16057550</v>
          </cell>
          <cell r="BW86">
            <v>0</v>
          </cell>
          <cell r="BX86">
            <v>0</v>
          </cell>
          <cell r="BY86">
            <v>14626660</v>
          </cell>
          <cell r="BZ86">
            <v>0</v>
          </cell>
          <cell r="CA86">
            <v>0</v>
          </cell>
          <cell r="CB86">
            <v>14626660</v>
          </cell>
          <cell r="CC86">
            <v>0</v>
          </cell>
          <cell r="CD86">
            <v>14626660</v>
          </cell>
          <cell r="CE86">
            <v>0</v>
          </cell>
          <cell r="CF86" t="str">
            <v>ly.dinh@medigoapp.com</v>
          </cell>
          <cell r="CG86" t="str"/>
          <cell r="CH86">
            <v>12</v>
          </cell>
          <cell r="CI86">
            <v>0</v>
          </cell>
          <cell r="CJ86">
            <v>3</v>
          </cell>
          <cell r="CK86">
            <v>11</v>
          </cell>
          <cell r="CL86">
            <v>2025</v>
          </cell>
          <cell r="CM86">
            <v>0</v>
          </cell>
          <cell r="CN86">
            <v>-23155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6000000</v>
          </cell>
          <cell r="CW86">
            <v>0</v>
          </cell>
          <cell r="CX86" t="str"/>
          <cell r="CY86" t="str">
            <v>;</v>
          </cell>
          <cell r="CZ86">
            <v>0</v>
          </cell>
          <cell r="DA86" t="str">
            <v>Đinh Thị Khánh Ly</v>
          </cell>
          <cell r="DB86">
            <v>26</v>
          </cell>
          <cell r="DC86">
            <v>179.933333333333</v>
          </cell>
          <cell r="DD86">
            <v>80.2</v>
          </cell>
          <cell r="DE86">
            <v>4819642.8571428601</v>
          </cell>
          <cell r="DF86">
            <v>3222321.42857143</v>
          </cell>
          <cell r="DG86">
            <v>14626660</v>
          </cell>
          <cell r="DH86">
            <v>0</v>
          </cell>
          <cell r="DI86">
            <v>0</v>
          </cell>
        </row>
        <row r="87">
          <cell r="D87" t="str">
            <v>Nguyễn Mạnh Tuấn</v>
          </cell>
          <cell r="E87" t="str">
            <v>HĐLĐ</v>
          </cell>
          <cell r="F87" t="str">
            <v>Hàng Bông</v>
          </cell>
          <cell r="G87" t="str">
            <v>DSBC</v>
          </cell>
          <cell r="H87" t="str">
            <v>29/09/2025</v>
          </cell>
          <cell r="I87" t="str">
            <v>00834502302</v>
          </cell>
          <cell r="J87" t="str">
            <v>TP bank</v>
          </cell>
          <cell r="K87">
            <v>28</v>
          </cell>
          <cell r="L87">
            <v>29</v>
          </cell>
          <cell r="M87">
            <v>168.03333333333299</v>
          </cell>
          <cell r="N87">
            <v>132.19999999999999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5310000</v>
          </cell>
          <cell r="T87">
            <v>500000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6000000</v>
          </cell>
          <cell r="AB87">
            <v>0</v>
          </cell>
          <cell r="AC87">
            <v>0</v>
          </cell>
          <cell r="AD87">
            <v>0</v>
          </cell>
          <cell r="AE87">
            <v>4500892.8571428601</v>
          </cell>
          <cell r="AF87">
            <v>5311607.1428571399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1627000</v>
          </cell>
          <cell r="AM87">
            <v>2939401</v>
          </cell>
          <cell r="AN87">
            <v>3565500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39600</v>
          </cell>
          <cell r="AZ87">
            <v>0</v>
          </cell>
          <cell r="BA87">
            <v>0</v>
          </cell>
          <cell r="BB87">
            <v>200000</v>
          </cell>
          <cell r="BC87">
            <v>0</v>
          </cell>
          <cell r="BD87">
            <v>0</v>
          </cell>
          <cell r="BE87">
            <v>18204801</v>
          </cell>
          <cell r="BF87">
            <v>929250</v>
          </cell>
          <cell r="BG87">
            <v>159300</v>
          </cell>
          <cell r="BH87">
            <v>53100</v>
          </cell>
          <cell r="BI87">
            <v>0</v>
          </cell>
          <cell r="BJ87">
            <v>1141650</v>
          </cell>
          <cell r="BK87">
            <v>424800</v>
          </cell>
          <cell r="BL87">
            <v>79650</v>
          </cell>
          <cell r="BM87">
            <v>53100</v>
          </cell>
          <cell r="BN87">
            <v>0</v>
          </cell>
          <cell r="BO87">
            <v>557550</v>
          </cell>
          <cell r="BP87">
            <v>500000</v>
          </cell>
          <cell r="BQ87">
            <v>17704801</v>
          </cell>
          <cell r="BR87">
            <v>15500000</v>
          </cell>
          <cell r="BS87">
            <v>0</v>
          </cell>
          <cell r="BT87">
            <v>0</v>
          </cell>
          <cell r="BU87">
            <v>557550</v>
          </cell>
          <cell r="BV87">
            <v>16057550</v>
          </cell>
          <cell r="BW87">
            <v>1647251</v>
          </cell>
          <cell r="BX87">
            <v>82363</v>
          </cell>
          <cell r="BY87">
            <v>17564888</v>
          </cell>
          <cell r="BZ87">
            <v>0</v>
          </cell>
          <cell r="CA87">
            <v>0</v>
          </cell>
          <cell r="CB87">
            <v>17564888</v>
          </cell>
          <cell r="CC87">
            <v>0</v>
          </cell>
          <cell r="CD87">
            <v>17564888</v>
          </cell>
          <cell r="CE87">
            <v>0</v>
          </cell>
          <cell r="CF87" t="str">
            <v>tuan.nguyen@medigoapp.com</v>
          </cell>
          <cell r="CG87" t="str"/>
          <cell r="CH87">
            <v>12</v>
          </cell>
          <cell r="CI87">
            <v>0</v>
          </cell>
          <cell r="CJ87">
            <v>29</v>
          </cell>
          <cell r="CK87">
            <v>9</v>
          </cell>
          <cell r="CL87">
            <v>2025</v>
          </cell>
          <cell r="CM87">
            <v>0</v>
          </cell>
          <cell r="CN87">
            <v>-23153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6000000</v>
          </cell>
          <cell r="CW87">
            <v>0</v>
          </cell>
          <cell r="CX87" t="str"/>
          <cell r="CY87" t="str">
            <v>;</v>
          </cell>
          <cell r="CZ87">
            <v>0</v>
          </cell>
          <cell r="DA87" t="str">
            <v>Nguyễn Mạnh Tuấn</v>
          </cell>
          <cell r="DB87">
            <v>29</v>
          </cell>
          <cell r="DC87">
            <v>168.03333333333299</v>
          </cell>
          <cell r="DD87">
            <v>132.19999999999999</v>
          </cell>
          <cell r="DE87">
            <v>4500892.8571428601</v>
          </cell>
          <cell r="DF87">
            <v>5311607.1428571399</v>
          </cell>
          <cell r="DG87">
            <v>17564888</v>
          </cell>
          <cell r="DH87">
            <v>0</v>
          </cell>
          <cell r="DI8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Bảng đánh giá"/>
      <sheetName val="BẢNG LƯƠNG"/>
      <sheetName val="whatsapp"/>
      <sheetName val="Cận date"/>
      <sheetName val="KPI"/>
      <sheetName val="Thưởng CK"/>
      <sheetName val="Giờ công"/>
      <sheetName val="Ngày công"/>
      <sheetName val="Dự án"/>
      <sheetName val="Tăng ca lễ"/>
      <sheetName val="KPI trừ"/>
      <sheetName val="Công Đào tạo"/>
      <sheetName val="Map"/>
      <sheetName val="Nghỉ phép năm - HR"/>
    </sheetNames>
    <sheetDataSet>
      <sheetData sheetId="0" refreshError="1"/>
      <sheetData sheetId="1" refreshError="1">
        <row r="3">
          <cell r="C3" t="str">
            <v>Hồ Thị Minh Hòa</v>
          </cell>
          <cell r="D3" t="str">
            <v>DSBC</v>
          </cell>
          <cell r="E3">
            <v>219.433333333333</v>
          </cell>
          <cell r="F3">
            <v>103.566666666667</v>
          </cell>
          <cell r="G3">
            <v>171.433333333333</v>
          </cell>
          <cell r="H3">
            <v>103.566666666667</v>
          </cell>
          <cell r="I3">
            <v>16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31</v>
          </cell>
          <cell r="Q3">
            <v>0</v>
          </cell>
          <cell r="R3">
            <v>32</v>
          </cell>
          <cell r="S3">
            <v>4</v>
          </cell>
          <cell r="T3">
            <v>0</v>
          </cell>
          <cell r="U3">
            <v>0</v>
          </cell>
          <cell r="V3">
            <v>1600000</v>
          </cell>
          <cell r="W3">
            <v>0</v>
          </cell>
          <cell r="X3">
            <v>2011650</v>
          </cell>
          <cell r="Y3">
            <v>17395</v>
          </cell>
          <cell r="Z3">
            <v>0</v>
          </cell>
          <cell r="AA3">
            <v>0</v>
          </cell>
          <cell r="AB3">
            <v>25600</v>
          </cell>
          <cell r="AC3">
            <v>25600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 t="str"/>
        </row>
        <row r="4">
          <cell r="C4" t="str">
            <v>Trần Thị Kim Khánh</v>
          </cell>
          <cell r="D4" t="str">
            <v>DSBC</v>
          </cell>
          <cell r="E4">
            <v>197.11666666666699</v>
          </cell>
          <cell r="F4">
            <v>71.3</v>
          </cell>
          <cell r="G4">
            <v>187.11666666666699</v>
          </cell>
          <cell r="H4">
            <v>71.3</v>
          </cell>
          <cell r="I4">
            <v>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29</v>
          </cell>
          <cell r="Q4">
            <v>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2800000</v>
          </cell>
          <cell r="W4">
            <v>1525114</v>
          </cell>
          <cell r="X4">
            <v>3048300</v>
          </cell>
          <cell r="Y4">
            <v>950</v>
          </cell>
          <cell r="Z4">
            <v>0</v>
          </cell>
          <cell r="AA4">
            <v>0</v>
          </cell>
          <cell r="AB4">
            <v>25600</v>
          </cell>
          <cell r="AC4">
            <v>25600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 t="str"/>
        </row>
        <row r="5">
          <cell r="C5" t="str">
            <v>Huỳnh Ngọc Liểu</v>
          </cell>
          <cell r="D5" t="str">
            <v>DSBC</v>
          </cell>
          <cell r="E5">
            <v>8</v>
          </cell>
          <cell r="F5">
            <v>40.066666666666698</v>
          </cell>
          <cell r="G5">
            <v>0</v>
          </cell>
          <cell r="H5">
            <v>40.066666666666698</v>
          </cell>
          <cell r="I5" t="str"/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5</v>
          </cell>
          <cell r="Q5">
            <v>0</v>
          </cell>
          <cell r="R5">
            <v>8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147330</v>
          </cell>
          <cell r="Y5">
            <v>0</v>
          </cell>
          <cell r="Z5">
            <v>0</v>
          </cell>
          <cell r="AA5">
            <v>214285.714285714</v>
          </cell>
          <cell r="AB5">
            <v>25600</v>
          </cell>
          <cell r="AC5">
            <v>25600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 t="str"/>
        </row>
        <row r="6">
          <cell r="C6" t="str">
            <v>Phạm Nguyễn Ngọc Quý</v>
          </cell>
          <cell r="D6" t="str">
            <v>DSBC</v>
          </cell>
          <cell r="E6">
            <v>153.51666666666699</v>
          </cell>
          <cell r="F6">
            <v>120.05</v>
          </cell>
          <cell r="G6">
            <v>135.51666666666699</v>
          </cell>
          <cell r="H6">
            <v>120.05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1600000</v>
          </cell>
          <cell r="W6">
            <v>0</v>
          </cell>
          <cell r="X6">
            <v>2027700</v>
          </cell>
          <cell r="Y6">
            <v>4350</v>
          </cell>
          <cell r="Z6">
            <v>0</v>
          </cell>
          <cell r="AA6">
            <v>0</v>
          </cell>
          <cell r="AB6">
            <v>25600</v>
          </cell>
          <cell r="AC6">
            <v>25600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 t="str"/>
        </row>
        <row r="7">
          <cell r="C7" t="str">
            <v>Ngô Trần Tuyết Vy</v>
          </cell>
          <cell r="D7" t="str">
            <v>DSBC</v>
          </cell>
          <cell r="E7">
            <v>150.03333333333299</v>
          </cell>
          <cell r="F7">
            <v>121.05</v>
          </cell>
          <cell r="G7">
            <v>134.03333333333299</v>
          </cell>
          <cell r="H7">
            <v>121.05</v>
          </cell>
          <cell r="I7">
            <v>16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1600000</v>
          </cell>
          <cell r="W7">
            <v>1258046</v>
          </cell>
          <cell r="X7">
            <v>2194050</v>
          </cell>
          <cell r="Y7">
            <v>8100</v>
          </cell>
          <cell r="Z7">
            <v>0</v>
          </cell>
          <cell r="AA7">
            <v>0</v>
          </cell>
          <cell r="AB7">
            <v>25600</v>
          </cell>
          <cell r="AC7">
            <v>25600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 t="str"/>
        </row>
        <row r="8">
          <cell r="C8" t="str">
            <v>Trần Thị Trà Giang</v>
          </cell>
          <cell r="D8" t="str">
            <v>Q.CHT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/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 t="str"/>
        </row>
        <row r="9">
          <cell r="C9" t="str">
            <v>Hạ Ngân Khánh</v>
          </cell>
          <cell r="D9" t="str">
            <v>DSBC</v>
          </cell>
          <cell r="E9">
            <v>0</v>
          </cell>
          <cell r="F9">
            <v>23.366666666666699</v>
          </cell>
          <cell r="G9">
            <v>0</v>
          </cell>
          <cell r="H9">
            <v>23.366666666666699</v>
          </cell>
          <cell r="I9" t="str"/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 t="str"/>
        </row>
        <row r="10">
          <cell r="C10" t="str">
            <v>Phạm Thị Nghĩa Hương</v>
          </cell>
          <cell r="D10" t="str">
            <v>DSBC</v>
          </cell>
          <cell r="E10">
            <v>153.76666666666699</v>
          </cell>
          <cell r="F10">
            <v>64.4166666666667</v>
          </cell>
          <cell r="G10">
            <v>151.76666666666699</v>
          </cell>
          <cell r="H10">
            <v>64.4166666666667</v>
          </cell>
          <cell r="I10" t="str"/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27</v>
          </cell>
          <cell r="Q10">
            <v>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441720</v>
          </cell>
          <cell r="Y10">
            <v>300</v>
          </cell>
          <cell r="Z10">
            <v>0</v>
          </cell>
          <cell r="AA10">
            <v>491160</v>
          </cell>
          <cell r="AB10">
            <v>13600</v>
          </cell>
          <cell r="AC10">
            <v>13600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 t="str"/>
        </row>
        <row r="11">
          <cell r="C11" t="str">
            <v>Trần Thiên Phát</v>
          </cell>
          <cell r="D11" t="str">
            <v>DSBC</v>
          </cell>
          <cell r="E11">
            <v>24</v>
          </cell>
          <cell r="F11">
            <v>194.36666666666699</v>
          </cell>
          <cell r="G11">
            <v>0</v>
          </cell>
          <cell r="H11">
            <v>194.36666666666699</v>
          </cell>
          <cell r="I11" t="str"/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25</v>
          </cell>
          <cell r="Q11">
            <v>0</v>
          </cell>
          <cell r="R11">
            <v>24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372800</v>
          </cell>
          <cell r="Y11">
            <v>650</v>
          </cell>
          <cell r="Z11">
            <v>0</v>
          </cell>
          <cell r="AA11">
            <v>1156954.2857142901</v>
          </cell>
          <cell r="AB11">
            <v>13600</v>
          </cell>
          <cell r="AC11">
            <v>13600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/>
        </row>
        <row r="12">
          <cell r="C12" t="str">
            <v>Ngô Thị Thanh Thắm</v>
          </cell>
          <cell r="D12" t="str">
            <v>CHT</v>
          </cell>
          <cell r="E12">
            <v>214.13333333333301</v>
          </cell>
          <cell r="F12">
            <v>0</v>
          </cell>
          <cell r="G12">
            <v>214.13333333333301</v>
          </cell>
          <cell r="H12">
            <v>0</v>
          </cell>
          <cell r="I12" t="str"/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27</v>
          </cell>
          <cell r="Q12">
            <v>0</v>
          </cell>
          <cell r="R12">
            <v>0</v>
          </cell>
          <cell r="S12">
            <v>0</v>
          </cell>
          <cell r="T12">
            <v>1000000</v>
          </cell>
          <cell r="U12">
            <v>0</v>
          </cell>
          <cell r="V12">
            <v>0</v>
          </cell>
          <cell r="W12">
            <v>0</v>
          </cell>
          <cell r="X12">
            <v>442600</v>
          </cell>
          <cell r="Y12">
            <v>23860</v>
          </cell>
          <cell r="Z12">
            <v>0</v>
          </cell>
          <cell r="AA12">
            <v>2657920</v>
          </cell>
          <cell r="AB12">
            <v>323600</v>
          </cell>
          <cell r="AC12">
            <v>13600</v>
          </cell>
          <cell r="AD12">
            <v>10000</v>
          </cell>
          <cell r="AE12">
            <v>0</v>
          </cell>
          <cell r="AF12">
            <v>300000</v>
          </cell>
          <cell r="AG12">
            <v>0</v>
          </cell>
          <cell r="AH12" t="str">
            <v>Vi phạm chấm điểm checklist  28/05/2026: 10.000đ</v>
          </cell>
        </row>
        <row r="13">
          <cell r="C13" t="str">
            <v>Hoàng Thanh Thủy</v>
          </cell>
          <cell r="D13" t="str">
            <v>DSBC</v>
          </cell>
          <cell r="E13">
            <v>221.21666666666701</v>
          </cell>
          <cell r="F13">
            <v>8.1666666666666696</v>
          </cell>
          <cell r="G13">
            <v>221.21666666666701</v>
          </cell>
          <cell r="H13">
            <v>8.1666666666666696</v>
          </cell>
          <cell r="I13" t="str"/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400000</v>
          </cell>
          <cell r="W13">
            <v>0</v>
          </cell>
          <cell r="X13">
            <v>1425000</v>
          </cell>
          <cell r="Y13">
            <v>7250</v>
          </cell>
          <cell r="Z13">
            <v>0</v>
          </cell>
          <cell r="AA13">
            <v>2589023.42857143</v>
          </cell>
          <cell r="AB13">
            <v>13600</v>
          </cell>
          <cell r="AC13">
            <v>13600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 t="str"/>
        </row>
        <row r="14">
          <cell r="C14" t="str">
            <v>Lê Thị Huyền Trân</v>
          </cell>
          <cell r="D14" t="str">
            <v>DSBC</v>
          </cell>
          <cell r="E14">
            <v>214.65</v>
          </cell>
          <cell r="F14">
            <v>0</v>
          </cell>
          <cell r="G14">
            <v>188.65</v>
          </cell>
          <cell r="H14">
            <v>0</v>
          </cell>
          <cell r="I14" t="str"/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23</v>
          </cell>
          <cell r="Q14">
            <v>2</v>
          </cell>
          <cell r="R14">
            <v>24</v>
          </cell>
          <cell r="S14">
            <v>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652500</v>
          </cell>
          <cell r="Y14">
            <v>3725</v>
          </cell>
          <cell r="Z14">
            <v>0</v>
          </cell>
          <cell r="AA14">
            <v>1150436</v>
          </cell>
          <cell r="AB14">
            <v>113600</v>
          </cell>
          <cell r="AC14">
            <v>13600</v>
          </cell>
          <cell r="AD14">
            <v>0</v>
          </cell>
          <cell r="AE14">
            <v>0</v>
          </cell>
          <cell r="AF14">
            <v>100000</v>
          </cell>
          <cell r="AG14">
            <v>0</v>
          </cell>
          <cell r="AH14" t="str"/>
        </row>
        <row r="15">
          <cell r="C15" t="str">
            <v>Tống Xuân Giang</v>
          </cell>
          <cell r="D15" t="str">
            <v>DSTV</v>
          </cell>
          <cell r="E15">
            <v>23.816666666666698</v>
          </cell>
          <cell r="F15">
            <v>219.15</v>
          </cell>
          <cell r="G15">
            <v>15.8166666666667</v>
          </cell>
          <cell r="H15">
            <v>219.15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256100</v>
          </cell>
          <cell r="Y15">
            <v>3740</v>
          </cell>
          <cell r="Z15">
            <v>0</v>
          </cell>
          <cell r="AA15">
            <v>1000000</v>
          </cell>
          <cell r="AB15">
            <v>100000</v>
          </cell>
          <cell r="AC15">
            <v>0</v>
          </cell>
          <cell r="AD15">
            <v>0</v>
          </cell>
          <cell r="AE15">
            <v>0</v>
          </cell>
          <cell r="AF15">
            <v>100000</v>
          </cell>
          <cell r="AG15">
            <v>0</v>
          </cell>
          <cell r="AH15" t="str"/>
        </row>
        <row r="16">
          <cell r="C16" t="str">
            <v>Huỳnh Thị Kim Ngân</v>
          </cell>
          <cell r="D16" t="str">
            <v>DSBC</v>
          </cell>
          <cell r="E16">
            <v>40</v>
          </cell>
          <cell r="F16">
            <v>0</v>
          </cell>
          <cell r="G16">
            <v>0</v>
          </cell>
          <cell r="H16">
            <v>0</v>
          </cell>
          <cell r="I16" t="str"/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40</v>
          </cell>
          <cell r="S16">
            <v>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1071428.57142857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/>
        </row>
        <row r="17">
          <cell r="C17" t="str">
            <v>Trần Lê Quỳnh Hương</v>
          </cell>
          <cell r="D17" t="str">
            <v>DSHV</v>
          </cell>
          <cell r="E17">
            <v>244.9</v>
          </cell>
          <cell r="F17">
            <v>4.0166666666666702</v>
          </cell>
          <cell r="G17">
            <v>234.9</v>
          </cell>
          <cell r="H17">
            <v>4.0166666666666702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29</v>
          </cell>
          <cell r="Q17">
            <v>2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500000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/>
        </row>
        <row r="18">
          <cell r="C18" t="str">
            <v>Thái Thùy Linh</v>
          </cell>
          <cell r="D18" t="str">
            <v>CHT</v>
          </cell>
          <cell r="E18">
            <v>253.13333333333301</v>
          </cell>
          <cell r="F18">
            <v>21.716666666666701</v>
          </cell>
          <cell r="G18">
            <v>243.13333333333301</v>
          </cell>
          <cell r="H18">
            <v>21.716666666666701</v>
          </cell>
          <cell r="I18" t="str"/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28</v>
          </cell>
          <cell r="Q18">
            <v>2</v>
          </cell>
          <cell r="R18">
            <v>8</v>
          </cell>
          <cell r="S18">
            <v>1</v>
          </cell>
          <cell r="T18">
            <v>1000000</v>
          </cell>
          <cell r="U18">
            <v>0</v>
          </cell>
          <cell r="V18">
            <v>0</v>
          </cell>
          <cell r="W18">
            <v>0</v>
          </cell>
          <cell r="X18">
            <v>974400</v>
          </cell>
          <cell r="Y18">
            <v>8210</v>
          </cell>
          <cell r="Z18">
            <v>0</v>
          </cell>
          <cell r="AA18">
            <v>0</v>
          </cell>
          <cell r="AB18">
            <v>205500</v>
          </cell>
          <cell r="AC18">
            <v>45500</v>
          </cell>
          <cell r="AD18">
            <v>0</v>
          </cell>
          <cell r="AE18">
            <v>60000</v>
          </cell>
          <cell r="AF18">
            <v>100000</v>
          </cell>
          <cell r="AG18">
            <v>0</v>
          </cell>
          <cell r="AH18" t="str">
            <v>Lệch doanh thu HD.BY98NJKV: 60.000đ</v>
          </cell>
        </row>
        <row r="19">
          <cell r="C19" t="str">
            <v>Trịnh Thị Phượng</v>
          </cell>
          <cell r="D19" t="str">
            <v>DSBC</v>
          </cell>
          <cell r="E19">
            <v>5.9499999999999904</v>
          </cell>
          <cell r="F19">
            <v>168.916666666667</v>
          </cell>
          <cell r="G19">
            <v>5.9499999999999904</v>
          </cell>
          <cell r="H19">
            <v>168.916666666667</v>
          </cell>
          <cell r="I19" t="str"/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400000</v>
          </cell>
          <cell r="W19">
            <v>0</v>
          </cell>
          <cell r="X19">
            <v>1517530</v>
          </cell>
          <cell r="Y19">
            <v>6550</v>
          </cell>
          <cell r="Z19">
            <v>0</v>
          </cell>
          <cell r="AA19">
            <v>0</v>
          </cell>
          <cell r="AB19">
            <v>45500</v>
          </cell>
          <cell r="AC19">
            <v>45500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/>
        </row>
        <row r="20">
          <cell r="C20" t="str">
            <v>Phan Công Vũ Tài</v>
          </cell>
          <cell r="D20" t="str">
            <v>DSBC</v>
          </cell>
          <cell r="E20">
            <v>83.1666666666667</v>
          </cell>
          <cell r="F20">
            <v>124.35</v>
          </cell>
          <cell r="G20">
            <v>81.1666666666667</v>
          </cell>
          <cell r="H20">
            <v>124.35</v>
          </cell>
          <cell r="I20" t="str"/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24</v>
          </cell>
          <cell r="Q20">
            <v>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2200000</v>
          </cell>
          <cell r="W20">
            <v>1579666</v>
          </cell>
          <cell r="X20">
            <v>2013800</v>
          </cell>
          <cell r="Y20">
            <v>17300</v>
          </cell>
          <cell r="Z20">
            <v>0</v>
          </cell>
          <cell r="AA20">
            <v>0</v>
          </cell>
          <cell r="AB20">
            <v>100000</v>
          </cell>
          <cell r="AC20">
            <v>0</v>
          </cell>
          <cell r="AD20">
            <v>0</v>
          </cell>
          <cell r="AE20">
            <v>0</v>
          </cell>
          <cell r="AF20">
            <v>100000</v>
          </cell>
          <cell r="AG20">
            <v>0</v>
          </cell>
          <cell r="AH20" t="str"/>
        </row>
        <row r="21">
          <cell r="C21" t="str">
            <v>Hoàng Lâm Gia Bảo</v>
          </cell>
          <cell r="D21" t="str">
            <v>DSTV</v>
          </cell>
          <cell r="E21">
            <v>40.15</v>
          </cell>
          <cell r="F21">
            <v>0</v>
          </cell>
          <cell r="G21">
            <v>32.15</v>
          </cell>
          <cell r="H21">
            <v>0</v>
          </cell>
          <cell r="I21" t="str"/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4</v>
          </cell>
          <cell r="Q21">
            <v>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 t="str"/>
        </row>
        <row r="22">
          <cell r="C22" t="str">
            <v>Nguyễn Trúc Linh</v>
          </cell>
          <cell r="D22" t="str">
            <v>DSBC</v>
          </cell>
          <cell r="E22">
            <v>193.933333333333</v>
          </cell>
          <cell r="F22">
            <v>17.283333333333299</v>
          </cell>
          <cell r="G22">
            <v>153.933333333333</v>
          </cell>
          <cell r="H22">
            <v>17.283333333333299</v>
          </cell>
          <cell r="I22" t="str"/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21</v>
          </cell>
          <cell r="Q22">
            <v>0</v>
          </cell>
          <cell r="R22">
            <v>40</v>
          </cell>
          <cell r="S22">
            <v>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533880</v>
          </cell>
          <cell r="Y22">
            <v>6250</v>
          </cell>
          <cell r="Z22">
            <v>0</v>
          </cell>
          <cell r="AA22">
            <v>0</v>
          </cell>
          <cell r="AB22">
            <v>145500</v>
          </cell>
          <cell r="AC22">
            <v>45500</v>
          </cell>
          <cell r="AD22">
            <v>0</v>
          </cell>
          <cell r="AE22">
            <v>0</v>
          </cell>
          <cell r="AF22">
            <v>100000</v>
          </cell>
          <cell r="AG22">
            <v>0</v>
          </cell>
          <cell r="AH22" t="str"/>
        </row>
        <row r="23">
          <cell r="C23" t="str">
            <v>Đoàn Quốc Tâm</v>
          </cell>
          <cell r="D23" t="str">
            <v>DSBC</v>
          </cell>
          <cell r="E23">
            <v>42.216666666666697</v>
          </cell>
          <cell r="F23">
            <v>8.1333333333333293</v>
          </cell>
          <cell r="G23">
            <v>42.216666666666697</v>
          </cell>
          <cell r="H23">
            <v>8.1333333333333293</v>
          </cell>
          <cell r="I23" t="str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 t="str"/>
        </row>
        <row r="24">
          <cell r="C24" t="str">
            <v>Đỗ Thị Thu Hương</v>
          </cell>
          <cell r="D24" t="str">
            <v>DSBC</v>
          </cell>
          <cell r="E24">
            <v>26.6666666666667</v>
          </cell>
          <cell r="F24">
            <v>202.35</v>
          </cell>
          <cell r="G24">
            <v>26.6666666666667</v>
          </cell>
          <cell r="H24">
            <v>202.35</v>
          </cell>
          <cell r="I24" t="str"/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27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1054700</v>
          </cell>
          <cell r="Y24">
            <v>4830</v>
          </cell>
          <cell r="Z24">
            <v>0</v>
          </cell>
          <cell r="AA24">
            <v>270000</v>
          </cell>
          <cell r="AB24">
            <v>1594500</v>
          </cell>
          <cell r="AC24">
            <v>1399500</v>
          </cell>
          <cell r="AD24">
            <v>20000</v>
          </cell>
          <cell r="AE24">
            <v>175000</v>
          </cell>
          <cell r="AF24">
            <v>0</v>
          </cell>
          <cell r="AG24">
            <v>0</v>
          </cell>
          <cell r="AH24" t="str">
            <v>Nghỉ ngơi quá thời gian quy định 21/05/2026: 10.000đ
Vào ca trễ 27/05/2026: 10.000đ
Lệch doanh thu HD.B1G915ZV:175.000đ</v>
          </cell>
        </row>
        <row r="25">
          <cell r="C25" t="str">
            <v>Mai Ngọc Oanh</v>
          </cell>
          <cell r="D25" t="str">
            <v>DSBC</v>
          </cell>
          <cell r="E25">
            <v>135.13333333333301</v>
          </cell>
          <cell r="F25">
            <v>0.483333333333333</v>
          </cell>
          <cell r="G25">
            <v>135.13333333333301</v>
          </cell>
          <cell r="H25">
            <v>0.483333333333333</v>
          </cell>
          <cell r="I25" t="str"/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17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185940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/>
        </row>
        <row r="26">
          <cell r="C26" t="str">
            <v>Hạ Ngân Khánh</v>
          </cell>
          <cell r="D26" t="str">
            <v>DSBC</v>
          </cell>
          <cell r="E26">
            <v>259.61666666666702</v>
          </cell>
          <cell r="F26">
            <v>5.93333333333333</v>
          </cell>
          <cell r="G26">
            <v>251.61666666666699</v>
          </cell>
          <cell r="H26">
            <v>5.93333333333333</v>
          </cell>
          <cell r="I26">
            <v>8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29</v>
          </cell>
          <cell r="Q26">
            <v>0</v>
          </cell>
          <cell r="R26">
            <v>0</v>
          </cell>
          <cell r="S26">
            <v>0</v>
          </cell>
          <cell r="T26">
            <v>500000</v>
          </cell>
          <cell r="U26">
            <v>0</v>
          </cell>
          <cell r="V26">
            <v>0</v>
          </cell>
          <cell r="W26">
            <v>0</v>
          </cell>
          <cell r="X26">
            <v>591600</v>
          </cell>
          <cell r="Y26">
            <v>16615</v>
          </cell>
          <cell r="Z26">
            <v>0</v>
          </cell>
          <cell r="AA26">
            <v>2035714.2857142901</v>
          </cell>
          <cell r="AB26">
            <v>1509500</v>
          </cell>
          <cell r="AC26">
            <v>1399500</v>
          </cell>
          <cell r="AD26">
            <v>110000</v>
          </cell>
          <cell r="AE26">
            <v>0</v>
          </cell>
          <cell r="AF26">
            <v>0</v>
          </cell>
          <cell r="AG26">
            <v>0</v>
          </cell>
          <cell r="AH26" t="str">
            <v>Không dọn dẹp vệ sinh vào ngày cuối tuần 25/05/2026: 100.000đ
Vi phạm chấm điểm checklist  27/05/2026: 10.000đ</v>
          </cell>
        </row>
        <row r="27">
          <cell r="C27" t="str">
            <v>Phan Công Vũ Tài</v>
          </cell>
          <cell r="D27" t="str">
            <v>DSBC</v>
          </cell>
          <cell r="E27">
            <v>64.566666666666706</v>
          </cell>
          <cell r="F27">
            <v>24.616666666666699</v>
          </cell>
          <cell r="G27">
            <v>64.566666666666706</v>
          </cell>
          <cell r="H27">
            <v>24.616666666666699</v>
          </cell>
          <cell r="I27" t="str"/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1500000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 t="str"/>
        </row>
        <row r="28">
          <cell r="C28" t="str">
            <v>Trần Thị Ánh Nguyệt</v>
          </cell>
          <cell r="D28" t="str">
            <v>DSTV</v>
          </cell>
          <cell r="E28">
            <v>23.133333333333301</v>
          </cell>
          <cell r="F28">
            <v>234.11666666666699</v>
          </cell>
          <cell r="G28">
            <v>13.133333333333301</v>
          </cell>
          <cell r="H28">
            <v>234.11666666666699</v>
          </cell>
          <cell r="I28">
            <v>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29</v>
          </cell>
          <cell r="Q28">
            <v>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1176800</v>
          </cell>
          <cell r="Y28">
            <v>8815</v>
          </cell>
          <cell r="Z28">
            <v>0</v>
          </cell>
          <cell r="AA28">
            <v>2000000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 t="str"/>
        </row>
        <row r="29">
          <cell r="C29" t="str">
            <v>Nguyễn Trí Nghĩa</v>
          </cell>
          <cell r="D29" t="str">
            <v>DSBC</v>
          </cell>
          <cell r="E29">
            <v>27.15</v>
          </cell>
          <cell r="F29">
            <v>6.8833333333333302</v>
          </cell>
          <cell r="G29">
            <v>27.15</v>
          </cell>
          <cell r="H29">
            <v>6.8833333333333302</v>
          </cell>
          <cell r="I29" t="str"/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 t="str"/>
        </row>
        <row r="30">
          <cell r="C30" t="str">
            <v>Nguyễn Thị Hồng Hạnh</v>
          </cell>
          <cell r="D30" t="str">
            <v>DSBC</v>
          </cell>
          <cell r="E30">
            <v>16</v>
          </cell>
          <cell r="F30">
            <v>204.38333333333301</v>
          </cell>
          <cell r="G30">
            <v>0</v>
          </cell>
          <cell r="H30">
            <v>204.38333333333301</v>
          </cell>
          <cell r="I30" t="str"/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26</v>
          </cell>
          <cell r="Q30">
            <v>0</v>
          </cell>
          <cell r="R30">
            <v>16</v>
          </cell>
          <cell r="S30">
            <v>2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1030140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 t="str"/>
        </row>
        <row r="31">
          <cell r="C31" t="str">
            <v>Đỗ Thị Phương Thảo</v>
          </cell>
          <cell r="D31" t="str">
            <v>DSBC</v>
          </cell>
          <cell r="E31">
            <v>254.566666666667</v>
          </cell>
          <cell r="F31">
            <v>0</v>
          </cell>
          <cell r="G31">
            <v>214.566666666667</v>
          </cell>
          <cell r="H31">
            <v>0</v>
          </cell>
          <cell r="I31" t="str"/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26</v>
          </cell>
          <cell r="Q31">
            <v>0</v>
          </cell>
          <cell r="R31">
            <v>40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396540</v>
          </cell>
          <cell r="Y31">
            <v>47430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 t="str"/>
        </row>
        <row r="32">
          <cell r="C32" t="str">
            <v>Lê Thị Quỳnh Trâm</v>
          </cell>
          <cell r="D32" t="str">
            <v>CHT</v>
          </cell>
          <cell r="E32">
            <v>207.933333333333</v>
          </cell>
          <cell r="F32">
            <v>32.4</v>
          </cell>
          <cell r="G32">
            <v>197.933333333333</v>
          </cell>
          <cell r="H32">
            <v>32.4</v>
          </cell>
          <cell r="I32" t="str"/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27</v>
          </cell>
          <cell r="Q32">
            <v>2</v>
          </cell>
          <cell r="R32">
            <v>8</v>
          </cell>
          <cell r="S32">
            <v>1</v>
          </cell>
          <cell r="T32">
            <v>1000000</v>
          </cell>
          <cell r="U32">
            <v>0</v>
          </cell>
          <cell r="V32">
            <v>0</v>
          </cell>
          <cell r="W32">
            <v>0</v>
          </cell>
          <cell r="X32">
            <v>431800</v>
          </cell>
          <cell r="Y32">
            <v>3130</v>
          </cell>
          <cell r="Z32">
            <v>0</v>
          </cell>
          <cell r="AA32">
            <v>0</v>
          </cell>
          <cell r="AB32">
            <v>150000</v>
          </cell>
          <cell r="AC32">
            <v>0</v>
          </cell>
          <cell r="AD32">
            <v>0</v>
          </cell>
          <cell r="AE32">
            <v>0</v>
          </cell>
          <cell r="AF32">
            <v>150000</v>
          </cell>
          <cell r="AG32">
            <v>0</v>
          </cell>
          <cell r="AH32" t="str"/>
        </row>
        <row r="33">
          <cell r="C33" t="str">
            <v>Hồ Tấn Nguyên</v>
          </cell>
          <cell r="D33" t="str">
            <v>DSTV</v>
          </cell>
          <cell r="E33">
            <v>0</v>
          </cell>
          <cell r="F33">
            <v>226.15</v>
          </cell>
          <cell r="G33">
            <v>0</v>
          </cell>
          <cell r="H33">
            <v>226.15</v>
          </cell>
          <cell r="I33" t="str"/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341500</v>
          </cell>
          <cell r="Y33">
            <v>0</v>
          </cell>
          <cell r="Z33">
            <v>0</v>
          </cell>
          <cell r="AA33">
            <v>1942781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/>
        </row>
        <row r="34">
          <cell r="C34" t="str">
            <v>Nguyễn Trí Nghĩa</v>
          </cell>
          <cell r="D34" t="str">
            <v>DSBC</v>
          </cell>
          <cell r="E34">
            <v>41.6</v>
          </cell>
          <cell r="F34">
            <v>0</v>
          </cell>
          <cell r="G34">
            <v>41.6</v>
          </cell>
          <cell r="H34">
            <v>0</v>
          </cell>
          <cell r="I34" t="str"/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/>
        </row>
        <row r="35">
          <cell r="C35" t="str">
            <v>Phạm Thị Hồng Nhi</v>
          </cell>
          <cell r="D35" t="str">
            <v>DSHV</v>
          </cell>
          <cell r="E35">
            <v>32.766666666666701</v>
          </cell>
          <cell r="F35">
            <v>0</v>
          </cell>
          <cell r="G35">
            <v>32.766666666666701</v>
          </cell>
          <cell r="H35">
            <v>0</v>
          </cell>
          <cell r="I35" t="str"/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/>
        </row>
        <row r="36">
          <cell r="C36" t="str">
            <v>Trần Hoàng Khánh</v>
          </cell>
          <cell r="D36" t="str">
            <v>DSBC</v>
          </cell>
          <cell r="E36">
            <v>181.13333333333301</v>
          </cell>
          <cell r="F36">
            <v>32.0833333333333</v>
          </cell>
          <cell r="G36">
            <v>165.13333333333301</v>
          </cell>
          <cell r="H36">
            <v>32.0833333333333</v>
          </cell>
          <cell r="I36" t="str"/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16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526400</v>
          </cell>
          <cell r="Y36">
            <v>0</v>
          </cell>
          <cell r="Z36">
            <v>0</v>
          </cell>
          <cell r="AA36">
            <v>738400</v>
          </cell>
          <cell r="AB36">
            <v>100000</v>
          </cell>
          <cell r="AC36">
            <v>0</v>
          </cell>
          <cell r="AD36">
            <v>0</v>
          </cell>
          <cell r="AE36">
            <v>0</v>
          </cell>
          <cell r="AF36">
            <v>100000</v>
          </cell>
          <cell r="AG36">
            <v>0</v>
          </cell>
          <cell r="AH36" t="str"/>
        </row>
        <row r="37">
          <cell r="C37" t="str">
            <v>Trần Thành Đạt</v>
          </cell>
          <cell r="D37" t="str">
            <v>DSBC</v>
          </cell>
          <cell r="E37">
            <v>18.616666666666699</v>
          </cell>
          <cell r="F37">
            <v>279.88333333333298</v>
          </cell>
          <cell r="G37">
            <v>0.61666666666667402</v>
          </cell>
          <cell r="H37">
            <v>279.88333333333298</v>
          </cell>
          <cell r="I37">
            <v>16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31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779300</v>
          </cell>
          <cell r="Y37">
            <v>22215</v>
          </cell>
          <cell r="Z37">
            <v>0</v>
          </cell>
          <cell r="AA37">
            <v>0</v>
          </cell>
          <cell r="AB37">
            <v>45333</v>
          </cell>
          <cell r="AC37">
            <v>45333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/>
        </row>
        <row r="38">
          <cell r="C38" t="str">
            <v>Triệu Thị Ngọc Lý</v>
          </cell>
          <cell r="D38" t="str">
            <v>CHT</v>
          </cell>
          <cell r="E38">
            <v>302.53333333333302</v>
          </cell>
          <cell r="F38">
            <v>11.75</v>
          </cell>
          <cell r="G38">
            <v>276.53333333333302</v>
          </cell>
          <cell r="H38">
            <v>11.75</v>
          </cell>
          <cell r="I38" t="str"/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28</v>
          </cell>
          <cell r="Q38">
            <v>2</v>
          </cell>
          <cell r="R38">
            <v>24</v>
          </cell>
          <cell r="S38">
            <v>3</v>
          </cell>
          <cell r="T38">
            <v>1000000</v>
          </cell>
          <cell r="U38">
            <v>0</v>
          </cell>
          <cell r="V38">
            <v>1000000</v>
          </cell>
          <cell r="W38">
            <v>0</v>
          </cell>
          <cell r="X38">
            <v>1196200</v>
          </cell>
          <cell r="Y38">
            <v>15880</v>
          </cell>
          <cell r="Z38">
            <v>0</v>
          </cell>
          <cell r="AA38">
            <v>0</v>
          </cell>
          <cell r="AB38">
            <v>65333</v>
          </cell>
          <cell r="AC38">
            <v>45333</v>
          </cell>
          <cell r="AD38">
            <v>20000</v>
          </cell>
          <cell r="AE38">
            <v>0</v>
          </cell>
          <cell r="AF38">
            <v>0</v>
          </cell>
          <cell r="AG38">
            <v>0</v>
          </cell>
          <cell r="AH38" t="str">
            <v>Không đảm bảo vệ sinh khu vực làm việc 21/05/2026: 10.000đ
Vi phạm chấm điểm checklist  27/05/2026: 10.000đ</v>
          </cell>
        </row>
        <row r="39">
          <cell r="C39" t="str">
            <v>Cao Trọng Nhân</v>
          </cell>
          <cell r="D39" t="str">
            <v>DSTV</v>
          </cell>
          <cell r="E39">
            <v>28.066666666666698</v>
          </cell>
          <cell r="F39">
            <v>225.86666666666699</v>
          </cell>
          <cell r="G39">
            <v>26.066666666666698</v>
          </cell>
          <cell r="H39">
            <v>225.86666666666699</v>
          </cell>
          <cell r="I39" t="str"/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28</v>
          </cell>
          <cell r="Q39">
            <v>2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1000000</v>
          </cell>
          <cell r="W39">
            <v>0</v>
          </cell>
          <cell r="X39">
            <v>1712100</v>
          </cell>
          <cell r="Y39">
            <v>4080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 t="str"/>
        </row>
        <row r="40">
          <cell r="C40" t="str">
            <v>Nguyễn Minh Trí</v>
          </cell>
          <cell r="D40" t="str">
            <v>DSHV</v>
          </cell>
          <cell r="E40">
            <v>212.6</v>
          </cell>
          <cell r="F40">
            <v>0</v>
          </cell>
          <cell r="G40">
            <v>210.6</v>
          </cell>
          <cell r="H40">
            <v>0</v>
          </cell>
          <cell r="I40" t="str"/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26</v>
          </cell>
          <cell r="Q40">
            <v>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 t="str"/>
        </row>
        <row r="41">
          <cell r="C41" t="str">
            <v>Nguyễn Trí Nghĩa</v>
          </cell>
          <cell r="D41" t="str">
            <v>DSBC</v>
          </cell>
          <cell r="E41">
            <v>216.316666666667</v>
          </cell>
          <cell r="F41">
            <v>37.383333333333297</v>
          </cell>
          <cell r="G41">
            <v>216.316666666667</v>
          </cell>
          <cell r="H41">
            <v>37.383333333333297</v>
          </cell>
          <cell r="I41" t="str"/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536300</v>
          </cell>
          <cell r="Y41">
            <v>4100</v>
          </cell>
          <cell r="Z41">
            <v>0</v>
          </cell>
          <cell r="AA41">
            <v>0</v>
          </cell>
          <cell r="AB41">
            <v>145333</v>
          </cell>
          <cell r="AC41">
            <v>45333</v>
          </cell>
          <cell r="AD41">
            <v>0</v>
          </cell>
          <cell r="AE41">
            <v>0</v>
          </cell>
          <cell r="AF41">
            <v>100000</v>
          </cell>
          <cell r="AG41">
            <v>0</v>
          </cell>
          <cell r="AH41" t="str"/>
        </row>
        <row r="42">
          <cell r="C42" t="str">
            <v>Lê Hoàng Hải</v>
          </cell>
          <cell r="D42" t="str">
            <v>DSTV</v>
          </cell>
          <cell r="E42">
            <v>12.1</v>
          </cell>
          <cell r="F42">
            <v>0</v>
          </cell>
          <cell r="G42">
            <v>12.1</v>
          </cell>
          <cell r="H42">
            <v>0</v>
          </cell>
          <cell r="I42" t="str"/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/>
        </row>
        <row r="43">
          <cell r="C43" t="str">
            <v>Đào Thị Xuyến</v>
          </cell>
          <cell r="D43" t="str">
            <v>DSTV</v>
          </cell>
          <cell r="E43">
            <v>45.616666666666703</v>
          </cell>
          <cell r="F43">
            <v>0</v>
          </cell>
          <cell r="G43">
            <v>40.116666666666703</v>
          </cell>
          <cell r="H43">
            <v>0</v>
          </cell>
          <cell r="I43" t="str"/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5</v>
          </cell>
          <cell r="Q43">
            <v>5.5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 t="str"/>
        </row>
        <row r="44">
          <cell r="C44" t="str">
            <v>Hạ Ngân Khánh</v>
          </cell>
          <cell r="D44" t="str">
            <v>DSBC</v>
          </cell>
          <cell r="E44">
            <v>32.116666666666703</v>
          </cell>
          <cell r="F44">
            <v>0</v>
          </cell>
          <cell r="G44">
            <v>32.116666666666703</v>
          </cell>
          <cell r="H44">
            <v>0</v>
          </cell>
          <cell r="I44" t="str"/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str"/>
        </row>
        <row r="45">
          <cell r="C45" t="str">
            <v>Nguyễn Cao Huyền Thanh</v>
          </cell>
          <cell r="D45" t="str">
            <v>DSHV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/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 t="str"/>
        </row>
        <row r="46">
          <cell r="C46" t="str">
            <v>Nguyễn Thị Hương Giang</v>
          </cell>
          <cell r="D46" t="str">
            <v>DSBC</v>
          </cell>
          <cell r="E46">
            <v>215.316666666667</v>
          </cell>
          <cell r="F46">
            <v>7.95</v>
          </cell>
          <cell r="G46">
            <v>213.316666666667</v>
          </cell>
          <cell r="H46">
            <v>7.95</v>
          </cell>
          <cell r="I46" t="str"/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28</v>
          </cell>
          <cell r="Q46">
            <v>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1000000</v>
          </cell>
          <cell r="W46">
            <v>0</v>
          </cell>
          <cell r="X46">
            <v>1358400</v>
          </cell>
          <cell r="Y46">
            <v>0</v>
          </cell>
          <cell r="Z46">
            <v>0</v>
          </cell>
          <cell r="AA46">
            <v>0</v>
          </cell>
          <cell r="AB46">
            <v>1150</v>
          </cell>
          <cell r="AC46">
            <v>1150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 t="str"/>
        </row>
        <row r="47">
          <cell r="C47" t="str">
            <v>Nguyễn Thị Thu Huyền</v>
          </cell>
          <cell r="D47" t="str">
            <v>DSBC</v>
          </cell>
          <cell r="E47">
            <v>75.5</v>
          </cell>
          <cell r="F47">
            <v>207.833333333333</v>
          </cell>
          <cell r="G47">
            <v>59.5</v>
          </cell>
          <cell r="H47">
            <v>207.833333333333</v>
          </cell>
          <cell r="I47">
            <v>16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1000000</v>
          </cell>
          <cell r="W47">
            <v>0</v>
          </cell>
          <cell r="X47">
            <v>1013100</v>
          </cell>
          <cell r="Y47">
            <v>0</v>
          </cell>
          <cell r="Z47">
            <v>0</v>
          </cell>
          <cell r="AA47">
            <v>0</v>
          </cell>
          <cell r="AB47">
            <v>1150</v>
          </cell>
          <cell r="AC47">
            <v>1150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 t="str"/>
        </row>
        <row r="48">
          <cell r="C48" t="str">
            <v>Hồ Ngọc Lý</v>
          </cell>
          <cell r="D48" t="str">
            <v>DSBC</v>
          </cell>
          <cell r="E48">
            <v>10</v>
          </cell>
          <cell r="F48">
            <v>229.95</v>
          </cell>
          <cell r="G48">
            <v>0</v>
          </cell>
          <cell r="H48">
            <v>229.95</v>
          </cell>
          <cell r="I48">
            <v>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29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1000000</v>
          </cell>
          <cell r="W48">
            <v>0</v>
          </cell>
          <cell r="X48">
            <v>1321400</v>
          </cell>
          <cell r="Y48">
            <v>0</v>
          </cell>
          <cell r="Z48">
            <v>0</v>
          </cell>
          <cell r="AA48">
            <v>0</v>
          </cell>
          <cell r="AB48">
            <v>11150</v>
          </cell>
          <cell r="AC48">
            <v>1150</v>
          </cell>
          <cell r="AD48">
            <v>10000</v>
          </cell>
          <cell r="AE48">
            <v>0</v>
          </cell>
          <cell r="AF48">
            <v>0</v>
          </cell>
          <cell r="AG48">
            <v>0</v>
          </cell>
          <cell r="AH48" t="str">
            <v>Vào ca trễ 28/05/2026: 10.000đ</v>
          </cell>
        </row>
        <row r="49">
          <cell r="C49" t="str">
            <v>Võ Ngọc Giàu Sang</v>
          </cell>
          <cell r="D49" t="str">
            <v>CHT</v>
          </cell>
          <cell r="E49">
            <v>216.76666666666699</v>
          </cell>
          <cell r="F49">
            <v>8.3333333333333304</v>
          </cell>
          <cell r="G49">
            <v>216.76666666666699</v>
          </cell>
          <cell r="H49">
            <v>8.3333333333333304</v>
          </cell>
          <cell r="I49" t="str"/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27</v>
          </cell>
          <cell r="Q49">
            <v>0</v>
          </cell>
          <cell r="R49">
            <v>0</v>
          </cell>
          <cell r="S49">
            <v>0</v>
          </cell>
          <cell r="T49">
            <v>1000000</v>
          </cell>
          <cell r="U49">
            <v>0</v>
          </cell>
          <cell r="V49">
            <v>1000000</v>
          </cell>
          <cell r="W49">
            <v>1704062</v>
          </cell>
          <cell r="X49">
            <v>1322000</v>
          </cell>
          <cell r="Y49">
            <v>7565</v>
          </cell>
          <cell r="Z49">
            <v>0</v>
          </cell>
          <cell r="AA49">
            <v>0</v>
          </cell>
          <cell r="AB49">
            <v>11150</v>
          </cell>
          <cell r="AC49">
            <v>1150</v>
          </cell>
          <cell r="AD49">
            <v>10000</v>
          </cell>
          <cell r="AE49">
            <v>0</v>
          </cell>
          <cell r="AF49">
            <v>0</v>
          </cell>
          <cell r="AG49">
            <v>0</v>
          </cell>
          <cell r="AH49" t="str">
            <v>Vi phạm chấm điểm checklist  25/05/2026: 10.000đ</v>
          </cell>
        </row>
        <row r="50">
          <cell r="C50" t="str">
            <v>Cù Thị Tường Vy</v>
          </cell>
          <cell r="D50" t="str">
            <v>Q.CHT</v>
          </cell>
          <cell r="E50">
            <v>237.416666666667</v>
          </cell>
          <cell r="F50">
            <v>83.55</v>
          </cell>
          <cell r="G50">
            <v>219.416666666667</v>
          </cell>
          <cell r="H50">
            <v>83.55</v>
          </cell>
          <cell r="I50">
            <v>16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30</v>
          </cell>
          <cell r="Q50">
            <v>2</v>
          </cell>
          <cell r="R50">
            <v>0</v>
          </cell>
          <cell r="S50">
            <v>0</v>
          </cell>
          <cell r="T50">
            <v>500000</v>
          </cell>
          <cell r="U50">
            <v>0</v>
          </cell>
          <cell r="V50">
            <v>1000000</v>
          </cell>
          <cell r="W50">
            <v>1877305</v>
          </cell>
          <cell r="X50">
            <v>1429400</v>
          </cell>
          <cell r="Y50">
            <v>336166.9</v>
          </cell>
          <cell r="Z50">
            <v>0</v>
          </cell>
          <cell r="AA50">
            <v>2000000</v>
          </cell>
          <cell r="AB50">
            <v>35000</v>
          </cell>
          <cell r="AC50">
            <v>25000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 t="str">
            <v>Vi phạm chấm điểm checklist  28/05/2026: 10.000đ</v>
          </cell>
        </row>
        <row r="51">
          <cell r="C51" t="str">
            <v>Huỳnh Thị Huệ Hiền</v>
          </cell>
          <cell r="D51" t="str">
            <v>DSBC</v>
          </cell>
          <cell r="E51">
            <v>21</v>
          </cell>
          <cell r="F51">
            <v>237.166666666667</v>
          </cell>
          <cell r="G51">
            <v>5</v>
          </cell>
          <cell r="H51">
            <v>237.166666666667</v>
          </cell>
          <cell r="I51">
            <v>16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320000</v>
          </cell>
          <cell r="W51">
            <v>0</v>
          </cell>
          <cell r="X51">
            <v>1276200</v>
          </cell>
          <cell r="Y51">
            <v>0</v>
          </cell>
          <cell r="Z51">
            <v>0</v>
          </cell>
          <cell r="AA51">
            <v>1434200</v>
          </cell>
          <cell r="AB51">
            <v>25000</v>
          </cell>
          <cell r="AC51">
            <v>25000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 t="str"/>
        </row>
        <row r="52">
          <cell r="C52" t="str">
            <v>Nguyễn Thị Phương Linh</v>
          </cell>
          <cell r="D52" t="str">
            <v>DSBC</v>
          </cell>
          <cell r="E52">
            <v>166.88333333333301</v>
          </cell>
          <cell r="F52">
            <v>31.45</v>
          </cell>
          <cell r="G52">
            <v>166.88333333333301</v>
          </cell>
          <cell r="H52">
            <v>31.45</v>
          </cell>
          <cell r="I52" t="str"/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177885</v>
          </cell>
          <cell r="Y52">
            <v>9295</v>
          </cell>
          <cell r="Z52">
            <v>0</v>
          </cell>
          <cell r="AA52">
            <v>2000000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 t="str"/>
        </row>
        <row r="53">
          <cell r="C53" t="str">
            <v>Hạ Ngân Khánh</v>
          </cell>
          <cell r="D53" t="str">
            <v>DSBC</v>
          </cell>
          <cell r="E53">
            <v>6.4</v>
          </cell>
          <cell r="F53">
            <v>0</v>
          </cell>
          <cell r="G53">
            <v>6.4</v>
          </cell>
          <cell r="H53">
            <v>0</v>
          </cell>
          <cell r="I53" t="str"/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 t="str"/>
        </row>
        <row r="54">
          <cell r="C54" t="str">
            <v>Phan Công Vũ Tài</v>
          </cell>
          <cell r="D54" t="str">
            <v>DSBC</v>
          </cell>
          <cell r="E54">
            <v>48.566666666666698</v>
          </cell>
          <cell r="F54">
            <v>0.68333333333333302</v>
          </cell>
          <cell r="G54">
            <v>48.566666666666698</v>
          </cell>
          <cell r="H54">
            <v>0.68333333333333302</v>
          </cell>
          <cell r="I54" t="str"/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 t="str"/>
        </row>
        <row r="55">
          <cell r="C55" t="str">
            <v>Nguyễn Mẫn Tiệp</v>
          </cell>
          <cell r="D55" t="str">
            <v>DSHV</v>
          </cell>
          <cell r="E55">
            <v>130.13333333333301</v>
          </cell>
          <cell r="F55">
            <v>128.46666666666701</v>
          </cell>
          <cell r="G55">
            <v>128.13333333333301</v>
          </cell>
          <cell r="H55">
            <v>128.46666666666701</v>
          </cell>
          <cell r="I55" t="str"/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28</v>
          </cell>
          <cell r="Q55">
            <v>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761050</v>
          </cell>
          <cell r="Y55">
            <v>8280</v>
          </cell>
          <cell r="Z55">
            <v>0</v>
          </cell>
          <cell r="AA55">
            <v>0</v>
          </cell>
          <cell r="AB55">
            <v>178000</v>
          </cell>
          <cell r="AC55">
            <v>0</v>
          </cell>
          <cell r="AD55">
            <v>0</v>
          </cell>
          <cell r="AE55">
            <v>178000</v>
          </cell>
          <cell r="AF55">
            <v>0</v>
          </cell>
          <cell r="AG55">
            <v>0</v>
          </cell>
          <cell r="AH55" t="str">
            <v>Lệch doanh thu HD.V4G99XG7: 105.000đ
Lệch doanh thu HD.B1G9Q3XV: 73.000đ</v>
          </cell>
        </row>
        <row r="56">
          <cell r="C56" t="str">
            <v>Phạm Nguyễn Ngọc Quyền Trân</v>
          </cell>
          <cell r="D56" t="str">
            <v>DSTV</v>
          </cell>
          <cell r="E56">
            <v>32</v>
          </cell>
          <cell r="F56">
            <v>16</v>
          </cell>
          <cell r="G56">
            <v>24</v>
          </cell>
          <cell r="H56">
            <v>16</v>
          </cell>
          <cell r="I56" t="str"/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</v>
          </cell>
          <cell r="Q56">
            <v>8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 t="str"/>
        </row>
        <row r="57">
          <cell r="C57" t="str">
            <v>Lê Thị Soạn</v>
          </cell>
          <cell r="D57" t="str">
            <v>DSBC</v>
          </cell>
          <cell r="E57">
            <v>27.633333333333301</v>
          </cell>
          <cell r="F57">
            <v>241.4</v>
          </cell>
          <cell r="G57">
            <v>11.633333333333301</v>
          </cell>
          <cell r="H57">
            <v>241.4</v>
          </cell>
          <cell r="I57">
            <v>16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2000000</v>
          </cell>
          <cell r="W57">
            <v>2446413</v>
          </cell>
          <cell r="X57">
            <v>6259000</v>
          </cell>
          <cell r="Y57">
            <v>13095</v>
          </cell>
          <cell r="Z57">
            <v>0</v>
          </cell>
          <cell r="AA57">
            <v>0</v>
          </cell>
          <cell r="AB57">
            <v>38950</v>
          </cell>
          <cell r="AC57">
            <v>38950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 t="str"/>
        </row>
        <row r="58">
          <cell r="C58" t="str">
            <v>Nguyễn Thị Tâm</v>
          </cell>
          <cell r="D58" t="str">
            <v>DSBC</v>
          </cell>
          <cell r="E58">
            <v>139.55000000000001</v>
          </cell>
          <cell r="F58">
            <v>125.133333333333</v>
          </cell>
          <cell r="G58">
            <v>131.55000000000001</v>
          </cell>
          <cell r="H58">
            <v>125.133333333333</v>
          </cell>
          <cell r="I58">
            <v>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1200000</v>
          </cell>
          <cell r="W58">
            <v>2630846</v>
          </cell>
          <cell r="X58">
            <v>4104800</v>
          </cell>
          <cell r="Y58">
            <v>35615</v>
          </cell>
          <cell r="Z58">
            <v>0</v>
          </cell>
          <cell r="AA58">
            <v>0</v>
          </cell>
          <cell r="AB58">
            <v>38950</v>
          </cell>
          <cell r="AC58">
            <v>38950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 t="str"/>
        </row>
        <row r="59">
          <cell r="C59" t="str">
            <v>Hứa Thị Kim Thoa</v>
          </cell>
          <cell r="D59" t="str">
            <v>CHT</v>
          </cell>
          <cell r="E59">
            <v>47.966666666666697</v>
          </cell>
          <cell r="F59">
            <v>0</v>
          </cell>
          <cell r="G59">
            <v>47.966666666666697</v>
          </cell>
          <cell r="H59">
            <v>0</v>
          </cell>
          <cell r="I59" t="str"/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2000000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492625</v>
          </cell>
          <cell r="AB59">
            <v>208950</v>
          </cell>
          <cell r="AC59">
            <v>38950</v>
          </cell>
          <cell r="AD59">
            <v>20000</v>
          </cell>
          <cell r="AE59">
            <v>0</v>
          </cell>
          <cell r="AF59">
            <v>150000</v>
          </cell>
          <cell r="AG59">
            <v>0</v>
          </cell>
          <cell r="AH59" t="str">
            <v>Vào ca trễ 08/05/2026: 10.000đ
Vi phạm chấm điểm checklist  29/05/2026: 10.000đ</v>
          </cell>
        </row>
        <row r="60">
          <cell r="C60" t="str">
            <v>Nguyễn Thị Mai Duyên</v>
          </cell>
          <cell r="D60" t="str">
            <v>DSBC</v>
          </cell>
          <cell r="E60">
            <v>167.96666666666701</v>
          </cell>
          <cell r="F60">
            <v>110.783333333333</v>
          </cell>
          <cell r="G60">
            <v>151.96666666666701</v>
          </cell>
          <cell r="H60">
            <v>110.783333333333</v>
          </cell>
          <cell r="I60" t="str"/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28</v>
          </cell>
          <cell r="Q60">
            <v>0</v>
          </cell>
          <cell r="R60">
            <v>16</v>
          </cell>
          <cell r="S60">
            <v>2</v>
          </cell>
          <cell r="T60">
            <v>0</v>
          </cell>
          <cell r="U60">
            <v>0</v>
          </cell>
          <cell r="V60">
            <v>2000000</v>
          </cell>
          <cell r="W60">
            <v>0</v>
          </cell>
          <cell r="X60">
            <v>4967900</v>
          </cell>
          <cell r="Y60">
            <v>4780</v>
          </cell>
          <cell r="Z60">
            <v>0</v>
          </cell>
          <cell r="AA60">
            <v>0</v>
          </cell>
          <cell r="AB60">
            <v>138950</v>
          </cell>
          <cell r="AC60">
            <v>38950</v>
          </cell>
          <cell r="AD60">
            <v>0</v>
          </cell>
          <cell r="AE60">
            <v>0</v>
          </cell>
          <cell r="AF60">
            <v>100000</v>
          </cell>
          <cell r="AG60">
            <v>0</v>
          </cell>
          <cell r="AH60" t="str"/>
        </row>
        <row r="61">
          <cell r="C61" t="str">
            <v>Trần Ngọc Dung</v>
          </cell>
          <cell r="D61" t="str">
            <v>DSTV</v>
          </cell>
          <cell r="E61">
            <v>259.35000000000002</v>
          </cell>
          <cell r="F61">
            <v>38.200000000000003</v>
          </cell>
          <cell r="G61">
            <v>243.35</v>
          </cell>
          <cell r="H61">
            <v>38.200000000000003</v>
          </cell>
          <cell r="I61">
            <v>16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1041800</v>
          </cell>
          <cell r="Y61">
            <v>31599.9</v>
          </cell>
          <cell r="Z61">
            <v>0</v>
          </cell>
          <cell r="AA61">
            <v>0</v>
          </cell>
          <cell r="AB61">
            <v>110000</v>
          </cell>
          <cell r="AC61">
            <v>0</v>
          </cell>
          <cell r="AD61">
            <v>110000</v>
          </cell>
          <cell r="AE61">
            <v>0</v>
          </cell>
          <cell r="AF61">
            <v>0</v>
          </cell>
          <cell r="AG61">
            <v>0</v>
          </cell>
          <cell r="AH61" t="str">
            <v>Không chốt tiền theo ca 02/05/2026: 100.000đ
Không dọn dẹp vệ sinh nơi làm việc 23/05/2026: 10.000đ</v>
          </cell>
        </row>
        <row r="62">
          <cell r="C62" t="str">
            <v>Đinh Thị Lan Anh</v>
          </cell>
          <cell r="D62" t="str">
            <v>DSBC</v>
          </cell>
          <cell r="E62">
            <v>248.566666666667</v>
          </cell>
          <cell r="F62">
            <v>7.68333333333333</v>
          </cell>
          <cell r="G62">
            <v>232.566666666667</v>
          </cell>
          <cell r="H62">
            <v>7.68333333333333</v>
          </cell>
          <cell r="I62">
            <v>16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1200000</v>
          </cell>
          <cell r="W62">
            <v>4661254</v>
          </cell>
          <cell r="X62">
            <v>3239870</v>
          </cell>
          <cell r="Y62">
            <v>34248.199999999997</v>
          </cell>
          <cell r="Z62">
            <v>0</v>
          </cell>
          <cell r="AA62">
            <v>0</v>
          </cell>
          <cell r="AB62">
            <v>23800</v>
          </cell>
          <cell r="AC62">
            <v>13800</v>
          </cell>
          <cell r="AD62">
            <v>10000</v>
          </cell>
          <cell r="AE62">
            <v>0</v>
          </cell>
          <cell r="AF62">
            <v>0</v>
          </cell>
          <cell r="AG62">
            <v>0</v>
          </cell>
          <cell r="AH62" t="str">
            <v>Không thực hiện quy trình bán hàng 11/05/2026: 10.000đ</v>
          </cell>
        </row>
        <row r="63">
          <cell r="C63" t="str">
            <v>Nguyễn Thị Mai Duyên</v>
          </cell>
          <cell r="D63" t="str">
            <v>DSBC</v>
          </cell>
          <cell r="E63">
            <v>0</v>
          </cell>
          <cell r="F63">
            <v>6.93333333333333</v>
          </cell>
          <cell r="G63">
            <v>0</v>
          </cell>
          <cell r="H63">
            <v>6.93333333333333</v>
          </cell>
          <cell r="I63" t="str"/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 t="str"/>
        </row>
        <row r="64">
          <cell r="C64" t="str">
            <v>Lê Ngọc Anh</v>
          </cell>
          <cell r="D64" t="str">
            <v>CHT</v>
          </cell>
          <cell r="E64">
            <v>139</v>
          </cell>
          <cell r="F64">
            <v>0</v>
          </cell>
          <cell r="G64">
            <v>99</v>
          </cell>
          <cell r="H64">
            <v>0</v>
          </cell>
          <cell r="I64" t="str"/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  <cell r="Q64">
            <v>0</v>
          </cell>
          <cell r="R64">
            <v>40</v>
          </cell>
          <cell r="S64">
            <v>5</v>
          </cell>
          <cell r="T64">
            <v>1000000</v>
          </cell>
          <cell r="U64">
            <v>0</v>
          </cell>
          <cell r="V64">
            <v>0</v>
          </cell>
          <cell r="W64">
            <v>4174573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13800</v>
          </cell>
          <cell r="AC64">
            <v>13800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 t="str"/>
        </row>
        <row r="65">
          <cell r="C65" t="str">
            <v>Vũ Thanh Hằng</v>
          </cell>
          <cell r="D65" t="str">
            <v>DSBC</v>
          </cell>
          <cell r="E65">
            <v>213.86666666666699</v>
          </cell>
          <cell r="F65">
            <v>13.1</v>
          </cell>
          <cell r="G65">
            <v>197.86666666666699</v>
          </cell>
          <cell r="H65">
            <v>13.1</v>
          </cell>
          <cell r="I65">
            <v>16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1200000</v>
          </cell>
          <cell r="W65">
            <v>0</v>
          </cell>
          <cell r="X65">
            <v>3901800</v>
          </cell>
          <cell r="Y65">
            <v>55100</v>
          </cell>
          <cell r="Z65">
            <v>0</v>
          </cell>
          <cell r="AA65">
            <v>0</v>
          </cell>
          <cell r="AB65">
            <v>201100</v>
          </cell>
          <cell r="AC65">
            <v>13800</v>
          </cell>
          <cell r="AD65">
            <v>0</v>
          </cell>
          <cell r="AE65">
            <v>187300</v>
          </cell>
          <cell r="AF65">
            <v>0</v>
          </cell>
          <cell r="AG65">
            <v>0</v>
          </cell>
          <cell r="AH65" t="str">
            <v>Lệch doanh thu HD:B2G9ZKJB: 187.300đ</v>
          </cell>
        </row>
        <row r="66">
          <cell r="C66" t="str">
            <v>Đinh Thị Khánh Ly</v>
          </cell>
          <cell r="D66" t="str">
            <v>DSBC</v>
          </cell>
          <cell r="E66">
            <v>157.65</v>
          </cell>
          <cell r="F66">
            <v>67.116666666666703</v>
          </cell>
          <cell r="G66">
            <v>149.65</v>
          </cell>
          <cell r="H66">
            <v>67.116666666666703</v>
          </cell>
          <cell r="I66" t="str"/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28</v>
          </cell>
          <cell r="Q66">
            <v>0</v>
          </cell>
          <cell r="R66">
            <v>8</v>
          </cell>
          <cell r="S66">
            <v>1</v>
          </cell>
          <cell r="T66">
            <v>0</v>
          </cell>
          <cell r="U66">
            <v>0</v>
          </cell>
          <cell r="V66">
            <v>2000000</v>
          </cell>
          <cell r="W66">
            <v>4249143</v>
          </cell>
          <cell r="X66">
            <v>4403130</v>
          </cell>
          <cell r="Y66">
            <v>7570</v>
          </cell>
          <cell r="Z66">
            <v>0</v>
          </cell>
          <cell r="AA66">
            <v>0</v>
          </cell>
          <cell r="AB66">
            <v>13800</v>
          </cell>
          <cell r="AC66">
            <v>13800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 t="str"/>
        </row>
        <row r="67">
          <cell r="C67" t="str">
            <v>Nguyễn Mạnh Tuấn</v>
          </cell>
          <cell r="D67" t="str">
            <v>DSBC</v>
          </cell>
          <cell r="E67">
            <v>21.633333333333301</v>
          </cell>
          <cell r="F67">
            <v>181.63333333333301</v>
          </cell>
          <cell r="G67">
            <v>21.633333333333301</v>
          </cell>
          <cell r="H67">
            <v>181.63333333333301</v>
          </cell>
          <cell r="I67" t="str"/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28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1546290</v>
          </cell>
          <cell r="Y67">
            <v>0</v>
          </cell>
          <cell r="Z67">
            <v>0</v>
          </cell>
          <cell r="AA67">
            <v>0</v>
          </cell>
          <cell r="AB67">
            <v>200800</v>
          </cell>
          <cell r="AC67">
            <v>13800</v>
          </cell>
          <cell r="AD67">
            <v>0</v>
          </cell>
          <cell r="AE67">
            <v>87000</v>
          </cell>
          <cell r="AF67">
            <v>100000</v>
          </cell>
          <cell r="AG67">
            <v>0</v>
          </cell>
          <cell r="AH67" t="str">
            <v>Lệch doanh thu HD.BJ41DRW7: 87.000đ</v>
          </cell>
        </row>
        <row r="68">
          <cell r="C68">
            <v>0</v>
          </cell>
          <cell r="D68">
            <v>0</v>
          </cell>
          <cell r="E68">
            <v>7204.5333333333301</v>
          </cell>
          <cell r="F68">
            <v>4577.5666666666702</v>
          </cell>
          <cell r="G68">
            <v>6573.0333333333301</v>
          </cell>
          <cell r="H68">
            <v>4577.5666666666702</v>
          </cell>
          <cell r="I68">
            <v>232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1302</v>
          </cell>
          <cell r="Q68">
            <v>55.5</v>
          </cell>
          <cell r="R68">
            <v>344</v>
          </cell>
          <cell r="S68">
            <v>43</v>
          </cell>
          <cell r="T68">
            <v>9000000</v>
          </cell>
          <cell r="U68">
            <v>0</v>
          </cell>
          <cell r="V68">
            <v>27520000</v>
          </cell>
          <cell r="W68">
            <v>26106422</v>
          </cell>
          <cell r="X68">
            <v>66142705</v>
          </cell>
          <cell r="Y68">
            <v>779040</v>
          </cell>
          <cell r="Z68">
            <v>0</v>
          </cell>
          <cell r="AA68">
            <v>23244928.285714298</v>
          </cell>
          <cell r="AB68">
            <v>-6064199</v>
          </cell>
          <cell r="AC68">
            <v>3546899</v>
          </cell>
          <cell r="AD68">
            <v>330000</v>
          </cell>
          <cell r="AE68">
            <v>687300</v>
          </cell>
          <cell r="AF68">
            <v>1500000</v>
          </cell>
          <cell r="AG68">
            <v>0</v>
          </cell>
          <cell r="AH68">
            <v>0</v>
          </cell>
        </row>
        <row r="69">
          <cell r="C69">
            <v>0</v>
          </cell>
          <cell r="D69" t="str">
            <v>Tổng</v>
          </cell>
          <cell r="E69">
            <v>11782.1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/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C71">
            <v>0</v>
          </cell>
          <cell r="D71">
            <v>0</v>
          </cell>
          <cell r="E71" t="str">
            <v>Chi nhánh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C72">
            <v>0</v>
          </cell>
          <cell r="D72">
            <v>0</v>
          </cell>
          <cell r="E72" t="str">
            <v>24H</v>
          </cell>
          <cell r="F72">
            <v>0</v>
          </cell>
          <cell r="G72">
            <v>628.1</v>
          </cell>
          <cell r="H72">
            <v>479.4</v>
          </cell>
          <cell r="I72">
            <v>0</v>
          </cell>
          <cell r="J72">
            <v>0</v>
          </cell>
          <cell r="K72" t="str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C73">
            <v>0</v>
          </cell>
          <cell r="D73">
            <v>0</v>
          </cell>
          <cell r="E73" t="str">
            <v>Đỗ Quang Đẩu</v>
          </cell>
          <cell r="F73">
            <v>0</v>
          </cell>
          <cell r="G73">
            <v>791.58333333333303</v>
          </cell>
          <cell r="H73">
            <v>486.1</v>
          </cell>
          <cell r="I73">
            <v>0</v>
          </cell>
          <cell r="J73">
            <v>0</v>
          </cell>
          <cell r="K73" t="str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D74">
            <v>0</v>
          </cell>
          <cell r="E74" t="str">
            <v>Minh Châu</v>
          </cell>
          <cell r="F74">
            <v>0</v>
          </cell>
          <cell r="G74">
            <v>793.45</v>
          </cell>
          <cell r="H74">
            <v>344.41666666666703</v>
          </cell>
          <cell r="I74">
            <v>0</v>
          </cell>
          <cell r="J74">
            <v>0</v>
          </cell>
          <cell r="K74" t="str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C75">
            <v>0</v>
          </cell>
          <cell r="D75">
            <v>0</v>
          </cell>
          <cell r="E75" t="str">
            <v>Nam Hòa</v>
          </cell>
          <cell r="F75">
            <v>0</v>
          </cell>
          <cell r="G75">
            <v>518.26666666666699</v>
          </cell>
          <cell r="H75">
            <v>474.38333333333298</v>
          </cell>
          <cell r="I75">
            <v>0</v>
          </cell>
          <cell r="J75">
            <v>0</v>
          </cell>
          <cell r="K75" t="str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C76">
            <v>0</v>
          </cell>
          <cell r="D76">
            <v>0</v>
          </cell>
          <cell r="E76" t="str">
            <v>Nguyễn Chí Thanh</v>
          </cell>
          <cell r="F76">
            <v>0</v>
          </cell>
          <cell r="G76">
            <v>652</v>
          </cell>
          <cell r="H76">
            <v>495.01666666666699</v>
          </cell>
          <cell r="I76">
            <v>0</v>
          </cell>
          <cell r="J76">
            <v>0</v>
          </cell>
          <cell r="K76" t="str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C77">
            <v>0</v>
          </cell>
          <cell r="D77">
            <v>0</v>
          </cell>
          <cell r="E77" t="str">
            <v>Nguyễn Thị Thập</v>
          </cell>
          <cell r="F77">
            <v>0</v>
          </cell>
          <cell r="G77">
            <v>814.46666666666704</v>
          </cell>
          <cell r="H77">
            <v>554.88333333333298</v>
          </cell>
          <cell r="I77">
            <v>0</v>
          </cell>
          <cell r="J77">
            <v>0</v>
          </cell>
          <cell r="K77" t="str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C78">
            <v>0</v>
          </cell>
          <cell r="D78">
            <v>0</v>
          </cell>
          <cell r="E78" t="str">
            <v>Nguyễn Văn Quá</v>
          </cell>
          <cell r="F78">
            <v>0</v>
          </cell>
          <cell r="G78">
            <v>489.58333333333297</v>
          </cell>
          <cell r="H78">
            <v>454.066666666667</v>
          </cell>
          <cell r="I78">
            <v>0</v>
          </cell>
          <cell r="J78">
            <v>0</v>
          </cell>
          <cell r="K78" t="str"/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C79">
            <v>0</v>
          </cell>
          <cell r="D79">
            <v>0</v>
          </cell>
          <cell r="E79" t="str">
            <v>Rạch Bùng Binh</v>
          </cell>
          <cell r="F79">
            <v>0</v>
          </cell>
          <cell r="G79">
            <v>598.4</v>
          </cell>
          <cell r="H79">
            <v>497.316666666667</v>
          </cell>
          <cell r="I79">
            <v>0</v>
          </cell>
          <cell r="J79">
            <v>0</v>
          </cell>
          <cell r="K79" t="str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>
            <v>0</v>
          </cell>
          <cell r="D80">
            <v>0</v>
          </cell>
          <cell r="E80" t="str">
            <v>Đường Láng</v>
          </cell>
          <cell r="F80">
            <v>0</v>
          </cell>
          <cell r="G80">
            <v>586.46666666666704</v>
          </cell>
          <cell r="H80">
            <v>515.51666666666699</v>
          </cell>
          <cell r="I80">
            <v>0</v>
          </cell>
          <cell r="J80">
            <v>0</v>
          </cell>
          <cell r="K80" t="str"/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>
            <v>0</v>
          </cell>
          <cell r="D81">
            <v>0</v>
          </cell>
          <cell r="E81" t="str">
            <v>Hàng Bông</v>
          </cell>
          <cell r="F81">
            <v>0</v>
          </cell>
          <cell r="G81">
            <v>700.71666666666704</v>
          </cell>
          <cell r="H81">
            <v>276.46666666666698</v>
          </cell>
          <cell r="I81">
            <v>0</v>
          </cell>
          <cell r="J81">
            <v>0</v>
          </cell>
          <cell r="K81" t="str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/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/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/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/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/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/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/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/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/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/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/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/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/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/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/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/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/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/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BẢNG CC"/>
      <sheetName val="Medigo "/>
      <sheetName val="Med Service"/>
      <sheetName val="BSONL"/>
      <sheetName val="Bac Thu"/>
      <sheetName val="CNT"/>
      <sheetName val="DSDB"/>
      <sheetName val="TTCK VP 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/>
      <sheetData sheetId="2">
        <row r="42">
          <cell r="K42">
            <v>1820</v>
          </cell>
          <cell r="L42">
            <v>1313</v>
          </cell>
          <cell r="M42">
            <v>7435.08</v>
          </cell>
          <cell r="N42">
            <v>4347.8999999999996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217710000</v>
          </cell>
          <cell r="T42">
            <v>22125000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C42">
            <v>322729058</v>
          </cell>
        </row>
        <row r="43">
          <cell r="D43" t="str">
            <v>Hồ Thị Minh Hòa</v>
          </cell>
          <cell r="E43" t="str">
            <v>HĐLĐ</v>
          </cell>
          <cell r="F43" t="str">
            <v>24H</v>
          </cell>
          <cell r="G43" t="str">
            <v>DSBC</v>
          </cell>
          <cell r="H43">
            <v>45352</v>
          </cell>
          <cell r="I43" t="str">
            <v>0051000542226</v>
          </cell>
          <cell r="J43" t="str">
            <v>Vietcombank</v>
          </cell>
          <cell r="K43">
            <v>28</v>
          </cell>
          <cell r="L43">
            <v>18</v>
          </cell>
          <cell r="M43">
            <v>118</v>
          </cell>
          <cell r="N43">
            <v>48.4</v>
          </cell>
          <cell r="S43">
            <v>5310000</v>
          </cell>
          <cell r="T43">
            <v>250000</v>
          </cell>
          <cell r="AA43">
            <v>0</v>
          </cell>
          <cell r="AB43">
            <v>0</v>
          </cell>
          <cell r="AC43">
            <v>6500000</v>
          </cell>
        </row>
        <row r="44">
          <cell r="D44" t="str">
            <v>Nguyễn Ngọc Anh Thư</v>
          </cell>
          <cell r="E44" t="str">
            <v>HĐTV</v>
          </cell>
          <cell r="F44" t="str">
            <v>24H</v>
          </cell>
          <cell r="G44" t="str">
            <v>DSTV</v>
          </cell>
          <cell r="H44" t="str">
            <v>14/07/2026</v>
          </cell>
          <cell r="I44" t="str">
            <v>7500664184</v>
          </cell>
          <cell r="J44" t="str">
            <v>BIDV</v>
          </cell>
          <cell r="K44">
            <v>28</v>
          </cell>
          <cell r="L44">
            <v>14</v>
          </cell>
          <cell r="M44">
            <v>43.62</v>
          </cell>
          <cell r="N44">
            <v>72.319999999999993</v>
          </cell>
          <cell r="S44">
            <v>0</v>
          </cell>
          <cell r="T44">
            <v>250000</v>
          </cell>
          <cell r="AA44">
            <v>0</v>
          </cell>
          <cell r="AB44">
            <v>0</v>
          </cell>
          <cell r="AC44">
            <v>6000000</v>
          </cell>
        </row>
        <row r="45">
          <cell r="D45" t="str">
            <v>Nguyễn Trần Ngọc Phương</v>
          </cell>
          <cell r="E45" t="str">
            <v>HĐTV</v>
          </cell>
          <cell r="F45" t="str">
            <v>24H</v>
          </cell>
          <cell r="G45" t="str">
            <v>Q.CHT</v>
          </cell>
          <cell r="H45">
            <v>46196</v>
          </cell>
          <cell r="I45" t="str">
            <v>0721000550950</v>
          </cell>
          <cell r="J45" t="str">
            <v>Vietcombank</v>
          </cell>
          <cell r="K45">
            <v>28</v>
          </cell>
          <cell r="L45">
            <v>27</v>
          </cell>
          <cell r="M45">
            <v>146.12</v>
          </cell>
          <cell r="N45">
            <v>70.180000000000007</v>
          </cell>
          <cell r="S45">
            <v>0</v>
          </cell>
          <cell r="T45">
            <v>482142.85714285698</v>
          </cell>
          <cell r="AA45">
            <v>0</v>
          </cell>
          <cell r="AB45">
            <v>0</v>
          </cell>
          <cell r="AC45">
            <v>6000000</v>
          </cell>
        </row>
        <row r="46">
          <cell r="D46" t="str">
            <v>Ngô Trần Tuyết Vy</v>
          </cell>
          <cell r="E46" t="str">
            <v>HĐLĐ</v>
          </cell>
          <cell r="F46" t="str">
            <v>24H</v>
          </cell>
          <cell r="G46" t="str">
            <v>DSBC</v>
          </cell>
          <cell r="H46">
            <v>44743</v>
          </cell>
          <cell r="I46" t="str">
            <v>060260188766</v>
          </cell>
          <cell r="J46" t="str">
            <v>Sacombank</v>
          </cell>
          <cell r="K46">
            <v>28</v>
          </cell>
          <cell r="L46">
            <v>31</v>
          </cell>
          <cell r="M46">
            <v>144.58000000000001</v>
          </cell>
          <cell r="N46">
            <v>137.32</v>
          </cell>
          <cell r="S46">
            <v>5310000</v>
          </cell>
          <cell r="T46">
            <v>500000</v>
          </cell>
          <cell r="AA46">
            <v>0</v>
          </cell>
          <cell r="AB46">
            <v>0</v>
          </cell>
          <cell r="AC46">
            <v>8350258</v>
          </cell>
        </row>
        <row r="47">
          <cell r="D47" t="str">
            <v>Phạm Nguyễn Ngọc Quý</v>
          </cell>
          <cell r="E47" t="str">
            <v>HĐLĐ</v>
          </cell>
          <cell r="F47" t="str">
            <v>24H</v>
          </cell>
          <cell r="G47" t="str">
            <v>DSBC</v>
          </cell>
          <cell r="H47" t="str">
            <v>01/11/2024</v>
          </cell>
          <cell r="I47" t="str">
            <v>1026764251</v>
          </cell>
          <cell r="J47" t="str">
            <v>Vietcombank</v>
          </cell>
          <cell r="K47">
            <v>28</v>
          </cell>
          <cell r="L47">
            <v>31</v>
          </cell>
          <cell r="M47">
            <v>138.41999999999999</v>
          </cell>
          <cell r="N47">
            <v>135.94999999999999</v>
          </cell>
          <cell r="S47">
            <v>5310000</v>
          </cell>
          <cell r="T47">
            <v>500000</v>
          </cell>
          <cell r="AA47">
            <v>0</v>
          </cell>
          <cell r="AB47">
            <v>0</v>
          </cell>
          <cell r="AC47">
            <v>6000000</v>
          </cell>
        </row>
        <row r="48">
          <cell r="D48" t="str">
            <v>Trần Thị Kim Khánh</v>
          </cell>
          <cell r="E48" t="str">
            <v>HĐLĐ</v>
          </cell>
          <cell r="F48" t="str">
            <v>24H</v>
          </cell>
          <cell r="G48" t="str">
            <v>DSBC</v>
          </cell>
          <cell r="H48">
            <v>45099</v>
          </cell>
          <cell r="I48" t="str">
            <v>69110000565904</v>
          </cell>
          <cell r="J48" t="str">
            <v>BIDV</v>
          </cell>
          <cell r="K48">
            <v>28</v>
          </cell>
          <cell r="L48">
            <v>31</v>
          </cell>
          <cell r="M48">
            <v>212.4</v>
          </cell>
          <cell r="N48">
            <v>87.22</v>
          </cell>
          <cell r="S48">
            <v>5310000</v>
          </cell>
          <cell r="T48">
            <v>500000</v>
          </cell>
          <cell r="AA48">
            <v>0</v>
          </cell>
          <cell r="AB48">
            <v>0</v>
          </cell>
          <cell r="AC48">
            <v>6500000</v>
          </cell>
        </row>
        <row r="49">
          <cell r="K49">
            <v>168</v>
          </cell>
          <cell r="L49">
            <v>152</v>
          </cell>
          <cell r="M49">
            <v>803.14</v>
          </cell>
          <cell r="N49">
            <v>551.39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21240000</v>
          </cell>
          <cell r="T49">
            <v>2482142.8571428601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39350258</v>
          </cell>
        </row>
        <row r="50">
          <cell r="D50" t="str">
            <v>Bùi Thị Thanh Thủy</v>
          </cell>
          <cell r="E50" t="str">
            <v>HĐTV</v>
          </cell>
          <cell r="F50" t="str">
            <v>Đỗ Quang Đẩu</v>
          </cell>
          <cell r="G50" t="str">
            <v>DSTV</v>
          </cell>
          <cell r="H50" t="str">
            <v>30/06/2026</v>
          </cell>
          <cell r="I50" t="str">
            <v>1014584596</v>
          </cell>
          <cell r="J50" t="str">
            <v>Vietcombank</v>
          </cell>
          <cell r="K50">
            <v>28</v>
          </cell>
          <cell r="L50">
            <v>7</v>
          </cell>
          <cell r="M50">
            <v>56.37</v>
          </cell>
          <cell r="N50">
            <v>0</v>
          </cell>
          <cell r="S50">
            <v>0</v>
          </cell>
          <cell r="T50">
            <v>107142.857142857</v>
          </cell>
          <cell r="AA50">
            <v>0</v>
          </cell>
          <cell r="AB50">
            <v>0</v>
          </cell>
          <cell r="AC50">
            <v>6000000</v>
          </cell>
        </row>
        <row r="51">
          <cell r="D51" t="str">
            <v>Dương Thị Huỳnh Như</v>
          </cell>
          <cell r="E51" t="str">
            <v>HĐTV</v>
          </cell>
          <cell r="F51" t="str">
            <v>Đỗ Quang Đẩu</v>
          </cell>
          <cell r="G51" t="str">
            <v>DSTV</v>
          </cell>
          <cell r="H51" t="str">
            <v>28/07/2026</v>
          </cell>
          <cell r="I51" t="str">
            <v>023704070008223</v>
          </cell>
          <cell r="J51" t="str">
            <v>HD Bank</v>
          </cell>
          <cell r="K51">
            <v>28</v>
          </cell>
          <cell r="L51">
            <v>3</v>
          </cell>
          <cell r="M51">
            <v>24.13</v>
          </cell>
          <cell r="N51">
            <v>0</v>
          </cell>
          <cell r="S51">
            <v>0</v>
          </cell>
          <cell r="T51">
            <v>53571.428571428602</v>
          </cell>
          <cell r="AA51">
            <v>0</v>
          </cell>
          <cell r="AB51">
            <v>0</v>
          </cell>
          <cell r="AC51">
            <v>6000000</v>
          </cell>
        </row>
        <row r="52">
          <cell r="D52" t="str">
            <v>Hoàng Thanh Thủy</v>
          </cell>
          <cell r="E52" t="str">
            <v>HĐLĐ</v>
          </cell>
          <cell r="F52" t="str">
            <v>Đỗ Quang Đẩu</v>
          </cell>
          <cell r="G52" t="str">
            <v>DSBC</v>
          </cell>
          <cell r="H52" t="str">
            <v>27/10/2025</v>
          </cell>
          <cell r="I52" t="str">
            <v>615704060127761</v>
          </cell>
          <cell r="J52" t="str">
            <v>VIB</v>
          </cell>
          <cell r="K52">
            <v>28</v>
          </cell>
          <cell r="L52">
            <v>30</v>
          </cell>
          <cell r="M52">
            <v>260.60000000000002</v>
          </cell>
          <cell r="N52">
            <v>0.6</v>
          </cell>
          <cell r="S52">
            <v>5310000</v>
          </cell>
          <cell r="T52">
            <v>500000</v>
          </cell>
          <cell r="AA52">
            <v>0</v>
          </cell>
          <cell r="AB52">
            <v>0</v>
          </cell>
          <cell r="AC52">
            <v>6000000</v>
          </cell>
        </row>
        <row r="53">
          <cell r="D53" t="str">
            <v>Lê Thị Huyền Trân</v>
          </cell>
          <cell r="E53" t="str">
            <v>HĐLĐ</v>
          </cell>
          <cell r="F53" t="str">
            <v>Đỗ Quang Đẩu</v>
          </cell>
          <cell r="G53" t="str">
            <v>DSBC</v>
          </cell>
          <cell r="H53">
            <v>45510</v>
          </cell>
          <cell r="I53" t="str">
            <v>03130767201</v>
          </cell>
          <cell r="J53" t="str">
            <v>Tiên Phong Bank</v>
          </cell>
          <cell r="K53">
            <v>28</v>
          </cell>
          <cell r="L53">
            <v>30</v>
          </cell>
          <cell r="M53">
            <v>248.83</v>
          </cell>
          <cell r="N53">
            <v>8.08</v>
          </cell>
          <cell r="S53">
            <v>5310000</v>
          </cell>
          <cell r="T53">
            <v>500000</v>
          </cell>
          <cell r="AA53">
            <v>0</v>
          </cell>
          <cell r="AB53">
            <v>0</v>
          </cell>
          <cell r="AC53">
            <v>6000000</v>
          </cell>
        </row>
        <row r="54">
          <cell r="D54" t="str">
            <v>Nguyễn Thị Huyền Trang</v>
          </cell>
          <cell r="E54" t="str">
            <v>HĐTV</v>
          </cell>
          <cell r="F54" t="str">
            <v>Đỗ Quang Đẩu</v>
          </cell>
          <cell r="G54" t="str">
            <v>DSTV</v>
          </cell>
          <cell r="H54" t="str">
            <v>30/06/2026</v>
          </cell>
          <cell r="I54" t="str">
            <v>1033345427</v>
          </cell>
          <cell r="J54" t="str">
            <v>Vietcombank</v>
          </cell>
          <cell r="K54">
            <v>28</v>
          </cell>
          <cell r="L54">
            <v>7</v>
          </cell>
          <cell r="M54">
            <v>57</v>
          </cell>
          <cell r="N54">
            <v>0</v>
          </cell>
          <cell r="T54">
            <v>107142.857142857</v>
          </cell>
          <cell r="AA54">
            <v>0</v>
          </cell>
          <cell r="AB54">
            <v>0</v>
          </cell>
          <cell r="AC54">
            <v>6000000</v>
          </cell>
        </row>
        <row r="55">
          <cell r="D55" t="str">
            <v>Ngô Thị Ngọc Thủy</v>
          </cell>
          <cell r="E55" t="str">
            <v>HĐTV</v>
          </cell>
          <cell r="F55" t="str">
            <v>Đỗ Quang Đẩu</v>
          </cell>
          <cell r="G55" t="str">
            <v>DSTV</v>
          </cell>
          <cell r="H55">
            <v>46190</v>
          </cell>
          <cell r="I55" t="str">
            <v>02031125202</v>
          </cell>
          <cell r="J55" t="str">
            <v>TP Bank</v>
          </cell>
          <cell r="K55">
            <v>28</v>
          </cell>
          <cell r="L55">
            <v>8</v>
          </cell>
          <cell r="M55">
            <v>64.62</v>
          </cell>
          <cell r="N55">
            <v>0</v>
          </cell>
          <cell r="S55">
            <v>0</v>
          </cell>
          <cell r="T55">
            <v>107142.857142857</v>
          </cell>
          <cell r="AA55">
            <v>0</v>
          </cell>
          <cell r="AB55">
            <v>0</v>
          </cell>
          <cell r="AC55">
            <v>6000000</v>
          </cell>
        </row>
        <row r="56">
          <cell r="D56" t="str">
            <v>Ngô Thị Thanh Thắm</v>
          </cell>
          <cell r="E56" t="str">
            <v>HĐLĐ</v>
          </cell>
          <cell r="F56" t="str">
            <v>Đỗ Quang Đẩu</v>
          </cell>
          <cell r="G56" t="str">
            <v>CHT</v>
          </cell>
          <cell r="H56">
            <v>45524</v>
          </cell>
          <cell r="I56" t="str">
            <v>0431000219840</v>
          </cell>
          <cell r="J56" t="str">
            <v>Vietcombank</v>
          </cell>
          <cell r="K56">
            <v>28</v>
          </cell>
          <cell r="L56">
            <v>25</v>
          </cell>
          <cell r="M56">
            <v>225.32</v>
          </cell>
          <cell r="N56">
            <v>0</v>
          </cell>
          <cell r="S56">
            <v>5310000</v>
          </cell>
          <cell r="T56">
            <v>446428.57142857101</v>
          </cell>
          <cell r="AA56">
            <v>0</v>
          </cell>
          <cell r="AB56">
            <v>0</v>
          </cell>
          <cell r="AC56">
            <v>6000000</v>
          </cell>
        </row>
        <row r="57">
          <cell r="D57" t="str">
            <v>Phạm Thị Diên</v>
          </cell>
          <cell r="E57" t="str">
            <v>HĐTV</v>
          </cell>
          <cell r="F57" t="str">
            <v>Đỗ Quang Đẩu</v>
          </cell>
          <cell r="G57" t="str">
            <v>DSTV</v>
          </cell>
          <cell r="H57">
            <v>46199</v>
          </cell>
          <cell r="I57" t="str">
            <v>1028841251</v>
          </cell>
          <cell r="J57" t="str">
            <v>Vietcombank</v>
          </cell>
          <cell r="K57">
            <v>28</v>
          </cell>
          <cell r="L57">
            <v>2</v>
          </cell>
          <cell r="M57">
            <v>16.47</v>
          </cell>
          <cell r="N57">
            <v>0</v>
          </cell>
          <cell r="S57">
            <v>0</v>
          </cell>
          <cell r="T57">
            <v>35714.285714285703</v>
          </cell>
          <cell r="AA57">
            <v>0</v>
          </cell>
          <cell r="AB57">
            <v>0</v>
          </cell>
          <cell r="AC57">
            <v>6000000</v>
          </cell>
        </row>
        <row r="58">
          <cell r="D58" t="str">
            <v>Phạm Thị Nghĩa Hương</v>
          </cell>
          <cell r="E58" t="str">
            <v>HĐLĐ</v>
          </cell>
          <cell r="F58" t="str">
            <v>Đỗ Quang Đẩu</v>
          </cell>
          <cell r="G58" t="str">
            <v>DSBC</v>
          </cell>
          <cell r="H58">
            <v>45575</v>
          </cell>
          <cell r="I58" t="str">
            <v>0968249073</v>
          </cell>
          <cell r="J58" t="str">
            <v>Mb bank</v>
          </cell>
          <cell r="K58">
            <v>28</v>
          </cell>
          <cell r="L58">
            <v>30</v>
          </cell>
          <cell r="M58">
            <v>16</v>
          </cell>
          <cell r="N58">
            <v>237.83</v>
          </cell>
          <cell r="S58">
            <v>5310000</v>
          </cell>
          <cell r="T58">
            <v>500000</v>
          </cell>
          <cell r="AA58">
            <v>0</v>
          </cell>
          <cell r="AB58">
            <v>0</v>
          </cell>
          <cell r="AC58">
            <v>6000000</v>
          </cell>
        </row>
        <row r="59">
          <cell r="D59" t="str">
            <v>Trần Thiên Phát</v>
          </cell>
          <cell r="E59" t="str">
            <v>HĐLĐ</v>
          </cell>
          <cell r="F59" t="str">
            <v>Đỗ Quang Đẩu</v>
          </cell>
          <cell r="G59" t="str">
            <v>DSBC</v>
          </cell>
          <cell r="H59" t="str">
            <v>21/07/2025</v>
          </cell>
          <cell r="I59" t="str">
            <v>0345611564</v>
          </cell>
          <cell r="J59" t="str">
            <v>Mbbank</v>
          </cell>
          <cell r="K59">
            <v>28</v>
          </cell>
          <cell r="L59">
            <v>30</v>
          </cell>
          <cell r="M59">
            <v>16</v>
          </cell>
          <cell r="N59">
            <v>230.67</v>
          </cell>
          <cell r="S59">
            <v>5310000</v>
          </cell>
          <cell r="T59">
            <v>500000</v>
          </cell>
          <cell r="AA59">
            <v>0</v>
          </cell>
          <cell r="AB59">
            <v>0</v>
          </cell>
          <cell r="AC59">
            <v>6000000</v>
          </cell>
        </row>
        <row r="60">
          <cell r="D60" t="str">
            <v>Đinh Hoài Bảo</v>
          </cell>
          <cell r="E60" t="str">
            <v>HĐTV</v>
          </cell>
          <cell r="F60" t="str">
            <v>Đỗ Quang Đẩu</v>
          </cell>
          <cell r="G60" t="str">
            <v>DSTV</v>
          </cell>
          <cell r="H60" t="str">
            <v>03/07/2026</v>
          </cell>
          <cell r="I60" t="str">
            <v>5620709358</v>
          </cell>
          <cell r="J60" t="str">
            <v>BIDV</v>
          </cell>
          <cell r="K60">
            <v>28</v>
          </cell>
          <cell r="L60">
            <v>9</v>
          </cell>
          <cell r="M60">
            <v>73.069999999999993</v>
          </cell>
          <cell r="N60">
            <v>0</v>
          </cell>
          <cell r="S60">
            <v>0</v>
          </cell>
          <cell r="T60">
            <v>160714.285714286</v>
          </cell>
          <cell r="AA60">
            <v>0</v>
          </cell>
          <cell r="AB60">
            <v>0</v>
          </cell>
        </row>
        <row r="61">
          <cell r="K61">
            <v>308</v>
          </cell>
          <cell r="L61">
            <v>181</v>
          </cell>
          <cell r="M61">
            <v>1058.4100000000001</v>
          </cell>
          <cell r="N61">
            <v>477.18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26550000</v>
          </cell>
          <cell r="T61">
            <v>3017857.1428571399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60000000</v>
          </cell>
        </row>
        <row r="62">
          <cell r="D62" t="str">
            <v>Hoàng Lâm Gia Bảo</v>
          </cell>
          <cell r="E62" t="str">
            <v>HĐTV</v>
          </cell>
          <cell r="F62" t="str">
            <v>Minh Châu</v>
          </cell>
          <cell r="G62" t="str">
            <v>DSTV</v>
          </cell>
          <cell r="H62" t="str">
            <v>27/5/2026</v>
          </cell>
          <cell r="I62" t="str">
            <v>067106916868</v>
          </cell>
          <cell r="J62" t="str">
            <v>Sacombank</v>
          </cell>
          <cell r="K62">
            <v>28</v>
          </cell>
          <cell r="L62">
            <v>14</v>
          </cell>
          <cell r="M62">
            <v>34</v>
          </cell>
          <cell r="N62">
            <v>0</v>
          </cell>
          <cell r="S62">
            <v>0</v>
          </cell>
          <cell r="T62">
            <v>250000</v>
          </cell>
          <cell r="AA62">
            <v>0</v>
          </cell>
          <cell r="AB62">
            <v>0</v>
          </cell>
          <cell r="AC62">
            <v>5100000</v>
          </cell>
        </row>
        <row r="63">
          <cell r="D63" t="str">
            <v>Lê Thị Xuyến</v>
          </cell>
          <cell r="E63" t="str">
            <v>HĐTV</v>
          </cell>
          <cell r="F63" t="str">
            <v>Minh Châu</v>
          </cell>
          <cell r="G63" t="str">
            <v>DSTV</v>
          </cell>
          <cell r="H63" t="str">
            <v>17/07/2026</v>
          </cell>
          <cell r="I63" t="str">
            <v>7755599939</v>
          </cell>
          <cell r="J63" t="str">
            <v>Techcombank</v>
          </cell>
          <cell r="K63">
            <v>28</v>
          </cell>
          <cell r="L63">
            <v>6</v>
          </cell>
          <cell r="M63">
            <v>2.15</v>
          </cell>
          <cell r="N63">
            <v>48.1</v>
          </cell>
          <cell r="S63">
            <v>0</v>
          </cell>
          <cell r="T63">
            <v>107142.857142857</v>
          </cell>
          <cell r="AA63">
            <v>0</v>
          </cell>
          <cell r="AB63">
            <v>0</v>
          </cell>
        </row>
        <row r="64">
          <cell r="D64" t="str">
            <v>Nguyễn Ngọc Thùy</v>
          </cell>
          <cell r="E64" t="str">
            <v>HĐTV</v>
          </cell>
          <cell r="F64" t="str">
            <v>Minh Châu</v>
          </cell>
          <cell r="G64" t="str">
            <v>DSTV</v>
          </cell>
          <cell r="H64" t="str">
            <v>14/07/2026</v>
          </cell>
          <cell r="I64" t="str">
            <v>0798366668888</v>
          </cell>
          <cell r="J64" t="str">
            <v>MB Bank</v>
          </cell>
          <cell r="K64">
            <v>28</v>
          </cell>
          <cell r="L64">
            <v>16</v>
          </cell>
          <cell r="M64">
            <v>121.25</v>
          </cell>
          <cell r="N64">
            <v>16.07</v>
          </cell>
          <cell r="S64">
            <v>0</v>
          </cell>
          <cell r="T64">
            <v>285714.28571428597</v>
          </cell>
          <cell r="AA64">
            <v>0</v>
          </cell>
          <cell r="AB64">
            <v>0</v>
          </cell>
        </row>
        <row r="65">
          <cell r="D65" t="str">
            <v>Nguyễn Ngọc Đài Trang</v>
          </cell>
          <cell r="E65" t="str">
            <v>HĐCTV</v>
          </cell>
          <cell r="F65" t="str">
            <v>Minh Châu</v>
          </cell>
          <cell r="G65" t="str">
            <v>DSHV</v>
          </cell>
          <cell r="H65" t="str">
            <v>07/07/2026</v>
          </cell>
          <cell r="I65" t="str">
            <v>0938922199</v>
          </cell>
          <cell r="J65" t="str">
            <v>Ngân hàng TMCP Sài Gòn- Hà Nội ( SHB)</v>
          </cell>
          <cell r="K65">
            <v>28</v>
          </cell>
          <cell r="L65">
            <v>23</v>
          </cell>
          <cell r="M65">
            <v>184.28</v>
          </cell>
          <cell r="N65">
            <v>0</v>
          </cell>
          <cell r="S65">
            <v>0</v>
          </cell>
          <cell r="T65">
            <v>410714.28571428597</v>
          </cell>
          <cell r="AA65">
            <v>0</v>
          </cell>
          <cell r="AB65">
            <v>0</v>
          </cell>
        </row>
        <row r="66">
          <cell r="D66" t="str">
            <v>Phan Công Vũ Tài</v>
          </cell>
          <cell r="E66" t="str">
            <v>HĐLĐ</v>
          </cell>
          <cell r="F66" t="str">
            <v>Minh Châu</v>
          </cell>
          <cell r="G66" t="str">
            <v>DSBC</v>
          </cell>
          <cell r="H66" t="str">
            <v>26/01/2026</v>
          </cell>
          <cell r="I66" t="str">
            <v>02446989901</v>
          </cell>
          <cell r="J66" t="str">
            <v>Tp Bank</v>
          </cell>
          <cell r="K66">
            <v>28</v>
          </cell>
          <cell r="L66">
            <v>29</v>
          </cell>
          <cell r="M66">
            <v>97.13</v>
          </cell>
          <cell r="N66">
            <v>1.37</v>
          </cell>
          <cell r="S66">
            <v>5310000</v>
          </cell>
          <cell r="T66">
            <v>500000</v>
          </cell>
          <cell r="AA66">
            <v>0</v>
          </cell>
          <cell r="AB66">
            <v>0</v>
          </cell>
          <cell r="AC66">
            <v>6000000</v>
          </cell>
        </row>
        <row r="67">
          <cell r="D67" t="str">
            <v>Thái Thùy Linh</v>
          </cell>
          <cell r="E67" t="str">
            <v>HĐLĐ</v>
          </cell>
          <cell r="F67" t="str">
            <v>Minh Châu</v>
          </cell>
          <cell r="G67" t="str">
            <v>CHT</v>
          </cell>
          <cell r="H67">
            <v>44644</v>
          </cell>
          <cell r="I67" t="str">
            <v>070077077837</v>
          </cell>
          <cell r="J67" t="str">
            <v>Sacombank</v>
          </cell>
          <cell r="K67">
            <v>28</v>
          </cell>
          <cell r="L67">
            <v>30</v>
          </cell>
          <cell r="M67">
            <v>313.89999999999998</v>
          </cell>
          <cell r="N67">
            <v>32.67</v>
          </cell>
          <cell r="S67">
            <v>5310000</v>
          </cell>
          <cell r="T67">
            <v>500000</v>
          </cell>
          <cell r="AA67">
            <v>0</v>
          </cell>
          <cell r="AB67">
            <v>0</v>
          </cell>
          <cell r="AC67">
            <v>7869400</v>
          </cell>
        </row>
        <row r="68">
          <cell r="D68" t="str">
            <v>Trịnh Thị Phượng</v>
          </cell>
          <cell r="E68" t="str">
            <v>HĐLĐ</v>
          </cell>
          <cell r="F68" t="str">
            <v>Minh Châu</v>
          </cell>
          <cell r="G68" t="str">
            <v>DSBC</v>
          </cell>
          <cell r="H68">
            <v>45096</v>
          </cell>
          <cell r="I68" t="str">
            <v>10200014211025</v>
          </cell>
          <cell r="J68" t="str">
            <v>Đông Nam Á (Seabank)</v>
          </cell>
          <cell r="K68">
            <v>28</v>
          </cell>
          <cell r="L68">
            <v>23</v>
          </cell>
          <cell r="M68">
            <v>56</v>
          </cell>
          <cell r="N68">
            <v>187.47</v>
          </cell>
          <cell r="S68">
            <v>5310000</v>
          </cell>
          <cell r="T68">
            <v>410714.28571428597</v>
          </cell>
          <cell r="AA68">
            <v>0</v>
          </cell>
          <cell r="AB68">
            <v>0</v>
          </cell>
          <cell r="AC68">
            <v>6500000</v>
          </cell>
        </row>
        <row r="69">
          <cell r="K69">
            <v>196</v>
          </cell>
          <cell r="L69">
            <v>141</v>
          </cell>
          <cell r="M69">
            <v>808.71</v>
          </cell>
          <cell r="N69">
            <v>285.68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15930000</v>
          </cell>
          <cell r="T69">
            <v>2464285.7142857099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25469400</v>
          </cell>
        </row>
        <row r="70">
          <cell r="D70" t="str">
            <v>Cù Thị Tường Vy</v>
          </cell>
          <cell r="E70" t="str">
            <v>HĐLĐ</v>
          </cell>
          <cell r="F70" t="str">
            <v>Lê Bình</v>
          </cell>
          <cell r="G70" t="str">
            <v>CHT</v>
          </cell>
          <cell r="H70" t="str">
            <v>16/3/2026</v>
          </cell>
          <cell r="I70" t="str">
            <v>0071000937911</v>
          </cell>
          <cell r="J70" t="str">
            <v>Vietcombank</v>
          </cell>
          <cell r="K70">
            <v>28</v>
          </cell>
          <cell r="L70">
            <v>1</v>
          </cell>
          <cell r="M70">
            <v>0</v>
          </cell>
          <cell r="N70">
            <v>5</v>
          </cell>
          <cell r="S70">
            <v>5310000</v>
          </cell>
          <cell r="T70">
            <v>17857.142857142899</v>
          </cell>
          <cell r="AA70">
            <v>0</v>
          </cell>
          <cell r="AB70">
            <v>0</v>
          </cell>
          <cell r="AC70">
            <v>6000000</v>
          </cell>
        </row>
        <row r="71">
          <cell r="D71" t="str">
            <v>Hoàng Lâm Gia Bảo</v>
          </cell>
          <cell r="E71" t="str">
            <v>HĐTV</v>
          </cell>
          <cell r="F71" t="str">
            <v>Lê Bình</v>
          </cell>
          <cell r="G71" t="str">
            <v>DSTV</v>
          </cell>
          <cell r="H71" t="str">
            <v>27/5/2026</v>
          </cell>
          <cell r="I71" t="str">
            <v>067106916868</v>
          </cell>
          <cell r="J71" t="str">
            <v>Sacombank</v>
          </cell>
          <cell r="K71">
            <v>28</v>
          </cell>
          <cell r="L71">
            <v>14</v>
          </cell>
          <cell r="M71">
            <v>1.53</v>
          </cell>
          <cell r="N71">
            <v>137.72999999999999</v>
          </cell>
          <cell r="S71">
            <v>0</v>
          </cell>
          <cell r="T71">
            <v>250000</v>
          </cell>
          <cell r="AA71">
            <v>0</v>
          </cell>
          <cell r="AB71">
            <v>0</v>
          </cell>
          <cell r="AC71">
            <v>5100000</v>
          </cell>
        </row>
        <row r="72">
          <cell r="D72" t="str">
            <v>Hồ Thị Minh Hòa</v>
          </cell>
          <cell r="E72" t="str">
            <v>HĐLĐ</v>
          </cell>
          <cell r="F72" t="str">
            <v>Lê Bình</v>
          </cell>
          <cell r="G72" t="str">
            <v>DSBC</v>
          </cell>
          <cell r="H72">
            <v>45352</v>
          </cell>
          <cell r="I72" t="str">
            <v>0051000542226</v>
          </cell>
          <cell r="J72" t="str">
            <v>Vietcombank</v>
          </cell>
          <cell r="K72">
            <v>28</v>
          </cell>
          <cell r="L72">
            <v>14</v>
          </cell>
          <cell r="M72">
            <v>24.88</v>
          </cell>
          <cell r="N72">
            <v>114.32</v>
          </cell>
          <cell r="S72">
            <v>5310000</v>
          </cell>
          <cell r="T72">
            <v>250000</v>
          </cell>
          <cell r="AA72">
            <v>0</v>
          </cell>
          <cell r="AB72">
            <v>0</v>
          </cell>
          <cell r="AC72">
            <v>6500000</v>
          </cell>
        </row>
        <row r="73">
          <cell r="D73" t="str">
            <v>Lê Thị Xuyến</v>
          </cell>
          <cell r="E73" t="str">
            <v>HĐTV</v>
          </cell>
          <cell r="F73" t="str">
            <v>Lê Bình</v>
          </cell>
          <cell r="G73" t="str">
            <v>DSTV</v>
          </cell>
          <cell r="H73" t="str">
            <v>17/07/2026</v>
          </cell>
          <cell r="I73" t="str">
            <v>7755599939</v>
          </cell>
          <cell r="J73" t="str">
            <v>Techcombank</v>
          </cell>
          <cell r="K73">
            <v>28</v>
          </cell>
          <cell r="L73">
            <v>8</v>
          </cell>
          <cell r="M73">
            <v>48.13</v>
          </cell>
          <cell r="N73">
            <v>35.53</v>
          </cell>
          <cell r="S73">
            <v>0</v>
          </cell>
          <cell r="T73">
            <v>142857.14285714299</v>
          </cell>
          <cell r="AA73">
            <v>0</v>
          </cell>
          <cell r="AB73">
            <v>0</v>
          </cell>
        </row>
        <row r="74">
          <cell r="D74" t="str">
            <v>Phan Công Vũ Tài</v>
          </cell>
          <cell r="E74" t="str">
            <v>HĐLĐ</v>
          </cell>
          <cell r="F74" t="str">
            <v>Lê Bình</v>
          </cell>
          <cell r="G74" t="str">
            <v>DSBC</v>
          </cell>
          <cell r="H74" t="str">
            <v>26/01/2026</v>
          </cell>
          <cell r="I74" t="str">
            <v>02446989901</v>
          </cell>
          <cell r="J74" t="str">
            <v>Tp Bank</v>
          </cell>
          <cell r="K74">
            <v>28</v>
          </cell>
          <cell r="L74">
            <v>4</v>
          </cell>
          <cell r="M74">
            <v>31</v>
          </cell>
          <cell r="N74">
            <v>0</v>
          </cell>
          <cell r="S74">
            <v>5310000</v>
          </cell>
          <cell r="AA74">
            <v>0</v>
          </cell>
          <cell r="AB74">
            <v>0</v>
          </cell>
          <cell r="AC74">
            <v>6000000</v>
          </cell>
        </row>
        <row r="75">
          <cell r="D75" t="str">
            <v>Trần Thị Phương Thùy</v>
          </cell>
          <cell r="E75" t="str">
            <v>HĐCTV</v>
          </cell>
          <cell r="F75" t="str">
            <v>Lê Bình</v>
          </cell>
          <cell r="G75" t="str">
            <v>DSHV</v>
          </cell>
          <cell r="H75" t="str">
            <v>14/07/2026</v>
          </cell>
          <cell r="I75" t="str">
            <v>07560774501</v>
          </cell>
          <cell r="J75" t="str">
            <v>TP bank</v>
          </cell>
          <cell r="K75">
            <v>28</v>
          </cell>
          <cell r="L75">
            <v>12</v>
          </cell>
          <cell r="M75">
            <v>24.28</v>
          </cell>
          <cell r="N75">
            <v>75.069999999999993</v>
          </cell>
          <cell r="S75">
            <v>0</v>
          </cell>
          <cell r="AA75">
            <v>0</v>
          </cell>
          <cell r="AB75">
            <v>0</v>
          </cell>
        </row>
        <row r="76">
          <cell r="D76" t="str">
            <v>Đinh Hoài Bảo</v>
          </cell>
          <cell r="E76" t="str">
            <v>HĐTV</v>
          </cell>
          <cell r="F76" t="str">
            <v>Lê Bình</v>
          </cell>
          <cell r="G76" t="str">
            <v>DSTV</v>
          </cell>
          <cell r="H76" t="str">
            <v>03/07/2026</v>
          </cell>
          <cell r="I76" t="str">
            <v>5620709358</v>
          </cell>
          <cell r="J76" t="str">
            <v>BIDV</v>
          </cell>
          <cell r="K76">
            <v>28</v>
          </cell>
          <cell r="L76">
            <v>13</v>
          </cell>
          <cell r="M76">
            <v>104</v>
          </cell>
          <cell r="N76">
            <v>11.23</v>
          </cell>
          <cell r="S76">
            <v>0</v>
          </cell>
          <cell r="T76">
            <v>232142.85714285701</v>
          </cell>
          <cell r="AA76">
            <v>0</v>
          </cell>
          <cell r="AB76">
            <v>0</v>
          </cell>
        </row>
        <row r="77">
          <cell r="K77">
            <v>196</v>
          </cell>
          <cell r="L77">
            <v>66</v>
          </cell>
          <cell r="M77">
            <v>233.82</v>
          </cell>
          <cell r="N77">
            <v>378.88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15930000</v>
          </cell>
          <cell r="T77">
            <v>892857.14285714296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23600000</v>
          </cell>
        </row>
        <row r="78">
          <cell r="D78" t="str">
            <v>Bùi Thị Thanh Thủy</v>
          </cell>
          <cell r="E78" t="str">
            <v>HĐTV</v>
          </cell>
          <cell r="F78" t="str">
            <v>Nam Hòa</v>
          </cell>
          <cell r="G78" t="str">
            <v>DSTV</v>
          </cell>
          <cell r="H78" t="str">
            <v>30/06/2026</v>
          </cell>
          <cell r="I78" t="str">
            <v>1014584596</v>
          </cell>
          <cell r="J78" t="str">
            <v>Vietcombank</v>
          </cell>
          <cell r="K78">
            <v>28</v>
          </cell>
          <cell r="L78">
            <v>22</v>
          </cell>
          <cell r="M78">
            <v>218.52</v>
          </cell>
          <cell r="N78">
            <v>0</v>
          </cell>
          <cell r="S78">
            <v>0</v>
          </cell>
          <cell r="T78">
            <v>392857.14285714302</v>
          </cell>
          <cell r="AA78">
            <v>0</v>
          </cell>
          <cell r="AB78">
            <v>0</v>
          </cell>
        </row>
        <row r="79">
          <cell r="D79" t="str">
            <v>Hoàng Lâm Gia Bảo</v>
          </cell>
          <cell r="E79" t="str">
            <v>HĐTV</v>
          </cell>
          <cell r="F79" t="str">
            <v>Nam Hòa</v>
          </cell>
          <cell r="G79" t="str">
            <v>DSTV</v>
          </cell>
          <cell r="H79" t="str">
            <v>27/5/2026</v>
          </cell>
          <cell r="I79" t="str">
            <v>067106916868</v>
          </cell>
          <cell r="J79" t="str">
            <v>Sacombank</v>
          </cell>
          <cell r="K79">
            <v>28</v>
          </cell>
          <cell r="L79">
            <v>5</v>
          </cell>
          <cell r="M79">
            <v>34</v>
          </cell>
          <cell r="N79">
            <v>0</v>
          </cell>
          <cell r="S79">
            <v>0</v>
          </cell>
          <cell r="T79">
            <v>0</v>
          </cell>
          <cell r="AA79">
            <v>0</v>
          </cell>
          <cell r="AB79">
            <v>0</v>
          </cell>
        </row>
        <row r="80">
          <cell r="D80" t="str">
            <v>Hạ Ngân Khánh</v>
          </cell>
          <cell r="E80" t="str">
            <v>HĐLĐ</v>
          </cell>
          <cell r="F80" t="str">
            <v>Nam Hòa</v>
          </cell>
          <cell r="G80" t="str">
            <v>DSBC</v>
          </cell>
          <cell r="H80" t="str">
            <v>23/06/2025</v>
          </cell>
          <cell r="I80" t="str">
            <v>109873777758</v>
          </cell>
          <cell r="J80" t="str">
            <v>VietinBank</v>
          </cell>
          <cell r="K80">
            <v>28</v>
          </cell>
          <cell r="L80">
            <v>6</v>
          </cell>
          <cell r="M80">
            <v>61.17</v>
          </cell>
          <cell r="N80">
            <v>0</v>
          </cell>
          <cell r="S80">
            <v>5310000</v>
          </cell>
          <cell r="T80">
            <v>107142.857142857</v>
          </cell>
          <cell r="AA80">
            <v>0</v>
          </cell>
          <cell r="AB80">
            <v>0</v>
          </cell>
          <cell r="AC80">
            <v>6000000</v>
          </cell>
        </row>
        <row r="81">
          <cell r="D81" t="str">
            <v>Đỗ Thị Kim Tiến</v>
          </cell>
          <cell r="E81" t="str">
            <v>HĐTV</v>
          </cell>
          <cell r="F81" t="str">
            <v>Nam Hòa</v>
          </cell>
          <cell r="G81" t="str">
            <v>DSTV</v>
          </cell>
          <cell r="H81" t="str">
            <v>07/07/2026</v>
          </cell>
          <cell r="I81" t="str">
            <v>19039887406019</v>
          </cell>
          <cell r="J81" t="str">
            <v>Techcombank</v>
          </cell>
          <cell r="K81">
            <v>28</v>
          </cell>
          <cell r="L81">
            <v>12</v>
          </cell>
          <cell r="M81">
            <v>23.42</v>
          </cell>
          <cell r="N81">
            <v>88.58</v>
          </cell>
          <cell r="S81">
            <v>0</v>
          </cell>
          <cell r="T81">
            <v>214285.714285714</v>
          </cell>
          <cell r="AA81">
            <v>0</v>
          </cell>
          <cell r="AB81">
            <v>0</v>
          </cell>
        </row>
        <row r="82">
          <cell r="D82" t="str">
            <v>Nguyễn Thị Huyền Trang</v>
          </cell>
          <cell r="E82" t="str">
            <v>HĐTV</v>
          </cell>
          <cell r="F82" t="str">
            <v>Nam Hòa</v>
          </cell>
          <cell r="G82" t="str">
            <v>DSTV</v>
          </cell>
          <cell r="H82" t="str">
            <v>30/06/2026</v>
          </cell>
          <cell r="I82" t="str">
            <v>1033345427</v>
          </cell>
          <cell r="J82" t="str">
            <v>Vietcombank</v>
          </cell>
          <cell r="K82">
            <v>28</v>
          </cell>
          <cell r="L82">
            <v>22</v>
          </cell>
          <cell r="M82">
            <v>216.95</v>
          </cell>
          <cell r="N82">
            <v>0</v>
          </cell>
          <cell r="S82">
            <v>0</v>
          </cell>
          <cell r="T82">
            <v>392857.14285714302</v>
          </cell>
          <cell r="AA82">
            <v>0</v>
          </cell>
          <cell r="AB82">
            <v>0</v>
          </cell>
        </row>
        <row r="83">
          <cell r="D83" t="str">
            <v>Nguyễn Trí Nghĩa</v>
          </cell>
          <cell r="E83" t="str">
            <v>HĐLĐ</v>
          </cell>
          <cell r="F83" t="str">
            <v>Nam Hòa</v>
          </cell>
          <cell r="G83" t="str">
            <v>DSBC</v>
          </cell>
          <cell r="H83">
            <v>45439</v>
          </cell>
          <cell r="I83" t="str">
            <v>0251002787705</v>
          </cell>
          <cell r="J83" t="str">
            <v>Vietcombank</v>
          </cell>
          <cell r="K83">
            <v>28</v>
          </cell>
          <cell r="L83">
            <v>8</v>
          </cell>
          <cell r="M83">
            <v>56.15</v>
          </cell>
          <cell r="N83">
            <v>15.83</v>
          </cell>
          <cell r="S83">
            <v>5310000</v>
          </cell>
          <cell r="AA83">
            <v>0</v>
          </cell>
          <cell r="AB83">
            <v>0</v>
          </cell>
          <cell r="AC83">
            <v>6500000</v>
          </cell>
        </row>
        <row r="84">
          <cell r="D84" t="str">
            <v>Phan Công Vũ Tài</v>
          </cell>
          <cell r="E84" t="str">
            <v>HĐLĐ</v>
          </cell>
          <cell r="F84" t="str">
            <v>Nam Hòa</v>
          </cell>
          <cell r="G84" t="str">
            <v>DSBC</v>
          </cell>
          <cell r="H84" t="str">
            <v>26/01/2026</v>
          </cell>
          <cell r="I84" t="str">
            <v>02446989901</v>
          </cell>
          <cell r="J84" t="str">
            <v>Tp Bank</v>
          </cell>
          <cell r="K84">
            <v>28</v>
          </cell>
          <cell r="L84">
            <v>15</v>
          </cell>
          <cell r="M84">
            <v>97.13</v>
          </cell>
          <cell r="N84">
            <v>1.37</v>
          </cell>
          <cell r="S84">
            <v>5310000</v>
          </cell>
          <cell r="AA84">
            <v>1000000</v>
          </cell>
          <cell r="AB84">
            <v>2000000</v>
          </cell>
          <cell r="AC84">
            <v>6000000</v>
          </cell>
        </row>
        <row r="85">
          <cell r="D85" t="str">
            <v>Phạm Thị Diên</v>
          </cell>
          <cell r="E85" t="str">
            <v>HĐTV</v>
          </cell>
          <cell r="F85" t="str">
            <v>Nam Hòa</v>
          </cell>
          <cell r="G85" t="str">
            <v>DSTV</v>
          </cell>
          <cell r="H85" t="str">
            <v>26/06/2026</v>
          </cell>
          <cell r="I85" t="str">
            <v>1028841251</v>
          </cell>
          <cell r="J85" t="str">
            <v>Vietcombank</v>
          </cell>
          <cell r="K85">
            <v>28</v>
          </cell>
          <cell r="L85">
            <v>4</v>
          </cell>
          <cell r="M85">
            <v>36.82</v>
          </cell>
          <cell r="N85">
            <v>0</v>
          </cell>
          <cell r="S85">
            <v>0</v>
          </cell>
          <cell r="T85">
            <v>71428.571428571406</v>
          </cell>
          <cell r="AA85">
            <v>0</v>
          </cell>
          <cell r="AB85">
            <v>0</v>
          </cell>
        </row>
        <row r="86">
          <cell r="D86" t="str">
            <v>Trần Thị Ánh Nguyệt</v>
          </cell>
          <cell r="E86" t="str">
            <v>HĐLĐ</v>
          </cell>
          <cell r="F86" t="str">
            <v>Nam Hòa</v>
          </cell>
          <cell r="G86" t="str">
            <v>DSBC</v>
          </cell>
          <cell r="H86" t="str">
            <v>13/3/2026</v>
          </cell>
          <cell r="I86" t="str">
            <v>19035042801010</v>
          </cell>
          <cell r="J86" t="str">
            <v>techcombank - chi nhánh Bình Đăng</v>
          </cell>
          <cell r="K86">
            <v>28</v>
          </cell>
          <cell r="L86">
            <v>29</v>
          </cell>
          <cell r="M86">
            <v>30.02</v>
          </cell>
          <cell r="N86">
            <v>233.67</v>
          </cell>
          <cell r="S86">
            <v>5310000</v>
          </cell>
          <cell r="T86">
            <v>500000</v>
          </cell>
          <cell r="AA86">
            <v>0</v>
          </cell>
          <cell r="AB86">
            <v>0</v>
          </cell>
          <cell r="AC86">
            <v>6000000</v>
          </cell>
        </row>
        <row r="87">
          <cell r="D87" t="str">
            <v>Đỗ Thị Thu Hương</v>
          </cell>
          <cell r="E87" t="str">
            <v>HĐLĐ</v>
          </cell>
          <cell r="F87" t="str">
            <v>Nam Hòa</v>
          </cell>
          <cell r="G87" t="str">
            <v>DSBC</v>
          </cell>
          <cell r="H87" t="str">
            <v>19/08/2025</v>
          </cell>
          <cell r="I87" t="str">
            <v>9903670079</v>
          </cell>
          <cell r="J87" t="str">
            <v>Vietcombank</v>
          </cell>
          <cell r="K87">
            <v>28</v>
          </cell>
          <cell r="L87">
            <v>14</v>
          </cell>
          <cell r="M87">
            <v>24</v>
          </cell>
          <cell r="N87">
            <v>107.98</v>
          </cell>
          <cell r="S87">
            <v>5310000</v>
          </cell>
          <cell r="T87">
            <v>250000</v>
          </cell>
          <cell r="AA87">
            <v>0</v>
          </cell>
          <cell r="AB87">
            <v>0</v>
          </cell>
          <cell r="AC87">
            <v>6000000</v>
          </cell>
        </row>
        <row r="88">
          <cell r="K88">
            <v>224</v>
          </cell>
          <cell r="L88">
            <v>110</v>
          </cell>
          <cell r="M88">
            <v>545.66</v>
          </cell>
          <cell r="N88">
            <v>447.43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26550000</v>
          </cell>
          <cell r="T88">
            <v>1535714.2857142901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1000000</v>
          </cell>
          <cell r="AB88">
            <v>2000000</v>
          </cell>
          <cell r="AC88">
            <v>30500000</v>
          </cell>
        </row>
        <row r="89">
          <cell r="D89" t="str">
            <v>Lê Thị Quỳnh Trâm</v>
          </cell>
          <cell r="E89" t="str">
            <v>HĐLĐ</v>
          </cell>
          <cell r="F89" t="str">
            <v>Nguyễn Chí Thanh</v>
          </cell>
          <cell r="G89" t="str">
            <v>CHT</v>
          </cell>
          <cell r="H89" t="str">
            <v>18/08/2025</v>
          </cell>
          <cell r="I89" t="str">
            <v>6321205302943</v>
          </cell>
          <cell r="J89" t="str">
            <v>AGRIBANK</v>
          </cell>
          <cell r="K89">
            <v>28</v>
          </cell>
          <cell r="L89">
            <v>29</v>
          </cell>
          <cell r="M89">
            <v>290.27999999999997</v>
          </cell>
          <cell r="N89">
            <v>0</v>
          </cell>
          <cell r="S89">
            <v>5310000</v>
          </cell>
          <cell r="T89">
            <v>500000</v>
          </cell>
          <cell r="AA89">
            <v>0</v>
          </cell>
          <cell r="AB89">
            <v>0</v>
          </cell>
          <cell r="AC89">
            <v>6000000</v>
          </cell>
        </row>
        <row r="90">
          <cell r="D90" t="str">
            <v>Nguyễn Thị Hồng Hạnh</v>
          </cell>
          <cell r="E90" t="str">
            <v>HĐLĐ</v>
          </cell>
          <cell r="F90" t="str">
            <v>Nguyễn Chí Thanh</v>
          </cell>
          <cell r="G90" t="str">
            <v>DSBC</v>
          </cell>
          <cell r="H90">
            <v>45502</v>
          </cell>
          <cell r="I90" t="str">
            <v>19036469088011</v>
          </cell>
          <cell r="J90" t="str">
            <v>Techcombank</v>
          </cell>
          <cell r="K90">
            <v>28</v>
          </cell>
          <cell r="L90">
            <v>31</v>
          </cell>
          <cell r="M90">
            <v>16</v>
          </cell>
          <cell r="N90">
            <v>248.77</v>
          </cell>
          <cell r="S90">
            <v>5310000</v>
          </cell>
          <cell r="T90">
            <v>500000</v>
          </cell>
          <cell r="AA90">
            <v>0</v>
          </cell>
          <cell r="AB90">
            <v>0</v>
          </cell>
          <cell r="AC90">
            <v>6000000</v>
          </cell>
        </row>
        <row r="91">
          <cell r="D91" t="str">
            <v>Nguyễn Trí Nghĩa</v>
          </cell>
          <cell r="E91" t="str">
            <v>HĐLĐ</v>
          </cell>
          <cell r="F91" t="str">
            <v>Nguyễn Chí Thanh</v>
          </cell>
          <cell r="G91" t="str">
            <v>DSBC</v>
          </cell>
          <cell r="H91">
            <v>45439</v>
          </cell>
          <cell r="I91" t="str">
            <v>0251002787705</v>
          </cell>
          <cell r="J91" t="str">
            <v>Vietcombank</v>
          </cell>
          <cell r="K91">
            <v>28</v>
          </cell>
          <cell r="L91">
            <v>1</v>
          </cell>
          <cell r="M91">
            <v>38.67</v>
          </cell>
          <cell r="N91">
            <v>0</v>
          </cell>
          <cell r="S91">
            <v>5310000</v>
          </cell>
          <cell r="AA91">
            <v>0</v>
          </cell>
          <cell r="AB91">
            <v>0</v>
          </cell>
          <cell r="AC91">
            <v>6500000</v>
          </cell>
        </row>
        <row r="92">
          <cell r="D92" t="str">
            <v>Nguyễn Đăng An</v>
          </cell>
          <cell r="E92" t="str">
            <v>HĐTV</v>
          </cell>
          <cell r="F92" t="str">
            <v>Nguyễn Chí Thanh</v>
          </cell>
          <cell r="G92" t="str">
            <v>DSTV</v>
          </cell>
          <cell r="H92">
            <v>45575</v>
          </cell>
          <cell r="I92" t="str">
            <v>57100051532</v>
          </cell>
          <cell r="J92" t="str">
            <v>Vietcombank</v>
          </cell>
          <cell r="K92">
            <v>28</v>
          </cell>
          <cell r="L92">
            <v>17</v>
          </cell>
          <cell r="M92">
            <v>64.38</v>
          </cell>
          <cell r="N92">
            <v>71.83</v>
          </cell>
          <cell r="S92">
            <v>0</v>
          </cell>
          <cell r="T92">
            <v>303571.42857142899</v>
          </cell>
          <cell r="AA92">
            <v>0</v>
          </cell>
          <cell r="AB92">
            <v>0</v>
          </cell>
          <cell r="AC92">
            <v>6000000</v>
          </cell>
        </row>
        <row r="93">
          <cell r="D93" t="str">
            <v>Trần Hoàng Khánh</v>
          </cell>
          <cell r="E93" t="str">
            <v>HĐLĐ</v>
          </cell>
          <cell r="F93" t="str">
            <v>Nguyễn Chí Thanh</v>
          </cell>
          <cell r="G93" t="str">
            <v>DSBC</v>
          </cell>
          <cell r="H93" t="str">
            <v>02/06/2025</v>
          </cell>
          <cell r="I93" t="str">
            <v>0985967065</v>
          </cell>
          <cell r="J93" t="str">
            <v>Tp Bank</v>
          </cell>
          <cell r="K93">
            <v>28</v>
          </cell>
          <cell r="L93">
            <v>29</v>
          </cell>
          <cell r="M93">
            <v>92.77</v>
          </cell>
          <cell r="N93">
            <v>163.52000000000001</v>
          </cell>
          <cell r="S93">
            <v>5310000</v>
          </cell>
          <cell r="T93">
            <v>500000</v>
          </cell>
          <cell r="AA93">
            <v>0</v>
          </cell>
          <cell r="AB93">
            <v>0</v>
          </cell>
          <cell r="AC93">
            <v>6000000</v>
          </cell>
        </row>
        <row r="94">
          <cell r="D94" t="str">
            <v>Trần Thị Phương Thùy</v>
          </cell>
          <cell r="E94" t="str">
            <v>HĐCTV</v>
          </cell>
          <cell r="F94" t="str">
            <v>Nguyễn Chí Thanh</v>
          </cell>
          <cell r="G94" t="str">
            <v>DSHV</v>
          </cell>
          <cell r="H94" t="str">
            <v>14/07/2026</v>
          </cell>
          <cell r="I94" t="str">
            <v>07560774501</v>
          </cell>
          <cell r="J94" t="str">
            <v>TP bank</v>
          </cell>
          <cell r="K94">
            <v>28</v>
          </cell>
          <cell r="L94">
            <v>3</v>
          </cell>
          <cell r="M94">
            <v>24</v>
          </cell>
          <cell r="N94">
            <v>0</v>
          </cell>
          <cell r="S94">
            <v>0</v>
          </cell>
          <cell r="AA94">
            <v>0</v>
          </cell>
          <cell r="AB94">
            <v>0</v>
          </cell>
          <cell r="AC94">
            <v>3000000</v>
          </cell>
        </row>
        <row r="95">
          <cell r="D95" t="str">
            <v>Đỗ Thị Phương Thảo</v>
          </cell>
          <cell r="E95" t="str">
            <v>HĐLĐ</v>
          </cell>
          <cell r="F95" t="str">
            <v>Nguyễn Chí Thanh</v>
          </cell>
          <cell r="G95" t="str">
            <v>DSBC</v>
          </cell>
          <cell r="H95" t="str">
            <v>19/04/2025</v>
          </cell>
          <cell r="I95" t="str">
            <v>0561000503731</v>
          </cell>
          <cell r="J95" t="str">
            <v>Vietcombank</v>
          </cell>
          <cell r="K95">
            <v>28</v>
          </cell>
          <cell r="L95">
            <v>27</v>
          </cell>
          <cell r="M95">
            <v>205.8</v>
          </cell>
          <cell r="N95">
            <v>15.87</v>
          </cell>
          <cell r="S95">
            <v>5310000</v>
          </cell>
          <cell r="T95">
            <v>482142.85714285698</v>
          </cell>
          <cell r="AA95">
            <v>0</v>
          </cell>
          <cell r="AB95">
            <v>0</v>
          </cell>
          <cell r="AC95">
            <v>6000000</v>
          </cell>
        </row>
        <row r="96">
          <cell r="K96">
            <v>196</v>
          </cell>
          <cell r="L96">
            <v>137</v>
          </cell>
          <cell r="M96">
            <v>731.9</v>
          </cell>
          <cell r="N96">
            <v>499.99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26550000</v>
          </cell>
          <cell r="T96">
            <v>2285714.2857142901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39500000</v>
          </cell>
        </row>
        <row r="97">
          <cell r="D97" t="str">
            <v>Bùi Thị Bích Trâm</v>
          </cell>
          <cell r="E97" t="str">
            <v>HĐCTV</v>
          </cell>
          <cell r="F97" t="str">
            <v>Nguyễn Thị Thập</v>
          </cell>
          <cell r="G97" t="str">
            <v>DSHV</v>
          </cell>
          <cell r="H97" t="str">
            <v>06/07/2026</v>
          </cell>
          <cell r="I97" t="str">
            <v>1016922539</v>
          </cell>
          <cell r="J97" t="str">
            <v>Vietcombank</v>
          </cell>
          <cell r="K97">
            <v>28</v>
          </cell>
          <cell r="L97">
            <v>10</v>
          </cell>
          <cell r="M97">
            <v>80.2</v>
          </cell>
          <cell r="N97">
            <v>0</v>
          </cell>
          <cell r="S97">
            <v>0</v>
          </cell>
          <cell r="T97">
            <v>178571.42857142899</v>
          </cell>
          <cell r="AA97">
            <v>0</v>
          </cell>
          <cell r="AB97">
            <v>0</v>
          </cell>
        </row>
        <row r="98">
          <cell r="D98" t="str">
            <v>Cao Trọng Nhân</v>
          </cell>
          <cell r="E98" t="str">
            <v>HĐLĐ</v>
          </cell>
          <cell r="F98" t="str">
            <v>Nguyễn Thị Thập</v>
          </cell>
          <cell r="G98" t="str">
            <v>DSBC</v>
          </cell>
          <cell r="H98" t="str">
            <v>18/12/2025</v>
          </cell>
          <cell r="I98" t="str">
            <v>109868265987</v>
          </cell>
          <cell r="J98" t="str">
            <v>Vietinbank</v>
          </cell>
          <cell r="K98">
            <v>28</v>
          </cell>
          <cell r="L98">
            <v>29</v>
          </cell>
          <cell r="M98">
            <v>57.85</v>
          </cell>
          <cell r="N98">
            <v>230.97</v>
          </cell>
          <cell r="S98">
            <v>5310000</v>
          </cell>
          <cell r="T98">
            <v>500000</v>
          </cell>
          <cell r="AA98">
            <v>0</v>
          </cell>
          <cell r="AB98">
            <v>0</v>
          </cell>
          <cell r="AC98">
            <v>6000000</v>
          </cell>
        </row>
        <row r="99">
          <cell r="D99" t="str">
            <v>Nguyễn Minh Trí</v>
          </cell>
          <cell r="E99" t="str">
            <v>HĐLĐ</v>
          </cell>
          <cell r="F99" t="str">
            <v>Nguyễn Thị Thập</v>
          </cell>
          <cell r="G99" t="str">
            <v>DSBC</v>
          </cell>
          <cell r="H99" t="str">
            <v>04/05/2026</v>
          </cell>
          <cell r="I99" t="str">
            <v>060240357464</v>
          </cell>
          <cell r="J99" t="str">
            <v>Sacombank</v>
          </cell>
          <cell r="K99">
            <v>28</v>
          </cell>
          <cell r="L99">
            <v>22</v>
          </cell>
          <cell r="M99">
            <v>177.37</v>
          </cell>
          <cell r="N99">
            <v>0</v>
          </cell>
          <cell r="S99">
            <v>5310000</v>
          </cell>
          <cell r="T99">
            <v>392857.14285714302</v>
          </cell>
          <cell r="AA99">
            <v>0</v>
          </cell>
          <cell r="AB99">
            <v>0</v>
          </cell>
          <cell r="AC99">
            <v>3000000</v>
          </cell>
        </row>
        <row r="100">
          <cell r="D100" t="str">
            <v>Nguyễn Trí Nghĩa</v>
          </cell>
          <cell r="E100" t="str">
            <v>HĐLĐ</v>
          </cell>
          <cell r="F100" t="str">
            <v>Nguyễn Thị Thập</v>
          </cell>
          <cell r="G100" t="str">
            <v>DSBC</v>
          </cell>
          <cell r="H100">
            <v>45439</v>
          </cell>
          <cell r="I100" t="str">
            <v>0251002787705</v>
          </cell>
          <cell r="J100" t="str">
            <v>Vietcombank</v>
          </cell>
          <cell r="K100">
            <v>28</v>
          </cell>
          <cell r="L100">
            <v>24</v>
          </cell>
          <cell r="M100">
            <v>198.88</v>
          </cell>
          <cell r="N100">
            <v>26.92</v>
          </cell>
          <cell r="S100">
            <v>5310000</v>
          </cell>
          <cell r="T100">
            <v>500000</v>
          </cell>
          <cell r="AA100">
            <v>0</v>
          </cell>
          <cell r="AB100">
            <v>0</v>
          </cell>
          <cell r="AC100">
            <v>6500000</v>
          </cell>
        </row>
        <row r="101">
          <cell r="D101" t="str">
            <v>Triệu Thị Ngọc Lý</v>
          </cell>
          <cell r="E101" t="str">
            <v>HĐLĐ</v>
          </cell>
          <cell r="F101" t="str">
            <v>Nguyễn Thị Thập</v>
          </cell>
          <cell r="G101" t="str">
            <v>CHT</v>
          </cell>
          <cell r="H101">
            <v>45194</v>
          </cell>
          <cell r="I101" t="str">
            <v>0989442883</v>
          </cell>
          <cell r="J101" t="str">
            <v>MB BANK</v>
          </cell>
          <cell r="K101">
            <v>28</v>
          </cell>
          <cell r="L101">
            <v>23</v>
          </cell>
          <cell r="M101">
            <v>300.77</v>
          </cell>
          <cell r="N101">
            <v>8.1999999999999993</v>
          </cell>
          <cell r="S101">
            <v>5310000</v>
          </cell>
          <cell r="T101">
            <v>410714.28571428597</v>
          </cell>
          <cell r="AA101">
            <v>0</v>
          </cell>
          <cell r="AB101">
            <v>0</v>
          </cell>
          <cell r="AC101">
            <v>6500000</v>
          </cell>
        </row>
        <row r="102">
          <cell r="D102" t="str">
            <v>Trần Thành Đạt</v>
          </cell>
          <cell r="E102" t="str">
            <v>HĐLĐ</v>
          </cell>
          <cell r="F102" t="str">
            <v>Nguyễn Thị Thập</v>
          </cell>
          <cell r="G102" t="str">
            <v>DSBC</v>
          </cell>
          <cell r="H102" t="str">
            <v>21/07/2025</v>
          </cell>
          <cell r="I102" t="str">
            <v>0621000445313</v>
          </cell>
          <cell r="J102" t="str">
            <v>Vietcombank</v>
          </cell>
          <cell r="K102">
            <v>28</v>
          </cell>
          <cell r="L102">
            <v>29</v>
          </cell>
          <cell r="M102">
            <v>13.55</v>
          </cell>
          <cell r="N102">
            <v>267.42</v>
          </cell>
          <cell r="S102">
            <v>5310000</v>
          </cell>
          <cell r="T102">
            <v>500000</v>
          </cell>
          <cell r="AA102">
            <v>0</v>
          </cell>
          <cell r="AB102">
            <v>0</v>
          </cell>
          <cell r="AC102">
            <v>6000000</v>
          </cell>
        </row>
        <row r="103">
          <cell r="K103">
            <v>140</v>
          </cell>
          <cell r="L103">
            <v>127</v>
          </cell>
          <cell r="M103">
            <v>748.42</v>
          </cell>
          <cell r="N103">
            <v>533.51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26550000</v>
          </cell>
          <cell r="T103">
            <v>2303571.42857143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28000000</v>
          </cell>
        </row>
        <row r="104">
          <cell r="D104" t="str">
            <v>Hồ Ngọc Lý</v>
          </cell>
          <cell r="E104" t="str">
            <v>HĐLĐ</v>
          </cell>
          <cell r="F104" t="str">
            <v>Nguyễn Văn Quá</v>
          </cell>
          <cell r="G104" t="str">
            <v>DSBC</v>
          </cell>
          <cell r="H104" t="str">
            <v>08/07/2024</v>
          </cell>
          <cell r="I104" t="str">
            <v>0081765868686</v>
          </cell>
          <cell r="J104" t="str">
            <v>MB bank</v>
          </cell>
          <cell r="K104">
            <v>28</v>
          </cell>
          <cell r="L104">
            <v>30</v>
          </cell>
          <cell r="M104">
            <v>16</v>
          </cell>
          <cell r="N104">
            <v>246.4</v>
          </cell>
          <cell r="S104">
            <v>5310000</v>
          </cell>
          <cell r="T104">
            <v>500000</v>
          </cell>
          <cell r="AA104">
            <v>0</v>
          </cell>
          <cell r="AB104">
            <v>0</v>
          </cell>
          <cell r="AC104">
            <v>6000000</v>
          </cell>
        </row>
        <row r="105">
          <cell r="D105" t="str">
            <v>Nguyễn Thị Hương Giang</v>
          </cell>
          <cell r="E105" t="str">
            <v>HĐLĐ</v>
          </cell>
          <cell r="F105" t="str">
            <v>Nguyễn Văn Quá</v>
          </cell>
          <cell r="G105" t="str">
            <v>DSBC</v>
          </cell>
          <cell r="H105">
            <v>45544</v>
          </cell>
          <cell r="I105" t="str">
            <v>1028255437</v>
          </cell>
          <cell r="J105" t="str">
            <v>Vietcombank</v>
          </cell>
          <cell r="K105">
            <v>28</v>
          </cell>
          <cell r="L105">
            <v>27</v>
          </cell>
          <cell r="M105">
            <v>194.68</v>
          </cell>
          <cell r="N105">
            <v>12.27</v>
          </cell>
          <cell r="S105">
            <v>5310000</v>
          </cell>
          <cell r="T105">
            <v>482142.85714285698</v>
          </cell>
          <cell r="AA105">
            <v>0</v>
          </cell>
          <cell r="AB105">
            <v>0</v>
          </cell>
          <cell r="AC105">
            <v>6000000</v>
          </cell>
        </row>
        <row r="106">
          <cell r="D106" t="str">
            <v>Nguyễn Thị Thu Huyền</v>
          </cell>
          <cell r="E106" t="str">
            <v>HĐLĐ</v>
          </cell>
          <cell r="F106" t="str">
            <v>Nguyễn Văn Quá</v>
          </cell>
          <cell r="G106" t="str">
            <v>DSBC</v>
          </cell>
          <cell r="H106" t="str">
            <v>24/06/2025</v>
          </cell>
          <cell r="I106" t="str">
            <v>0964455650</v>
          </cell>
          <cell r="J106" t="str">
            <v>Sacombank</v>
          </cell>
          <cell r="K106">
            <v>28</v>
          </cell>
          <cell r="L106">
            <v>28</v>
          </cell>
          <cell r="M106">
            <v>74.98</v>
          </cell>
          <cell r="N106">
            <v>224.62</v>
          </cell>
          <cell r="S106">
            <v>5310000</v>
          </cell>
          <cell r="T106">
            <v>500000</v>
          </cell>
          <cell r="AA106">
            <v>0</v>
          </cell>
          <cell r="AB106">
            <v>0</v>
          </cell>
          <cell r="AC106">
            <v>6000000</v>
          </cell>
        </row>
        <row r="107">
          <cell r="D107" t="str">
            <v>Nguyễn Trần Vĩnh Khang</v>
          </cell>
          <cell r="E107" t="str">
            <v>HĐCTV</v>
          </cell>
          <cell r="F107" t="str">
            <v>Nguyễn Văn Quá</v>
          </cell>
          <cell r="G107" t="str">
            <v>DSHV</v>
          </cell>
          <cell r="H107" t="str">
            <v>04/07/2026</v>
          </cell>
          <cell r="I107" t="str">
            <v>0060103877779999</v>
          </cell>
          <cell r="J107" t="str">
            <v>Ngân hàng Phương Đông - OCB</v>
          </cell>
          <cell r="K107">
            <v>28</v>
          </cell>
          <cell r="L107">
            <v>4</v>
          </cell>
          <cell r="M107">
            <v>31.88</v>
          </cell>
          <cell r="N107">
            <v>0</v>
          </cell>
          <cell r="S107">
            <v>0</v>
          </cell>
          <cell r="T107">
            <v>71428.571428571406</v>
          </cell>
          <cell r="AA107">
            <v>0</v>
          </cell>
          <cell r="AB107">
            <v>0</v>
          </cell>
        </row>
        <row r="108">
          <cell r="D108" t="str">
            <v>Võ Ngọc Giàu Sang</v>
          </cell>
          <cell r="E108" t="str">
            <v>HĐLĐ</v>
          </cell>
          <cell r="F108" t="str">
            <v>Nguyễn Văn Quá</v>
          </cell>
          <cell r="G108" t="str">
            <v>CHT</v>
          </cell>
          <cell r="H108" t="str">
            <v>08/07/2024</v>
          </cell>
          <cell r="I108" t="str">
            <v>04015933001</v>
          </cell>
          <cell r="J108" t="str">
            <v>TP bank</v>
          </cell>
          <cell r="K108">
            <v>28</v>
          </cell>
          <cell r="L108">
            <v>26</v>
          </cell>
          <cell r="M108">
            <v>213.22</v>
          </cell>
          <cell r="N108">
            <v>0</v>
          </cell>
          <cell r="S108">
            <v>5310000</v>
          </cell>
          <cell r="T108">
            <v>464285.71428571403</v>
          </cell>
          <cell r="AA108">
            <v>0</v>
          </cell>
          <cell r="AB108">
            <v>0</v>
          </cell>
          <cell r="AC108">
            <v>6000000</v>
          </cell>
        </row>
        <row r="109">
          <cell r="K109">
            <v>140</v>
          </cell>
          <cell r="L109">
            <v>115</v>
          </cell>
          <cell r="M109">
            <v>530.76</v>
          </cell>
          <cell r="N109">
            <v>483.29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21240000</v>
          </cell>
          <cell r="T109">
            <v>2017857.1428571399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24000000</v>
          </cell>
        </row>
        <row r="110">
          <cell r="D110" t="str">
            <v>Cù Thị Tường Vy</v>
          </cell>
          <cell r="E110" t="str">
            <v>HĐLĐ</v>
          </cell>
          <cell r="F110" t="str">
            <v>Rạch Bùng Binh</v>
          </cell>
          <cell r="G110" t="str">
            <v>CHT</v>
          </cell>
          <cell r="H110" t="str">
            <v>16/3/2026</v>
          </cell>
          <cell r="I110" t="str">
            <v>0071000937911</v>
          </cell>
          <cell r="J110" t="str">
            <v>Vietcombank</v>
          </cell>
          <cell r="K110">
            <v>28</v>
          </cell>
          <cell r="L110">
            <v>23</v>
          </cell>
          <cell r="M110">
            <v>270.95</v>
          </cell>
          <cell r="N110">
            <v>37.049999999999997</v>
          </cell>
          <cell r="S110">
            <v>5310000</v>
          </cell>
          <cell r="T110">
            <v>410714.28571428597</v>
          </cell>
          <cell r="AA110">
            <v>0</v>
          </cell>
          <cell r="AB110">
            <v>0</v>
          </cell>
          <cell r="AC110">
            <v>6000000</v>
          </cell>
        </row>
        <row r="111">
          <cell r="D111" t="str">
            <v>Huỳnh Thị Huệ Hiền</v>
          </cell>
          <cell r="E111" t="str">
            <v>HĐLĐ</v>
          </cell>
          <cell r="F111" t="str">
            <v>Rạch Bùng Binh</v>
          </cell>
          <cell r="G111" t="str">
            <v>DSBC</v>
          </cell>
          <cell r="H111" t="str">
            <v>01/11/2024</v>
          </cell>
          <cell r="I111" t="str">
            <v>0421000443270</v>
          </cell>
          <cell r="J111" t="str">
            <v>VietComBank</v>
          </cell>
          <cell r="K111">
            <v>28</v>
          </cell>
          <cell r="L111">
            <v>30</v>
          </cell>
          <cell r="M111">
            <v>22.95</v>
          </cell>
          <cell r="N111">
            <v>237.53</v>
          </cell>
          <cell r="S111">
            <v>5310000</v>
          </cell>
          <cell r="T111">
            <v>500000</v>
          </cell>
          <cell r="AA111">
            <v>0</v>
          </cell>
          <cell r="AB111">
            <v>0</v>
          </cell>
          <cell r="AC111">
            <v>6000000</v>
          </cell>
        </row>
        <row r="112">
          <cell r="D112" t="str">
            <v>Đỗ Thị Kim Tiến</v>
          </cell>
          <cell r="E112" t="str">
            <v>HĐTV</v>
          </cell>
          <cell r="F112" t="str">
            <v>Rạch Bùng Binh</v>
          </cell>
          <cell r="G112" t="str">
            <v>DSTV</v>
          </cell>
          <cell r="H112" t="str">
            <v>07/07/2026</v>
          </cell>
          <cell r="I112" t="str">
            <v>19039887406019</v>
          </cell>
          <cell r="J112" t="str">
            <v>Techcombank</v>
          </cell>
          <cell r="K112">
            <v>28</v>
          </cell>
          <cell r="L112">
            <v>5</v>
          </cell>
          <cell r="M112">
            <v>25.68</v>
          </cell>
          <cell r="N112">
            <v>16.149999999999999</v>
          </cell>
          <cell r="S112">
            <v>0</v>
          </cell>
          <cell r="T112">
            <v>89285.714285714304</v>
          </cell>
          <cell r="AA112">
            <v>0</v>
          </cell>
          <cell r="AB112">
            <v>0</v>
          </cell>
        </row>
        <row r="113">
          <cell r="D113" t="str">
            <v>Nguyễn Mẫn Tiệp</v>
          </cell>
          <cell r="E113" t="str">
            <v>HĐTV</v>
          </cell>
          <cell r="F113" t="str">
            <v>Rạch Bùng Binh</v>
          </cell>
          <cell r="G113" t="str">
            <v>DSTV</v>
          </cell>
          <cell r="H113" t="str">
            <v>10/3/2026</v>
          </cell>
          <cell r="I113" t="str">
            <v>1015496176</v>
          </cell>
          <cell r="J113" t="str">
            <v>Vietcombank</v>
          </cell>
          <cell r="K113">
            <v>28</v>
          </cell>
          <cell r="L113">
            <v>6</v>
          </cell>
          <cell r="M113">
            <v>49.63</v>
          </cell>
          <cell r="N113">
            <v>7.93</v>
          </cell>
          <cell r="S113">
            <v>0</v>
          </cell>
          <cell r="AA113">
            <v>0</v>
          </cell>
          <cell r="AB113">
            <v>0</v>
          </cell>
          <cell r="AC113">
            <v>5100000</v>
          </cell>
        </row>
        <row r="114">
          <cell r="D114" t="str">
            <v>Nguyễn Thị Phúc Lộc</v>
          </cell>
          <cell r="E114" t="str">
            <v>HĐTV</v>
          </cell>
          <cell r="F114" t="str">
            <v>Rạch Bùng Binh</v>
          </cell>
          <cell r="G114" t="str">
            <v>DSTV</v>
          </cell>
          <cell r="H114" t="str">
            <v>22/07/2026</v>
          </cell>
          <cell r="I114" t="str">
            <v>2158791</v>
          </cell>
          <cell r="J114" t="str">
            <v>Á Châu ( ACB)</v>
          </cell>
          <cell r="K114">
            <v>28</v>
          </cell>
          <cell r="L114">
            <v>6</v>
          </cell>
          <cell r="M114">
            <v>26.95</v>
          </cell>
          <cell r="N114">
            <v>24.05</v>
          </cell>
          <cell r="S114">
            <v>0</v>
          </cell>
          <cell r="T114">
            <v>107142.857142857</v>
          </cell>
          <cell r="AA114">
            <v>0</v>
          </cell>
          <cell r="AB114">
            <v>0</v>
          </cell>
        </row>
        <row r="115">
          <cell r="D115" t="str">
            <v>Ngô Thị Ngọc Thủy</v>
          </cell>
          <cell r="E115" t="str">
            <v>HĐTV</v>
          </cell>
          <cell r="F115" t="str">
            <v>Rạch Bùng Binh</v>
          </cell>
          <cell r="G115" t="str">
            <v>DSTV</v>
          </cell>
          <cell r="H115">
            <v>46190</v>
          </cell>
          <cell r="I115" t="str">
            <v>02031125202</v>
          </cell>
          <cell r="J115" t="str">
            <v>TP Bank</v>
          </cell>
          <cell r="K115">
            <v>28</v>
          </cell>
          <cell r="L115">
            <v>22</v>
          </cell>
          <cell r="M115">
            <v>143.77000000000001</v>
          </cell>
          <cell r="N115">
            <v>40.17</v>
          </cell>
          <cell r="S115">
            <v>0</v>
          </cell>
          <cell r="T115">
            <v>392857.14285714302</v>
          </cell>
          <cell r="AA115">
            <v>0</v>
          </cell>
          <cell r="AB115">
            <v>0</v>
          </cell>
        </row>
        <row r="116">
          <cell r="D116" t="str">
            <v>Phạm Nguyễn Ngọc Quyền Trân</v>
          </cell>
          <cell r="E116" t="str">
            <v>HĐTV</v>
          </cell>
          <cell r="F116" t="str">
            <v>Rạch Bùng Binh</v>
          </cell>
          <cell r="G116" t="str">
            <v>DSTV</v>
          </cell>
          <cell r="H116" t="str">
            <v>25/05/2026</v>
          </cell>
          <cell r="I116" t="str">
            <v>0933512397</v>
          </cell>
          <cell r="J116" t="str">
            <v>MB bank</v>
          </cell>
          <cell r="K116">
            <v>28</v>
          </cell>
          <cell r="L116">
            <v>26</v>
          </cell>
          <cell r="M116">
            <v>231.35</v>
          </cell>
          <cell r="N116">
            <v>2</v>
          </cell>
          <cell r="S116">
            <v>0</v>
          </cell>
          <cell r="T116">
            <v>464285.71428571403</v>
          </cell>
          <cell r="AA116">
            <v>0</v>
          </cell>
          <cell r="AB116">
            <v>0</v>
          </cell>
          <cell r="AC116">
            <v>5100000</v>
          </cell>
        </row>
        <row r="117">
          <cell r="D117" t="str">
            <v>Trần Gia Tiến</v>
          </cell>
          <cell r="E117" t="str">
            <v>HĐTV</v>
          </cell>
          <cell r="F117" t="str">
            <v>Rạch Bùng Binh</v>
          </cell>
          <cell r="G117" t="str">
            <v>DSTV</v>
          </cell>
          <cell r="H117" t="str">
            <v>01/07/2026</v>
          </cell>
          <cell r="I117" t="str">
            <v>00006497190</v>
          </cell>
          <cell r="J117" t="str">
            <v>TPBank</v>
          </cell>
          <cell r="K117">
            <v>28</v>
          </cell>
          <cell r="L117">
            <v>6</v>
          </cell>
          <cell r="M117">
            <v>55</v>
          </cell>
          <cell r="N117">
            <v>0</v>
          </cell>
          <cell r="S117">
            <v>0</v>
          </cell>
          <cell r="T117">
            <v>107142.857142857</v>
          </cell>
          <cell r="AA117">
            <v>0</v>
          </cell>
          <cell r="AB117">
            <v>0</v>
          </cell>
        </row>
        <row r="118">
          <cell r="D118" t="str">
            <v>Đinh Hoài Bảo</v>
          </cell>
          <cell r="E118" t="str">
            <v>HĐTV</v>
          </cell>
          <cell r="F118" t="str">
            <v>Đỗ Quang Đẩu</v>
          </cell>
          <cell r="G118" t="str">
            <v>DSTV</v>
          </cell>
          <cell r="H118" t="str">
            <v>03/07/2026</v>
          </cell>
          <cell r="I118" t="str">
            <v>5620709358</v>
          </cell>
          <cell r="J118" t="str">
            <v>BIDV</v>
          </cell>
          <cell r="K118">
            <v>28</v>
          </cell>
          <cell r="L118">
            <v>4</v>
          </cell>
          <cell r="M118">
            <v>7.0000000000000007E-2</v>
          </cell>
          <cell r="N118">
            <v>32.270000000000003</v>
          </cell>
          <cell r="S118">
            <v>0</v>
          </cell>
          <cell r="T118">
            <v>71428.571428571406</v>
          </cell>
          <cell r="AA118">
            <v>0</v>
          </cell>
          <cell r="AB118">
            <v>0</v>
          </cell>
        </row>
        <row r="119">
          <cell r="K119">
            <v>224</v>
          </cell>
          <cell r="L119">
            <v>124</v>
          </cell>
          <cell r="M119">
            <v>826.28</v>
          </cell>
          <cell r="N119">
            <v>364.88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10620000</v>
          </cell>
          <cell r="T119">
            <v>2071428.57142857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22200000</v>
          </cell>
        </row>
        <row r="120">
          <cell r="D120" t="str">
            <v>Hứa Thị Kim Thoa</v>
          </cell>
          <cell r="E120" t="str">
            <v>HĐLĐ</v>
          </cell>
          <cell r="F120" t="str">
            <v>Đường Láng</v>
          </cell>
          <cell r="G120" t="str">
            <v>CHT</v>
          </cell>
          <cell r="H120">
            <v>45008</v>
          </cell>
          <cell r="I120" t="str">
            <v>30961328046</v>
          </cell>
          <cell r="J120" t="str">
            <v>TPbank</v>
          </cell>
          <cell r="K120">
            <v>28</v>
          </cell>
          <cell r="L120">
            <v>28</v>
          </cell>
          <cell r="M120">
            <v>160.52000000000001</v>
          </cell>
          <cell r="N120">
            <v>93.18</v>
          </cell>
          <cell r="S120">
            <v>5310000</v>
          </cell>
          <cell r="T120">
            <v>500000</v>
          </cell>
          <cell r="AA120">
            <v>0</v>
          </cell>
          <cell r="AB120">
            <v>0</v>
          </cell>
          <cell r="AC120">
            <v>6920000</v>
          </cell>
        </row>
        <row r="121">
          <cell r="D121" t="str">
            <v>Lê Thị Soạn</v>
          </cell>
          <cell r="E121" t="str">
            <v>HĐLĐ</v>
          </cell>
          <cell r="F121" t="str">
            <v>Đường Láng</v>
          </cell>
          <cell r="G121" t="str">
            <v>DSBC</v>
          </cell>
          <cell r="H121">
            <v>44562</v>
          </cell>
          <cell r="I121" t="str">
            <v>0987524738</v>
          </cell>
          <cell r="J121" t="str">
            <v>Vietinbank</v>
          </cell>
          <cell r="K121">
            <v>28</v>
          </cell>
          <cell r="L121">
            <v>31</v>
          </cell>
          <cell r="M121">
            <v>22.72</v>
          </cell>
          <cell r="N121">
            <v>248.18</v>
          </cell>
          <cell r="S121">
            <v>5310000</v>
          </cell>
          <cell r="T121">
            <v>500000</v>
          </cell>
          <cell r="AA121">
            <v>0</v>
          </cell>
          <cell r="AB121">
            <v>0</v>
          </cell>
          <cell r="AC121">
            <v>7869400</v>
          </cell>
        </row>
        <row r="122">
          <cell r="D122" t="str">
            <v>Nguyễn Thị Mai Duyên</v>
          </cell>
          <cell r="E122" t="str">
            <v>HĐLĐ</v>
          </cell>
          <cell r="F122" t="str">
            <v>Đường Láng</v>
          </cell>
          <cell r="G122" t="str">
            <v>DSBC</v>
          </cell>
          <cell r="H122" t="str">
            <v>21/03/2025</v>
          </cell>
          <cell r="I122" t="str">
            <v>51016102001</v>
          </cell>
          <cell r="J122" t="str">
            <v>VP Bank</v>
          </cell>
          <cell r="K122">
            <v>28</v>
          </cell>
          <cell r="L122">
            <v>27</v>
          </cell>
          <cell r="M122">
            <v>184.28</v>
          </cell>
          <cell r="N122">
            <v>79.45</v>
          </cell>
          <cell r="S122">
            <v>5310000</v>
          </cell>
          <cell r="T122">
            <v>482142.85714285698</v>
          </cell>
          <cell r="AA122">
            <v>0</v>
          </cell>
          <cell r="AB122">
            <v>0</v>
          </cell>
          <cell r="AC122">
            <v>6000000</v>
          </cell>
        </row>
        <row r="123">
          <cell r="D123" t="str">
            <v>Nguyễn Thị Tâm</v>
          </cell>
          <cell r="E123" t="str">
            <v>HĐLĐ</v>
          </cell>
          <cell r="F123" t="str">
            <v>Đường Láng</v>
          </cell>
          <cell r="G123" t="str">
            <v>DSBC</v>
          </cell>
          <cell r="H123">
            <v>45062</v>
          </cell>
          <cell r="I123" t="str">
            <v>0924479717</v>
          </cell>
          <cell r="J123" t="str">
            <v>Vietinbank</v>
          </cell>
          <cell r="K123">
            <v>28</v>
          </cell>
          <cell r="L123">
            <v>27</v>
          </cell>
          <cell r="M123">
            <v>220.43</v>
          </cell>
          <cell r="N123">
            <v>35.380000000000003</v>
          </cell>
          <cell r="S123">
            <v>5310000</v>
          </cell>
          <cell r="T123">
            <v>482142.85714285698</v>
          </cell>
          <cell r="AA123">
            <v>0</v>
          </cell>
          <cell r="AB123">
            <v>0</v>
          </cell>
          <cell r="AC123">
            <v>7000000</v>
          </cell>
        </row>
        <row r="124">
          <cell r="D124" t="str">
            <v>Trần Ngọc Dung</v>
          </cell>
          <cell r="E124" t="str">
            <v>HĐLĐ</v>
          </cell>
          <cell r="F124" t="str">
            <v>Đường Láng</v>
          </cell>
          <cell r="G124" t="str">
            <v>DSBC</v>
          </cell>
          <cell r="H124" t="str">
            <v>10/3/2026</v>
          </cell>
          <cell r="I124" t="str">
            <v>19036814716010</v>
          </cell>
          <cell r="J124" t="str">
            <v>Techcombank</v>
          </cell>
          <cell r="K124">
            <v>28</v>
          </cell>
          <cell r="L124">
            <v>28</v>
          </cell>
          <cell r="M124">
            <v>108.63</v>
          </cell>
          <cell r="N124">
            <v>168.62</v>
          </cell>
          <cell r="S124">
            <v>5310000</v>
          </cell>
          <cell r="T124">
            <v>500000</v>
          </cell>
          <cell r="AA124">
            <v>0</v>
          </cell>
          <cell r="AB124">
            <v>0</v>
          </cell>
          <cell r="AC124">
            <v>6000000</v>
          </cell>
        </row>
        <row r="125">
          <cell r="K125">
            <v>140</v>
          </cell>
          <cell r="L125">
            <v>141</v>
          </cell>
          <cell r="M125">
            <v>696.58</v>
          </cell>
          <cell r="N125">
            <v>624.80999999999995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26550000</v>
          </cell>
          <cell r="T125">
            <v>2464285.7142857099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33789400</v>
          </cell>
        </row>
        <row r="126">
          <cell r="D126" t="str">
            <v>Nguyễn Mạnh Tuấn</v>
          </cell>
          <cell r="E126" t="str">
            <v>HĐLĐ</v>
          </cell>
          <cell r="F126" t="str">
            <v>Hàng Bông</v>
          </cell>
          <cell r="G126" t="str">
            <v>DSBC</v>
          </cell>
          <cell r="H126" t="str">
            <v>29/09/2025</v>
          </cell>
          <cell r="I126" t="str">
            <v>00834502302</v>
          </cell>
          <cell r="J126" t="str">
            <v>TP bank</v>
          </cell>
          <cell r="K126">
            <v>28</v>
          </cell>
          <cell r="L126">
            <v>27</v>
          </cell>
          <cell r="M126">
            <v>2</v>
          </cell>
          <cell r="N126">
            <v>211.85</v>
          </cell>
          <cell r="S126">
            <v>5310000</v>
          </cell>
          <cell r="T126">
            <v>482142.85714285698</v>
          </cell>
          <cell r="AA126">
            <v>0</v>
          </cell>
          <cell r="AB126">
            <v>0</v>
          </cell>
          <cell r="AC126">
            <v>6000000</v>
          </cell>
        </row>
        <row r="127">
          <cell r="D127" t="str">
            <v>Nguyễn Thị Mai Duyên</v>
          </cell>
          <cell r="E127" t="str">
            <v>HĐLĐ</v>
          </cell>
          <cell r="F127" t="str">
            <v>Đường Láng</v>
          </cell>
          <cell r="G127" t="str">
            <v>DSBC</v>
          </cell>
          <cell r="H127" t="str">
            <v>21/03/2025</v>
          </cell>
          <cell r="I127" t="str">
            <v>51016102001</v>
          </cell>
          <cell r="J127" t="str">
            <v>VP Bank</v>
          </cell>
          <cell r="K127">
            <v>28</v>
          </cell>
          <cell r="L127">
            <v>7</v>
          </cell>
          <cell r="M127">
            <v>24</v>
          </cell>
          <cell r="N127">
            <v>44.52</v>
          </cell>
          <cell r="S127">
            <v>5310000</v>
          </cell>
          <cell r="T127">
            <v>17857.1428571428</v>
          </cell>
          <cell r="AA127">
            <v>0</v>
          </cell>
          <cell r="AB127">
            <v>0</v>
          </cell>
          <cell r="AC127">
            <v>6000000</v>
          </cell>
        </row>
        <row r="128">
          <cell r="D128" t="str">
            <v>Vũ Thanh Hằng</v>
          </cell>
          <cell r="E128" t="str">
            <v>HĐLĐ</v>
          </cell>
          <cell r="F128" t="str">
            <v>Hàng Bông</v>
          </cell>
          <cell r="G128" t="str">
            <v>DSBC</v>
          </cell>
          <cell r="H128" t="str">
            <v>22/9/2025</v>
          </cell>
          <cell r="I128" t="str">
            <v>9993886688</v>
          </cell>
          <cell r="J128" t="str">
            <v>Techcombank</v>
          </cell>
          <cell r="K128">
            <v>28</v>
          </cell>
          <cell r="L128">
            <v>27</v>
          </cell>
          <cell r="M128">
            <v>205.92</v>
          </cell>
          <cell r="N128">
            <v>34.72</v>
          </cell>
          <cell r="S128">
            <v>5310000</v>
          </cell>
          <cell r="T128">
            <v>482142.85714285698</v>
          </cell>
          <cell r="AA128">
            <v>0</v>
          </cell>
          <cell r="AB128">
            <v>0</v>
          </cell>
          <cell r="AC128">
            <v>6000000</v>
          </cell>
        </row>
        <row r="129">
          <cell r="D129" t="str">
            <v>Đinh Thị Khánh Ly</v>
          </cell>
          <cell r="E129" t="str">
            <v>HĐLĐ</v>
          </cell>
          <cell r="F129" t="str">
            <v>Hàng Bông</v>
          </cell>
          <cell r="G129" t="str">
            <v>DSBC</v>
          </cell>
          <cell r="H129" t="str">
            <v>03/11/2025</v>
          </cell>
          <cell r="I129" t="str">
            <v>0021000423384</v>
          </cell>
          <cell r="J129" t="str">
            <v>Vietcombank</v>
          </cell>
          <cell r="K129">
            <v>28</v>
          </cell>
          <cell r="L129">
            <v>28</v>
          </cell>
          <cell r="M129">
            <v>215.38</v>
          </cell>
          <cell r="N129">
            <v>26.6</v>
          </cell>
          <cell r="S129">
            <v>5310000</v>
          </cell>
          <cell r="T129">
            <v>500000</v>
          </cell>
          <cell r="AA129">
            <v>0</v>
          </cell>
          <cell r="AB129">
            <v>0</v>
          </cell>
          <cell r="AC129">
            <v>6000000</v>
          </cell>
        </row>
        <row r="130">
          <cell r="D130" t="str">
            <v>Đinh Thị Lan Anh</v>
          </cell>
          <cell r="E130" t="str">
            <v>HĐLĐ</v>
          </cell>
          <cell r="F130" t="str">
            <v>Hàng Bông</v>
          </cell>
          <cell r="G130" t="str">
            <v>DSBC</v>
          </cell>
          <cell r="H130">
            <v>44674</v>
          </cell>
          <cell r="I130" t="str">
            <v>16010000495222</v>
          </cell>
          <cell r="J130" t="str">
            <v>BIDV</v>
          </cell>
          <cell r="K130">
            <v>28</v>
          </cell>
          <cell r="L130">
            <v>30</v>
          </cell>
          <cell r="M130">
            <v>263.92</v>
          </cell>
          <cell r="N130">
            <v>18.420000000000002</v>
          </cell>
          <cell r="S130">
            <v>5310000</v>
          </cell>
          <cell r="T130">
            <v>500000</v>
          </cell>
          <cell r="AA130">
            <v>0</v>
          </cell>
          <cell r="AB130">
            <v>0</v>
          </cell>
          <cell r="AC130">
            <v>7920000</v>
          </cell>
        </row>
        <row r="131">
          <cell r="K131">
            <v>84</v>
          </cell>
          <cell r="L131">
            <v>85</v>
          </cell>
          <cell r="M131">
            <v>685.22</v>
          </cell>
          <cell r="N131">
            <v>79.739999999999995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15930000</v>
          </cell>
          <cell r="T131">
            <v>1482142.8571428601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19920000</v>
          </cell>
        </row>
        <row r="132">
          <cell r="K132">
            <v>4116</v>
          </cell>
          <cell r="L132">
            <v>2748</v>
          </cell>
          <cell r="M132">
            <v>15011.37</v>
          </cell>
          <cell r="N132">
            <v>9662.4599999999991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461970000</v>
          </cell>
          <cell r="T132">
            <v>45696428.571428597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2000000</v>
          </cell>
          <cell r="AB132">
            <v>4000000</v>
          </cell>
          <cell r="AC132">
            <v>684738116</v>
          </cell>
        </row>
        <row r="133">
          <cell r="K133">
            <v>2549</v>
          </cell>
          <cell r="L133">
            <v>1860.5</v>
          </cell>
          <cell r="M133">
            <v>7435.08</v>
          </cell>
          <cell r="N133">
            <v>4347.8999999999996</v>
          </cell>
          <cell r="O133">
            <v>0</v>
          </cell>
          <cell r="P133">
            <v>0</v>
          </cell>
          <cell r="Q133">
            <v>0</v>
          </cell>
          <cell r="R133">
            <v>145303100</v>
          </cell>
          <cell r="S133">
            <v>286740000</v>
          </cell>
          <cell r="T133">
            <v>37725000</v>
          </cell>
          <cell r="U133">
            <v>4992000</v>
          </cell>
          <cell r="V133">
            <v>5000000</v>
          </cell>
          <cell r="W133">
            <v>0</v>
          </cell>
          <cell r="X133">
            <v>0</v>
          </cell>
          <cell r="Y133">
            <v>0</v>
          </cell>
          <cell r="Z133">
            <v>3000000</v>
          </cell>
          <cell r="AC133">
            <v>700654159</v>
          </cell>
        </row>
        <row r="134">
          <cell r="K134">
            <v>729</v>
          </cell>
          <cell r="L134">
            <v>547.5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145303100</v>
          </cell>
          <cell r="S134">
            <v>69030000</v>
          </cell>
          <cell r="T134">
            <v>15600000</v>
          </cell>
          <cell r="U134">
            <v>4992000</v>
          </cell>
          <cell r="V134">
            <v>5000000</v>
          </cell>
          <cell r="W134">
            <v>0</v>
          </cell>
          <cell r="X134">
            <v>0</v>
          </cell>
          <cell r="Y134">
            <v>0</v>
          </cell>
          <cell r="Z134">
            <v>3000000</v>
          </cell>
          <cell r="AC134">
            <v>377925101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5">
          <cell r="C5" t="str">
            <v>Le Huu Ha</v>
          </cell>
          <cell r="D5" t="str">
            <v>Le Huu Ha</v>
          </cell>
          <cell r="E5" t="str">
            <v>HĐLĐ</v>
          </cell>
          <cell r="F5" t="str">
            <v>BOD</v>
          </cell>
          <cell r="G5" t="str">
            <v>GĐ</v>
          </cell>
          <cell r="H5">
            <v>43466</v>
          </cell>
          <cell r="I5" t="str">
            <v>16810000588456</v>
          </cell>
          <cell r="J5" t="str">
            <v>BIDV</v>
          </cell>
          <cell r="K5" t="str">
            <v>ha.le@medigoapp.com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C7" t="str">
            <v>Le Thi Quy Ngoc</v>
          </cell>
          <cell r="D7" t="str">
            <v>Lê Thị Quý Ngọc</v>
          </cell>
          <cell r="E7" t="str">
            <v>HĐLĐ</v>
          </cell>
          <cell r="F7" t="str">
            <v>Vận hành nhà thuốc</v>
          </cell>
          <cell r="G7" t="str">
            <v>Quản lý hệ thống nhà thuốc</v>
          </cell>
          <cell r="H7">
            <v>45040</v>
          </cell>
          <cell r="I7" t="str">
            <v>0441000768646</v>
          </cell>
          <cell r="J7" t="str">
            <v>VCB</v>
          </cell>
          <cell r="K7" t="str">
            <v>ngoc.le@medigoapp.com</v>
          </cell>
        </row>
        <row r="8">
          <cell r="C8" t="str">
            <v>Le Thu Ha</v>
          </cell>
          <cell r="D8" t="str">
            <v>Lê Thu Hà</v>
          </cell>
          <cell r="E8" t="str">
            <v>HĐLĐ</v>
          </cell>
          <cell r="F8" t="str">
            <v>Vận hành nhà thuốc</v>
          </cell>
          <cell r="G8" t="str">
            <v>Nhân viên mua hàng</v>
          </cell>
          <cell r="H8">
            <v>44774</v>
          </cell>
          <cell r="I8" t="str">
            <v>0511000409951</v>
          </cell>
          <cell r="J8" t="str">
            <v>Vietcombank</v>
          </cell>
          <cell r="K8" t="str">
            <v>thuha.le@medigoapp.com</v>
          </cell>
        </row>
        <row r="9">
          <cell r="C9" t="str">
            <v>Pham Thi Hong Ngoc</v>
          </cell>
          <cell r="D9" t="str">
            <v>Phạm Thị Hồng Ngọc</v>
          </cell>
          <cell r="E9" t="str">
            <v>HĐLĐ</v>
          </cell>
          <cell r="F9" t="str">
            <v>Vận hành nhà thuốc</v>
          </cell>
          <cell r="G9" t="str">
            <v>Thủ kho</v>
          </cell>
          <cell r="H9" t="str">
            <v>02/12/2024</v>
          </cell>
          <cell r="I9" t="str">
            <v>628704060022530</v>
          </cell>
          <cell r="J9" t="str">
            <v>VIB</v>
          </cell>
          <cell r="K9" t="str">
            <v>ngoc.pham@medigoapp.com</v>
          </cell>
        </row>
        <row r="10">
          <cell r="C10" t="str">
            <v>Nguyen Duc Viet Khoa</v>
          </cell>
          <cell r="D10" t="str">
            <v>Nguyễn Đức Việt Khoa</v>
          </cell>
          <cell r="E10" t="str">
            <v>HĐLĐ</v>
          </cell>
          <cell r="F10" t="str">
            <v>Vận hành nhà thuốc</v>
          </cell>
          <cell r="G10" t="str">
            <v>Nhân viên phân tích phát triển kinh doanh</v>
          </cell>
          <cell r="H10">
            <v>45523</v>
          </cell>
          <cell r="I10" t="str">
            <v>100874109827</v>
          </cell>
          <cell r="J10" t="str">
            <v>Vietinbank</v>
          </cell>
          <cell r="K10" t="str">
            <v>khoa.nguyen@medigoapp.com</v>
          </cell>
        </row>
        <row r="11">
          <cell r="C11" t="str">
            <v>Duong Thi Van Trang</v>
          </cell>
          <cell r="D11" t="str">
            <v>Dương Thị Vân Trang</v>
          </cell>
          <cell r="E11" t="str">
            <v>HĐLĐ</v>
          </cell>
          <cell r="F11" t="str">
            <v>Vận hành nhà thuốc</v>
          </cell>
          <cell r="G11" t="str">
            <v>Chuyên viên kho vận</v>
          </cell>
          <cell r="H11">
            <v>45565</v>
          </cell>
          <cell r="I11" t="str">
            <v>19036357455011</v>
          </cell>
          <cell r="J11" t="str">
            <v>Techcombank</v>
          </cell>
          <cell r="K11" t="str">
            <v>trang.duong@medigoapp.com</v>
          </cell>
        </row>
        <row r="12">
          <cell r="C12" t="str">
            <v>Nguyen Tuan Nghia</v>
          </cell>
          <cell r="D12" t="str">
            <v>Nguyễn Tuấn Nghĩa</v>
          </cell>
          <cell r="E12" t="str">
            <v>HĐCTV</v>
          </cell>
          <cell r="F12" t="str">
            <v>Vận hành nhà thuốc</v>
          </cell>
          <cell r="G12" t="str">
            <v>NV Giám sát Camera</v>
          </cell>
          <cell r="H12" t="str">
            <v>18/09/2023</v>
          </cell>
          <cell r="I12" t="str">
            <v>9333757326</v>
          </cell>
          <cell r="J12" t="str">
            <v>Vietcombank</v>
          </cell>
          <cell r="K12" t="str">
            <v>nghia.nguyen@medigoapp.com</v>
          </cell>
        </row>
        <row r="13">
          <cell r="C13" t="str">
            <v>Nguyen Thi Kim Hue</v>
          </cell>
          <cell r="D13" t="str">
            <v>Nguyễn Thị Kim Huệ</v>
          </cell>
          <cell r="E13" t="str">
            <v>HĐLĐ</v>
          </cell>
          <cell r="F13" t="str">
            <v>Vận hành nhà thuốc</v>
          </cell>
          <cell r="G13" t="str">
            <v>Nhân viên kiểm soát chất lượng tư vấn</v>
          </cell>
          <cell r="H13">
            <v>45413</v>
          </cell>
          <cell r="I13" t="str">
            <v>1392480093</v>
          </cell>
          <cell r="J13" t="str">
            <v>Techcombank</v>
          </cell>
          <cell r="K13" t="str">
            <v>hue.nguyen@medigoapp.com</v>
          </cell>
        </row>
        <row r="14">
          <cell r="C14" t="str">
            <v>Huynh Ngoc Anh</v>
          </cell>
          <cell r="D14" t="str">
            <v>Huỳnh Ngọc Anh</v>
          </cell>
          <cell r="E14" t="str">
            <v>HĐLĐ</v>
          </cell>
          <cell r="F14" t="str">
            <v>Vận hành nhà thuốc</v>
          </cell>
          <cell r="G14" t="str">
            <v>Admin Nhà Thuốc</v>
          </cell>
          <cell r="H14">
            <v>45694</v>
          </cell>
          <cell r="I14" t="str">
            <v>101001856411</v>
          </cell>
          <cell r="J14" t="str">
            <v>Vietinbank</v>
          </cell>
          <cell r="K14" t="str">
            <v>anh.huynh@medigoapp.com</v>
          </cell>
        </row>
        <row r="15">
          <cell r="C15" t="str">
            <v>Vu Ngoc Thanh Thao</v>
          </cell>
          <cell r="D15" t="str">
            <v>Vũ Ngọc Thanh Thảo</v>
          </cell>
          <cell r="E15" t="str">
            <v>HĐLĐ</v>
          </cell>
          <cell r="F15" t="str">
            <v>Vận hành nhà thuốc</v>
          </cell>
          <cell r="G15" t="str">
            <v>Quản lý khu vực</v>
          </cell>
          <cell r="H15">
            <v>45845</v>
          </cell>
          <cell r="I15" t="str">
            <v>0111000299588</v>
          </cell>
          <cell r="J15" t="str">
            <v>VIETCOMBANK</v>
          </cell>
          <cell r="K15" t="str">
            <v>thao.vu@medigoapp.com</v>
          </cell>
        </row>
        <row r="16">
          <cell r="C16" t="str">
            <v>Nguyen Hoang Yen</v>
          </cell>
          <cell r="D16" t="str">
            <v>Nguyễn Hoàng Yến</v>
          </cell>
          <cell r="E16" t="str">
            <v>HĐLĐ</v>
          </cell>
          <cell r="F16" t="str">
            <v>Vận hành nhà thuốc</v>
          </cell>
          <cell r="G16" t="str">
            <v xml:space="preserve">Nhân viên phụ trách pháp lý và inventory </v>
          </cell>
          <cell r="H16">
            <v>45876</v>
          </cell>
          <cell r="I16" t="str">
            <v>1014543868</v>
          </cell>
          <cell r="J16" t="str">
            <v>Vietcombank</v>
          </cell>
          <cell r="K16" t="str">
            <v>yen.nguyen@medigoapp.com</v>
          </cell>
        </row>
        <row r="17">
          <cell r="C17" t="str">
            <v>Dang Van Thang</v>
          </cell>
          <cell r="D17" t="str">
            <v>Đặng Văn Thắng</v>
          </cell>
          <cell r="E17" t="str">
            <v>HĐLĐ</v>
          </cell>
          <cell r="F17" t="str">
            <v>Vận hành nhà thuốc</v>
          </cell>
          <cell r="G17" t="str">
            <v>NV Kiểm soát nội bộ</v>
          </cell>
          <cell r="H17">
            <v>45926</v>
          </cell>
          <cell r="I17" t="str">
            <v>19135201270018</v>
          </cell>
          <cell r="J17" t="str">
            <v>Techcombank</v>
          </cell>
          <cell r="K17" t="str">
            <v>thang.dang@medigoapp.com</v>
          </cell>
        </row>
        <row r="18">
          <cell r="C18" t="str">
            <v>Doan Huu Luan</v>
          </cell>
          <cell r="D18" t="str">
            <v>Đoàn Hữu Luận</v>
          </cell>
          <cell r="E18" t="str">
            <v>HĐLĐ</v>
          </cell>
          <cell r="F18" t="str">
            <v>Vận hành nhà thuốc</v>
          </cell>
          <cell r="G18" t="str">
            <v>NV Bảo trì, giao nhận</v>
          </cell>
          <cell r="H18" t="str">
            <v>10/08/2022</v>
          </cell>
          <cell r="I18" t="str">
            <v>1020112968002</v>
          </cell>
          <cell r="J18" t="str">
            <v>MBbank</v>
          </cell>
          <cell r="K18" t="str">
            <v>luan.doan@medigoapp.com</v>
          </cell>
        </row>
        <row r="19">
          <cell r="C19" t="str">
            <v>Dang Thien An</v>
          </cell>
          <cell r="D19" t="str">
            <v>Đặng Thiên Ân</v>
          </cell>
          <cell r="E19" t="str">
            <v>HĐCTV</v>
          </cell>
          <cell r="F19" t="str">
            <v>Vận hành nhà thuốc</v>
          </cell>
          <cell r="G19" t="str">
            <v>TTS dữ liệu</v>
          </cell>
          <cell r="H19" t="str">
            <v>13/03/2026</v>
          </cell>
          <cell r="I19" t="str">
            <v>0982685374</v>
          </cell>
          <cell r="J19" t="str">
            <v>MBBANK</v>
          </cell>
          <cell r="K19" t="str">
            <v>an.dang@medigoapp.com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C21" t="str">
            <v>DO VU MY LINH</v>
          </cell>
          <cell r="D21" t="str">
            <v>ĐỖ VŨ MỸ LINH</v>
          </cell>
          <cell r="E21" t="str">
            <v>HĐTV</v>
          </cell>
          <cell r="F21" t="str">
            <v>HR</v>
          </cell>
          <cell r="G21" t="str">
            <v>TP.HCNS</v>
          </cell>
          <cell r="H21" t="str">
            <v>01/04/2026</v>
          </cell>
          <cell r="I21" t="str">
            <v>0909779004</v>
          </cell>
          <cell r="J21" t="str">
            <v>MB Bank</v>
          </cell>
          <cell r="K21" t="str">
            <v>linh.do@medigoapp.com</v>
          </cell>
        </row>
        <row r="22">
          <cell r="C22" t="str">
            <v>MAI TRI DUNG</v>
          </cell>
          <cell r="D22" t="str">
            <v>MAI TRÍ DŨNG</v>
          </cell>
          <cell r="E22" t="str">
            <v>HĐTV</v>
          </cell>
          <cell r="F22" t="str">
            <v>HR</v>
          </cell>
          <cell r="G22" t="str">
            <v>Chuyên viên Tuyển dụng</v>
          </cell>
          <cell r="H22" t="str">
            <v>09/04/2026</v>
          </cell>
          <cell r="I22" t="str">
            <v>108000918951</v>
          </cell>
          <cell r="J22" t="str">
            <v>PVcomBank</v>
          </cell>
          <cell r="K22" t="str">
            <v>dung.mai@medigoapp.com</v>
          </cell>
        </row>
        <row r="23">
          <cell r="C23" t="str">
            <v>HO PHAM MINH TIEN</v>
          </cell>
          <cell r="D23" t="str">
            <v>Hồ Phạm Minh Tiến</v>
          </cell>
          <cell r="E23" t="str">
            <v>HĐTV</v>
          </cell>
          <cell r="F23" t="str">
            <v>HR</v>
          </cell>
          <cell r="G23" t="str">
            <v>TTS Hành chính văn phòng</v>
          </cell>
          <cell r="H23" t="str">
            <v>23/04/2026</v>
          </cell>
          <cell r="I23">
            <v>1016586983</v>
          </cell>
          <cell r="J23" t="str">
            <v>Ngân hàng thương mại cổ phần Ngoại thương Việt Nam (Vietcombank)</v>
          </cell>
          <cell r="K23" t="str">
            <v>tien.ho@medigoapp.com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C25" t="str">
            <v>Ho Thi Kieu Thu</v>
          </cell>
          <cell r="D25" t="str">
            <v>Hồ Thị Kiều Thu</v>
          </cell>
          <cell r="E25" t="str">
            <v>HĐLĐ</v>
          </cell>
          <cell r="F25" t="str">
            <v>Phòng khám Q.5</v>
          </cell>
          <cell r="G25" t="str">
            <v>Bác sĩ phụ trách chuyên môn</v>
          </cell>
          <cell r="H25" t="str">
            <v>19/01/2026</v>
          </cell>
          <cell r="I25" t="str">
            <v>19034597379016</v>
          </cell>
          <cell r="J25" t="str">
            <v>Techcombank</v>
          </cell>
          <cell r="K25" t="str">
            <v>Tinhnghesy 123@gmail.com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Ho Thi Minh Hoa</v>
          </cell>
          <cell r="D27" t="str">
            <v>Hồ Thị Minh Hòa</v>
          </cell>
          <cell r="E27" t="str">
            <v>HĐLĐ</v>
          </cell>
          <cell r="F27" t="str">
            <v>24H</v>
          </cell>
          <cell r="G27" t="str">
            <v>DSBC</v>
          </cell>
          <cell r="H27">
            <v>45352</v>
          </cell>
          <cell r="I27" t="str">
            <v>0051000542226</v>
          </cell>
          <cell r="J27" t="str">
            <v>Vietcombank</v>
          </cell>
          <cell r="K27" t="str">
            <v>medigo.hoa.ho@gmail.com</v>
          </cell>
        </row>
        <row r="28">
          <cell r="C28" t="str">
            <v>Tran Thi Kim Khanh</v>
          </cell>
          <cell r="D28" t="str">
            <v>Trần Thị Kim Khánh</v>
          </cell>
          <cell r="E28" t="str">
            <v>HĐLĐ</v>
          </cell>
          <cell r="F28" t="str">
            <v>24H</v>
          </cell>
          <cell r="G28" t="str">
            <v>DSBC</v>
          </cell>
          <cell r="H28">
            <v>45099</v>
          </cell>
          <cell r="I28" t="str">
            <v>69110000565904</v>
          </cell>
          <cell r="J28" t="str">
            <v>BIDV</v>
          </cell>
          <cell r="K28" t="str">
            <v>medigo.khanh.tran@gmail.com</v>
          </cell>
        </row>
        <row r="29">
          <cell r="C29" t="str">
            <v>Huynh Ngoc Lieu</v>
          </cell>
          <cell r="D29" t="str">
            <v>Huỳnh Ngọc Liểu</v>
          </cell>
          <cell r="E29" t="str">
            <v>HĐLĐ</v>
          </cell>
          <cell r="F29" t="str">
            <v>24H</v>
          </cell>
          <cell r="G29" t="str">
            <v>DSBC</v>
          </cell>
          <cell r="H29">
            <v>45278</v>
          </cell>
          <cell r="I29" t="str">
            <v>0111000173413</v>
          </cell>
          <cell r="J29" t="str">
            <v>Vietcombank CN Cần Thơ</v>
          </cell>
          <cell r="K29" t="str">
            <v>medigo.lieu.huynh@gmail.com</v>
          </cell>
        </row>
        <row r="30">
          <cell r="C30" t="str">
            <v>Pham Nguyen Ngoc Quy</v>
          </cell>
          <cell r="D30" t="str">
            <v>Phạm Nguyễn Ngọc Quý</v>
          </cell>
          <cell r="E30" t="str">
            <v>HĐLĐ</v>
          </cell>
          <cell r="F30" t="str">
            <v>24H</v>
          </cell>
          <cell r="G30" t="str">
            <v>DSBC</v>
          </cell>
          <cell r="H30" t="str">
            <v>01/11/2024</v>
          </cell>
          <cell r="I30" t="str">
            <v>1026764251</v>
          </cell>
          <cell r="J30" t="str">
            <v>Vietcombank</v>
          </cell>
          <cell r="K30" t="str">
            <v>medigo.quy.pham@gmail.com</v>
          </cell>
        </row>
        <row r="31">
          <cell r="C31" t="str">
            <v>Ngo Tran Tuyet Vy</v>
          </cell>
          <cell r="D31" t="str">
            <v>Ngô Trần Tuyết Vy</v>
          </cell>
          <cell r="E31" t="str">
            <v>HĐLĐ</v>
          </cell>
          <cell r="F31" t="str">
            <v>24H</v>
          </cell>
          <cell r="G31" t="str">
            <v>DSBC</v>
          </cell>
          <cell r="H31">
            <v>44743</v>
          </cell>
          <cell r="I31" t="str">
            <v>060260188766</v>
          </cell>
          <cell r="J31" t="str">
            <v>Sacombank</v>
          </cell>
          <cell r="K31" t="str">
            <v>vy.ngo@medigoapp.com</v>
          </cell>
        </row>
        <row r="32">
          <cell r="C32" t="str">
            <v>Ha Ngan Khanh</v>
          </cell>
          <cell r="D32" t="str">
            <v>Hạ Ngân Khánh</v>
          </cell>
          <cell r="E32" t="str">
            <v>HĐLĐ</v>
          </cell>
          <cell r="F32" t="str">
            <v>24H</v>
          </cell>
          <cell r="G32" t="str">
            <v>DSBC</v>
          </cell>
          <cell r="H32" t="str">
            <v>23/06/2025</v>
          </cell>
          <cell r="I32" t="str">
            <v>109873777758</v>
          </cell>
          <cell r="J32" t="str">
            <v>VietinBank</v>
          </cell>
          <cell r="K32" t="str">
            <v>medigo.ngankhanh.ha@gmail.com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C34" t="str">
            <v>Pham Thi Nghia Huong</v>
          </cell>
          <cell r="D34" t="str">
            <v>Phạm Thị Nghĩa Hương</v>
          </cell>
          <cell r="E34" t="str">
            <v>HĐLĐ</v>
          </cell>
          <cell r="F34" t="str">
            <v>Đỗ Quang Đẩu</v>
          </cell>
          <cell r="G34" t="str">
            <v>DSBC</v>
          </cell>
          <cell r="H34">
            <v>45575</v>
          </cell>
          <cell r="I34" t="str">
            <v>0968249073</v>
          </cell>
          <cell r="J34" t="str">
            <v>Mb bank</v>
          </cell>
          <cell r="K34" t="str">
            <v>medigo.huong.pham@gmail.com</v>
          </cell>
        </row>
        <row r="35">
          <cell r="C35" t="str">
            <v>Huynh Thi Kim Ngan</v>
          </cell>
          <cell r="D35" t="str">
            <v>Huỳnh Thị Kim Ngân</v>
          </cell>
          <cell r="E35" t="str">
            <v>HĐLĐ</v>
          </cell>
          <cell r="F35" t="str">
            <v>Đỗ Quang Đẩu</v>
          </cell>
          <cell r="G35" t="str">
            <v>DSBC</v>
          </cell>
          <cell r="H35" t="str">
            <v>4/9/2024</v>
          </cell>
          <cell r="I35" t="str">
            <v>00199839396666</v>
          </cell>
          <cell r="J35" t="str">
            <v>MB Bank</v>
          </cell>
          <cell r="K35" t="str">
            <v>medigo.ngan.huynh@gmail.com</v>
          </cell>
        </row>
        <row r="36">
          <cell r="C36" t="str">
            <v>Tran Thien Phat</v>
          </cell>
          <cell r="D36" t="str">
            <v>Trần Thiên Phát</v>
          </cell>
          <cell r="E36" t="str">
            <v>HĐLĐ</v>
          </cell>
          <cell r="F36" t="str">
            <v>Đỗ Quang Đẩu</v>
          </cell>
          <cell r="G36" t="str">
            <v>DSBC</v>
          </cell>
          <cell r="H36" t="str">
            <v>21/07/2025</v>
          </cell>
          <cell r="I36" t="str">
            <v>0345611564</v>
          </cell>
          <cell r="J36" t="str">
            <v>Mbbank</v>
          </cell>
          <cell r="K36" t="str">
            <v>medigo.thienphat.tran@gmail.com</v>
          </cell>
        </row>
        <row r="37">
          <cell r="C37" t="str">
            <v>Ngo Thi Thanh Tham</v>
          </cell>
          <cell r="D37" t="str">
            <v>Ngô Thị Thanh Thắm</v>
          </cell>
          <cell r="E37" t="str">
            <v>HĐLĐ</v>
          </cell>
          <cell r="F37" t="str">
            <v>Đỗ Quang Đẩu</v>
          </cell>
          <cell r="G37" t="str">
            <v>CHT</v>
          </cell>
          <cell r="H37">
            <v>45524</v>
          </cell>
          <cell r="I37" t="str">
            <v>0431000219840</v>
          </cell>
          <cell r="J37" t="str">
            <v>Vietcombank</v>
          </cell>
          <cell r="K37" t="str">
            <v>medigo.tham.ngo@gmail.com</v>
          </cell>
        </row>
        <row r="38">
          <cell r="C38" t="str">
            <v>Hoang Thanh Thuy</v>
          </cell>
          <cell r="D38" t="str">
            <v>Hoàng Thanh Thủy</v>
          </cell>
          <cell r="E38" t="str">
            <v>HĐLĐ</v>
          </cell>
          <cell r="F38" t="str">
            <v>Đỗ Quang Đẩu</v>
          </cell>
          <cell r="G38" t="str">
            <v>DSBC</v>
          </cell>
          <cell r="H38" t="str">
            <v>27/10/2025</v>
          </cell>
          <cell r="I38" t="str">
            <v>615704060127761</v>
          </cell>
          <cell r="J38" t="str">
            <v>VIB</v>
          </cell>
          <cell r="K38" t="str">
            <v>thuy.hoang@medigoapp.com</v>
          </cell>
        </row>
        <row r="39">
          <cell r="C39" t="str">
            <v>Le Thi Huyen Tran</v>
          </cell>
          <cell r="D39" t="str">
            <v>Lê Thị Huyền Trân</v>
          </cell>
          <cell r="E39" t="str">
            <v>HĐLĐ</v>
          </cell>
          <cell r="F39" t="str">
            <v>Đỗ Quang Đẩu</v>
          </cell>
          <cell r="G39" t="str">
            <v>DSBC</v>
          </cell>
          <cell r="H39">
            <v>45510</v>
          </cell>
          <cell r="I39" t="str">
            <v>03130767201</v>
          </cell>
          <cell r="J39" t="str">
            <v>Tiên Phong Bank</v>
          </cell>
          <cell r="K39" t="str">
            <v>medigo.tran.le@gmail.com</v>
          </cell>
        </row>
        <row r="40">
          <cell r="C40" t="str">
            <v>Nguyen Thi Phuong Linh</v>
          </cell>
          <cell r="D40" t="str">
            <v>Nguyễn Thị Phương Linh</v>
          </cell>
          <cell r="E40" t="str">
            <v>HĐTV</v>
          </cell>
          <cell r="F40" t="str">
            <v>Đỗ Quang Đẩu</v>
          </cell>
          <cell r="G40" t="str">
            <v>DSTV</v>
          </cell>
          <cell r="H40" t="str">
            <v>16/3/2026</v>
          </cell>
          <cell r="I40" t="str">
            <v>104872776864</v>
          </cell>
          <cell r="J40" t="str">
            <v>VietinBank</v>
          </cell>
          <cell r="K40" t="str">
            <v>linh.nguyen@medigoapp.com</v>
          </cell>
        </row>
        <row r="41">
          <cell r="C41" t="str">
            <v>Tong Xuan Giang</v>
          </cell>
          <cell r="D41" t="str">
            <v>Tống Xuân Giang</v>
          </cell>
          <cell r="E41" t="str">
            <v>HĐTV</v>
          </cell>
          <cell r="F41" t="str">
            <v>Đỗ Quang Đẩu</v>
          </cell>
          <cell r="G41" t="str">
            <v>DSTV</v>
          </cell>
          <cell r="H41" t="str">
            <v>10/3/2026</v>
          </cell>
          <cell r="I41" t="str">
            <v>0121000876739</v>
          </cell>
          <cell r="J41" t="str">
            <v>Vietcombank</v>
          </cell>
          <cell r="K41" t="str">
            <v>giang.tong@medigoapp.com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C43" t="str">
            <v>Tran Le Quynh Huong</v>
          </cell>
          <cell r="D43" t="str">
            <v>Trần Lê Quỳnh Hương</v>
          </cell>
          <cell r="E43" t="str">
            <v>HĐCTV</v>
          </cell>
          <cell r="F43" t="str">
            <v>Minh Châu</v>
          </cell>
          <cell r="G43" t="str">
            <v>DSHV</v>
          </cell>
          <cell r="H43" t="str">
            <v>24/11/2025</v>
          </cell>
          <cell r="I43" t="str">
            <v>21731287</v>
          </cell>
          <cell r="J43" t="str">
            <v>ACB</v>
          </cell>
          <cell r="K43" t="str">
            <v>huong.tran@medigoapp.com</v>
          </cell>
        </row>
        <row r="44">
          <cell r="C44" t="str">
            <v>Thai Thuy Linh</v>
          </cell>
          <cell r="D44" t="str">
            <v>Thái Thùy Linh</v>
          </cell>
          <cell r="E44" t="str">
            <v>HĐLĐ</v>
          </cell>
          <cell r="F44" t="str">
            <v>Minh Châu</v>
          </cell>
          <cell r="G44" t="str">
            <v>CHT</v>
          </cell>
          <cell r="H44">
            <v>44644</v>
          </cell>
          <cell r="I44" t="str">
            <v>070077077837</v>
          </cell>
          <cell r="J44" t="str">
            <v>Sacombank</v>
          </cell>
          <cell r="K44" t="str">
            <v>medigo.linh.thai@gmail.com</v>
          </cell>
        </row>
        <row r="45">
          <cell r="C45" t="str">
            <v>Trinh Thi Phuong</v>
          </cell>
          <cell r="D45" t="str">
            <v>Trịnh Thị Phượng</v>
          </cell>
          <cell r="E45" t="str">
            <v>HĐLĐ</v>
          </cell>
          <cell r="F45" t="str">
            <v>Minh Châu</v>
          </cell>
          <cell r="G45" t="str">
            <v>DSBC</v>
          </cell>
          <cell r="H45">
            <v>45096</v>
          </cell>
          <cell r="I45" t="str">
            <v>10200014211025</v>
          </cell>
          <cell r="J45" t="str">
            <v>Đông Nam Á (Seabank)</v>
          </cell>
          <cell r="K45" t="str">
            <v>medigo.phuong.trinh@gmail.com</v>
          </cell>
        </row>
        <row r="46">
          <cell r="C46" t="str">
            <v>Phan Cong Vu Tai</v>
          </cell>
          <cell r="D46" t="str">
            <v>Phan Công Vũ Tài</v>
          </cell>
          <cell r="E46" t="str">
            <v>HĐLĐ</v>
          </cell>
          <cell r="F46" t="str">
            <v>Minh Châu</v>
          </cell>
          <cell r="G46" t="str">
            <v>DSBC</v>
          </cell>
          <cell r="H46" t="str">
            <v>26/01/2026</v>
          </cell>
          <cell r="I46" t="str">
            <v>02446989901</v>
          </cell>
          <cell r="J46" t="str">
            <v>Tp Bank</v>
          </cell>
          <cell r="K46" t="str">
            <v>tai.phan@medigoapp.com</v>
          </cell>
        </row>
        <row r="47">
          <cell r="C47" t="str">
            <v>Doan Quoc Tam</v>
          </cell>
          <cell r="D47" t="str">
            <v>Đoàn Quốc Tâm</v>
          </cell>
          <cell r="E47" t="str">
            <v>HĐLĐ</v>
          </cell>
          <cell r="F47" t="str">
            <v>Minh Châu</v>
          </cell>
          <cell r="G47" t="str">
            <v>DSBC</v>
          </cell>
          <cell r="H47" t="str">
            <v>25/3/2024</v>
          </cell>
          <cell r="I47" t="str">
            <v>23241857</v>
          </cell>
          <cell r="J47" t="str">
            <v>ACB</v>
          </cell>
          <cell r="K47" t="str">
            <v>medigo.tam.doan@gmail.com</v>
          </cell>
        </row>
        <row r="48">
          <cell r="C48" t="str">
            <v>Nguyen Tri Nghia</v>
          </cell>
          <cell r="D48" t="str">
            <v>Nguyễn Trí Nghĩa</v>
          </cell>
          <cell r="E48" t="str">
            <v>HĐLĐ</v>
          </cell>
          <cell r="F48" t="str">
            <v>Minh Châu</v>
          </cell>
          <cell r="G48" t="str">
            <v>DSBC</v>
          </cell>
          <cell r="H48">
            <v>45439</v>
          </cell>
          <cell r="I48" t="str">
            <v>0251002787705</v>
          </cell>
          <cell r="J48" t="str">
            <v>Vietcombank</v>
          </cell>
          <cell r="K48" t="str">
            <v>medigo.nghia.nguyen@gmail.com</v>
          </cell>
        </row>
        <row r="49">
          <cell r="C49" t="str">
            <v>Nguyen Truc Linh</v>
          </cell>
          <cell r="D49" t="str">
            <v>Nguyễn Trúc Linh</v>
          </cell>
          <cell r="E49" t="str">
            <v>HĐLĐ</v>
          </cell>
          <cell r="F49" t="str">
            <v>Minh Châu</v>
          </cell>
          <cell r="G49" t="str">
            <v>DSBC</v>
          </cell>
          <cell r="H49" t="str">
            <v>26/04/2025</v>
          </cell>
          <cell r="I49" t="str">
            <v>109006916698</v>
          </cell>
          <cell r="J49" t="str">
            <v>Vietinbank</v>
          </cell>
          <cell r="K49" t="str">
            <v>medigo.truclinh.nguyen@gmail.com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C51" t="str">
            <v>PHAM VAN LONG</v>
          </cell>
          <cell r="D51" t="str">
            <v>PHẠM VĂN LONG</v>
          </cell>
          <cell r="E51" t="str">
            <v>HĐTV</v>
          </cell>
          <cell r="F51" t="str">
            <v>Nam Hòa</v>
          </cell>
          <cell r="G51" t="str">
            <v>DSTV</v>
          </cell>
          <cell r="H51" t="str">
            <v>03/4/2026</v>
          </cell>
          <cell r="I51" t="str">
            <v>7351192058</v>
          </cell>
          <cell r="J51" t="str">
            <v>BIDV</v>
          </cell>
          <cell r="K51" t="str">
            <v>long.pham@medigoapp.com</v>
          </cell>
        </row>
        <row r="52">
          <cell r="C52" t="str">
            <v>Pham Thi Kieu Diem</v>
          </cell>
          <cell r="D52" t="str">
            <v>Phạm Thị Kiều Diễm</v>
          </cell>
          <cell r="E52" t="str">
            <v>HĐLĐ</v>
          </cell>
          <cell r="F52" t="str">
            <v>Nam Hòa</v>
          </cell>
          <cell r="G52" t="str">
            <v>DSBC</v>
          </cell>
          <cell r="H52" t="str">
            <v>01/04/2025</v>
          </cell>
          <cell r="I52" t="str">
            <v>0110137819</v>
          </cell>
          <cell r="J52" t="str">
            <v>Vikkibank (dongabank)</v>
          </cell>
          <cell r="K52" t="str">
            <v>medigo.diem.pham@gmail.com</v>
          </cell>
        </row>
        <row r="53">
          <cell r="C53" t="str">
            <v>Do Thi Thu Huong</v>
          </cell>
          <cell r="D53" t="str">
            <v>Đỗ Thị Thu Hương</v>
          </cell>
          <cell r="E53" t="str">
            <v>HĐLĐ</v>
          </cell>
          <cell r="F53" t="str">
            <v>Nam Hòa</v>
          </cell>
          <cell r="G53" t="str">
            <v>DSBC</v>
          </cell>
          <cell r="H53" t="str">
            <v>19/08/2025</v>
          </cell>
          <cell r="I53" t="str">
            <v>9903670079</v>
          </cell>
          <cell r="J53" t="str">
            <v>Vietcombank</v>
          </cell>
          <cell r="K53" t="str">
            <v>huong.do@medigoapp.com</v>
          </cell>
        </row>
        <row r="54">
          <cell r="C54" t="str">
            <v>Mai Ngoc Oanh</v>
          </cell>
          <cell r="D54" t="str">
            <v>Mai Ngọc Oanh</v>
          </cell>
          <cell r="E54" t="str">
            <v>HĐLĐ</v>
          </cell>
          <cell r="F54" t="str">
            <v>Nam Hòa</v>
          </cell>
          <cell r="G54" t="str">
            <v>DSBC</v>
          </cell>
          <cell r="H54" t="str">
            <v>23/06/2025</v>
          </cell>
          <cell r="I54" t="str">
            <v>90373224900</v>
          </cell>
          <cell r="J54" t="str">
            <v>MB bank</v>
          </cell>
          <cell r="K54" t="str">
            <v>medigo.oanh.mai@gmail.com</v>
          </cell>
        </row>
        <row r="55">
          <cell r="C55" t="str">
            <v>Ha Ngan Khanh</v>
          </cell>
          <cell r="D55" t="str">
            <v>Hạ Ngân Khánh</v>
          </cell>
          <cell r="E55" t="str">
            <v>HĐLĐ</v>
          </cell>
          <cell r="F55" t="str">
            <v>Nam Hòa</v>
          </cell>
          <cell r="G55" t="str">
            <v>DSBC</v>
          </cell>
          <cell r="H55" t="str">
            <v>23/06/2025</v>
          </cell>
          <cell r="I55" t="str">
            <v>109873777758</v>
          </cell>
          <cell r="J55" t="str">
            <v>VietinBank</v>
          </cell>
          <cell r="K55" t="str">
            <v>medigo.ngankhanh.ha@gmail.com</v>
          </cell>
        </row>
        <row r="56">
          <cell r="C56" t="str">
            <v>Phan Cong Vu Tai</v>
          </cell>
          <cell r="D56" t="str">
            <v>Phan Công Vũ Tài</v>
          </cell>
          <cell r="E56" t="str">
            <v>HĐLĐ</v>
          </cell>
          <cell r="F56" t="str">
            <v>Nam Hòa</v>
          </cell>
          <cell r="G56" t="str">
            <v>DSBC</v>
          </cell>
          <cell r="H56" t="str">
            <v>26/01/2026</v>
          </cell>
          <cell r="I56" t="str">
            <v>02446989901</v>
          </cell>
          <cell r="J56" t="str">
            <v>Tp Bank</v>
          </cell>
          <cell r="K56" t="str">
            <v>tai.phan@medigoapp.com</v>
          </cell>
        </row>
        <row r="57">
          <cell r="C57" t="str">
            <v>Tran Thi Anh Nguyet</v>
          </cell>
          <cell r="D57" t="str">
            <v>Trần Thị Ánh Nguyệt</v>
          </cell>
          <cell r="E57" t="str">
            <v>HĐTV</v>
          </cell>
          <cell r="F57" t="str">
            <v>Nam Hòa</v>
          </cell>
          <cell r="G57" t="str">
            <v>DSTV</v>
          </cell>
          <cell r="H57" t="str">
            <v>13/3/2026</v>
          </cell>
          <cell r="I57" t="str">
            <v>19035042801010</v>
          </cell>
          <cell r="J57" t="str">
            <v>techcombank - chi nhánh Bình Đăng</v>
          </cell>
          <cell r="K57" t="str">
            <v>nguyet.tran@medigoapp.com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C59" t="str">
            <v>Nguyen Thi Hong Hanh</v>
          </cell>
          <cell r="D59" t="str">
            <v>Nguyễn Thị Hồng Hạnh</v>
          </cell>
          <cell r="E59" t="str">
            <v>HĐLĐ</v>
          </cell>
          <cell r="F59" t="str">
            <v>Nguyễn Chí Thanh</v>
          </cell>
          <cell r="G59" t="str">
            <v>DSBC</v>
          </cell>
          <cell r="H59">
            <v>45502</v>
          </cell>
          <cell r="I59" t="str">
            <v>19036469088011</v>
          </cell>
          <cell r="J59" t="str">
            <v>Techcombank</v>
          </cell>
          <cell r="K59" t="str">
            <v>medigo.honghanh.nguyen@gmail.com</v>
          </cell>
        </row>
        <row r="60">
          <cell r="C60" t="str">
            <v>Nguyen Truc Linh</v>
          </cell>
          <cell r="D60" t="str">
            <v>Nguyễn Trúc Linh</v>
          </cell>
          <cell r="E60" t="str">
            <v>HĐLĐ</v>
          </cell>
          <cell r="F60" t="str">
            <v>Nguyễn Chí Thanh</v>
          </cell>
          <cell r="G60" t="str">
            <v>DSBC</v>
          </cell>
          <cell r="H60" t="str">
            <v>26/04/2025</v>
          </cell>
          <cell r="I60" t="str">
            <v>109006916698</v>
          </cell>
          <cell r="J60" t="str">
            <v>Vietinbank</v>
          </cell>
          <cell r="K60" t="str">
            <v>medigo.truclinh.nguyen@gmail.com</v>
          </cell>
        </row>
        <row r="61">
          <cell r="C61" t="str">
            <v>Do Thi Phuong Thao</v>
          </cell>
          <cell r="D61" t="str">
            <v>Đỗ Thị Phương Thảo</v>
          </cell>
          <cell r="E61" t="str">
            <v>HĐLĐ</v>
          </cell>
          <cell r="F61" t="str">
            <v>Nguyễn Chí Thanh</v>
          </cell>
          <cell r="G61" t="str">
            <v>DSBC</v>
          </cell>
          <cell r="H61" t="str">
            <v>19/04/2025</v>
          </cell>
          <cell r="I61" t="str">
            <v>0561000503731</v>
          </cell>
          <cell r="J61" t="str">
            <v>Vietcombank</v>
          </cell>
          <cell r="K61" t="str">
            <v>medigo.thao.do@gmail.com</v>
          </cell>
        </row>
        <row r="62">
          <cell r="C62" t="str">
            <v>Le Thi Quynh Tram</v>
          </cell>
          <cell r="D62" t="str">
            <v>Lê Thị Quỳnh Trâm</v>
          </cell>
          <cell r="E62" t="str">
            <v>HĐLĐ</v>
          </cell>
          <cell r="F62" t="str">
            <v>Nguyễn Chí Thanh</v>
          </cell>
          <cell r="G62" t="str">
            <v>CHT</v>
          </cell>
          <cell r="H62" t="str">
            <v>18/08/2025</v>
          </cell>
          <cell r="I62" t="str">
            <v>6321205302943</v>
          </cell>
          <cell r="J62" t="str">
            <v>AGRIBANK</v>
          </cell>
          <cell r="K62" t="str">
            <v>tram.le@medigoapp.com</v>
          </cell>
        </row>
        <row r="63">
          <cell r="C63" t="str">
            <v>Ho Tan Nguyen</v>
          </cell>
          <cell r="D63" t="str">
            <v>Hồ Tấn Nguyên</v>
          </cell>
          <cell r="E63" t="str">
            <v>HĐTV</v>
          </cell>
          <cell r="F63" t="str">
            <v>Nguyễn Chí Thanh</v>
          </cell>
          <cell r="G63" t="str">
            <v>DSTV</v>
          </cell>
          <cell r="H63" t="str">
            <v>20/3/2026</v>
          </cell>
          <cell r="I63" t="str">
            <v>1303032027</v>
          </cell>
          <cell r="J63" t="str">
            <v>BIDV</v>
          </cell>
          <cell r="K63" t="str">
            <v>nguyen.ho@medigoapp.com</v>
          </cell>
        </row>
        <row r="64">
          <cell r="C64" t="str">
            <v>Ha Ngan Khanh</v>
          </cell>
          <cell r="D64" t="str">
            <v>Hạ Ngân Khánh</v>
          </cell>
          <cell r="E64" t="str">
            <v>HĐLĐ</v>
          </cell>
          <cell r="F64" t="str">
            <v>Nguyễn Chí Thanh</v>
          </cell>
          <cell r="G64" t="str">
            <v>DSBC</v>
          </cell>
          <cell r="H64" t="str">
            <v>23/06/2025</v>
          </cell>
          <cell r="I64" t="str">
            <v>109873777758</v>
          </cell>
          <cell r="J64" t="str">
            <v>VietinBank</v>
          </cell>
          <cell r="K64" t="str">
            <v>medigo.ngankhanh.ha@gmail.com</v>
          </cell>
        </row>
        <row r="65">
          <cell r="C65" t="str">
            <v>Nguyen Tri Nghia</v>
          </cell>
          <cell r="D65" t="str">
            <v>Nguyễn Trí Nghĩa</v>
          </cell>
          <cell r="E65" t="str">
            <v>HĐLĐ</v>
          </cell>
          <cell r="F65" t="str">
            <v>Nguyễn Chí Thanh</v>
          </cell>
          <cell r="G65" t="str">
            <v>DSBC</v>
          </cell>
          <cell r="H65">
            <v>45439</v>
          </cell>
          <cell r="I65" t="str">
            <v>0251002787705</v>
          </cell>
          <cell r="J65" t="str">
            <v>Vietcombank</v>
          </cell>
          <cell r="K65" t="str">
            <v>medigo.nghia.nguyen@gmail.com</v>
          </cell>
        </row>
        <row r="66">
          <cell r="C66" t="str">
            <v>Pham Thi Nghia Huong</v>
          </cell>
          <cell r="D66" t="str">
            <v>Phạm Thị Nghĩa Hương</v>
          </cell>
          <cell r="E66" t="str">
            <v>HĐLĐ</v>
          </cell>
          <cell r="F66" t="str">
            <v>Nguyễn Chí Thanh</v>
          </cell>
          <cell r="G66" t="str">
            <v>DSBC</v>
          </cell>
          <cell r="H66">
            <v>45575</v>
          </cell>
          <cell r="I66" t="str">
            <v>0968249073</v>
          </cell>
          <cell r="J66" t="str">
            <v>Mb bank</v>
          </cell>
          <cell r="K66" t="str">
            <v>medigo.huong.pham@gmail.com</v>
          </cell>
        </row>
        <row r="67">
          <cell r="C67" t="str">
            <v>Tran Hoang Khanh</v>
          </cell>
          <cell r="D67" t="str">
            <v>Trần Hoàng Khánh</v>
          </cell>
          <cell r="E67" t="str">
            <v>HĐLĐ</v>
          </cell>
          <cell r="F67" t="str">
            <v>Nguyễn Chí Thanh</v>
          </cell>
          <cell r="G67" t="str">
            <v>DSBC</v>
          </cell>
          <cell r="H67" t="str">
            <v>02/06/2025</v>
          </cell>
          <cell r="I67" t="str">
            <v>0985967065</v>
          </cell>
          <cell r="J67" t="str">
            <v>Tp Bank</v>
          </cell>
          <cell r="K67" t="str">
            <v>medigo.hoangkhanh.tran@gmail.com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C69" t="str">
            <v>Tran Thanh Dat</v>
          </cell>
          <cell r="D69" t="str">
            <v>Trần Thành Đạt</v>
          </cell>
          <cell r="E69" t="str">
            <v>HĐLĐ</v>
          </cell>
          <cell r="F69" t="str">
            <v>Nguyễn Thị Thập</v>
          </cell>
          <cell r="G69" t="str">
            <v>DSBC</v>
          </cell>
          <cell r="H69" t="str">
            <v>21/07/2025</v>
          </cell>
          <cell r="I69" t="str">
            <v>0621000445313</v>
          </cell>
          <cell r="J69" t="str">
            <v>Vietcombank</v>
          </cell>
          <cell r="K69" t="str">
            <v>medigo.thanhdat.tran@gmail.com</v>
          </cell>
        </row>
        <row r="70">
          <cell r="C70" t="str">
            <v>Trieu Thi Ngoc Ly</v>
          </cell>
          <cell r="D70" t="str">
            <v>Triệu Thị Ngọc Lý</v>
          </cell>
          <cell r="E70" t="str">
            <v>HĐLĐ</v>
          </cell>
          <cell r="F70" t="str">
            <v>Nguyễn Thị Thập</v>
          </cell>
          <cell r="G70" t="str">
            <v>CHT</v>
          </cell>
          <cell r="H70">
            <v>45194</v>
          </cell>
          <cell r="I70" t="str">
            <v>0989442883</v>
          </cell>
          <cell r="J70" t="str">
            <v>MB BANK</v>
          </cell>
          <cell r="K70" t="str">
            <v>medigo.ly.trieu@gmail.com</v>
          </cell>
        </row>
        <row r="71">
          <cell r="C71" t="str">
            <v>Cao Trong Nhan</v>
          </cell>
          <cell r="D71" t="str">
            <v>Cao Trọng Nhân</v>
          </cell>
          <cell r="E71" t="str">
            <v>HĐLĐ</v>
          </cell>
          <cell r="F71" t="str">
            <v>Nguyễn Thị Thập</v>
          </cell>
          <cell r="G71" t="str">
            <v>DSBC</v>
          </cell>
          <cell r="H71" t="str">
            <v>18/12/2025</v>
          </cell>
          <cell r="I71" t="str">
            <v>109868265987</v>
          </cell>
          <cell r="J71" t="str">
            <v>Vietinbank</v>
          </cell>
          <cell r="K71" t="str">
            <v>nhan.cao@medigoapp.com</v>
          </cell>
        </row>
        <row r="72">
          <cell r="C72" t="str">
            <v>Nguyen Cao Huyen Thanh</v>
          </cell>
          <cell r="D72" t="str">
            <v>Nguyễn Cao Huyền Thanh</v>
          </cell>
          <cell r="E72" t="str">
            <v>HĐCTV</v>
          </cell>
          <cell r="F72" t="str">
            <v>Nguyễn Thị Thập</v>
          </cell>
          <cell r="G72" t="str">
            <v>DSHV</v>
          </cell>
          <cell r="H72" t="str">
            <v>12/12/2025</v>
          </cell>
          <cell r="I72" t="str">
            <v>9942733393</v>
          </cell>
          <cell r="J72" t="str">
            <v>Vietcombank</v>
          </cell>
          <cell r="K72" t="str">
            <v>thanh.nguyen@medigoapp.com</v>
          </cell>
        </row>
        <row r="73">
          <cell r="C73" t="str">
            <v>Nguyen Kim Xuan</v>
          </cell>
          <cell r="D73" t="str">
            <v>Nguyễn Kim Xuân</v>
          </cell>
          <cell r="E73" t="str">
            <v>HĐLĐ</v>
          </cell>
          <cell r="F73" t="str">
            <v>Nguyễn Thị Thập</v>
          </cell>
          <cell r="G73" t="str">
            <v>DSBC</v>
          </cell>
          <cell r="H73">
            <v>45131</v>
          </cell>
          <cell r="I73" t="str">
            <v>03831562501</v>
          </cell>
          <cell r="J73" t="str">
            <v>TP Bank</v>
          </cell>
          <cell r="K73" t="str">
            <v>medigo.xuan.nguyen@gmail.com</v>
          </cell>
        </row>
        <row r="74">
          <cell r="C74" t="str">
            <v>Nguyen Tri Nghia</v>
          </cell>
          <cell r="D74" t="str">
            <v>Nguyễn Trí Nghĩa</v>
          </cell>
          <cell r="E74" t="str">
            <v>HĐLĐ</v>
          </cell>
          <cell r="F74" t="str">
            <v>Nguyễn Thị Thập</v>
          </cell>
          <cell r="G74" t="str">
            <v>DSBC</v>
          </cell>
          <cell r="H74">
            <v>45439</v>
          </cell>
          <cell r="I74" t="str">
            <v>0251002787705</v>
          </cell>
          <cell r="J74" t="str">
            <v>Vietcombank</v>
          </cell>
          <cell r="K74" t="str">
            <v>medigo.nghia.nguyen@gmail.com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C76" t="str">
            <v>Nguyen Thi Huong Giang</v>
          </cell>
          <cell r="D76" t="str">
            <v>Nguyễn Thị Hương Giang</v>
          </cell>
          <cell r="E76" t="str">
            <v>HĐLĐ</v>
          </cell>
          <cell r="F76" t="str">
            <v>Nguyễn Văn Quá</v>
          </cell>
          <cell r="G76" t="str">
            <v>DSBC</v>
          </cell>
          <cell r="H76">
            <v>45544</v>
          </cell>
          <cell r="I76" t="str">
            <v>1028255437</v>
          </cell>
          <cell r="J76" t="str">
            <v>Vietcombank</v>
          </cell>
          <cell r="K76" t="str">
            <v>medigo.giang.nguyen@gmail.com</v>
          </cell>
        </row>
        <row r="77">
          <cell r="C77" t="str">
            <v>Nguyen Thi Thu Huyen</v>
          </cell>
          <cell r="D77" t="str">
            <v>Nguyễn Thị Thu Huyền</v>
          </cell>
          <cell r="E77" t="str">
            <v>HĐLĐ</v>
          </cell>
          <cell r="F77" t="str">
            <v>Nguyễn Văn Quá</v>
          </cell>
          <cell r="G77" t="str">
            <v>DSBC</v>
          </cell>
          <cell r="H77" t="str">
            <v>24/06/2025</v>
          </cell>
          <cell r="I77" t="str">
            <v>0964455650</v>
          </cell>
          <cell r="J77" t="str">
            <v>Sacombank</v>
          </cell>
          <cell r="K77" t="str">
            <v>medigo.thuhuyen.nguyen@gmail.com</v>
          </cell>
        </row>
        <row r="78">
          <cell r="C78" t="str">
            <v>Ho Ngoc Ly</v>
          </cell>
          <cell r="D78" t="str">
            <v>Hồ Ngọc Lý</v>
          </cell>
          <cell r="E78" t="str">
            <v>HĐLĐ</v>
          </cell>
          <cell r="F78" t="str">
            <v>Nguyễn Văn Quá</v>
          </cell>
          <cell r="G78" t="str">
            <v>DSBC</v>
          </cell>
          <cell r="H78" t="str">
            <v>08/07/2024</v>
          </cell>
          <cell r="I78" t="str">
            <v>0081765868686</v>
          </cell>
          <cell r="J78" t="str">
            <v>MB bank</v>
          </cell>
          <cell r="K78" t="str">
            <v>medigo.ly.ho@gmail.com</v>
          </cell>
        </row>
        <row r="79">
          <cell r="C79" t="str">
            <v>Vo Ngoc Giau Sang</v>
          </cell>
          <cell r="D79" t="str">
            <v>Võ Ngọc Giàu Sang</v>
          </cell>
          <cell r="E79" t="str">
            <v>HĐLĐ</v>
          </cell>
          <cell r="F79" t="str">
            <v>Nguyễn Văn Quá</v>
          </cell>
          <cell r="G79" t="str">
            <v>CHT</v>
          </cell>
          <cell r="H79" t="str">
            <v>08/07/2024</v>
          </cell>
          <cell r="I79" t="str">
            <v>04015933001</v>
          </cell>
          <cell r="J79" t="str">
            <v>TP bank</v>
          </cell>
          <cell r="K79" t="str">
            <v>medigo.sang.vo@gmail.com</v>
          </cell>
        </row>
        <row r="80">
          <cell r="C80" t="str">
            <v>Van Minh Tri</v>
          </cell>
          <cell r="D80" t="str">
            <v>Văn Minh Trí</v>
          </cell>
          <cell r="E80" t="str">
            <v>HĐCTV</v>
          </cell>
          <cell r="F80" t="str">
            <v>Nguyễn Văn Quá</v>
          </cell>
          <cell r="G80" t="str">
            <v>DSHV</v>
          </cell>
          <cell r="H80" t="str">
            <v>19/01/2026</v>
          </cell>
          <cell r="I80" t="str">
            <v>0843630854</v>
          </cell>
          <cell r="J80" t="str">
            <v>Mb bank</v>
          </cell>
          <cell r="K80" t="str">
            <v>tri.van@medigoapp.com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C82" t="str">
            <v>Cu Thi Tuong Vy</v>
          </cell>
          <cell r="D82" t="str">
            <v>Cù Thị Tường Vy</v>
          </cell>
          <cell r="E82" t="str">
            <v>HĐTV</v>
          </cell>
          <cell r="F82" t="str">
            <v>Rạch Bùng Binh</v>
          </cell>
          <cell r="G82" t="str">
            <v>Q.CHT</v>
          </cell>
          <cell r="H82" t="str">
            <v>16/3/2026</v>
          </cell>
          <cell r="I82" t="str">
            <v>0071000937911</v>
          </cell>
          <cell r="J82" t="str">
            <v>Vietcombank</v>
          </cell>
          <cell r="K82" t="str">
            <v>vy.cu@medigoapp.com</v>
          </cell>
        </row>
        <row r="83">
          <cell r="C83" t="str">
            <v>Huynh Thi Hue Hien</v>
          </cell>
          <cell r="D83" t="str">
            <v>Huỳnh Thị Huệ Hiền</v>
          </cell>
          <cell r="E83" t="str">
            <v>HĐLĐ</v>
          </cell>
          <cell r="F83" t="str">
            <v>Rạch Bùng Binh</v>
          </cell>
          <cell r="G83" t="str">
            <v>DSBC</v>
          </cell>
          <cell r="H83" t="str">
            <v>01/11/2024</v>
          </cell>
          <cell r="I83" t="str">
            <v>0421000443270</v>
          </cell>
          <cell r="J83" t="str">
            <v>VietComBank</v>
          </cell>
          <cell r="K83" t="str">
            <v>medigo.hien.huynh@gmail.com</v>
          </cell>
        </row>
        <row r="84">
          <cell r="C84" t="str">
            <v>Nguyen Thi Phuong Linh</v>
          </cell>
          <cell r="D84" t="str">
            <v>Nguyễn Thị Phương Linh</v>
          </cell>
          <cell r="E84" t="str">
            <v>HĐTV</v>
          </cell>
          <cell r="F84" t="str">
            <v>Rạch Bùng Binh</v>
          </cell>
          <cell r="G84" t="str">
            <v>DSTV</v>
          </cell>
          <cell r="H84" t="str">
            <v>16/3/2026</v>
          </cell>
          <cell r="I84" t="str">
            <v>104872776864</v>
          </cell>
          <cell r="J84" t="str">
            <v>VietinBank</v>
          </cell>
          <cell r="K84" t="str">
            <v>linh.nguyen@medigoapp.com</v>
          </cell>
        </row>
        <row r="85">
          <cell r="C85" t="str">
            <v>Pham Thi Nghia Huong</v>
          </cell>
          <cell r="D85" t="str">
            <v>Phạm Thị Nghĩa Hương</v>
          </cell>
          <cell r="E85" t="str">
            <v>HĐLĐ</v>
          </cell>
          <cell r="F85" t="str">
            <v>Rạch Bùng Binh</v>
          </cell>
          <cell r="G85" t="str">
            <v>DSBC</v>
          </cell>
          <cell r="H85">
            <v>45575</v>
          </cell>
          <cell r="I85" t="str">
            <v>0968249073</v>
          </cell>
          <cell r="J85" t="str">
            <v>Mb bank</v>
          </cell>
          <cell r="K85" t="str">
            <v>medigo.huong.pham@gmail.com</v>
          </cell>
        </row>
        <row r="86">
          <cell r="C86" t="str">
            <v>Tran Hoang Khanh</v>
          </cell>
          <cell r="D86" t="str">
            <v>Trần Hoàng Khánh</v>
          </cell>
          <cell r="E86" t="str">
            <v>HĐLĐ</v>
          </cell>
          <cell r="F86" t="str">
            <v>Rạch Bùng Binh</v>
          </cell>
          <cell r="G86" t="str">
            <v>DSBC</v>
          </cell>
          <cell r="H86" t="str">
            <v>02/06/2025</v>
          </cell>
          <cell r="I86" t="str">
            <v>0985967065</v>
          </cell>
          <cell r="J86" t="str">
            <v>Tp Bank</v>
          </cell>
          <cell r="K86" t="str">
            <v>medigo.hoangkhanh.tran@gmail.com</v>
          </cell>
        </row>
        <row r="87">
          <cell r="C87" t="str">
            <v>Ha Ngan Khanh</v>
          </cell>
          <cell r="D87" t="str">
            <v>Hạ Ngân Khánh</v>
          </cell>
          <cell r="E87" t="str">
            <v>HĐLĐ</v>
          </cell>
          <cell r="F87" t="str">
            <v>Rạch Bùng Binh</v>
          </cell>
          <cell r="G87" t="str">
            <v>DSBC</v>
          </cell>
          <cell r="H87" t="str">
            <v>23/06/2025</v>
          </cell>
          <cell r="I87" t="str">
            <v>109873777758</v>
          </cell>
          <cell r="J87" t="str">
            <v>VietinBank</v>
          </cell>
          <cell r="K87" t="str">
            <v>medigo.ngankhanh.ha@gmail.com</v>
          </cell>
        </row>
        <row r="88">
          <cell r="C88" t="str">
            <v>Nguyen Truc Linh</v>
          </cell>
          <cell r="D88" t="str">
            <v>Nguyễn Trúc Linh</v>
          </cell>
          <cell r="E88" t="str">
            <v>HĐLĐ</v>
          </cell>
          <cell r="F88" t="str">
            <v>Rạch Bùng Binh</v>
          </cell>
          <cell r="G88" t="str">
            <v>DSBC</v>
          </cell>
          <cell r="H88" t="str">
            <v>26/04/2025</v>
          </cell>
          <cell r="I88" t="str">
            <v>109006916698</v>
          </cell>
          <cell r="J88" t="str">
            <v>Vietinbank</v>
          </cell>
          <cell r="K88" t="str">
            <v>medigo.truclinh.nguyen@gmail.com</v>
          </cell>
        </row>
        <row r="89">
          <cell r="C89" t="str">
            <v>Phan Cong Vu Tai</v>
          </cell>
          <cell r="D89" t="str">
            <v>Phan Công Vũ Tài</v>
          </cell>
          <cell r="E89" t="str">
            <v>HĐLĐ</v>
          </cell>
          <cell r="F89" t="str">
            <v>Rạch Bùng Binh</v>
          </cell>
          <cell r="G89" t="str">
            <v>DSBC</v>
          </cell>
          <cell r="H89" t="str">
            <v>26/01/2026</v>
          </cell>
          <cell r="I89" t="str">
            <v>02446989901</v>
          </cell>
          <cell r="J89" t="str">
            <v>Tp Bank</v>
          </cell>
          <cell r="K89" t="str">
            <v>tai.phan@medigoapp.com</v>
          </cell>
        </row>
        <row r="90">
          <cell r="C90" t="str">
            <v>Nguyen Man Tiep</v>
          </cell>
          <cell r="D90" t="str">
            <v>Nguyễn Mẫn Tiệp</v>
          </cell>
          <cell r="E90" t="str">
            <v>HĐCTV</v>
          </cell>
          <cell r="F90" t="str">
            <v>Rạch Bùng Binh</v>
          </cell>
          <cell r="G90" t="str">
            <v>DSHV</v>
          </cell>
          <cell r="H90" t="str">
            <v>10/3/2026</v>
          </cell>
          <cell r="I90" t="str">
            <v>1015496176</v>
          </cell>
          <cell r="J90" t="str">
            <v>Vietcombank</v>
          </cell>
          <cell r="K90" t="str">
            <v>tiep.nguyen@medigoapp.com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C92" t="str">
            <v>Le Thi Soan</v>
          </cell>
          <cell r="D92" t="str">
            <v>Lê Thị Soạn</v>
          </cell>
          <cell r="E92" t="str">
            <v>HĐLĐ</v>
          </cell>
          <cell r="F92" t="str">
            <v>Đường Láng</v>
          </cell>
          <cell r="G92" t="str">
            <v>DSBC</v>
          </cell>
          <cell r="H92">
            <v>44562</v>
          </cell>
          <cell r="I92" t="str">
            <v>0987524738</v>
          </cell>
          <cell r="J92" t="str">
            <v>Vietinbank</v>
          </cell>
          <cell r="K92" t="str">
            <v>medigo.soan.le123@gmail.com</v>
          </cell>
        </row>
        <row r="93">
          <cell r="C93" t="str">
            <v>Nguyen Thi Tam</v>
          </cell>
          <cell r="D93" t="str">
            <v>Nguyễn Thị Tâm</v>
          </cell>
          <cell r="E93" t="str">
            <v>HĐLĐ</v>
          </cell>
          <cell r="F93" t="str">
            <v>Đường Láng</v>
          </cell>
          <cell r="G93" t="str">
            <v>DSBC</v>
          </cell>
          <cell r="H93">
            <v>45062</v>
          </cell>
          <cell r="I93" t="str">
            <v>0924479717</v>
          </cell>
          <cell r="J93" t="str">
            <v>Vietinbank</v>
          </cell>
          <cell r="K93" t="str">
            <v>medigo.tam.nguyen@gmail.com</v>
          </cell>
        </row>
        <row r="94">
          <cell r="C94" t="str">
            <v>Hua Thi Kim Thoa</v>
          </cell>
          <cell r="D94" t="str">
            <v>Hứa Thị Kim Thoa</v>
          </cell>
          <cell r="E94" t="str">
            <v>HĐLĐ</v>
          </cell>
          <cell r="F94" t="str">
            <v>Đường Láng</v>
          </cell>
          <cell r="G94" t="str">
            <v>CHT</v>
          </cell>
          <cell r="H94">
            <v>45008</v>
          </cell>
          <cell r="I94" t="str">
            <v>30961328046</v>
          </cell>
          <cell r="J94" t="str">
            <v>TPbank</v>
          </cell>
          <cell r="K94" t="str">
            <v>medigo.thoa.hua@gmail.com</v>
          </cell>
        </row>
        <row r="95">
          <cell r="C95" t="str">
            <v>Nguyen Thi Mai Duyen</v>
          </cell>
          <cell r="D95" t="str">
            <v>Nguyễn Thị Mai Duyên</v>
          </cell>
          <cell r="E95" t="str">
            <v>HĐLĐ</v>
          </cell>
          <cell r="F95" t="str">
            <v>Đường Láng</v>
          </cell>
          <cell r="G95" t="str">
            <v>DSBC</v>
          </cell>
          <cell r="H95" t="str">
            <v>21/03/2025</v>
          </cell>
          <cell r="I95" t="str">
            <v>51016102001</v>
          </cell>
          <cell r="J95" t="str">
            <v>VP Bank</v>
          </cell>
          <cell r="K95" t="str">
            <v>medigo.maiduyen.nguyen@gmail.com</v>
          </cell>
        </row>
        <row r="96">
          <cell r="C96" t="str">
            <v>Tran Ngoc Dung</v>
          </cell>
          <cell r="D96" t="str">
            <v>Trần Ngọc Dung</v>
          </cell>
          <cell r="E96" t="str">
            <v>HĐTV</v>
          </cell>
          <cell r="F96" t="str">
            <v>Đường Láng</v>
          </cell>
          <cell r="G96" t="str">
            <v>DSTV</v>
          </cell>
          <cell r="H96" t="str">
            <v>10/3/2026</v>
          </cell>
          <cell r="I96" t="str">
            <v>19036814716010</v>
          </cell>
          <cell r="J96" t="str">
            <v>Techcombank</v>
          </cell>
          <cell r="K96" t="str">
            <v>dung.tran@medigoapp.com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C98" t="str">
            <v>Dinh Thi Lan Anh</v>
          </cell>
          <cell r="D98" t="str">
            <v>Đinh Thị Lan Anh</v>
          </cell>
          <cell r="E98" t="str">
            <v>HĐLĐ</v>
          </cell>
          <cell r="F98" t="str">
            <v>Hàng Bông</v>
          </cell>
          <cell r="G98" t="str">
            <v>DSBC</v>
          </cell>
          <cell r="H98">
            <v>44674</v>
          </cell>
          <cell r="I98" t="str">
            <v>16010000495222</v>
          </cell>
          <cell r="J98" t="str">
            <v>BIDV</v>
          </cell>
          <cell r="K98" t="str">
            <v>medigo.anh.dinh@gmail.com</v>
          </cell>
        </row>
        <row r="99">
          <cell r="C99" t="str">
            <v>Le Ngoc Anh</v>
          </cell>
          <cell r="D99" t="str">
            <v>Lê Ngọc Anh</v>
          </cell>
          <cell r="E99" t="str">
            <v>HĐLĐ</v>
          </cell>
          <cell r="F99" t="str">
            <v>Hàng Bông</v>
          </cell>
          <cell r="G99" t="str">
            <v>CHT</v>
          </cell>
          <cell r="H99" t="str">
            <v>14/07/2025</v>
          </cell>
          <cell r="I99" t="str">
            <v>19035368311013</v>
          </cell>
          <cell r="J99" t="str">
            <v>techcombank</v>
          </cell>
          <cell r="K99" t="str">
            <v>medigo.ngocanh.lehn@gmail.com</v>
          </cell>
        </row>
        <row r="100">
          <cell r="C100" t="str">
            <v>Vu Thanh Hang</v>
          </cell>
          <cell r="D100" t="str">
            <v>Vũ Thanh Hằng</v>
          </cell>
          <cell r="E100" t="str">
            <v>HĐLĐ</v>
          </cell>
          <cell r="F100" t="str">
            <v>Hàng Bông</v>
          </cell>
          <cell r="G100" t="str">
            <v>DSBC</v>
          </cell>
          <cell r="H100" t="str">
            <v>22/9/2025</v>
          </cell>
          <cell r="I100" t="str">
            <v>9993886688</v>
          </cell>
          <cell r="J100" t="str">
            <v>Techcombank</v>
          </cell>
          <cell r="K100" t="str">
            <v>hang.vu@medigoapp.com</v>
          </cell>
        </row>
        <row r="101">
          <cell r="C101" t="str">
            <v>Dinh Thi Khanh Ly</v>
          </cell>
          <cell r="D101" t="str">
            <v>Đinh Thị Khánh Ly</v>
          </cell>
          <cell r="E101" t="str">
            <v>HĐLĐ</v>
          </cell>
          <cell r="F101" t="str">
            <v>Hàng Bông</v>
          </cell>
          <cell r="G101" t="str">
            <v>DSBC</v>
          </cell>
          <cell r="H101" t="str">
            <v>03/11/2025</v>
          </cell>
          <cell r="I101" t="str">
            <v>0021000423384</v>
          </cell>
          <cell r="J101" t="str">
            <v>Vietcombank</v>
          </cell>
          <cell r="K101" t="str">
            <v>ly.dinh@medigoapp.com</v>
          </cell>
        </row>
        <row r="102">
          <cell r="C102" t="str">
            <v>Nguyen Manh Tuan</v>
          </cell>
          <cell r="D102" t="str">
            <v>Nguyễn Mạnh Tuấn</v>
          </cell>
          <cell r="E102" t="str">
            <v>HĐLĐ</v>
          </cell>
          <cell r="F102" t="str">
            <v>Hàng Bông</v>
          </cell>
          <cell r="G102" t="str">
            <v>DSBC</v>
          </cell>
          <cell r="H102" t="str">
            <v>29/09/2025</v>
          </cell>
          <cell r="I102" t="str">
            <v>00834502302</v>
          </cell>
          <cell r="J102" t="str">
            <v>TP bank</v>
          </cell>
          <cell r="K102" t="str">
            <v>tuan.nguyen@medigoapp.com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C105" t="str">
            <v>Tran Thi Minh Phuong</v>
          </cell>
          <cell r="D105" t="str">
            <v>Trần Thị Minh Phượng</v>
          </cell>
          <cell r="E105" t="str">
            <v>HĐLĐ</v>
          </cell>
          <cell r="F105" t="str">
            <v>BOD</v>
          </cell>
          <cell r="G105" t="str">
            <v>Chief Growth Officer</v>
          </cell>
          <cell r="H105" t="str">
            <v>02/2/2026</v>
          </cell>
          <cell r="I105" t="str">
            <v>19034554431014</v>
          </cell>
          <cell r="J105" t="str">
            <v>Techcombank</v>
          </cell>
          <cell r="K105" t="str">
            <v>phong.quach@medigoapp.com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C107" t="str">
            <v>Nguyen Thi Thuy Na</v>
          </cell>
          <cell r="D107" t="str">
            <v>Nguyễn Thị Thúy Na</v>
          </cell>
          <cell r="E107" t="str">
            <v>HĐLĐ</v>
          </cell>
          <cell r="F107" t="str">
            <v>HR</v>
          </cell>
          <cell r="G107" t="str">
            <v>Trợ lý CEO</v>
          </cell>
          <cell r="H107" t="str">
            <v>14/8/2025</v>
          </cell>
          <cell r="I107" t="str">
            <v>2460153966892</v>
          </cell>
          <cell r="J107" t="str">
            <v>MB bank</v>
          </cell>
          <cell r="K107" t="str">
            <v>na.nguyen@medigoapp.com</v>
          </cell>
        </row>
        <row r="108">
          <cell r="C108" t="str">
            <v>Nguyen Thi Thu Van</v>
          </cell>
          <cell r="D108" t="str">
            <v>Nguyễn Thị Thu Vân</v>
          </cell>
          <cell r="E108" t="str">
            <v>HĐCTV</v>
          </cell>
          <cell r="F108" t="str">
            <v>HR</v>
          </cell>
          <cell r="G108" t="str">
            <v>Tạp vụ Tô Hiến Thành</v>
          </cell>
          <cell r="H108">
            <v>0</v>
          </cell>
          <cell r="I108" t="str">
            <v>060287823013</v>
          </cell>
          <cell r="J108" t="str">
            <v>Sacombank</v>
          </cell>
          <cell r="K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C110" t="str">
            <v>Nguyen Thanh Tai</v>
          </cell>
          <cell r="D110" t="str">
            <v>Nguyễn Thành Tài</v>
          </cell>
          <cell r="E110" t="str">
            <v>HĐLĐ</v>
          </cell>
          <cell r="F110" t="str">
            <v>IT</v>
          </cell>
          <cell r="G110" t="str">
            <v>Tester</v>
          </cell>
          <cell r="H110">
            <v>44648</v>
          </cell>
          <cell r="I110" t="str">
            <v>79045676868</v>
          </cell>
          <cell r="J110" t="str">
            <v>VP Bank</v>
          </cell>
          <cell r="K110" t="str">
            <v>tai.nguyen@medigoapp.com</v>
          </cell>
        </row>
        <row r="111">
          <cell r="C111" t="str">
            <v>Huynh Quang Toan</v>
          </cell>
          <cell r="D111" t="str">
            <v>Huỳnh Quang Toàn</v>
          </cell>
          <cell r="E111" t="str">
            <v>HĐCTV</v>
          </cell>
          <cell r="F111" t="str">
            <v>IT</v>
          </cell>
          <cell r="G111" t="str">
            <v>Senior Backend Developer</v>
          </cell>
          <cell r="H111">
            <v>45733</v>
          </cell>
          <cell r="I111" t="str">
            <v>0381000426496</v>
          </cell>
          <cell r="J111" t="str">
            <v>Vietcombank</v>
          </cell>
          <cell r="K111" t="str">
            <v>Medigo.quangtoan.huynh@gmail.com</v>
          </cell>
        </row>
        <row r="112">
          <cell r="C112" t="str">
            <v>To Ngoc Thien Phu</v>
          </cell>
          <cell r="D112" t="str">
            <v>Tô Ngọc Thiên Phú</v>
          </cell>
          <cell r="E112" t="str">
            <v>HĐLĐ</v>
          </cell>
          <cell r="F112" t="str">
            <v>IT</v>
          </cell>
          <cell r="G112" t="str">
            <v>Web Developer</v>
          </cell>
          <cell r="H112" t="str">
            <v>27/10/2025</v>
          </cell>
          <cell r="I112" t="str">
            <v>25372997</v>
          </cell>
          <cell r="J112" t="str">
            <v>ACB</v>
          </cell>
          <cell r="K112" t="str">
            <v>phu.to@medigoapp.com</v>
          </cell>
        </row>
        <row r="113">
          <cell r="C113" t="str">
            <v>Hoang Le Thanh Vuong</v>
          </cell>
          <cell r="D113" t="str">
            <v>Hoàng Lê Thanh Vương</v>
          </cell>
          <cell r="E113" t="str">
            <v>HĐLĐ</v>
          </cell>
          <cell r="F113" t="str">
            <v>IT</v>
          </cell>
          <cell r="G113" t="str">
            <v>Backend Developer</v>
          </cell>
          <cell r="H113" t="str">
            <v>03/11/2025</v>
          </cell>
          <cell r="I113" t="str">
            <v>0765450941</v>
          </cell>
          <cell r="J113" t="str">
            <v>MB Bank</v>
          </cell>
          <cell r="K113" t="str">
            <v>vuong.hoang@medigoapp.com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 t="str">
            <v>Nguyen Hoang Nguyen Dan</v>
          </cell>
          <cell r="D115" t="str">
            <v>Nguyễn Hoàng Nguyên Đan</v>
          </cell>
          <cell r="E115" t="str">
            <v>HĐLĐ</v>
          </cell>
          <cell r="F115" t="str">
            <v>Product</v>
          </cell>
          <cell r="G115" t="str">
            <v>UI/UX Designer - Graphic Designer</v>
          </cell>
          <cell r="H115">
            <v>44417</v>
          </cell>
          <cell r="I115" t="str">
            <v>0865817107</v>
          </cell>
          <cell r="J115" t="str">
            <v>Shinhanbank</v>
          </cell>
          <cell r="K115" t="str">
            <v>dan.nguyen@medigoapp.com</v>
          </cell>
        </row>
        <row r="116">
          <cell r="C116" t="str">
            <v>Nguyen Van Toan</v>
          </cell>
          <cell r="D116" t="str">
            <v>Nguyễn Văn Toàn</v>
          </cell>
          <cell r="E116" t="str">
            <v>HĐLĐ</v>
          </cell>
          <cell r="F116" t="str">
            <v>Product</v>
          </cell>
          <cell r="G116" t="str">
            <v>UI/UX Designer - Graphic Designer</v>
          </cell>
          <cell r="H116" t="str">
            <v>7/7/2025</v>
          </cell>
          <cell r="I116" t="str">
            <v>1016037766</v>
          </cell>
          <cell r="J116" t="str">
            <v>VIETCOMBANK</v>
          </cell>
          <cell r="K116" t="str">
            <v>toan.nguyen@medigoapp.com</v>
          </cell>
        </row>
        <row r="117">
          <cell r="C117" t="str">
            <v>LE QUOC THINH</v>
          </cell>
          <cell r="D117" t="str">
            <v>LÊ QUỐC THỊNH</v>
          </cell>
          <cell r="E117" t="str">
            <v>HĐCTV</v>
          </cell>
          <cell r="F117" t="str">
            <v>Product</v>
          </cell>
          <cell r="G117" t="str">
            <v>UI/UX Designer - Graphic Designer</v>
          </cell>
          <cell r="H117" t="str">
            <v>20/3/2026</v>
          </cell>
          <cell r="I117" t="str">
            <v>4569797979</v>
          </cell>
          <cell r="J117" t="str">
            <v>MB bank</v>
          </cell>
          <cell r="K117" t="str">
            <v>thinhquocle524@gmail.com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C119" t="str">
            <v>Le Phu Qui</v>
          </cell>
          <cell r="D119" t="str">
            <v>Lê Phú Quí</v>
          </cell>
          <cell r="E119" t="str">
            <v>HĐLĐ</v>
          </cell>
          <cell r="F119" t="str">
            <v>Admin_CSKH</v>
          </cell>
          <cell r="G119" t="str">
            <v>Trưởng nhóm Dịch vụ Online</v>
          </cell>
          <cell r="H119">
            <v>45463</v>
          </cell>
          <cell r="I119" t="str">
            <v>07183522701</v>
          </cell>
          <cell r="J119" t="str">
            <v>Ngân hàng Thương mại Cổ phần Tiên Phong (TP Bank)</v>
          </cell>
          <cell r="K119" t="str">
            <v>qui.le@medigoapp.com</v>
          </cell>
        </row>
        <row r="120">
          <cell r="C120" t="str">
            <v>Nguyen Ho Phuong Anh</v>
          </cell>
          <cell r="D120" t="str">
            <v>Nguyễn Hồ Phương Anh</v>
          </cell>
          <cell r="E120" t="str">
            <v>HĐLĐ</v>
          </cell>
          <cell r="F120" t="str">
            <v>Admin_CSKH</v>
          </cell>
          <cell r="G120" t="str">
            <v>Admin - điều phối đơn hàng</v>
          </cell>
          <cell r="H120">
            <v>44404</v>
          </cell>
          <cell r="I120" t="str">
            <v>19033258827011</v>
          </cell>
          <cell r="J120" t="str">
            <v>Techcombank</v>
          </cell>
          <cell r="K120" t="str">
            <v>anh.phuong.nguyen@medigoapp.com</v>
          </cell>
        </row>
        <row r="121">
          <cell r="C121" t="str">
            <v>Nguyen Thi Ngoc Han</v>
          </cell>
          <cell r="D121" t="str">
            <v>Nguyễn Thị Ngọc Hân</v>
          </cell>
          <cell r="E121" t="str">
            <v>HĐLĐ</v>
          </cell>
          <cell r="F121" t="str">
            <v>Admin_CSKH</v>
          </cell>
          <cell r="G121" t="str">
            <v>Admin - điều phối đơn hàng</v>
          </cell>
          <cell r="H121">
            <v>44620</v>
          </cell>
          <cell r="I121" t="str">
            <v>104002495110</v>
          </cell>
          <cell r="J121" t="str">
            <v>Vietinbank</v>
          </cell>
          <cell r="K121" t="str">
            <v>han.nguyen@medigoapp.com</v>
          </cell>
        </row>
        <row r="122">
          <cell r="C122" t="str">
            <v>Vo Thi Dieu Hien</v>
          </cell>
          <cell r="D122" t="str">
            <v>Võ Thị Diệu Hiền</v>
          </cell>
          <cell r="E122" t="str">
            <v>HĐLĐ</v>
          </cell>
          <cell r="F122" t="str">
            <v>Admin_CSKH</v>
          </cell>
          <cell r="G122" t="str">
            <v>Admin - điều phối đơn hàng</v>
          </cell>
          <cell r="H122">
            <v>45148</v>
          </cell>
          <cell r="I122" t="str">
            <v>19035062217013</v>
          </cell>
          <cell r="J122" t="str">
            <v>Techcombank</v>
          </cell>
          <cell r="K122" t="str">
            <v>hien.vo@medigoapp.com</v>
          </cell>
        </row>
        <row r="123">
          <cell r="C123" t="str">
            <v>Luu Thanh Tuyen</v>
          </cell>
          <cell r="D123" t="str">
            <v>Lưu Thanh Tuyền</v>
          </cell>
          <cell r="E123" t="str">
            <v>HĐLĐ</v>
          </cell>
          <cell r="F123" t="str">
            <v>Admin_CSKH</v>
          </cell>
          <cell r="G123" t="str">
            <v>Chuyên Viên Điều Phôi Đơn Hàng</v>
          </cell>
          <cell r="H123">
            <v>44197</v>
          </cell>
          <cell r="I123" t="str">
            <v>0181000337432</v>
          </cell>
          <cell r="J123" t="str">
            <v>Vietcombank</v>
          </cell>
          <cell r="K123" t="str">
            <v>tuyen.luu@medigoapp.com</v>
          </cell>
        </row>
        <row r="124">
          <cell r="C124" t="str">
            <v>Vo Tan Truong</v>
          </cell>
          <cell r="D124" t="str">
            <v>Võ Tấn Trường</v>
          </cell>
          <cell r="E124" t="str">
            <v>HĐLĐ</v>
          </cell>
          <cell r="F124" t="str">
            <v>Admin_CSKH</v>
          </cell>
          <cell r="G124" t="str">
            <v>Admin - điều phối đơn hàng</v>
          </cell>
          <cell r="H124">
            <v>45761</v>
          </cell>
          <cell r="I124" t="str">
            <v>1016552819</v>
          </cell>
          <cell r="J124" t="str">
            <v>Vietcombank</v>
          </cell>
          <cell r="K124" t="str">
            <v>truong.vo@medigoapp.com</v>
          </cell>
        </row>
        <row r="125">
          <cell r="C125" t="str">
            <v>Tran Thi Tam Nhung</v>
          </cell>
          <cell r="D125" t="str">
            <v>Trần Thị Tâm Nhung</v>
          </cell>
          <cell r="E125" t="str">
            <v>HĐLĐ</v>
          </cell>
          <cell r="F125" t="str">
            <v>Admin_CSKH</v>
          </cell>
          <cell r="G125" t="str">
            <v>Admin - điều phối đơn hàng</v>
          </cell>
          <cell r="H125">
            <v>45889</v>
          </cell>
          <cell r="I125" t="str">
            <v>8862842341</v>
          </cell>
          <cell r="J125" t="str">
            <v>BIDV</v>
          </cell>
          <cell r="K125" t="str">
            <v>nhung.tran@medigoapp.com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C127" t="str">
            <v>Nguyen Thi Cam Binh</v>
          </cell>
          <cell r="D127" t="str">
            <v>Nguyễn Thị Cẩm Bình</v>
          </cell>
          <cell r="E127" t="str">
            <v>HĐLĐ</v>
          </cell>
          <cell r="F127" t="str">
            <v>Business Development</v>
          </cell>
          <cell r="G127" t="str">
            <v>Senior Inventory &amp; Partnership</v>
          </cell>
          <cell r="H127" t="str">
            <v>12/11/2025</v>
          </cell>
          <cell r="I127" t="str">
            <v>0381000583650</v>
          </cell>
          <cell r="J127" t="str">
            <v>Vietcombank</v>
          </cell>
          <cell r="K127" t="str">
            <v>binh.nguyen@medigoapp.com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C129" t="str">
            <v>Nguyen Cao Nhan</v>
          </cell>
          <cell r="D129" t="str">
            <v>Nguyễn Cao Nhân</v>
          </cell>
          <cell r="E129" t="str">
            <v>HĐLĐ</v>
          </cell>
          <cell r="F129" t="str">
            <v>Kế toán</v>
          </cell>
          <cell r="G129" t="str">
            <v>Kế toán viên</v>
          </cell>
          <cell r="H129">
            <v>45474</v>
          </cell>
          <cell r="I129" t="str">
            <v>0071001008815</v>
          </cell>
          <cell r="J129" t="str">
            <v>Vietcombank</v>
          </cell>
          <cell r="K129" t="str">
            <v>nhan.nguyen@medigoapp.com</v>
          </cell>
        </row>
        <row r="130">
          <cell r="C130" t="str">
            <v>Dang Thi Que Anh</v>
          </cell>
          <cell r="D130" t="str">
            <v>Đặng Thị Quế Anh</v>
          </cell>
          <cell r="E130" t="str">
            <v>HĐLĐ</v>
          </cell>
          <cell r="F130" t="str">
            <v>Kế toán</v>
          </cell>
          <cell r="G130" t="str">
            <v>Kế toán trưởng</v>
          </cell>
          <cell r="H130">
            <v>45622</v>
          </cell>
          <cell r="I130" t="str">
            <v>0071001126701</v>
          </cell>
          <cell r="J130" t="str">
            <v>Vietcombank</v>
          </cell>
          <cell r="K130" t="str">
            <v>anh.dang@medigoapp.com</v>
          </cell>
        </row>
        <row r="131">
          <cell r="C131" t="str">
            <v>Nguyen Thi Anh Hong</v>
          </cell>
          <cell r="D131" t="str">
            <v>Nguyễn Thị Ánh Hồng</v>
          </cell>
          <cell r="E131" t="str">
            <v>HĐLĐ</v>
          </cell>
          <cell r="F131" t="str">
            <v>Kế toán</v>
          </cell>
          <cell r="G131" t="str">
            <v>Kế toán tổng hợp</v>
          </cell>
          <cell r="H131">
            <v>45628</v>
          </cell>
          <cell r="I131" t="str">
            <v>013348479001</v>
          </cell>
          <cell r="J131" t="str">
            <v>Ngân hàng HSBC</v>
          </cell>
          <cell r="K131" t="str">
            <v>hong.nguyen@medigoapp.com</v>
          </cell>
        </row>
        <row r="132">
          <cell r="C132" t="str">
            <v>Phan Thi Kim Hien</v>
          </cell>
          <cell r="D132" t="str">
            <v>Phan Thị Kim Hiên</v>
          </cell>
          <cell r="E132" t="str">
            <v>HĐLĐ</v>
          </cell>
          <cell r="F132" t="str">
            <v>Kế toán</v>
          </cell>
          <cell r="G132" t="str">
            <v>Kế toán viên</v>
          </cell>
          <cell r="H132" t="str">
            <v>14/7/2025</v>
          </cell>
          <cell r="I132" t="str">
            <v>1020484770</v>
          </cell>
          <cell r="J132" t="str">
            <v>Vietcombank</v>
          </cell>
          <cell r="K132" t="str">
            <v>hien.phan@medigoapp.com</v>
          </cell>
        </row>
        <row r="133">
          <cell r="C133" t="str">
            <v>Le Thi Phuong Thao</v>
          </cell>
          <cell r="D133" t="str">
            <v>Lê Thị Phương Thảo</v>
          </cell>
          <cell r="E133" t="str">
            <v>HĐLĐ</v>
          </cell>
          <cell r="F133" t="str">
            <v>Kế toán</v>
          </cell>
          <cell r="G133" t="str">
            <v>Kế toán viên</v>
          </cell>
          <cell r="H133" t="str">
            <v>25/8/2025</v>
          </cell>
          <cell r="I133" t="str">
            <v>0913814991</v>
          </cell>
          <cell r="J133" t="str">
            <v>Nam Á Bank</v>
          </cell>
          <cell r="K133" t="str">
            <v>thao.le@medigoapp.com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C135" t="str">
            <v>Huynh Tan Nhan</v>
          </cell>
          <cell r="D135" t="str">
            <v>Huỳnh Tấn Nhân</v>
          </cell>
          <cell r="E135" t="str">
            <v>HĐLĐ</v>
          </cell>
          <cell r="F135" t="str">
            <v>Marketing</v>
          </cell>
          <cell r="G135" t="str">
            <v>Trưởng phòng phát triển doanh nghiệp</v>
          </cell>
          <cell r="H135" t="str">
            <v>01/08/2025</v>
          </cell>
          <cell r="I135" t="str">
            <v>196682719</v>
          </cell>
          <cell r="J135" t="str">
            <v>ACB</v>
          </cell>
          <cell r="K135" t="str">
            <v>nhan.tan.huynh@medigoapp.com</v>
          </cell>
        </row>
        <row r="136">
          <cell r="C136" t="str">
            <v>Nguyen Thi Kim Ngoc</v>
          </cell>
          <cell r="D136" t="str">
            <v>Nguyễn Thị Kim Ngọc</v>
          </cell>
          <cell r="E136" t="str">
            <v>HĐLĐ</v>
          </cell>
          <cell r="F136" t="str">
            <v>Marketing</v>
          </cell>
          <cell r="G136" t="str">
            <v>TTS Marketing</v>
          </cell>
          <cell r="H136" t="str">
            <v>11/8/2025</v>
          </cell>
          <cell r="I136" t="str">
            <v>14330267</v>
          </cell>
          <cell r="J136" t="str">
            <v>Á Châu (ACB)</v>
          </cell>
          <cell r="K136" t="str">
            <v>ngoc.nguyen@medigoapp.com</v>
          </cell>
        </row>
        <row r="137">
          <cell r="C137" t="str">
            <v>Le Thi Phuong Anh</v>
          </cell>
          <cell r="D137" t="str">
            <v>Lê Thị Phương Anh</v>
          </cell>
          <cell r="E137" t="str">
            <v>HĐLĐ</v>
          </cell>
          <cell r="F137" t="str">
            <v>Marketing</v>
          </cell>
          <cell r="G137" t="str">
            <v>Nhân viên Thiết kế đồ họa</v>
          </cell>
          <cell r="H137" t="str">
            <v>11/9/2025</v>
          </cell>
          <cell r="I137" t="str">
            <v>0334984447</v>
          </cell>
          <cell r="J137" t="str">
            <v>Eximbank</v>
          </cell>
          <cell r="K137" t="str">
            <v>anh.le@medigoapp.com</v>
          </cell>
        </row>
        <row r="138">
          <cell r="C138" t="str">
            <v>Nguyen Vu Khoi</v>
          </cell>
          <cell r="D138" t="str">
            <v>Nguyễn Vũ Khôi</v>
          </cell>
          <cell r="E138" t="str">
            <v>HĐCTV</v>
          </cell>
          <cell r="F138" t="str">
            <v>Marketing</v>
          </cell>
          <cell r="G138" t="str">
            <v>Thực tập sinh Marketing</v>
          </cell>
          <cell r="H138">
            <v>46016</v>
          </cell>
          <cell r="I138" t="str">
            <v>1025444220</v>
          </cell>
          <cell r="J138" t="str">
            <v>Vietcombank</v>
          </cell>
          <cell r="K138" t="str">
            <v>khoi.nguyen@medigoapp.com</v>
          </cell>
        </row>
        <row r="139">
          <cell r="C139" t="str">
            <v>Nguyen Thi Thu Hue</v>
          </cell>
          <cell r="D139" t="str">
            <v>Nguyễn Thị Thu Huệ</v>
          </cell>
          <cell r="E139" t="str">
            <v>HĐCTV</v>
          </cell>
          <cell r="F139" t="str">
            <v>Marketing</v>
          </cell>
          <cell r="G139" t="str">
            <v>Thực tập sinh Marketing</v>
          </cell>
          <cell r="H139">
            <v>46020</v>
          </cell>
          <cell r="I139" t="str">
            <v>41042747</v>
          </cell>
          <cell r="J139" t="str">
            <v>Á Châu (ACB)</v>
          </cell>
          <cell r="K139">
            <v>0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Med 2025"/>
      <sheetName val="Medigo 2025"/>
      <sheetName val="Med 2024"/>
      <sheetName val="Medigo 2024"/>
      <sheetName val="Tong hop"/>
      <sheetName val="Total"/>
    </sheetNames>
    <sheetDataSet>
      <sheetData sheetId="0"/>
      <sheetData sheetId="1"/>
      <sheetData sheetId="2"/>
      <sheetData sheetId="3"/>
      <sheetData sheetId="4">
        <row r="8">
          <cell r="B8" t="str">
            <v>Hứa Thị Kim Thoa</v>
          </cell>
          <cell r="C8">
            <v>8712383131</v>
          </cell>
          <cell r="D8" t="str">
            <v>015198000800</v>
          </cell>
          <cell r="E8" t="str">
            <v>x</v>
          </cell>
          <cell r="F8">
            <v>136035915</v>
          </cell>
          <cell r="H8">
            <v>132000000</v>
          </cell>
          <cell r="J8">
            <v>6501600</v>
          </cell>
          <cell r="L8">
            <v>0</v>
          </cell>
          <cell r="M8">
            <v>257279</v>
          </cell>
          <cell r="O8">
            <v>0</v>
          </cell>
          <cell r="P8">
            <v>257279</v>
          </cell>
        </row>
        <row r="9">
          <cell r="B9" t="str">
            <v>Lê Thị Soạn</v>
          </cell>
          <cell r="C9">
            <v>8643805693</v>
          </cell>
          <cell r="D9" t="str">
            <v>022182003066</v>
          </cell>
          <cell r="E9" t="str">
            <v>x</v>
          </cell>
          <cell r="F9">
            <v>184924672</v>
          </cell>
          <cell r="H9">
            <v>132000000</v>
          </cell>
          <cell r="J9">
            <v>6501600</v>
          </cell>
          <cell r="L9">
            <v>46423072</v>
          </cell>
          <cell r="M9">
            <v>1993152</v>
          </cell>
          <cell r="O9">
            <v>2321154</v>
          </cell>
          <cell r="Q9">
            <v>328002</v>
          </cell>
        </row>
        <row r="10">
          <cell r="B10" t="str">
            <v>Nguyễn Thị Tâm</v>
          </cell>
          <cell r="C10">
            <v>8874288555</v>
          </cell>
          <cell r="D10" t="str">
            <v>038199016130</v>
          </cell>
          <cell r="E10" t="str">
            <v>x</v>
          </cell>
          <cell r="F10">
            <v>108376973</v>
          </cell>
          <cell r="H10">
            <v>132000000</v>
          </cell>
          <cell r="J10">
            <v>4923450</v>
          </cell>
          <cell r="L10">
            <v>0</v>
          </cell>
          <cell r="M10">
            <v>909431</v>
          </cell>
          <cell r="O10">
            <v>0</v>
          </cell>
          <cell r="P10">
            <v>909431</v>
          </cell>
        </row>
        <row r="11">
          <cell r="B11" t="str">
            <v>Triệu Thị Ngọc Lý</v>
          </cell>
          <cell r="C11">
            <v>8826944493</v>
          </cell>
          <cell r="D11" t="str">
            <v>094194006375</v>
          </cell>
          <cell r="E11" t="str">
            <v>x</v>
          </cell>
          <cell r="F11">
            <v>128054321</v>
          </cell>
          <cell r="H11">
            <v>132000000</v>
          </cell>
          <cell r="J11">
            <v>6501600</v>
          </cell>
          <cell r="L11">
            <v>0</v>
          </cell>
          <cell r="M11">
            <v>262759</v>
          </cell>
          <cell r="O11">
            <v>0</v>
          </cell>
          <cell r="P11">
            <v>262759</v>
          </cell>
        </row>
        <row r="12">
          <cell r="B12" t="str">
            <v>Thái Thùy Linh</v>
          </cell>
          <cell r="C12" t="str">
            <v>8874288509</v>
          </cell>
          <cell r="D12" t="str">
            <v>091197002901</v>
          </cell>
          <cell r="E12" t="str">
            <v>x</v>
          </cell>
          <cell r="F12">
            <v>165016803</v>
          </cell>
          <cell r="H12">
            <v>132000000</v>
          </cell>
          <cell r="J12">
            <v>5975550</v>
          </cell>
          <cell r="L12">
            <v>27041253</v>
          </cell>
          <cell r="M12">
            <v>1077705</v>
          </cell>
          <cell r="O12">
            <v>1352063</v>
          </cell>
          <cell r="P12">
            <v>0</v>
          </cell>
          <cell r="Q12">
            <v>274358</v>
          </cell>
        </row>
        <row r="13">
          <cell r="B13" t="str">
            <v>Tổng 2024</v>
          </cell>
          <cell r="O13">
            <v>3673217</v>
          </cell>
          <cell r="P13">
            <v>1429469</v>
          </cell>
          <cell r="Q13">
            <v>602360</v>
          </cell>
        </row>
        <row r="15">
          <cell r="B15" t="str">
            <v>Đinh Thị Lan Anh</v>
          </cell>
          <cell r="C15" t="str">
            <v>8874288717</v>
          </cell>
          <cell r="D15" t="str">
            <v>017302002141</v>
          </cell>
          <cell r="E15" t="str">
            <v>x</v>
          </cell>
          <cell r="F15">
            <v>165855290</v>
          </cell>
          <cell r="H15">
            <v>132000000</v>
          </cell>
          <cell r="J15">
            <v>6690600</v>
          </cell>
          <cell r="L15">
            <v>27164690</v>
          </cell>
          <cell r="M15">
            <v>2507975</v>
          </cell>
          <cell r="O15">
            <v>1358235</v>
          </cell>
          <cell r="P15">
            <v>1149740</v>
          </cell>
        </row>
        <row r="16">
          <cell r="B16" t="str">
            <v>Hồ Ngọc Lý</v>
          </cell>
          <cell r="C16" t="str">
            <v>8921866703</v>
          </cell>
          <cell r="D16" t="str">
            <v>083196003987</v>
          </cell>
          <cell r="E16" t="str">
            <v>x</v>
          </cell>
          <cell r="F16">
            <v>173265725</v>
          </cell>
          <cell r="H16">
            <v>132000000</v>
          </cell>
          <cell r="J16">
            <v>6690600</v>
          </cell>
          <cell r="L16">
            <v>34575125</v>
          </cell>
          <cell r="M16">
            <v>715926</v>
          </cell>
          <cell r="O16">
            <v>1728756</v>
          </cell>
          <cell r="Q16">
            <v>1012830</v>
          </cell>
        </row>
        <row r="17">
          <cell r="B17" t="str">
            <v>Huỳnh Thị Huệ Hiền</v>
          </cell>
          <cell r="C17" t="str">
            <v>8667897735</v>
          </cell>
          <cell r="D17" t="str">
            <v>079195003976</v>
          </cell>
          <cell r="E17" t="str">
            <v>x</v>
          </cell>
          <cell r="F17">
            <v>167385380</v>
          </cell>
          <cell r="H17">
            <v>132000000</v>
          </cell>
          <cell r="J17">
            <v>6690600</v>
          </cell>
          <cell r="L17">
            <v>28694780</v>
          </cell>
          <cell r="M17">
            <v>1898612</v>
          </cell>
          <cell r="O17">
            <v>1434739</v>
          </cell>
          <cell r="P17">
            <v>463873</v>
          </cell>
        </row>
        <row r="18">
          <cell r="B18" t="str">
            <v>Lê Thị Huyền Trân</v>
          </cell>
          <cell r="C18" t="str">
            <v>8816393021</v>
          </cell>
          <cell r="D18" t="str">
            <v>056196004563</v>
          </cell>
          <cell r="E18" t="str">
            <v>x</v>
          </cell>
          <cell r="F18">
            <v>159107309</v>
          </cell>
          <cell r="H18">
            <v>132000000</v>
          </cell>
          <cell r="J18">
            <v>6690600</v>
          </cell>
          <cell r="L18">
            <v>20416709</v>
          </cell>
          <cell r="M18">
            <v>1099949</v>
          </cell>
          <cell r="O18">
            <v>1020835</v>
          </cell>
          <cell r="P18">
            <v>79114</v>
          </cell>
        </row>
        <row r="19">
          <cell r="B19" t="str">
            <v>Ngô Thị Thanh Thắm</v>
          </cell>
          <cell r="C19" t="str">
            <v>8550966842</v>
          </cell>
          <cell r="D19" t="str">
            <v>052196004048</v>
          </cell>
          <cell r="E19" t="str">
            <v>x</v>
          </cell>
          <cell r="F19">
            <v>124755616</v>
          </cell>
          <cell r="H19">
            <v>132000000</v>
          </cell>
          <cell r="J19">
            <v>6690600</v>
          </cell>
          <cell r="L19">
            <v>5432516</v>
          </cell>
          <cell r="M19">
            <v>346622</v>
          </cell>
          <cell r="O19">
            <v>0</v>
          </cell>
          <cell r="P19">
            <v>346622</v>
          </cell>
        </row>
        <row r="20">
          <cell r="B20" t="str">
            <v>Nguyễn Đức Việt Khoa</v>
          </cell>
          <cell r="C20" t="str">
            <v>8921514490</v>
          </cell>
          <cell r="D20" t="str">
            <v>051203000423</v>
          </cell>
          <cell r="E20" t="str">
            <v>x</v>
          </cell>
          <cell r="F20">
            <v>128148000</v>
          </cell>
          <cell r="H20">
            <v>132000000</v>
          </cell>
          <cell r="J20">
            <v>6690600</v>
          </cell>
          <cell r="L20">
            <v>7975150</v>
          </cell>
          <cell r="M20">
            <v>398761</v>
          </cell>
          <cell r="O20">
            <v>0</v>
          </cell>
          <cell r="P20">
            <v>398761</v>
          </cell>
        </row>
        <row r="21">
          <cell r="B21" t="str">
            <v>Nguyễn Thị Hồng Hạnh</v>
          </cell>
          <cell r="C21" t="str">
            <v>8773492240</v>
          </cell>
          <cell r="D21" t="str">
            <v>031194016852</v>
          </cell>
          <cell r="E21" t="str">
            <v>x</v>
          </cell>
          <cell r="F21">
            <v>155349402</v>
          </cell>
          <cell r="H21">
            <v>132000000</v>
          </cell>
          <cell r="J21">
            <v>6690600</v>
          </cell>
          <cell r="L21">
            <v>16658802</v>
          </cell>
          <cell r="M21">
            <v>971217</v>
          </cell>
          <cell r="O21">
            <v>832940</v>
          </cell>
          <cell r="P21">
            <v>138277</v>
          </cell>
        </row>
        <row r="22">
          <cell r="B22" t="str">
            <v>Nguyễn Thị Hương Giang</v>
          </cell>
          <cell r="C22" t="str">
            <v>8763088945</v>
          </cell>
          <cell r="D22" t="str">
            <v>077198004696</v>
          </cell>
          <cell r="E22" t="str">
            <v>x</v>
          </cell>
          <cell r="F22">
            <v>117193262</v>
          </cell>
          <cell r="H22">
            <v>132000000</v>
          </cell>
          <cell r="J22">
            <v>6690600</v>
          </cell>
          <cell r="L22" t="str">
            <v>-</v>
          </cell>
          <cell r="M22" t="str">
            <v>-</v>
          </cell>
        </row>
        <row r="23">
          <cell r="B23" t="str">
            <v>Nguyễn Thị Kim Huệ</v>
          </cell>
          <cell r="C23" t="str">
            <v>8753496060</v>
          </cell>
          <cell r="D23" t="str">
            <v>068301009893</v>
          </cell>
          <cell r="E23" t="str">
            <v>x</v>
          </cell>
          <cell r="F23">
            <v>107875067</v>
          </cell>
          <cell r="H23">
            <v>132000000</v>
          </cell>
          <cell r="J23">
            <v>6690600</v>
          </cell>
          <cell r="L23">
            <v>0</v>
          </cell>
          <cell r="M23">
            <v>12700</v>
          </cell>
          <cell r="O23">
            <v>0</v>
          </cell>
          <cell r="P23">
            <v>12700</v>
          </cell>
        </row>
        <row r="24">
          <cell r="B24" t="str">
            <v>Phạm Thị Nghĩa Hương</v>
          </cell>
          <cell r="C24" t="str">
            <v>8551346288</v>
          </cell>
          <cell r="D24" t="str">
            <v>020199005510</v>
          </cell>
          <cell r="E24" t="str">
            <v>x</v>
          </cell>
          <cell r="F24">
            <v>125128612</v>
          </cell>
          <cell r="H24">
            <v>132000000</v>
          </cell>
          <cell r="J24">
            <v>6690600</v>
          </cell>
          <cell r="L24">
            <v>9154862</v>
          </cell>
          <cell r="M24">
            <v>432003</v>
          </cell>
          <cell r="O24">
            <v>0</v>
          </cell>
          <cell r="P24">
            <v>432003</v>
          </cell>
        </row>
        <row r="25">
          <cell r="B25" t="str">
            <v>Triệu Thị Ngọc Lý</v>
          </cell>
          <cell r="C25" t="str">
            <v>8826944493</v>
          </cell>
          <cell r="D25" t="str">
            <v>094194006375</v>
          </cell>
          <cell r="E25" t="str">
            <v>x</v>
          </cell>
          <cell r="F25">
            <v>166437283</v>
          </cell>
          <cell r="H25">
            <v>132000000</v>
          </cell>
          <cell r="J25">
            <v>6690600</v>
          </cell>
          <cell r="L25">
            <v>27746683</v>
          </cell>
          <cell r="M25">
            <v>1862399</v>
          </cell>
          <cell r="O25">
            <v>1387334</v>
          </cell>
          <cell r="P25">
            <v>475065</v>
          </cell>
        </row>
        <row r="26">
          <cell r="B26" t="str">
            <v>Trương Nguyễn Khánh An</v>
          </cell>
          <cell r="C26" t="str">
            <v>8451284221</v>
          </cell>
          <cell r="D26" t="str">
            <v>075198018331</v>
          </cell>
          <cell r="E26" t="str">
            <v>x</v>
          </cell>
          <cell r="F26">
            <v>116831330</v>
          </cell>
          <cell r="H26">
            <v>132000000</v>
          </cell>
          <cell r="J26">
            <v>6690600</v>
          </cell>
          <cell r="L26">
            <v>1632101</v>
          </cell>
          <cell r="M26">
            <v>81605</v>
          </cell>
          <cell r="O26">
            <v>0</v>
          </cell>
          <cell r="P26">
            <v>81605</v>
          </cell>
        </row>
        <row r="27">
          <cell r="B27" t="str">
            <v>Võ Ngọc Giàu Sang</v>
          </cell>
          <cell r="C27" t="str">
            <v>8671700702</v>
          </cell>
          <cell r="D27" t="str">
            <v>056199009974</v>
          </cell>
          <cell r="E27" t="str">
            <v>x</v>
          </cell>
          <cell r="F27">
            <v>125881080</v>
          </cell>
          <cell r="H27">
            <v>132000000</v>
          </cell>
          <cell r="J27">
            <v>6690600</v>
          </cell>
          <cell r="L27">
            <v>3800268</v>
          </cell>
          <cell r="M27">
            <v>190014</v>
          </cell>
          <cell r="O27">
            <v>0</v>
          </cell>
          <cell r="P27">
            <v>190014</v>
          </cell>
        </row>
        <row r="28">
          <cell r="B28" t="str">
            <v>Tổng 2025</v>
          </cell>
          <cell r="O28">
            <v>7762839</v>
          </cell>
          <cell r="P28">
            <v>3767774</v>
          </cell>
          <cell r="Q28">
            <v>1012830</v>
          </cell>
        </row>
        <row r="29">
          <cell r="B29" t="str">
            <v>TỔNG MED</v>
          </cell>
          <cell r="O29">
            <v>11436056</v>
          </cell>
          <cell r="P29">
            <v>5197243</v>
          </cell>
          <cell r="Q29">
            <v>1615190</v>
          </cell>
        </row>
        <row r="32">
          <cell r="B32" t="str">
            <v>Nguyễn Hồ Phương Anh</v>
          </cell>
          <cell r="C32" t="str">
            <v>8735382529</v>
          </cell>
          <cell r="D32" t="str">
            <v>056300004837</v>
          </cell>
          <cell r="E32" t="str">
            <v>x</v>
          </cell>
          <cell r="F32">
            <v>132584538</v>
          </cell>
          <cell r="H32">
            <v>132000000</v>
          </cell>
          <cell r="J32">
            <v>6501600</v>
          </cell>
          <cell r="L32">
            <v>0</v>
          </cell>
          <cell r="M32">
            <v>615938</v>
          </cell>
          <cell r="O32">
            <v>0</v>
          </cell>
          <cell r="P32">
            <v>615938</v>
          </cell>
        </row>
        <row r="33">
          <cell r="B33" t="str">
            <v>Nguyễn Thành Tài</v>
          </cell>
          <cell r="C33" t="str">
            <v>8630306993</v>
          </cell>
          <cell r="D33" t="str">
            <v>079098000684</v>
          </cell>
          <cell r="E33" t="str">
            <v>x</v>
          </cell>
          <cell r="F33">
            <v>138681333</v>
          </cell>
          <cell r="H33">
            <v>132000000</v>
          </cell>
          <cell r="J33">
            <v>6501600</v>
          </cell>
          <cell r="L33">
            <v>179733</v>
          </cell>
          <cell r="M33">
            <v>349462</v>
          </cell>
          <cell r="O33">
            <v>8987</v>
          </cell>
          <cell r="P33">
            <v>340475</v>
          </cell>
        </row>
        <row r="34">
          <cell r="B34" t="str">
            <v>Nguyễn Thị Cẩm Bình</v>
          </cell>
          <cell r="C34" t="str">
            <v>8568236357</v>
          </cell>
          <cell r="D34" t="str">
            <v>052199009624</v>
          </cell>
          <cell r="E34" t="str">
            <v>x</v>
          </cell>
          <cell r="F34">
            <v>123764667</v>
          </cell>
          <cell r="H34">
            <v>132000000</v>
          </cell>
          <cell r="J34">
            <v>6501600</v>
          </cell>
          <cell r="L34">
            <v>0</v>
          </cell>
          <cell r="M34">
            <v>62054</v>
          </cell>
          <cell r="O34">
            <v>0</v>
          </cell>
          <cell r="P34">
            <v>62054</v>
          </cell>
        </row>
        <row r="35">
          <cell r="B35" t="str">
            <v>Nguyễn Thị Ngọc Hân</v>
          </cell>
          <cell r="C35" t="str">
            <v>8537809223</v>
          </cell>
          <cell r="D35" t="str">
            <v>082199007534</v>
          </cell>
          <cell r="E35" t="str">
            <v>x</v>
          </cell>
          <cell r="F35">
            <v>132742232</v>
          </cell>
          <cell r="H35">
            <v>132000000</v>
          </cell>
          <cell r="J35">
            <v>6501600</v>
          </cell>
          <cell r="L35">
            <v>0</v>
          </cell>
          <cell r="M35">
            <v>724592</v>
          </cell>
          <cell r="O35">
            <v>0</v>
          </cell>
          <cell r="P35">
            <v>724592</v>
          </cell>
        </row>
        <row r="36">
          <cell r="B36" t="str">
            <v>Trương Hoàng Ngân</v>
          </cell>
          <cell r="C36" t="str">
            <v>8576109144</v>
          </cell>
          <cell r="D36" t="str">
            <v>079300024213</v>
          </cell>
          <cell r="E36" t="str">
            <v>x</v>
          </cell>
          <cell r="F36">
            <v>132646077</v>
          </cell>
          <cell r="H36">
            <v>132000000</v>
          </cell>
          <cell r="J36">
            <v>6501600</v>
          </cell>
          <cell r="L36">
            <v>0</v>
          </cell>
          <cell r="M36">
            <v>625635</v>
          </cell>
          <cell r="O36">
            <v>0</v>
          </cell>
          <cell r="P36">
            <v>625635</v>
          </cell>
        </row>
        <row r="37">
          <cell r="B37" t="str">
            <v>Tổng 2024</v>
          </cell>
          <cell r="O37">
            <v>8987</v>
          </cell>
          <cell r="P37">
            <v>2368694</v>
          </cell>
          <cell r="Q37">
            <v>0</v>
          </cell>
        </row>
        <row r="39">
          <cell r="B39" t="str">
            <v>Lê Phú Quí</v>
          </cell>
          <cell r="C39">
            <v>8774327497</v>
          </cell>
          <cell r="D39" t="str">
            <v>080099000398</v>
          </cell>
          <cell r="E39" t="str">
            <v>x</v>
          </cell>
          <cell r="F39">
            <v>169339667</v>
          </cell>
          <cell r="H39">
            <v>132000000</v>
          </cell>
          <cell r="J39">
            <v>6690600</v>
          </cell>
          <cell r="L39">
            <v>30649067</v>
          </cell>
          <cell r="M39">
            <v>1536865</v>
          </cell>
          <cell r="O39">
            <v>1532453</v>
          </cell>
          <cell r="P39">
            <v>4412</v>
          </cell>
        </row>
        <row r="40">
          <cell r="B40" t="str">
            <v>Nguyễn Hồ Phương Anh</v>
          </cell>
          <cell r="C40" t="str">
            <v>8735382529</v>
          </cell>
          <cell r="D40" t="str">
            <v>056300004837</v>
          </cell>
          <cell r="E40" t="str">
            <v>x</v>
          </cell>
          <cell r="F40">
            <v>149548713</v>
          </cell>
          <cell r="H40">
            <v>132000000</v>
          </cell>
          <cell r="J40">
            <v>6690600</v>
          </cell>
          <cell r="L40">
            <v>10858113</v>
          </cell>
          <cell r="M40">
            <v>1197412</v>
          </cell>
          <cell r="O40">
            <v>542906</v>
          </cell>
          <cell r="P40">
            <v>654506</v>
          </cell>
        </row>
        <row r="41">
          <cell r="B41" t="str">
            <v>Nguyễn Thị Cẩm Bình</v>
          </cell>
          <cell r="C41" t="str">
            <v>8568236357</v>
          </cell>
          <cell r="D41" t="str">
            <v>052199009624</v>
          </cell>
          <cell r="E41" t="str">
            <v>x</v>
          </cell>
          <cell r="F41">
            <v>134848000</v>
          </cell>
          <cell r="H41">
            <v>132000000</v>
          </cell>
          <cell r="J41">
            <v>6690600</v>
          </cell>
          <cell r="L41">
            <v>9785800</v>
          </cell>
          <cell r="M41">
            <v>489292</v>
          </cell>
          <cell r="O41">
            <v>0</v>
          </cell>
          <cell r="P41">
            <v>489292</v>
          </cell>
        </row>
        <row r="42">
          <cell r="B42" t="str">
            <v>Nguyễn Thị Ngọc Hân</v>
          </cell>
          <cell r="C42" t="str">
            <v>8537809223</v>
          </cell>
          <cell r="D42" t="str">
            <v>082199007534</v>
          </cell>
          <cell r="E42" t="str">
            <v>x</v>
          </cell>
          <cell r="F42">
            <v>153006319</v>
          </cell>
          <cell r="H42">
            <v>132000000</v>
          </cell>
          <cell r="J42">
            <v>6690600</v>
          </cell>
          <cell r="L42">
            <v>14315719</v>
          </cell>
          <cell r="M42">
            <v>1177658</v>
          </cell>
          <cell r="O42">
            <v>715786</v>
          </cell>
          <cell r="P42">
            <v>461872</v>
          </cell>
        </row>
        <row r="43">
          <cell r="B43" t="str">
            <v>Võ Thị Diệu Hiền</v>
          </cell>
          <cell r="C43" t="str">
            <v>8700217524</v>
          </cell>
          <cell r="D43" t="str">
            <v>080197008421</v>
          </cell>
          <cell r="E43" t="str">
            <v>x</v>
          </cell>
          <cell r="F43">
            <v>114207293</v>
          </cell>
          <cell r="H43">
            <v>132000000</v>
          </cell>
          <cell r="J43">
            <v>6690600</v>
          </cell>
          <cell r="L43">
            <v>5511835</v>
          </cell>
          <cell r="M43">
            <v>301184</v>
          </cell>
          <cell r="P43">
            <v>301184</v>
          </cell>
        </row>
        <row r="44">
          <cell r="B44" t="str">
            <v>Tổng 2025</v>
          </cell>
          <cell r="O44">
            <v>2791145</v>
          </cell>
          <cell r="P44">
            <v>1911266</v>
          </cell>
        </row>
        <row r="45">
          <cell r="B45" t="str">
            <v>TỔNG MEDIGO</v>
          </cell>
          <cell r="O45">
            <v>2800132</v>
          </cell>
          <cell r="P45">
            <v>4279960</v>
          </cell>
          <cell r="Q45">
            <v>0</v>
          </cell>
        </row>
      </sheetData>
      <sheetData sheetId="5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1. MEDIGO"/>
      <sheetName val="MED"/>
      <sheetName val="4. BS Online"/>
      <sheetName val="CỘNG TÁC VIÊN + THỰC TẬP"/>
      <sheetName val="NGHỈ VIỆC"/>
      <sheetName val="Check hồ sơ"/>
      <sheetName val="File cũ (CTV+ Thực tập)"/>
      <sheetName val="HỢP TÁC CHUYÊN MÔN"/>
      <sheetName val="MẪU LƯU"/>
      <sheetName val="Cũ (nghỉ việc)"/>
      <sheetName val="Cũ (Hợp tác chuyên môn)"/>
      <sheetName val="2. MED"/>
      <sheetName val="3. DƯỢC SĨ"/>
    </sheetNames>
    <sheetDataSet>
      <sheetData sheetId="0" refreshError="1">
        <row r="4">
          <cell r="C4" t="str">
            <v>Le Huu Ha</v>
          </cell>
          <cell r="D4">
            <v>30595</v>
          </cell>
          <cell r="E4" t="str">
            <v>Adalbertstr 16, 51103 Cologne, Đức</v>
          </cell>
          <cell r="F4" t="str">
            <v>421/3 KP Thạnh Bình, Thuận An, Tp.Hồ Chí Minh</v>
          </cell>
          <cell r="G4" t="str">
            <v>0868550088</v>
          </cell>
          <cell r="H4">
            <v>0</v>
          </cell>
          <cell r="I4" t="str">
            <v>8458762903</v>
          </cell>
          <cell r="J4" t="str">
            <v>7937777328</v>
          </cell>
          <cell r="K4" t="str">
            <v>042083019655</v>
          </cell>
          <cell r="L4" t="str">
            <v>09/12/2025</v>
          </cell>
          <cell r="M4" t="str">
            <v>Bộ CÔng An</v>
          </cell>
          <cell r="N4" t="str">
            <v>16810000588456 - BIDV
19130751923025 - Techcombank</v>
          </cell>
          <cell r="O4" t="str">
            <v>BIDV</v>
          </cell>
          <cell r="P4">
            <v>2019</v>
          </cell>
          <cell r="Q4" t="str">
            <v>CEO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 t="str">
            <v>Medigo Software</v>
          </cell>
          <cell r="X4" t="str">
            <v>HỢP ĐỒNG KHÔNG XÁC ĐỊNH THỜI HẠN</v>
          </cell>
          <cell r="Y4" t="str">
            <v>BOD</v>
          </cell>
          <cell r="Z4">
            <v>2019</v>
          </cell>
          <cell r="AA4">
            <v>0</v>
          </cell>
          <cell r="AB4">
            <v>0</v>
          </cell>
          <cell r="AC4">
            <v>46148</v>
          </cell>
          <cell r="AD4">
            <v>1449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 t="str">
            <v>Gross</v>
          </cell>
          <cell r="AP4">
            <v>7000000</v>
          </cell>
          <cell r="AQ4">
            <v>0</v>
          </cell>
          <cell r="AR4">
            <v>0</v>
          </cell>
          <cell r="AS4">
            <v>0</v>
          </cell>
          <cell r="AT4" t="str">
            <v>Nam</v>
          </cell>
          <cell r="AU4" t="str">
            <v>ha.le@medigoapp.com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F4">
            <v>6</v>
          </cell>
          <cell r="BG4">
            <v>10</v>
          </cell>
          <cell r="BH4">
            <v>1983</v>
          </cell>
          <cell r="BI4">
            <v>2019</v>
          </cell>
          <cell r="BJ4">
            <v>2019</v>
          </cell>
          <cell r="BK4">
            <v>2019</v>
          </cell>
          <cell r="BL4" t="str">
            <v>2019/2019/2019</v>
          </cell>
        </row>
        <row r="5">
          <cell r="C5" t="str">
            <v>NGUYỄN THÀNH TÀI</v>
          </cell>
          <cell r="D5" t="str">
            <v>30/7/1998</v>
          </cell>
          <cell r="E5" t="str">
            <v>67/47 Lê Đức Thọ, P.7, Gò Vấp, TP.HCM</v>
          </cell>
          <cell r="F5" t="str">
            <v>67/47 Lê Đức Thọ, P.7, Gò Vấp, TP.HCM</v>
          </cell>
          <cell r="G5" t="str">
            <v>0908407287</v>
          </cell>
          <cell r="H5">
            <v>0</v>
          </cell>
          <cell r="I5" t="str">
            <v>8630306993</v>
          </cell>
          <cell r="J5" t="str">
            <v>7930308136</v>
          </cell>
          <cell r="K5" t="str">
            <v>079098000684</v>
          </cell>
          <cell r="L5" t="str">
            <v>7/3/2016</v>
          </cell>
          <cell r="M5" t="str">
            <v>CCSĐKQLCTVDLQGVDC</v>
          </cell>
          <cell r="N5" t="str">
            <v>79045676868</v>
          </cell>
          <cell r="O5" t="str">
            <v>VP Bank</v>
          </cell>
          <cell r="P5" t="str">
            <v>28/3/2022</v>
          </cell>
          <cell r="Q5" t="str">
            <v>IT Support</v>
          </cell>
          <cell r="R5" t="str">
            <v>ĐH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 t="str">
            <v>Medigo Software</v>
          </cell>
          <cell r="X5" t="str">
            <v>HỢP ĐỒNG CÓ THỜI HẠN</v>
          </cell>
          <cell r="Y5" t="str">
            <v>IT</v>
          </cell>
          <cell r="Z5">
            <v>44648</v>
          </cell>
          <cell r="AA5">
            <v>0</v>
          </cell>
          <cell r="AB5">
            <v>0</v>
          </cell>
          <cell r="AC5">
            <v>46148</v>
          </cell>
          <cell r="AD5">
            <v>49</v>
          </cell>
          <cell r="AE5">
            <v>0</v>
          </cell>
          <cell r="AF5">
            <v>44709</v>
          </cell>
          <cell r="AG5">
            <v>45439</v>
          </cell>
          <cell r="AH5" t="str">
            <v>HĐXĐTH</v>
          </cell>
          <cell r="AI5" t="str">
            <v>28/03/2024</v>
          </cell>
          <cell r="AJ5" t="str">
            <v>HĐKXĐTH</v>
          </cell>
          <cell r="AK5">
            <v>0</v>
          </cell>
          <cell r="AL5">
            <v>-709</v>
          </cell>
          <cell r="AM5">
            <v>12000000</v>
          </cell>
          <cell r="AN5">
            <v>0</v>
          </cell>
          <cell r="AO5" t="str">
            <v>Gross</v>
          </cell>
          <cell r="AP5">
            <v>5310000</v>
          </cell>
          <cell r="AQ5">
            <v>0</v>
          </cell>
          <cell r="AR5">
            <v>0</v>
          </cell>
          <cell r="AS5">
            <v>0</v>
          </cell>
          <cell r="AT5" t="str">
            <v>Nam</v>
          </cell>
          <cell r="AU5" t="str">
            <v>medigo.tai.nguyen@gmail.com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F5">
            <v>30</v>
          </cell>
          <cell r="BG5">
            <v>7</v>
          </cell>
          <cell r="BH5">
            <v>1998</v>
          </cell>
          <cell r="BI5">
            <v>28</v>
          </cell>
          <cell r="BJ5">
            <v>3</v>
          </cell>
          <cell r="BK5">
            <v>2022</v>
          </cell>
          <cell r="BL5" t="str">
            <v>28/3/2022</v>
          </cell>
        </row>
        <row r="6">
          <cell r="C6" t="str">
            <v>Lưu Thanh Tuyền</v>
          </cell>
          <cell r="D6">
            <v>30581</v>
          </cell>
          <cell r="E6" t="str">
            <v>153/2C Điện Biên Phủ, Phường 15, Quận Bình Thạnh, TP. HCM</v>
          </cell>
          <cell r="F6" t="str">
            <v>152/2C Điện Biên Phủ, Phường 15, Quận Bình Thạnh, TP. HCM</v>
          </cell>
          <cell r="G6" t="str">
            <v>0931290894</v>
          </cell>
          <cell r="H6" t="str">
            <v>tuyen.luu@medigoapp.com</v>
          </cell>
          <cell r="I6" t="str">
            <v>8123994500</v>
          </cell>
          <cell r="J6" t="str">
            <v>7937369894</v>
          </cell>
          <cell r="K6" t="str">
            <v>079183013917</v>
          </cell>
          <cell r="L6">
            <v>44425</v>
          </cell>
          <cell r="M6" t="str">
            <v>CTCCS QLHCVTTXH</v>
          </cell>
          <cell r="N6" t="str">
            <v>0181000337432</v>
          </cell>
          <cell r="O6" t="str">
            <v>Vietcombank Chi nhánh Nam Sài Gòn - PGD Quận 4</v>
          </cell>
          <cell r="P6">
            <v>2019</v>
          </cell>
          <cell r="Q6" t="str">
            <v>Chuyên Viên Điều Phôi Đơn Hàng</v>
          </cell>
          <cell r="R6" t="str">
            <v>ĐH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 t="str">
            <v>Medigo Software</v>
          </cell>
          <cell r="X6" t="str">
            <v>HỢP ĐỒNG CÓ THỜI HẠN</v>
          </cell>
          <cell r="Y6" t="str">
            <v>ADMIN CSKH</v>
          </cell>
          <cell r="Z6">
            <v>44197</v>
          </cell>
          <cell r="AA6">
            <v>0</v>
          </cell>
          <cell r="AB6">
            <v>0</v>
          </cell>
          <cell r="AC6">
            <v>46148</v>
          </cell>
          <cell r="AD6">
            <v>64</v>
          </cell>
          <cell r="AE6">
            <v>0</v>
          </cell>
          <cell r="AF6">
            <v>45108</v>
          </cell>
          <cell r="AG6">
            <v>45838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-310</v>
          </cell>
          <cell r="AM6">
            <v>12000000</v>
          </cell>
          <cell r="AN6">
            <v>0</v>
          </cell>
          <cell r="AO6" t="str">
            <v>Gross</v>
          </cell>
          <cell r="AP6">
            <v>5310000</v>
          </cell>
          <cell r="AQ6">
            <v>0</v>
          </cell>
          <cell r="AR6">
            <v>0</v>
          </cell>
          <cell r="AS6">
            <v>0</v>
          </cell>
          <cell r="AT6" t="str">
            <v>Nữ</v>
          </cell>
          <cell r="AU6" t="str">
            <v>tuyen.luu2283@gmail.com</v>
          </cell>
          <cell r="AV6">
            <v>0</v>
          </cell>
          <cell r="AW6" t="str">
            <v>Thiếu</v>
          </cell>
          <cell r="AX6" t="str">
            <v>Thiếu</v>
          </cell>
          <cell r="AY6" t="str">
            <v>Thiếu</v>
          </cell>
          <cell r="AZ6" t="str">
            <v>X</v>
          </cell>
          <cell r="BA6" t="str">
            <v>Thiếu</v>
          </cell>
          <cell r="BB6" t="str">
            <v>- CCCD photo
- Sổ hộ khẩu photo
- Phiếu lý lịch tư pháp
- SYLL photo</v>
          </cell>
          <cell r="BC6">
            <v>0</v>
          </cell>
          <cell r="BD6">
            <v>0</v>
          </cell>
          <cell r="BF6">
            <v>22</v>
          </cell>
          <cell r="BG6">
            <v>9</v>
          </cell>
          <cell r="BH6">
            <v>1983</v>
          </cell>
          <cell r="BI6">
            <v>30</v>
          </cell>
          <cell r="BJ6">
            <v>12</v>
          </cell>
          <cell r="BK6">
            <v>2019</v>
          </cell>
          <cell r="BL6" t="str">
            <v>30/12/2019</v>
          </cell>
        </row>
        <row r="7">
          <cell r="C7" t="str">
            <v>Nguyễn Hồ Phương Anh</v>
          </cell>
          <cell r="D7">
            <v>36572</v>
          </cell>
          <cell r="E7" t="str">
            <v>46/12/13 Lê Thánh Tôn, Lộc Thọ, Nha Trang, Khánh Hòa</v>
          </cell>
          <cell r="F7" t="str">
            <v>46/12/13 Lê Thánh Tôn, Lộc Thọ, Nha Trang, Khánh Hòa</v>
          </cell>
          <cell r="G7" t="str">
            <v>0383163313</v>
          </cell>
          <cell r="H7" t="str">
            <v>anh.phuong.nguyen@medigoapp.com</v>
          </cell>
          <cell r="I7" t="str">
            <v>8735382529</v>
          </cell>
          <cell r="J7" t="str">
            <v>5620259146</v>
          </cell>
          <cell r="K7" t="str">
            <v>056300004837
(CMND: 225935823)</v>
          </cell>
          <cell r="L7">
            <v>44573</v>
          </cell>
          <cell r="M7" t="str">
            <v>CCSQLHCVTTXH</v>
          </cell>
          <cell r="N7" t="str">
            <v>19033258827011</v>
          </cell>
          <cell r="O7" t="str">
            <v>Techcombank</v>
          </cell>
          <cell r="P7">
            <v>44404</v>
          </cell>
          <cell r="Q7" t="str">
            <v>Chăm sóc khách hàng</v>
          </cell>
          <cell r="R7" t="str">
            <v>ĐH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 t="str">
            <v>Medigo Software</v>
          </cell>
          <cell r="X7" t="str">
            <v>HỢP ĐỒNG CÓ THỜI HẠN</v>
          </cell>
          <cell r="Y7" t="str">
            <v>ADMIN CSKH</v>
          </cell>
          <cell r="Z7">
            <v>44404</v>
          </cell>
          <cell r="AA7">
            <v>0</v>
          </cell>
          <cell r="AB7">
            <v>0</v>
          </cell>
          <cell r="AC7">
            <v>46148</v>
          </cell>
          <cell r="AD7">
            <v>57</v>
          </cell>
          <cell r="AE7">
            <v>0</v>
          </cell>
          <cell r="AF7">
            <v>45108</v>
          </cell>
          <cell r="AG7">
            <v>45838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-310</v>
          </cell>
          <cell r="AM7">
            <v>10000000</v>
          </cell>
          <cell r="AN7">
            <v>0</v>
          </cell>
          <cell r="AO7" t="str">
            <v>Gross</v>
          </cell>
          <cell r="AP7">
            <v>5310000</v>
          </cell>
          <cell r="AQ7">
            <v>0</v>
          </cell>
          <cell r="AR7">
            <v>0</v>
          </cell>
          <cell r="AS7">
            <v>0</v>
          </cell>
          <cell r="AT7" t="str">
            <v>Nữ</v>
          </cell>
          <cell r="AU7" t="str">
            <v>medigo.anh.nguyen@gmail.com</v>
          </cell>
          <cell r="AV7">
            <v>0</v>
          </cell>
          <cell r="AW7" t="str">
            <v>Thiếu</v>
          </cell>
          <cell r="AX7" t="str">
            <v>Thiếu</v>
          </cell>
          <cell r="AY7" t="str">
            <v>Thiếu</v>
          </cell>
          <cell r="AZ7" t="str">
            <v>Thiếu</v>
          </cell>
          <cell r="BA7" t="str">
            <v>Thiếu</v>
          </cell>
          <cell r="BB7" t="str">
            <v>- CCCD photo
- SYLL photo</v>
          </cell>
          <cell r="BC7">
            <v>0</v>
          </cell>
          <cell r="BD7">
            <v>0</v>
          </cell>
          <cell r="BF7">
            <v>16</v>
          </cell>
          <cell r="BG7">
            <v>2</v>
          </cell>
          <cell r="BH7">
            <v>2000</v>
          </cell>
          <cell r="BI7">
            <v>27</v>
          </cell>
          <cell r="BJ7">
            <v>7</v>
          </cell>
          <cell r="BK7">
            <v>2021</v>
          </cell>
          <cell r="BL7" t="str">
            <v>27/7/2021</v>
          </cell>
        </row>
        <row r="8">
          <cell r="C8" t="str">
            <v>Nguyễn Thị Ngọc Hân</v>
          </cell>
          <cell r="D8">
            <v>36490</v>
          </cell>
          <cell r="E8" t="str">
            <v>Ấp Bình Đông, Thạnh Nhựt, Gò Công Tây, Tiền Giang</v>
          </cell>
          <cell r="F8" t="str">
            <v>17/18 KP.6, Linh Trung, Thủ Đức</v>
          </cell>
          <cell r="G8" t="str">
            <v>0374826584</v>
          </cell>
          <cell r="H8" t="str">
            <v>han.nguyen@medigoapp.com</v>
          </cell>
          <cell r="I8" t="str">
            <v>8537809223</v>
          </cell>
          <cell r="J8" t="str">
            <v>8224066731</v>
          </cell>
          <cell r="K8" t="str">
            <v>082199007534</v>
          </cell>
          <cell r="L8">
            <v>44326</v>
          </cell>
          <cell r="M8" t="str">
            <v>CTCCS QLHCVTTXH</v>
          </cell>
          <cell r="N8" t="str">
            <v>104002495110</v>
          </cell>
          <cell r="O8" t="str">
            <v>Vietinbank</v>
          </cell>
          <cell r="P8">
            <v>44620</v>
          </cell>
          <cell r="Q8" t="str">
            <v>Admin - điều phối đơn hàng</v>
          </cell>
          <cell r="R8" t="str">
            <v>CĐ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 t="str">
            <v>Medigo Software</v>
          </cell>
          <cell r="X8" t="str">
            <v>HỢP ĐỒNG CÓ THỜI HẠN</v>
          </cell>
          <cell r="Y8" t="str">
            <v>ADMIN CSKH</v>
          </cell>
          <cell r="Z8">
            <v>44620</v>
          </cell>
          <cell r="AA8">
            <v>0</v>
          </cell>
          <cell r="AB8">
            <v>0</v>
          </cell>
          <cell r="AC8">
            <v>46148</v>
          </cell>
          <cell r="AD8">
            <v>50</v>
          </cell>
          <cell r="AE8">
            <v>0</v>
          </cell>
          <cell r="AF8" t="str">
            <v>27/04/2026</v>
          </cell>
          <cell r="AG8">
            <v>46138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-10</v>
          </cell>
          <cell r="AM8">
            <v>10000000</v>
          </cell>
          <cell r="AN8">
            <v>0</v>
          </cell>
          <cell r="AO8" t="str">
            <v>Gross</v>
          </cell>
          <cell r="AP8">
            <v>5310000</v>
          </cell>
          <cell r="AQ8">
            <v>0</v>
          </cell>
          <cell r="AR8">
            <v>0</v>
          </cell>
          <cell r="AS8">
            <v>0</v>
          </cell>
          <cell r="AT8" t="str">
            <v>Nữ</v>
          </cell>
          <cell r="AU8" t="str">
            <v>medigo.han.nguyen@gmail.com</v>
          </cell>
          <cell r="AV8">
            <v>0</v>
          </cell>
          <cell r="AW8" t="str">
            <v>Thiếu</v>
          </cell>
          <cell r="AX8" t="str">
            <v>X</v>
          </cell>
          <cell r="AY8" t="str">
            <v>X</v>
          </cell>
          <cell r="AZ8" t="str">
            <v>Thiếu</v>
          </cell>
          <cell r="BA8" t="str">
            <v>X</v>
          </cell>
          <cell r="BB8" t="str">
            <v>- Bằng ĐH cc
- CCCD photo
- SYLL chưa cc</v>
          </cell>
          <cell r="BC8">
            <v>0</v>
          </cell>
          <cell r="BD8">
            <v>0</v>
          </cell>
          <cell r="BF8">
            <v>26</v>
          </cell>
          <cell r="BG8">
            <v>11</v>
          </cell>
          <cell r="BH8">
            <v>1999</v>
          </cell>
          <cell r="BI8">
            <v>28</v>
          </cell>
          <cell r="BJ8">
            <v>2</v>
          </cell>
          <cell r="BK8">
            <v>2022</v>
          </cell>
          <cell r="BL8" t="str">
            <v>28/2/2022</v>
          </cell>
        </row>
        <row r="9">
          <cell r="C9" t="str">
            <v>Võ Thị Diệu Hiền</v>
          </cell>
          <cell r="D9">
            <v>35546</v>
          </cell>
          <cell r="E9" t="str">
            <v>Ấp 1, Mỹ Yên, Bến Lức, Long An</v>
          </cell>
          <cell r="F9" t="str">
            <v>31 Ấp 1, Mỹ Yên, Bến Lức, Long An</v>
          </cell>
          <cell r="G9" t="str">
            <v>0931233923</v>
          </cell>
          <cell r="H9" t="str">
            <v>hien.vo@medigoapp.com</v>
          </cell>
          <cell r="I9" t="str">
            <v>8700217524</v>
          </cell>
          <cell r="J9" t="str">
            <v>8022408029</v>
          </cell>
          <cell r="K9" t="str">
            <v>080197008421</v>
          </cell>
          <cell r="L9">
            <v>44749</v>
          </cell>
          <cell r="M9" t="str">
            <v>CTCCS QLHCVTTXH</v>
          </cell>
          <cell r="N9" t="str">
            <v>19035062217013</v>
          </cell>
          <cell r="O9" t="str">
            <v>Techcombank</v>
          </cell>
          <cell r="P9">
            <v>45148</v>
          </cell>
          <cell r="Q9" t="str">
            <v>Admin Điều phối đơn hàng</v>
          </cell>
          <cell r="R9" t="str">
            <v>CĐ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 t="str">
            <v>Medigo Software</v>
          </cell>
          <cell r="X9" t="str">
            <v>HỢP ĐỒNG CÓ THỜI HẠN</v>
          </cell>
          <cell r="Y9" t="str">
            <v>ADMIN CSKH</v>
          </cell>
          <cell r="Z9">
            <v>45148</v>
          </cell>
          <cell r="AA9">
            <v>0</v>
          </cell>
          <cell r="AB9">
            <v>0</v>
          </cell>
          <cell r="AC9">
            <v>46148</v>
          </cell>
          <cell r="AD9">
            <v>32</v>
          </cell>
          <cell r="AE9">
            <v>0</v>
          </cell>
          <cell r="AF9">
            <v>45148</v>
          </cell>
          <cell r="AG9" t="str">
            <v>10/08/2025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-269</v>
          </cell>
          <cell r="AM9">
            <v>8000000</v>
          </cell>
          <cell r="AN9">
            <v>0</v>
          </cell>
          <cell r="AO9" t="str">
            <v>Gross</v>
          </cell>
          <cell r="AP9">
            <v>5310000</v>
          </cell>
          <cell r="AQ9">
            <v>0</v>
          </cell>
          <cell r="AR9">
            <v>0</v>
          </cell>
          <cell r="AS9">
            <v>0</v>
          </cell>
          <cell r="AT9" t="str">
            <v>Nữ</v>
          </cell>
          <cell r="AU9" t="str">
            <v>medigo.hien.vo@gmail.com</v>
          </cell>
          <cell r="AV9">
            <v>0</v>
          </cell>
          <cell r="AW9" t="str">
            <v>Thiếu</v>
          </cell>
          <cell r="AX9" t="str">
            <v>Thiếu</v>
          </cell>
          <cell r="AY9" t="str">
            <v>Thiếu</v>
          </cell>
          <cell r="AZ9" t="str">
            <v>Thiếu</v>
          </cell>
          <cell r="BA9" t="str">
            <v>Thiếu</v>
          </cell>
          <cell r="BB9" t="str">
            <v>- CCCD photo
- SYLL photo</v>
          </cell>
          <cell r="BC9">
            <v>0</v>
          </cell>
          <cell r="BD9">
            <v>0</v>
          </cell>
          <cell r="BF9">
            <v>26</v>
          </cell>
          <cell r="BG9">
            <v>4</v>
          </cell>
          <cell r="BH9">
            <v>1997</v>
          </cell>
          <cell r="BI9">
            <v>10</v>
          </cell>
          <cell r="BJ9">
            <v>8</v>
          </cell>
          <cell r="BK9">
            <v>2023</v>
          </cell>
          <cell r="BL9" t="str">
            <v>10/8/2023</v>
          </cell>
        </row>
        <row r="10">
          <cell r="C10" t="str">
            <v>Nguyễn Tuấn Nghĩa</v>
          </cell>
          <cell r="D10">
            <v>36652</v>
          </cell>
          <cell r="E10" t="str">
            <v>157, Đ.11, P.Trường Thọ, TP.Thủ Đức, TP.Hồ Chí Minh</v>
          </cell>
          <cell r="F10" t="str">
            <v>157, Đ.11, P.Trường Thọ, TP.Thủ Đức, TP.Hồ Chí Minh</v>
          </cell>
          <cell r="G10" t="str">
            <v>0333757326</v>
          </cell>
          <cell r="H10">
            <v>0</v>
          </cell>
          <cell r="I10" t="str">
            <v>8613933169</v>
          </cell>
          <cell r="J10">
            <v>0</v>
          </cell>
          <cell r="K10" t="str">
            <v>079200007411</v>
          </cell>
          <cell r="L10">
            <v>44552</v>
          </cell>
          <cell r="M10" t="str">
            <v>CTCCS QLHCVTTXH</v>
          </cell>
          <cell r="N10" t="str">
            <v>9333757326</v>
          </cell>
          <cell r="O10" t="str">
            <v>Vietcombank</v>
          </cell>
          <cell r="P10">
            <v>45187</v>
          </cell>
          <cell r="Q10" t="str">
            <v>NHÂN VIÊN GIÁM SÁT CAMERA</v>
          </cell>
          <cell r="R10" t="str">
            <v>CĐ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 t="str">
            <v>Medigo Software</v>
          </cell>
          <cell r="X10" t="str">
            <v>CỘNG TÁC VIÊN</v>
          </cell>
          <cell r="Y10" t="str">
            <v>VẬN HÀNH NHÀ THUỐC</v>
          </cell>
          <cell r="Z10">
            <v>45187</v>
          </cell>
          <cell r="AA10">
            <v>0</v>
          </cell>
          <cell r="AB10">
            <v>0</v>
          </cell>
          <cell r="AC10">
            <v>46148</v>
          </cell>
          <cell r="AD10">
            <v>31</v>
          </cell>
          <cell r="AE10">
            <v>0</v>
          </cell>
          <cell r="AF10" t="str">
            <v>18/09/2023</v>
          </cell>
          <cell r="AG10" t="str">
            <v>18/09/2025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-230</v>
          </cell>
          <cell r="AM10">
            <v>9000000</v>
          </cell>
          <cell r="AN10">
            <v>0</v>
          </cell>
          <cell r="AO10" t="str">
            <v>Gross</v>
          </cell>
          <cell r="AP10" t="str">
            <v>CTV</v>
          </cell>
          <cell r="AQ10">
            <v>0</v>
          </cell>
          <cell r="AR10">
            <v>0</v>
          </cell>
          <cell r="AS10">
            <v>0</v>
          </cell>
          <cell r="AT10" t="str">
            <v>Nam</v>
          </cell>
          <cell r="AU10" t="str">
            <v>medigo.tuannghia.nguyen@gmail.com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F10">
            <v>6</v>
          </cell>
          <cell r="BG10">
            <v>5</v>
          </cell>
          <cell r="BH10">
            <v>2000</v>
          </cell>
          <cell r="BI10">
            <v>18</v>
          </cell>
          <cell r="BJ10">
            <v>9</v>
          </cell>
          <cell r="BK10">
            <v>2023</v>
          </cell>
          <cell r="BL10" t="str">
            <v>18/9/2023</v>
          </cell>
        </row>
        <row r="11">
          <cell r="C11" t="str">
            <v>Nguyễn Thị Cẩm Bình</v>
          </cell>
          <cell r="D11">
            <v>36260</v>
          </cell>
          <cell r="E11" t="str">
            <v>Thôn 3, Bình Nghi, Tây Sơn, Bình Định</v>
          </cell>
          <cell r="F11" t="str">
            <v>79/22A quốc lộ 13, phường 26, Bình Thạnh, HCM</v>
          </cell>
          <cell r="G11" t="str">
            <v>0359984002</v>
          </cell>
          <cell r="H11" t="str">
            <v>marketing.thanhdatt@gmail.com</v>
          </cell>
          <cell r="I11" t="str">
            <v>8568236357</v>
          </cell>
          <cell r="J11" t="str">
            <v>5221578718</v>
          </cell>
          <cell r="K11" t="str">
            <v>052199009624</v>
          </cell>
          <cell r="L11">
            <v>44375</v>
          </cell>
          <cell r="M11" t="str">
            <v>CTCCS QLHCVTTXH</v>
          </cell>
          <cell r="N11" t="str">
            <v>0381000583650</v>
          </cell>
          <cell r="O11" t="str">
            <v>Vietcombank</v>
          </cell>
          <cell r="P11">
            <v>45078</v>
          </cell>
          <cell r="Q11" t="str">
            <v>Senior Inventory &amp; Partnership</v>
          </cell>
          <cell r="R11" t="str">
            <v>ĐH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Medigo Software</v>
          </cell>
          <cell r="X11" t="str">
            <v>HỢP ĐỒNG CÓ THỜI HẠN</v>
          </cell>
          <cell r="Y11" t="str">
            <v>INVENTORY - PHARMACY</v>
          </cell>
          <cell r="Z11">
            <v>45078</v>
          </cell>
          <cell r="AA11">
            <v>0</v>
          </cell>
          <cell r="AB11">
            <v>0</v>
          </cell>
          <cell r="AC11">
            <v>46148</v>
          </cell>
          <cell r="AD11">
            <v>35</v>
          </cell>
          <cell r="AE11">
            <v>0</v>
          </cell>
          <cell r="AF11" t="str">
            <v>01/06/2024</v>
          </cell>
          <cell r="AG11" t="str">
            <v>31/05/2026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25</v>
          </cell>
          <cell r="AM11">
            <v>14300000</v>
          </cell>
          <cell r="AN11">
            <v>0</v>
          </cell>
          <cell r="AO11" t="str">
            <v>Gross</v>
          </cell>
          <cell r="AP11">
            <v>5310000</v>
          </cell>
          <cell r="AQ11">
            <v>0</v>
          </cell>
          <cell r="AR11">
            <v>0</v>
          </cell>
          <cell r="AS11">
            <v>0</v>
          </cell>
          <cell r="AT11" t="str">
            <v>Nữ</v>
          </cell>
          <cell r="AU11" t="str">
            <v>medigo.binh.nguyen@gmail.com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F11">
            <v>10</v>
          </cell>
          <cell r="BG11">
            <v>4</v>
          </cell>
          <cell r="BH11">
            <v>1999</v>
          </cell>
          <cell r="BI11">
            <v>1</v>
          </cell>
          <cell r="BJ11">
            <v>6</v>
          </cell>
          <cell r="BK11">
            <v>2023</v>
          </cell>
          <cell r="BL11" t="str">
            <v>1/6/2023</v>
          </cell>
        </row>
        <row r="12">
          <cell r="C12" t="str">
            <v>TRƯƠNG VĨNH THÁI</v>
          </cell>
          <cell r="D12">
            <v>33485</v>
          </cell>
          <cell r="E12" t="str">
            <v>189/5 đường 138 Tân Phú, TP. Thủ Đức, HCM</v>
          </cell>
          <cell r="F12" t="str">
            <v>189/5 đường 138 Tân Phú, TP. Thủ Đức, HCM</v>
          </cell>
          <cell r="G12" t="str">
            <v>0773122161</v>
          </cell>
          <cell r="H12" t="str">
            <v>tvthaiydk35@gmail.com</v>
          </cell>
          <cell r="I12" t="str">
            <v>8463166550</v>
          </cell>
          <cell r="J12" t="str">
            <v>Ko tham gia</v>
          </cell>
          <cell r="K12" t="str">
            <v>086091010551</v>
          </cell>
          <cell r="L12">
            <v>44522</v>
          </cell>
          <cell r="M12" t="str">
            <v>CTCCSQLHCVTTXH</v>
          </cell>
          <cell r="N12" t="str">
            <v>1028950088</v>
          </cell>
          <cell r="O12" t="str">
            <v>VCB</v>
          </cell>
          <cell r="P12">
            <v>44788</v>
          </cell>
          <cell r="Q12" t="str">
            <v>Bác sĩ tư vấn</v>
          </cell>
          <cell r="R12" t="str">
            <v>ĐH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Medigo Software</v>
          </cell>
          <cell r="X12" t="str">
            <v>CỘNG TÁC VIÊN</v>
          </cell>
          <cell r="Y12" t="str">
            <v>BÁC SĨ ONLINE</v>
          </cell>
          <cell r="Z12">
            <v>44788</v>
          </cell>
          <cell r="AA12">
            <v>0</v>
          </cell>
          <cell r="AB12">
            <v>0</v>
          </cell>
          <cell r="AC12">
            <v>46148</v>
          </cell>
          <cell r="AD12">
            <v>44</v>
          </cell>
          <cell r="AE12">
            <v>0</v>
          </cell>
          <cell r="AF12">
            <v>44849</v>
          </cell>
          <cell r="AG12">
            <v>45579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-569</v>
          </cell>
          <cell r="AM12">
            <v>12000000</v>
          </cell>
          <cell r="AN12">
            <v>0</v>
          </cell>
          <cell r="AO12" t="str">
            <v>NET</v>
          </cell>
          <cell r="AP12" t="str">
            <v>Ko tham gia</v>
          </cell>
          <cell r="AQ12">
            <v>0</v>
          </cell>
          <cell r="AR12" t="str">
            <v>Bác sĩ tư vấn</v>
          </cell>
          <cell r="AS12">
            <v>0</v>
          </cell>
          <cell r="AT12" t="str">
            <v>Nam</v>
          </cell>
          <cell r="AU12" t="str">
            <v>medigo.thai.truong@gmail.com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F12">
            <v>4</v>
          </cell>
          <cell r="BG12">
            <v>9</v>
          </cell>
          <cell r="BH12">
            <v>1991</v>
          </cell>
          <cell r="BI12">
            <v>15</v>
          </cell>
          <cell r="BJ12">
            <v>8</v>
          </cell>
          <cell r="BK12">
            <v>2022</v>
          </cell>
          <cell r="BL12" t="str">
            <v>15/8/2022</v>
          </cell>
        </row>
        <row r="13">
          <cell r="C13" t="str">
            <v>NGUYỄN HOÀNG NGUYÊN ĐAN</v>
          </cell>
          <cell r="D13">
            <v>35294</v>
          </cell>
          <cell r="E13" t="str">
            <v>119/1 Lê Văn Duyệt, phường Gia Định, Thành phố Hồ Chí Minh</v>
          </cell>
          <cell r="F13" t="str">
            <v>119/1 Lê Văn Duyệt, phường Gia Định, Thành phố Hồ Chí Minh</v>
          </cell>
          <cell r="G13" t="str">
            <v>0343891640</v>
          </cell>
          <cell r="H13">
            <v>0</v>
          </cell>
          <cell r="I13" t="str">
            <v>8648450797</v>
          </cell>
          <cell r="J13" t="str">
            <v>7939263095</v>
          </cell>
          <cell r="K13" t="str">
            <v>054196000019</v>
          </cell>
          <cell r="L13">
            <v>44522</v>
          </cell>
          <cell r="M13" t="str">
            <v>CCSQLHCVTTXH</v>
          </cell>
          <cell r="N13" t="str">
            <v>0865817107</v>
          </cell>
          <cell r="O13" t="str">
            <v>Shinhanbank</v>
          </cell>
          <cell r="P13">
            <v>44447</v>
          </cell>
          <cell r="Q13" t="str">
            <v>Product Manager</v>
          </cell>
          <cell r="R13" t="str">
            <v>ĐH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 t="str">
            <v>Med Service</v>
          </cell>
          <cell r="X13" t="str">
            <v>HỢP ĐỒNG KHÔNG XÁC ĐỊNH THỜI HẠN</v>
          </cell>
          <cell r="Y13" t="str">
            <v>PRODUCT</v>
          </cell>
          <cell r="Z13" t="str">
            <v>08/09/2021</v>
          </cell>
          <cell r="AA13">
            <v>0</v>
          </cell>
          <cell r="AB13">
            <v>0</v>
          </cell>
          <cell r="AC13">
            <v>46148</v>
          </cell>
          <cell r="AD13">
            <v>55</v>
          </cell>
          <cell r="AE13">
            <v>0</v>
          </cell>
          <cell r="AF13" t="str">
            <v>01/01/2026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5010000</v>
          </cell>
          <cell r="AM13">
            <v>15000000</v>
          </cell>
          <cell r="AN13">
            <v>0</v>
          </cell>
          <cell r="AO13" t="str">
            <v>Nữ</v>
          </cell>
          <cell r="AP13">
            <v>5310000</v>
          </cell>
          <cell r="AQ13">
            <v>9690000</v>
          </cell>
          <cell r="AR13" t="str">
            <v>Chín triệu sáu trăm chín mươi ngàn đồng</v>
          </cell>
          <cell r="AS13" t="str">
            <v>X</v>
          </cell>
          <cell r="AT13" t="str">
            <v>X</v>
          </cell>
          <cell r="AU13" t="str">
            <v>X</v>
          </cell>
          <cell r="AV13" t="str">
            <v>Thiếu</v>
          </cell>
          <cell r="AW13" t="str">
            <v>X</v>
          </cell>
          <cell r="AX13" t="str">
            <v>- Bằng ĐH Dược</v>
          </cell>
          <cell r="AY13">
            <v>0</v>
          </cell>
          <cell r="AZ13">
            <v>0</v>
          </cell>
          <cell r="BA13">
            <v>0</v>
          </cell>
          <cell r="BB13" t="str">
            <v>- Bằng ĐH cc quá hạn</v>
          </cell>
          <cell r="BD13">
            <v>17</v>
          </cell>
          <cell r="BE13" t="str">
            <v>làm việc online</v>
          </cell>
          <cell r="BF13">
            <v>17</v>
          </cell>
          <cell r="BG13">
            <v>8</v>
          </cell>
          <cell r="BH13">
            <v>1996</v>
          </cell>
          <cell r="BI13">
            <v>8</v>
          </cell>
          <cell r="BJ13">
            <v>9</v>
          </cell>
          <cell r="BK13">
            <v>2021</v>
          </cell>
          <cell r="BL13" t="str">
            <v>8/9/2021</v>
          </cell>
        </row>
        <row r="14">
          <cell r="C14" t="str">
            <v>Lê Phú Quí</v>
          </cell>
          <cell r="D14" t="str">
            <v>23/08/1999</v>
          </cell>
          <cell r="E14" t="str">
            <v>500 Khu Phố 1, Thị trấn Đông Thành, Huyện Đức Huệ, Tỉnh Long An</v>
          </cell>
          <cell r="F14" t="str">
            <v>314/52 Âu Dương Lân, Phường 3, Quận 8, Thành phố Hồ Chí Minh</v>
          </cell>
          <cell r="G14" t="str">
            <v>0397024397</v>
          </cell>
          <cell r="H14" t="str">
            <v>quile2308@gmail.com</v>
          </cell>
          <cell r="I14">
            <v>8774327497</v>
          </cell>
          <cell r="J14">
            <v>8021747353</v>
          </cell>
          <cell r="K14" t="str">
            <v>080099000398</v>
          </cell>
          <cell r="L14">
            <v>45422</v>
          </cell>
          <cell r="M14" t="str">
            <v>Huyện Đức Huệ, Tỉnh Long An</v>
          </cell>
          <cell r="N14" t="str">
            <v>07183522701</v>
          </cell>
          <cell r="O14" t="str">
            <v>Ngân hàng Thương mại Cổ phần Tiên Phong (TP Bank)</v>
          </cell>
          <cell r="P14" t="str">
            <v>20/06/2024</v>
          </cell>
          <cell r="Q14" t="str">
            <v>Trưởng nhóm Dịch vụ Online</v>
          </cell>
          <cell r="R14" t="str">
            <v>Dược Sĩ Đại Học</v>
          </cell>
          <cell r="S14">
            <v>0</v>
          </cell>
          <cell r="T14">
            <v>0</v>
          </cell>
          <cell r="U14" t="str">
            <v>https://drive.google.com/open?id=1JnHjnmAvn_iI3vC22a6J8adE_R0BYuN4, https://drive.google.com/open?id=1BAVpmhYFbU3ojD_qXtYPaz6otALp-Ac7, https://drive.google.com/open?id=1CYUl_RL15FuRTCcyYs7q9mLUbxrK4zOq</v>
          </cell>
          <cell r="V14">
            <v>0</v>
          </cell>
          <cell r="W14" t="str">
            <v>Medigo Software</v>
          </cell>
          <cell r="X14" t="str">
            <v>HỢP ĐỒNG CÓ THỜI HẠN</v>
          </cell>
          <cell r="Y14" t="str">
            <v>ADMIN CSKH</v>
          </cell>
          <cell r="Z14">
            <v>45463</v>
          </cell>
          <cell r="AA14" t="str">
            <v>19/08/2024</v>
          </cell>
          <cell r="AB14">
            <v>0</v>
          </cell>
          <cell r="AC14">
            <v>46148</v>
          </cell>
          <cell r="AD14">
            <v>22</v>
          </cell>
          <cell r="AE14" t="str">
            <v>02 THÁNG</v>
          </cell>
          <cell r="AF14" t="str">
            <v>20/08/2024</v>
          </cell>
          <cell r="AG14" t="str">
            <v>19/08/2025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-260</v>
          </cell>
          <cell r="AM14">
            <v>15400000</v>
          </cell>
          <cell r="AN14">
            <v>0</v>
          </cell>
          <cell r="AO14" t="str">
            <v>Gross</v>
          </cell>
          <cell r="AP14">
            <v>5310000</v>
          </cell>
          <cell r="AQ14">
            <v>1000000</v>
          </cell>
          <cell r="AR14" t="str">
            <v>Thời gian thử việc: Từ ngày 20/06/2024 đến hết ngày 19/08/2024
2.     Địa điểm thử việc:  Y1 Hồng Lĩnh, P.15, Q.10, TP.HCM
3.     Lương :  Gross
- Lương chính thức: 14.000.000
- Thử việc: 02 tháng, 85% lương chính thức.</v>
          </cell>
          <cell r="AS14">
            <v>0</v>
          </cell>
          <cell r="AT14" t="str">
            <v>Nam</v>
          </cell>
          <cell r="AU14" t="str">
            <v>qui.le@medigoapp.com</v>
          </cell>
          <cell r="AV14" t="str">
            <v>T09/2024</v>
          </cell>
          <cell r="AW14" t="str">
            <v>Thiếu</v>
          </cell>
          <cell r="AX14" t="str">
            <v>X</v>
          </cell>
          <cell r="AY14" t="str">
            <v>Thiếu</v>
          </cell>
          <cell r="AZ14" t="str">
            <v>Thiếu</v>
          </cell>
          <cell r="BA14" t="str">
            <v>Thiếu</v>
          </cell>
          <cell r="BB14" t="str">
            <v>- Bằng ĐH cc quá hạn</v>
          </cell>
          <cell r="BC14">
            <v>0</v>
          </cell>
          <cell r="BD14">
            <v>0</v>
          </cell>
          <cell r="BF14">
            <v>23</v>
          </cell>
          <cell r="BG14">
            <v>8</v>
          </cell>
          <cell r="BH14">
            <v>1999</v>
          </cell>
          <cell r="BI14">
            <v>20</v>
          </cell>
          <cell r="BJ14">
            <v>6</v>
          </cell>
          <cell r="BK14">
            <v>2024</v>
          </cell>
          <cell r="BL14" t="str">
            <v>20/6/2024</v>
          </cell>
        </row>
        <row r="15">
          <cell r="C15" t="str">
            <v>Nguyễn Cao Nhân</v>
          </cell>
          <cell r="D15" t="str">
            <v>06/05/1988</v>
          </cell>
          <cell r="E15" t="str">
            <v>74/11 Nguyễn Duy Cung, Phường 12, Quận Gò Vấp, Tp.Hồ Chí Minh</v>
          </cell>
          <cell r="F15" t="str">
            <v>74/11 Nguyễn Duy Cung, Phường 12, Quận Gò Vấp, Tp.Hồ Chí Minh</v>
          </cell>
          <cell r="G15" t="str">
            <v>0943999557</v>
          </cell>
          <cell r="H15" t="str">
            <v>ngca
onhan@gmail.com</v>
          </cell>
          <cell r="I15">
            <v>8335338116</v>
          </cell>
          <cell r="J15">
            <v>7911421828</v>
          </cell>
          <cell r="K15" t="str">
            <v>052088013939</v>
          </cell>
          <cell r="L15">
            <v>44785</v>
          </cell>
          <cell r="M15" t="str">
            <v>Cục Trưởng CCS QLHC về TTXH</v>
          </cell>
          <cell r="N15" t="str">
            <v>0071001008815</v>
          </cell>
          <cell r="O15" t="str">
            <v>Vietcombank</v>
          </cell>
          <cell r="P15">
            <v>45474</v>
          </cell>
          <cell r="Q15" t="str">
            <v>Nhân viên kế toán/Phòng kế toán</v>
          </cell>
          <cell r="R15" t="str">
            <v>Cử Nhân kế toán doanh nghiệp</v>
          </cell>
          <cell r="S15">
            <v>0</v>
          </cell>
          <cell r="T15">
            <v>0</v>
          </cell>
          <cell r="U15" t="str">
            <v>https://drive.google.com/open?id=1P_W9NEs-tfP--yfPzYXiZhH_kqijjTiJ, https://drive.google.com/open?id=1sZo8S0E7hgrpqIqmxK1h1QBf3isW0oWx</v>
          </cell>
          <cell r="V15">
            <v>0</v>
          </cell>
          <cell r="W15" t="str">
            <v>Medigo Software</v>
          </cell>
          <cell r="X15" t="str">
            <v>HỢP ĐỒNG CÓ THỜI HẠN</v>
          </cell>
          <cell r="Y15" t="str">
            <v>IT</v>
          </cell>
          <cell r="Z15" t="str">
            <v>01/07/2024</v>
          </cell>
          <cell r="AA15" t="str">
            <v>30/08/2024</v>
          </cell>
          <cell r="AB15">
            <v>0</v>
          </cell>
          <cell r="AC15">
            <v>46148</v>
          </cell>
          <cell r="AD15">
            <v>22</v>
          </cell>
          <cell r="AE15" t="str">
            <v>02 THÁNG</v>
          </cell>
          <cell r="AF15" t="str">
            <v>01/09/2024</v>
          </cell>
          <cell r="AG15" t="str">
            <v>30/08/2025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-249</v>
          </cell>
          <cell r="AM15">
            <v>13200000</v>
          </cell>
          <cell r="AN15">
            <v>0</v>
          </cell>
          <cell r="AO15" t="str">
            <v>Gross</v>
          </cell>
          <cell r="AP15">
            <v>5310000</v>
          </cell>
          <cell r="AQ15">
            <v>0</v>
          </cell>
          <cell r="AR15" t="str">
            <v>Lương thỏa thuận: 12.000.000đ
Lương thử việc: 85%</v>
          </cell>
          <cell r="AS15">
            <v>0</v>
          </cell>
          <cell r="AT15" t="str">
            <v>Nam</v>
          </cell>
          <cell r="AU15" t="str">
            <v>Medigo.nhan.nguyen@gmail.com</v>
          </cell>
          <cell r="AV15" t="str">
            <v>T09/2024</v>
          </cell>
          <cell r="AW15" t="str">
            <v>Thiếu</v>
          </cell>
          <cell r="AX15" t="str">
            <v>X</v>
          </cell>
          <cell r="AY15" t="str">
            <v>Thiếu</v>
          </cell>
          <cell r="AZ15" t="str">
            <v>X</v>
          </cell>
          <cell r="BA15" t="str">
            <v>X</v>
          </cell>
          <cell r="BB15" t="str">
            <v>- CMND photo
- Bằng tin học + TA photo</v>
          </cell>
          <cell r="BC15">
            <v>0</v>
          </cell>
          <cell r="BD15">
            <v>0</v>
          </cell>
          <cell r="BF15">
            <v>6</v>
          </cell>
          <cell r="BG15">
            <v>5</v>
          </cell>
          <cell r="BH15">
            <v>1988</v>
          </cell>
          <cell r="BI15">
            <v>1</v>
          </cell>
          <cell r="BJ15">
            <v>7</v>
          </cell>
          <cell r="BK15">
            <v>2024</v>
          </cell>
          <cell r="BL15" t="str">
            <v>1/7/2024</v>
          </cell>
        </row>
        <row r="16">
          <cell r="C16" t="str">
            <v>ĐẶNG THỊ QUẾ ANH</v>
          </cell>
          <cell r="D16" t="str">
            <v>27/05/1986</v>
          </cell>
          <cell r="E16" t="str">
            <v>147/20/1 Tân Kỳ Tân Quý, P. Tân Sơn Nhì, Quận Tân Phú, TP Hồ Chí Minh</v>
          </cell>
          <cell r="F16" t="str">
            <v>147/20/1 Tân Kỳ Tân Quý, P. Tân Sơn Nhì, Quận Tân Phú, TP Hồ Chí Minh</v>
          </cell>
          <cell r="G16" t="str">
            <v>0985129494</v>
          </cell>
          <cell r="H16" t="str">
            <v>queanh1216@gmail.com</v>
          </cell>
          <cell r="I16">
            <v>8071453642</v>
          </cell>
          <cell r="J16">
            <v>207320042</v>
          </cell>
          <cell r="K16" t="str">
            <v>082186010670</v>
          </cell>
          <cell r="L16" t="str">
            <v>10/07/2021</v>
          </cell>
          <cell r="M16" t="str">
            <v>Cục trưởng cục Cảnh sát QLHC về TTXH</v>
          </cell>
          <cell r="N16" t="str">
            <v>0071001126701</v>
          </cell>
          <cell r="O16" t="str">
            <v>Vietcombank</v>
          </cell>
          <cell r="P16" t="str">
            <v>26/11/2024</v>
          </cell>
          <cell r="Q16" t="str">
            <v>Kế toán/Kế toán trưởng/Kế toán</v>
          </cell>
          <cell r="R16" t="str">
            <v>Cử nhân/Kế toán</v>
          </cell>
          <cell r="S16">
            <v>0</v>
          </cell>
          <cell r="T16" t="str">
            <v>https://drive.google.com/open?id=1iksCzK0sKXbVIWrBCVUSaur4cAeFOUZ1, https://drive.google.com/open?id=1UywFhN5Y5UJvuBsDWz-r02bU7w_hwNln</v>
          </cell>
          <cell r="U16">
            <v>0</v>
          </cell>
          <cell r="V16">
            <v>0</v>
          </cell>
          <cell r="W16" t="str">
            <v>Medigo Software</v>
          </cell>
          <cell r="X16" t="str">
            <v>HỢP ĐỒNG CÓ THỜI HẠN</v>
          </cell>
          <cell r="Y16" t="str">
            <v>KẾ TOÁN</v>
          </cell>
          <cell r="Z16" t="str">
            <v>26/11/2024</v>
          </cell>
          <cell r="AA16" t="str">
            <v>25/01/2025</v>
          </cell>
          <cell r="AB16">
            <v>-466</v>
          </cell>
          <cell r="AC16">
            <v>46148</v>
          </cell>
          <cell r="AD16">
            <v>17</v>
          </cell>
          <cell r="AE16" t="str">
            <v>02 THÁNG</v>
          </cell>
          <cell r="AF16" t="str">
            <v>26/01/2025</v>
          </cell>
          <cell r="AG16" t="str">
            <v>25/01/2027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264</v>
          </cell>
          <cell r="AM16">
            <v>30000000</v>
          </cell>
          <cell r="AN16">
            <v>0</v>
          </cell>
          <cell r="AO16" t="str">
            <v>Gross</v>
          </cell>
          <cell r="AP16" t="str">
            <v>T2/2025</v>
          </cell>
          <cell r="AQ16">
            <v>0</v>
          </cell>
          <cell r="AR16" t="str">
            <v>Lương thỏa thuận: 30.000.00đ
Thử việc: 85%</v>
          </cell>
          <cell r="AS16" t="e">
            <v>#REF!</v>
          </cell>
          <cell r="AT16" t="str">
            <v>Nữ</v>
          </cell>
          <cell r="AU16" t="str">
            <v>anh.dang@medigoapp.cm</v>
          </cell>
          <cell r="AV16">
            <v>0</v>
          </cell>
          <cell r="AW16" t="str">
            <v>Thiếu</v>
          </cell>
          <cell r="AX16" t="str">
            <v>X</v>
          </cell>
          <cell r="AY16" t="str">
            <v>X</v>
          </cell>
          <cell r="AZ16" t="str">
            <v>Thiếu</v>
          </cell>
          <cell r="BA16" t="str">
            <v>X</v>
          </cell>
          <cell r="BB16" t="str">
            <v>- Bằng ĐH, CĐ cc
- Chứng chỉ KKT cc
- Chứng chỉ ngoại ngữ cc</v>
          </cell>
          <cell r="BC16">
            <v>0</v>
          </cell>
          <cell r="BD16">
            <v>0</v>
          </cell>
          <cell r="BF16">
            <v>27</v>
          </cell>
          <cell r="BG16">
            <v>5</v>
          </cell>
          <cell r="BH16">
            <v>1986</v>
          </cell>
          <cell r="BI16">
            <v>26</v>
          </cell>
          <cell r="BJ16">
            <v>11</v>
          </cell>
          <cell r="BK16">
            <v>2024</v>
          </cell>
          <cell r="BL16" t="str">
            <v>26/11/2024</v>
          </cell>
        </row>
        <row r="17">
          <cell r="C17" t="str">
            <v>NGUYỄN THỊ ÁNH HỒNG</v>
          </cell>
          <cell r="D17" t="str">
            <v>09/11/1994</v>
          </cell>
          <cell r="E17" t="str">
            <v>Thôn 4 xã Nghĩa Dũng, TP.Quảng Ngãi, Tỉnh Quảng Ngãi</v>
          </cell>
          <cell r="F17" t="str">
            <v>338/1/10 Nguyễn Xí, Phường 13, Quận Bình Thạnh, TP.HCM</v>
          </cell>
          <cell r="G17" t="str">
            <v>0932160206</v>
          </cell>
          <cell r="H17" t="str">
            <v>nguyenthianhhongueh@gmail.com</v>
          </cell>
          <cell r="I17">
            <v>8450297958</v>
          </cell>
          <cell r="J17">
            <v>7916160466</v>
          </cell>
          <cell r="K17" t="str">
            <v>051194007431</v>
          </cell>
          <cell r="L17" t="str">
            <v>27/01/2023</v>
          </cell>
          <cell r="M17" t="str">
            <v>Cục Cảnh sát Quản lý Hành chính về trật tự xã hội</v>
          </cell>
          <cell r="N17" t="str">
            <v>013348479001</v>
          </cell>
          <cell r="O17" t="str">
            <v>Ngân hàng HSBC</v>
          </cell>
          <cell r="P17" t="str">
            <v>02/12/2024</v>
          </cell>
          <cell r="Q17" t="str">
            <v>Kế toán viên</v>
          </cell>
          <cell r="R17" t="str">
            <v>Cử nhân Ngành Tài chính Ngân hàng</v>
          </cell>
          <cell r="S17">
            <v>0</v>
          </cell>
          <cell r="T17">
            <v>0</v>
          </cell>
          <cell r="U17" t="str">
            <v>https://drive.google.com/open?id=1eGRcrhuTo6gJTiDRp_DjF6LQHHjq9WYT, https://drive.google.com/open?id=1Dh-J3QuBqkznSjySA1ZgmI_M06ivcUNS, https://drive.google.com/open?id=16kDXnEa15X_9zEwbEhlnluGHAoxE5eJQ, https://drive.google.com/open?id=1OLGz6kD8MW9czMGj5vzBFPbCacq3VBtA</v>
          </cell>
          <cell r="V17">
            <v>0</v>
          </cell>
          <cell r="W17" t="str">
            <v>Medigo Software</v>
          </cell>
          <cell r="X17" t="str">
            <v>HỢP ĐỒNG CÓ THỜI HẠN</v>
          </cell>
          <cell r="Y17" t="str">
            <v>KẾ TOÁN</v>
          </cell>
          <cell r="Z17" t="str">
            <v>02/12/2024</v>
          </cell>
          <cell r="AA17" t="str">
            <v>01/02/2026</v>
          </cell>
          <cell r="AB17">
            <v>-94</v>
          </cell>
          <cell r="AC17">
            <v>46148</v>
          </cell>
          <cell r="AD17">
            <v>17</v>
          </cell>
          <cell r="AE17" t="str">
            <v>02 THÁNG</v>
          </cell>
          <cell r="AF17" t="str">
            <v>02/02/2025</v>
          </cell>
          <cell r="AG17" t="str">
            <v>01/02/2027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271</v>
          </cell>
          <cell r="AM17">
            <v>15000000</v>
          </cell>
          <cell r="AN17">
            <v>0</v>
          </cell>
          <cell r="AO17" t="str">
            <v>Gross</v>
          </cell>
          <cell r="AP17" t="str">
            <v>T2/2025</v>
          </cell>
          <cell r="AQ17">
            <v>0</v>
          </cell>
          <cell r="AR17" t="str">
            <v>Lương thỏa thuận: 15.000.00đ
Thử việc: 85%</v>
          </cell>
          <cell r="AS17" t="e">
            <v>#REF!</v>
          </cell>
          <cell r="AT17" t="str">
            <v>Nữ</v>
          </cell>
          <cell r="AU17">
            <v>0</v>
          </cell>
          <cell r="AV17">
            <v>0</v>
          </cell>
          <cell r="AW17" t="str">
            <v>Thiếu</v>
          </cell>
          <cell r="AX17" t="str">
            <v>Thiếu</v>
          </cell>
          <cell r="AY17" t="str">
            <v>X</v>
          </cell>
          <cell r="AZ17" t="str">
            <v>Thiếu</v>
          </cell>
          <cell r="BA17" t="str">
            <v>X</v>
          </cell>
          <cell r="BB17" t="str">
            <v>-Bằng tin học
- Bằng ĐH cc
- SYLL chưa công chứng</v>
          </cell>
          <cell r="BC17">
            <v>0</v>
          </cell>
          <cell r="BD17">
            <v>0</v>
          </cell>
          <cell r="BE17" t="str">
            <v>Lầu 3, 451/24/4 Tô Hiến Thành, P.14, Q.10, Tp.HCM</v>
          </cell>
          <cell r="BF17">
            <v>9</v>
          </cell>
          <cell r="BG17">
            <v>11</v>
          </cell>
          <cell r="BH17">
            <v>1994</v>
          </cell>
          <cell r="BI17">
            <v>2</v>
          </cell>
          <cell r="BJ17">
            <v>12</v>
          </cell>
          <cell r="BK17">
            <v>2024</v>
          </cell>
          <cell r="BL17" t="str">
            <v>2/12/2024</v>
          </cell>
        </row>
        <row r="18">
          <cell r="C18" t="str">
            <v>VÕ TẤN TRƯỜNG</v>
          </cell>
          <cell r="D18" t="str">
            <v>07/07/2002</v>
          </cell>
          <cell r="E18" t="str">
            <v>493/86 Cách Mạng Tháng Tám, Khu Phố 6, Phường 13, Quận 10, Thành Phố Hồ Chí Minh</v>
          </cell>
          <cell r="F18" t="str">
            <v>11 Bàu Bàng, Phường 13, Quận Tân Bình</v>
          </cell>
          <cell r="G18" t="str">
            <v>0795556807</v>
          </cell>
          <cell r="H18" t="str">
            <v>truong.vo@medigoapp.com</v>
          </cell>
          <cell r="I18" t="str">
            <v>8951096850</v>
          </cell>
          <cell r="J18" t="str">
            <v>5120841842</v>
          </cell>
          <cell r="K18" t="str">
            <v>051202012292</v>
          </cell>
          <cell r="L18" t="str">
            <v>24/07/2022</v>
          </cell>
          <cell r="M18" t="str">
            <v>Cục Cảnh sát quản lý hành chính về trật tự xã hội</v>
          </cell>
          <cell r="N18" t="str">
            <v>1016552819</v>
          </cell>
          <cell r="O18" t="str">
            <v>Vietcombank</v>
          </cell>
          <cell r="P18" t="str">
            <v>14/04/2025</v>
          </cell>
          <cell r="Q18" t="str">
            <v>Dược Sĩ Chăm Sóc Khách Hàng Online</v>
          </cell>
          <cell r="R18" t="str">
            <v>Dược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 t="str">
            <v>Medigo Software</v>
          </cell>
          <cell r="X18" t="str">
            <v>HỢP ĐỒNG CÓ THỜI HẠN</v>
          </cell>
          <cell r="Y18" t="str">
            <v>ADMIN CSKH</v>
          </cell>
          <cell r="Z18" t="str">
            <v>14/04/2025</v>
          </cell>
          <cell r="AA18" t="str">
            <v>13/06/2025</v>
          </cell>
          <cell r="AB18">
            <v>0</v>
          </cell>
          <cell r="AC18">
            <v>46148</v>
          </cell>
          <cell r="AD18">
            <v>12</v>
          </cell>
          <cell r="AE18">
            <v>0</v>
          </cell>
          <cell r="AF18" t="str">
            <v>14/06/2025</v>
          </cell>
          <cell r="AG18" t="str">
            <v>13/06/2027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 t="str">
            <v>Nam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 t="str">
            <v>Lầu 3, 451/24/4 Tô Hiến Thành, P.14, Q.10, Tp.HCM</v>
          </cell>
          <cell r="BF18">
            <v>7</v>
          </cell>
          <cell r="BG18">
            <v>7</v>
          </cell>
          <cell r="BH18">
            <v>2002</v>
          </cell>
          <cell r="BI18">
            <v>14</v>
          </cell>
          <cell r="BJ18">
            <v>4</v>
          </cell>
          <cell r="BK18">
            <v>2025</v>
          </cell>
          <cell r="BL18" t="str">
            <v>14/4/2025</v>
          </cell>
        </row>
        <row r="19">
          <cell r="C19" t="str">
            <v>NGUYỄN NGỌC PHỤNG</v>
          </cell>
          <cell r="D19" t="str">
            <v>14/12/1981</v>
          </cell>
          <cell r="E19" t="str">
            <v>172A/18/22A Lạc Long Quân, P.10, Q.11</v>
          </cell>
          <cell r="F19" t="str">
            <v>172A/18/22A Lạc Long Quân, P.10, Q.11</v>
          </cell>
          <cell r="G19" t="str">
            <v>0909.233.913</v>
          </cell>
          <cell r="H19" t="str">
            <v>ngocphung99vn@gmail.com</v>
          </cell>
          <cell r="I19" t="str">
            <v>8047651675</v>
          </cell>
          <cell r="J19" t="str">
            <v>0206258828</v>
          </cell>
          <cell r="K19" t="str">
            <v>079181016562</v>
          </cell>
          <cell r="L19" t="str">
            <v>19/04/2021</v>
          </cell>
          <cell r="M19" t="str">
            <v>Cục cảnh sát</v>
          </cell>
          <cell r="N19" t="str">
            <v>0909233913</v>
          </cell>
          <cell r="O19" t="str">
            <v>MB Bank</v>
          </cell>
          <cell r="P19" t="str">
            <v>09/06/2025</v>
          </cell>
          <cell r="Q19" t="str">
            <v>Trưởng phòng HC-NS</v>
          </cell>
          <cell r="R19" t="str">
            <v>ĐH Luật - Luật Dân sự; ĐH MỞ- QTKD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Medigo Software</v>
          </cell>
          <cell r="X19" t="str">
            <v>HỢP ĐỒNG CÓ THỜI HẠN</v>
          </cell>
          <cell r="Y19" t="str">
            <v>HC-NS</v>
          </cell>
          <cell r="Z19" t="str">
            <v>09/06/2025</v>
          </cell>
          <cell r="AA19" t="str">
            <v>09/08/2025</v>
          </cell>
          <cell r="AB19">
            <v>0</v>
          </cell>
          <cell r="AC19">
            <v>0</v>
          </cell>
          <cell r="AD19">
            <v>0</v>
          </cell>
          <cell r="AE19" t="str">
            <v>1 năm</v>
          </cell>
          <cell r="AF19" t="str">
            <v>01/08/2025</v>
          </cell>
          <cell r="AG19" t="str">
            <v>01/08/2026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20000000</v>
          </cell>
          <cell r="AN19">
            <v>17000000</v>
          </cell>
          <cell r="AO19">
            <v>0</v>
          </cell>
          <cell r="AP19">
            <v>5310000</v>
          </cell>
          <cell r="AQ19">
            <v>14690000</v>
          </cell>
          <cell r="AR19" t="str">
            <v>mười bốn triệu sáu trăm chín mươi ngàn đồng</v>
          </cell>
          <cell r="AS19">
            <v>0</v>
          </cell>
          <cell r="AT19" t="str">
            <v>nữ</v>
          </cell>
          <cell r="AU19">
            <v>0</v>
          </cell>
          <cell r="AV19" t="str">
            <v>T8/2025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 t="str">
            <v>Lầu 3, 451/24/4 Tô Hiến Thành, P.14, Q.10, Tp.HCM</v>
          </cell>
          <cell r="BF19">
            <v>14</v>
          </cell>
          <cell r="BG19">
            <v>12</v>
          </cell>
          <cell r="BH19">
            <v>1981</v>
          </cell>
          <cell r="BI19">
            <v>9</v>
          </cell>
          <cell r="BJ19">
            <v>6</v>
          </cell>
          <cell r="BK19">
            <v>2025</v>
          </cell>
          <cell r="BL19" t="str">
            <v>9/6/2025</v>
          </cell>
        </row>
        <row r="20">
          <cell r="C20" t="str">
            <v>NGUYỄN VĂN TOÀN</v>
          </cell>
          <cell r="D20" t="str">
            <v>14/11/2002</v>
          </cell>
          <cell r="E20" t="str">
            <v>Tổ 1, khu phố 5, phường Nhơn Phú, TP. Quy Nhơn, Bình Định</v>
          </cell>
          <cell r="F20" t="str">
            <v>Căn hộ A7.419, chung cư Ehome 3, phường An Lạc, quận Bình Tân, TP. HCM</v>
          </cell>
          <cell r="G20" t="str">
            <v>0966785921</v>
          </cell>
          <cell r="H20" t="str">
            <v>toannguyen141102@gmail.com</v>
          </cell>
          <cell r="I20" t="str">
            <v>8918578166</v>
          </cell>
          <cell r="J20" t="str">
            <v>5220080892</v>
          </cell>
          <cell r="K20" t="str">
            <v>052202001536</v>
          </cell>
          <cell r="L20" t="str">
            <v>30/03/2022</v>
          </cell>
          <cell r="M20" t="str">
            <v>TP. Quy Nhơn, Bình Định</v>
          </cell>
          <cell r="N20" t="str">
            <v>1016037766</v>
          </cell>
          <cell r="O20" t="str">
            <v>VIETCOMBANK</v>
          </cell>
          <cell r="P20" t="str">
            <v>07/07/2025</v>
          </cell>
          <cell r="Q20" t="str">
            <v>UI/ UX – Graphic Designer</v>
          </cell>
          <cell r="R20" t="str">
            <v>Thiết kế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 t="str">
            <v>Medigo Software</v>
          </cell>
          <cell r="X20" t="str">
            <v>HỢP ĐỒNG CÓ THỜI HẠN</v>
          </cell>
          <cell r="Y20" t="str">
            <v>UX/UI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 t="str">
            <v>2 năm</v>
          </cell>
          <cell r="AF20" t="str">
            <v>01/09/2025</v>
          </cell>
          <cell r="AG20" t="str">
            <v>01/09/2027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12000000</v>
          </cell>
          <cell r="AN20">
            <v>0</v>
          </cell>
          <cell r="AO20">
            <v>0</v>
          </cell>
          <cell r="AP20">
            <v>5310000</v>
          </cell>
          <cell r="AQ20">
            <v>6690000</v>
          </cell>
          <cell r="AR20" t="str">
            <v>Sáu triệu sáu trăm chín mươi ngàn đồng</v>
          </cell>
          <cell r="AS20">
            <v>0</v>
          </cell>
          <cell r="AT20" t="str">
            <v>Nam</v>
          </cell>
          <cell r="AU20">
            <v>0</v>
          </cell>
          <cell r="AV20" t="str">
            <v>T9/2025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 t="str">
            <v>Lầu 3, 451/24/4 Tô Hiến Thành, P.14, Q.10, Tp.HCM</v>
          </cell>
          <cell r="BF20">
            <v>14</v>
          </cell>
          <cell r="BG20">
            <v>11</v>
          </cell>
          <cell r="BH20">
            <v>2002</v>
          </cell>
          <cell r="BI20">
            <v>7</v>
          </cell>
          <cell r="BJ20">
            <v>7</v>
          </cell>
          <cell r="BK20">
            <v>2025</v>
          </cell>
          <cell r="BL20" t="str">
            <v>7/7/2025</v>
          </cell>
        </row>
        <row r="21">
          <cell r="C21" t="str">
            <v>PHAN THỊ KIM HIÊN</v>
          </cell>
          <cell r="D21" t="str">
            <v>25/08/2003</v>
          </cell>
          <cell r="E21" t="str">
            <v>Thôn 3, phường 3, Tp. Bảo Lộc, Lâm Đồng</v>
          </cell>
          <cell r="F21" t="str">
            <v>92 Phạm Đức Sơn, P16. Q.8, Tp.HCM</v>
          </cell>
          <cell r="G21" t="str">
            <v>0931.879.874</v>
          </cell>
          <cell r="H21" t="str">
            <v>medigo.hien.phan@gmail.com</v>
          </cell>
          <cell r="I21" t="str">
            <v>8951096868</v>
          </cell>
          <cell r="J21" t="str">
            <v>068303010184</v>
          </cell>
          <cell r="K21" t="str">
            <v>068303010184</v>
          </cell>
          <cell r="L21" t="str">
            <v>08/07/2022</v>
          </cell>
          <cell r="M21" t="str">
            <v>Cục trưởng cục cảnh sát</v>
          </cell>
          <cell r="N21" t="str">
            <v>1020484770</v>
          </cell>
          <cell r="O21" t="str">
            <v>Vietcombank</v>
          </cell>
          <cell r="P21" t="str">
            <v>14/07/2025</v>
          </cell>
          <cell r="Q21" t="str">
            <v>Nhân viên Kế toán</v>
          </cell>
          <cell r="R21" t="str">
            <v>CĐ Công nghệ thông tin Tp.HCM- ngành Kế toán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 t="str">
            <v>Medigo Software</v>
          </cell>
          <cell r="X21" t="str">
            <v>HỢP ĐỒNG CÓ THỜI HẠN</v>
          </cell>
          <cell r="Y21" t="str">
            <v>Kế toán</v>
          </cell>
          <cell r="Z21" t="str">
            <v>14/07/2025</v>
          </cell>
          <cell r="AA21" t="str">
            <v>14/09/2025</v>
          </cell>
          <cell r="AB21">
            <v>0</v>
          </cell>
          <cell r="AC21">
            <v>0</v>
          </cell>
          <cell r="AD21">
            <v>0</v>
          </cell>
          <cell r="AE21" t="str">
            <v>2 năm</v>
          </cell>
          <cell r="AF21" t="str">
            <v>14/09/2025</v>
          </cell>
          <cell r="AG21" t="str">
            <v>14/09/2027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9500000</v>
          </cell>
          <cell r="AN21">
            <v>8075000</v>
          </cell>
          <cell r="AO21">
            <v>0</v>
          </cell>
          <cell r="AP21">
            <v>5310000</v>
          </cell>
          <cell r="AQ21">
            <v>4190000</v>
          </cell>
          <cell r="AR21" t="str">
            <v>bốn triệu một trăm chín mươi ngàn đồng</v>
          </cell>
          <cell r="AS21">
            <v>0</v>
          </cell>
          <cell r="AT21" t="str">
            <v>Nữ</v>
          </cell>
          <cell r="AU21">
            <v>0</v>
          </cell>
          <cell r="AV21" t="str">
            <v>T9/2025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 t="str">
            <v>Lầu 3, 451/24/4 Tô Hiến Thành, P.14, Q.10, Tp.HCM</v>
          </cell>
          <cell r="BF21">
            <v>25</v>
          </cell>
          <cell r="BG21">
            <v>8</v>
          </cell>
          <cell r="BH21">
            <v>2003</v>
          </cell>
          <cell r="BI21">
            <v>14</v>
          </cell>
          <cell r="BJ21">
            <v>7</v>
          </cell>
          <cell r="BK21">
            <v>2025</v>
          </cell>
          <cell r="BL21" t="str">
            <v>14/7/2025</v>
          </cell>
        </row>
        <row r="22">
          <cell r="C22" t="str">
            <v>HUỲNH TẤN NHÂN</v>
          </cell>
          <cell r="D22" t="str">
            <v>28/07/1984</v>
          </cell>
          <cell r="E22" t="str">
            <v>ẤP KHU 1 - XÃ BÌNH CHÂU - HUYỆN XUYÊN MỘC - TỈNH BRVT</v>
          </cell>
          <cell r="F22" t="str">
            <v>232/36 CAO THẮNG, PHƯỜNG 12, QUẬN 10, TPHCM</v>
          </cell>
          <cell r="G22" t="str">
            <v>0916766471</v>
          </cell>
          <cell r="H22" t="str">
            <v>NHANALEX0312@GMAIL.COM</v>
          </cell>
          <cell r="I22" t="str">
            <v>77084011555</v>
          </cell>
          <cell r="J22" t="str">
            <v>7909322658</v>
          </cell>
          <cell r="K22" t="str">
            <v>077084011555</v>
          </cell>
          <cell r="L22" t="str">
            <v>28/10/2024</v>
          </cell>
          <cell r="M22" t="str">
            <v>BỘ CÔNG AN</v>
          </cell>
          <cell r="N22" t="str">
            <v>196682719</v>
          </cell>
          <cell r="O22" t="str">
            <v>ACB</v>
          </cell>
          <cell r="P22" t="str">
            <v>01/08/2025</v>
          </cell>
          <cell r="Q22" t="str">
            <v>Marketing Lead</v>
          </cell>
          <cell r="R22" t="str">
            <v>ĐH Khoa học tự nhiên- Đồ họa đa truyền thông; ĐH Kinh tế - QT nhân sự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Medigo Software</v>
          </cell>
          <cell r="X22" t="str">
            <v>HỢP ĐỒNG CÓ THỜI HẠN</v>
          </cell>
          <cell r="Y22" t="str">
            <v>Marketing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str">
            <v>2 năm</v>
          </cell>
          <cell r="AF22" t="str">
            <v>01/08/2025</v>
          </cell>
          <cell r="AG22" t="str">
            <v>01/08/2027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14000000</v>
          </cell>
          <cell r="AN22">
            <v>0</v>
          </cell>
          <cell r="AO22">
            <v>0</v>
          </cell>
          <cell r="AP22">
            <v>5310000</v>
          </cell>
          <cell r="AQ22">
            <v>8690000</v>
          </cell>
          <cell r="AR22" t="str">
            <v>Chín triệu sáu trăm chín mươi ngàn đồng</v>
          </cell>
          <cell r="AS22">
            <v>0</v>
          </cell>
          <cell r="AT22" t="str">
            <v>Nam</v>
          </cell>
          <cell r="AU22">
            <v>0</v>
          </cell>
          <cell r="AV22" t="str">
            <v>T8/2025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 t="str">
            <v>Lầu 1, 207 Nguyễn Chí Thanh, P.12, Q.5</v>
          </cell>
          <cell r="BF22">
            <v>28</v>
          </cell>
          <cell r="BG22">
            <v>7</v>
          </cell>
          <cell r="BH22">
            <v>1984</v>
          </cell>
          <cell r="BI22">
            <v>1</v>
          </cell>
          <cell r="BJ22">
            <v>8</v>
          </cell>
          <cell r="BK22">
            <v>2025</v>
          </cell>
          <cell r="BL22" t="str">
            <v>1/8/2025</v>
          </cell>
        </row>
        <row r="23">
          <cell r="C23" t="str">
            <v>NGUYỄN THỊ KIM NGỌC</v>
          </cell>
          <cell r="D23" t="str">
            <v>25/12/2003</v>
          </cell>
          <cell r="E23" t="str">
            <v>73 Đường 41 phường 6 quận 4</v>
          </cell>
          <cell r="F23" t="str">
            <v>791/25 Trần Xuân Soạn phường Tân Hưng quận 7</v>
          </cell>
          <cell r="G23" t="str">
            <v>0902940835</v>
          </cell>
          <cell r="H23" t="str">
            <v>ngoc1225kim@gmail.com</v>
          </cell>
          <cell r="I23" t="str">
            <v>8751915414</v>
          </cell>
          <cell r="J23" t="str">
            <v>7932995269</v>
          </cell>
          <cell r="K23" t="str">
            <v>079303010066</v>
          </cell>
          <cell r="L23" t="str">
            <v>22/12/2021</v>
          </cell>
          <cell r="M23" t="str">
            <v>Công an Quận 4</v>
          </cell>
          <cell r="N23" t="str">
            <v>14330267</v>
          </cell>
          <cell r="O23" t="str">
            <v>Á Châu (ACB)</v>
          </cell>
          <cell r="P23" t="str">
            <v>11/08/2025</v>
          </cell>
          <cell r="Q23" t="str">
            <v>Nhân viên Marketing</v>
          </cell>
          <cell r="R23" t="str">
            <v>Marketing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Medigo</v>
          </cell>
          <cell r="X23" t="str">
            <v>HỢP ĐỒNG CÓ THỜI HẠN</v>
          </cell>
          <cell r="Y23" t="str">
            <v>Marketing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2</v>
          </cell>
          <cell r="AF23" t="str">
            <v>01/11/2025</v>
          </cell>
          <cell r="AG23" t="str">
            <v>01/11/2027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8000000</v>
          </cell>
          <cell r="AN23">
            <v>0</v>
          </cell>
          <cell r="AO23">
            <v>0</v>
          </cell>
          <cell r="AP23">
            <v>5310000</v>
          </cell>
          <cell r="AQ23">
            <v>2690000</v>
          </cell>
          <cell r="AR23" t="str">
            <v>hai triệu sáu trăm chín mươi ngàn đồng</v>
          </cell>
          <cell r="AS23">
            <v>0</v>
          </cell>
          <cell r="AT23" t="str">
            <v>Nữ</v>
          </cell>
          <cell r="AU23">
            <v>0</v>
          </cell>
          <cell r="AV23" t="str">
            <v>T11/2025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 t="str">
            <v>Lầu 1, 207 Nguyễn Chí Thanh, P.12, Q.5</v>
          </cell>
          <cell r="BF23">
            <v>25</v>
          </cell>
          <cell r="BG23">
            <v>12</v>
          </cell>
          <cell r="BH23">
            <v>2003</v>
          </cell>
          <cell r="BI23">
            <v>11</v>
          </cell>
          <cell r="BJ23">
            <v>8</v>
          </cell>
          <cell r="BK23">
            <v>2025</v>
          </cell>
          <cell r="BL23" t="str">
            <v>11/8/2025</v>
          </cell>
        </row>
        <row r="24">
          <cell r="C24" t="str">
            <v>NGUYỄN THỊ THÚY NA</v>
          </cell>
          <cell r="D24" t="str">
            <v>12/12/2003</v>
          </cell>
          <cell r="E24" t="str">
            <v>thôn Châu Thuận Biển, xã Đông Sơn, tỉnh Quảng Ngãi</v>
          </cell>
          <cell r="F24" t="str">
            <v>243/28 Tô Hiến Thành, Phường 13, Quận 10, TP.HCM</v>
          </cell>
          <cell r="G24" t="str">
            <v>0362785729</v>
          </cell>
          <cell r="H24" t="str">
            <v>thuyna465489@gmail.com</v>
          </cell>
          <cell r="I24" t="str">
            <v>8951096882</v>
          </cell>
          <cell r="J24" t="str">
            <v>5120311832</v>
          </cell>
          <cell r="K24" t="str">
            <v>051303012370</v>
          </cell>
          <cell r="L24" t="str">
            <v>01/09/2021</v>
          </cell>
          <cell r="M24" t="str">
            <v>Cục Cảnh Sát</v>
          </cell>
          <cell r="N24" t="str">
            <v>2460153966892</v>
          </cell>
          <cell r="O24" t="str">
            <v>MB bank</v>
          </cell>
          <cell r="P24" t="str">
            <v>14/08/2025</v>
          </cell>
          <cell r="Q24" t="str">
            <v>Trợ lý Giám đốc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 t="str">
            <v>Medigo</v>
          </cell>
          <cell r="X24" t="str">
            <v>HỢP ĐỒNG CÓ THỜI HẠN</v>
          </cell>
          <cell r="Y24" t="str">
            <v>BGĐ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2</v>
          </cell>
          <cell r="AF24" t="str">
            <v>15/11/2025</v>
          </cell>
          <cell r="AG24" t="str">
            <v>15/11/2027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8000000</v>
          </cell>
          <cell r="AN24">
            <v>0</v>
          </cell>
          <cell r="AO24">
            <v>0</v>
          </cell>
          <cell r="AP24">
            <v>5310000</v>
          </cell>
          <cell r="AQ24">
            <v>2690000</v>
          </cell>
          <cell r="AR24" t="str">
            <v>hai triệu sáu trăm chín mươi ngàn đồng</v>
          </cell>
          <cell r="AS24">
            <v>0</v>
          </cell>
          <cell r="AT24" t="str">
            <v>Nữ</v>
          </cell>
          <cell r="AU24">
            <v>0</v>
          </cell>
          <cell r="AV24" t="str">
            <v>T12/2025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 t="str">
            <v>Lầu 3, 451/24/4 Tô Hiến Thành, P.14, Q.10, Tp.HCM</v>
          </cell>
          <cell r="BF24">
            <v>12</v>
          </cell>
          <cell r="BG24">
            <v>12</v>
          </cell>
          <cell r="BH24">
            <v>2003</v>
          </cell>
          <cell r="BI24">
            <v>14</v>
          </cell>
          <cell r="BJ24">
            <v>8</v>
          </cell>
          <cell r="BK24">
            <v>2025</v>
          </cell>
          <cell r="BL24" t="str">
            <v>14/8/2025</v>
          </cell>
        </row>
        <row r="25">
          <cell r="C25" t="str">
            <v>TRẦN THỊ TÂM NHUNG</v>
          </cell>
          <cell r="D25" t="str">
            <v>15/07/2000</v>
          </cell>
          <cell r="E25" t="str">
            <v>259 Hùng Vương, Kon Tum, Quảng Ngãi</v>
          </cell>
          <cell r="F25" t="str">
            <v>207C Nguyễn Xí, Bình Thạnh, TPHCM</v>
          </cell>
          <cell r="G25" t="str">
            <v>0983507229</v>
          </cell>
          <cell r="H25" t="str">
            <v>tt.nhung3115@gmail.com</v>
          </cell>
          <cell r="I25" t="str">
            <v>8824113655</v>
          </cell>
          <cell r="J25" t="str">
            <v>6221661080</v>
          </cell>
          <cell r="K25" t="str">
            <v>051300005472</v>
          </cell>
          <cell r="L25" t="str">
            <v>16/07/2025</v>
          </cell>
          <cell r="M25" t="str">
            <v>Cục Cảnh sát QLHC về TTXH</v>
          </cell>
          <cell r="N25" t="str">
            <v>8862842341</v>
          </cell>
          <cell r="O25" t="str">
            <v>BIDV</v>
          </cell>
          <cell r="P25" t="str">
            <v>20/08/2025</v>
          </cell>
          <cell r="Q25" t="str">
            <v>Dược sĩ chăm sóc khách hàng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Medigo</v>
          </cell>
          <cell r="X25" t="str">
            <v>HỢP ĐỒNG CÓ THỜI HẠN</v>
          </cell>
          <cell r="Y25" t="str">
            <v>ADMIN CSKH</v>
          </cell>
          <cell r="Z25" t="str">
            <v>20/08/2025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 t="str">
            <v>2 tháng</v>
          </cell>
          <cell r="AF25" t="str">
            <v>20/10/2025</v>
          </cell>
          <cell r="AG25" t="str">
            <v>20/10/2027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9000000</v>
          </cell>
          <cell r="AN25">
            <v>7650000</v>
          </cell>
          <cell r="AO25">
            <v>0</v>
          </cell>
          <cell r="AP25">
            <v>5310000</v>
          </cell>
          <cell r="AQ25">
            <v>3690000</v>
          </cell>
          <cell r="AR25" t="str">
            <v>ba triệu sáu trăm chín mươi ngàn đồng</v>
          </cell>
          <cell r="AS25">
            <v>0</v>
          </cell>
          <cell r="AT25" t="str">
            <v>nữ</v>
          </cell>
          <cell r="AU25">
            <v>0</v>
          </cell>
          <cell r="AV25" t="str">
            <v>T11/2025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 t="str">
            <v>Lầu 3, 451/24/4 Tô Hiến Thành, P.14, Q.10, Tp.HCM</v>
          </cell>
          <cell r="BF25">
            <v>15</v>
          </cell>
          <cell r="BG25">
            <v>7</v>
          </cell>
          <cell r="BH25">
            <v>2000</v>
          </cell>
          <cell r="BI25">
            <v>20</v>
          </cell>
          <cell r="BJ25">
            <v>8</v>
          </cell>
          <cell r="BK25">
            <v>2025</v>
          </cell>
          <cell r="BL25" t="str">
            <v>20/8/2025</v>
          </cell>
        </row>
        <row r="26">
          <cell r="C26" t="str">
            <v>LÊ THỊ PHƯƠNG THẢO</v>
          </cell>
          <cell r="D26" t="str">
            <v>17/09/2004</v>
          </cell>
          <cell r="E26" t="str">
            <v>Thôn Suối Luồng , Xã Vạn Thắng, Tỉnh Khánh Hòa</v>
          </cell>
          <cell r="F26" t="str">
            <v>181 Nguyễn Xí, Phường Bình Thạnh, Hồ Chí Minh</v>
          </cell>
          <cell r="G26" t="str">
            <v>0913814991</v>
          </cell>
          <cell r="H26" t="str">
            <v>lethiphuongthaoueh@gmail.com</v>
          </cell>
          <cell r="I26" t="str">
            <v>8842178221</v>
          </cell>
          <cell r="J26" t="str">
            <v>5620693613</v>
          </cell>
          <cell r="K26" t="str">
            <v>056304003849</v>
          </cell>
          <cell r="L26" t="str">
            <v>31/05/2021</v>
          </cell>
          <cell r="M26" t="str">
            <v>Cục trưởng cục Cảnh sát quản lý hành chính về trật tự xã hội</v>
          </cell>
          <cell r="N26" t="str">
            <v>0913814991</v>
          </cell>
          <cell r="O26" t="str">
            <v>Nam Á Bank</v>
          </cell>
          <cell r="P26" t="str">
            <v>25/08/2025</v>
          </cell>
          <cell r="Q26" t="str">
            <v>Nhân viên kế toán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Medigo</v>
          </cell>
          <cell r="X26" t="str">
            <v>HỢP ĐỒNG CÓ THỜI HẠN</v>
          </cell>
          <cell r="Y26" t="str">
            <v>Kế toán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</v>
          </cell>
          <cell r="AF26" t="str">
            <v>01/12/2025</v>
          </cell>
          <cell r="AG26" t="str">
            <v>01/12/2027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8000000</v>
          </cell>
          <cell r="AN26">
            <v>0</v>
          </cell>
          <cell r="AO26">
            <v>0</v>
          </cell>
          <cell r="AP26">
            <v>5310000</v>
          </cell>
          <cell r="AQ26">
            <v>2690000</v>
          </cell>
          <cell r="AR26" t="str">
            <v>hai triệu sáu trăm chín mươi ngàn đồng</v>
          </cell>
          <cell r="AS26">
            <v>0</v>
          </cell>
          <cell r="AT26" t="str">
            <v>nữ</v>
          </cell>
          <cell r="AU26">
            <v>0</v>
          </cell>
          <cell r="AV26" t="str">
            <v>T12/2025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 t="str">
            <v>Lầu 3, 451/24/4 Tô Hiến Thành, P.14, Q.10, Tp.HCM</v>
          </cell>
          <cell r="BF26">
            <v>17</v>
          </cell>
          <cell r="BG26">
            <v>9</v>
          </cell>
          <cell r="BH26">
            <v>2004</v>
          </cell>
          <cell r="BI26">
            <v>25</v>
          </cell>
          <cell r="BJ26">
            <v>8</v>
          </cell>
          <cell r="BK26">
            <v>2025</v>
          </cell>
          <cell r="BL26" t="str">
            <v>25/8/2025</v>
          </cell>
        </row>
        <row r="27">
          <cell r="C27" t="str">
            <v>LÊ THỊ PHƯƠNG ANH</v>
          </cell>
          <cell r="D27" t="str">
            <v>2/9/1998</v>
          </cell>
          <cell r="E27" t="str">
            <v>xóm 2, xã Bích Hào, tỉnh Nghệ An</v>
          </cell>
          <cell r="F27" t="str">
            <v>1219/2 Hoàng Sa, Tân Bình, HCM</v>
          </cell>
          <cell r="G27" t="str">
            <v>0334984447</v>
          </cell>
          <cell r="H27" t="str">
            <v>Phuonganh98na@gmail.com</v>
          </cell>
          <cell r="I27" t="str">
            <v>040198009741</v>
          </cell>
          <cell r="J27" t="str">
            <v>4017383045</v>
          </cell>
          <cell r="K27" t="str">
            <v>040198009741</v>
          </cell>
          <cell r="L27" t="str">
            <v>7/2/2024</v>
          </cell>
          <cell r="M27" t="str">
            <v>Nghệ An</v>
          </cell>
          <cell r="N27" t="str">
            <v>0334984447</v>
          </cell>
          <cell r="O27" t="str">
            <v>Eximbank</v>
          </cell>
          <cell r="P27" t="str">
            <v>11/9/2025</v>
          </cell>
          <cell r="Q27" t="str">
            <v>Nhân viên Thiết kế đồ họa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Medigo</v>
          </cell>
          <cell r="X27" t="str">
            <v>HỢP ĐỒNG CÓ THỜI HẠN</v>
          </cell>
          <cell r="Y27" t="str">
            <v>Marketing</v>
          </cell>
          <cell r="Z27" t="str">
            <v>11/09/2025</v>
          </cell>
          <cell r="AA27" t="str">
            <v>11/11/2025</v>
          </cell>
          <cell r="AB27">
            <v>0</v>
          </cell>
          <cell r="AC27">
            <v>0</v>
          </cell>
          <cell r="AD27">
            <v>0</v>
          </cell>
          <cell r="AE27">
            <v>2</v>
          </cell>
          <cell r="AF27" t="str">
            <v>01/11/2025</v>
          </cell>
          <cell r="AG27" t="str">
            <v>01/11/2027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14000000</v>
          </cell>
          <cell r="AN27">
            <v>11900000</v>
          </cell>
          <cell r="AO27" t="str">
            <v>Gross</v>
          </cell>
          <cell r="AP27">
            <v>5310000</v>
          </cell>
          <cell r="AQ27">
            <v>8690000</v>
          </cell>
          <cell r="AR27" t="str">
            <v>tám triệu sáu trăm chín mươi ngàn đồng</v>
          </cell>
          <cell r="AS27">
            <v>0</v>
          </cell>
          <cell r="AT27" t="str">
            <v>nữ</v>
          </cell>
          <cell r="AU27">
            <v>0</v>
          </cell>
          <cell r="AV27" t="str">
            <v>T11/2025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 t="str">
            <v>Lầu 1, 207 Nguyễn Chí Thanh, P.12, Q.6</v>
          </cell>
          <cell r="BF27">
            <v>2</v>
          </cell>
          <cell r="BG27">
            <v>9</v>
          </cell>
          <cell r="BH27">
            <v>1998</v>
          </cell>
          <cell r="BI27">
            <v>11</v>
          </cell>
          <cell r="BJ27">
            <v>9</v>
          </cell>
          <cell r="BK27">
            <v>2025</v>
          </cell>
          <cell r="BL27" t="str">
            <v>11/9/2025</v>
          </cell>
        </row>
        <row r="28">
          <cell r="C28" t="str">
            <v>TÔ NGỌC THIÊN PHÚ</v>
          </cell>
          <cell r="D28" t="str">
            <v>12/08/1997</v>
          </cell>
          <cell r="E28" t="str">
            <v>41 Đường Rạch Cái Sơn, Khóm 2, Phường Sa Đéc, Đồng Tháp</v>
          </cell>
          <cell r="F28" t="str">
            <v>38 Đường Số 26, Khu phố 5, Phường Hiệp Bình, Thành phố Hồ Chí Minh</v>
          </cell>
          <cell r="G28" t="str">
            <v>0348689113</v>
          </cell>
          <cell r="H28" t="str">
            <v>worufu0@gmail.com</v>
          </cell>
          <cell r="I28" t="str">
            <v>087097004043</v>
          </cell>
          <cell r="J28">
            <v>8721815309</v>
          </cell>
          <cell r="K28" t="str">
            <v>087097004043</v>
          </cell>
          <cell r="L28" t="str">
            <v>21/09/2022</v>
          </cell>
          <cell r="M28" t="str">
            <v>Cục Cảnh sát quản lý hành chính về trật tự xã hội</v>
          </cell>
          <cell r="N28" t="str">
            <v>25372997</v>
          </cell>
          <cell r="O28" t="str">
            <v>ACB</v>
          </cell>
          <cell r="P28" t="str">
            <v>27/10/2025</v>
          </cell>
          <cell r="Q28" t="str">
            <v>Web Developer</v>
          </cell>
          <cell r="R28" t="str">
            <v>Công Nghệ Thông Tin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Medigo</v>
          </cell>
          <cell r="X28" t="str">
            <v>HỢP ĐỒNG CÓ THỜI HẠN</v>
          </cell>
          <cell r="Y28" t="str">
            <v>IT</v>
          </cell>
          <cell r="Z28" t="str">
            <v>27/10/2025</v>
          </cell>
          <cell r="AA28" t="str">
            <v>27/12/2025</v>
          </cell>
          <cell r="AB28">
            <v>0</v>
          </cell>
          <cell r="AC28">
            <v>0</v>
          </cell>
          <cell r="AD28">
            <v>0</v>
          </cell>
          <cell r="AE28">
            <v>2</v>
          </cell>
          <cell r="AF28" t="str">
            <v>27/12/2025</v>
          </cell>
          <cell r="AG28" t="str">
            <v>31/12/2027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18000000</v>
          </cell>
          <cell r="AN28">
            <v>15300000</v>
          </cell>
          <cell r="AO28" t="str">
            <v>Gross</v>
          </cell>
          <cell r="AP28">
            <v>5310000</v>
          </cell>
          <cell r="AQ28">
            <v>12690000</v>
          </cell>
          <cell r="AR28" t="str">
            <v>Mười hai triệu sáu trăm chín mươi ngàn đồng</v>
          </cell>
          <cell r="AS28">
            <v>0</v>
          </cell>
          <cell r="AT28" t="str">
            <v>Nam</v>
          </cell>
          <cell r="AU28">
            <v>0</v>
          </cell>
          <cell r="AV28" t="str">
            <v>T1/2026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 t="str">
            <v>Lầu 3, 451/24/4 Tô Hiến Thành, P.14, Q.10, Tp.HCM</v>
          </cell>
          <cell r="BF28">
            <v>12</v>
          </cell>
          <cell r="BG28">
            <v>8</v>
          </cell>
          <cell r="BH28">
            <v>1997</v>
          </cell>
          <cell r="BI28">
            <v>27</v>
          </cell>
          <cell r="BJ28">
            <v>10</v>
          </cell>
          <cell r="BK28">
            <v>2025</v>
          </cell>
          <cell r="BL28" t="str">
            <v>27/10/2025</v>
          </cell>
        </row>
        <row r="29">
          <cell r="C29" t="str">
            <v>HOÀNG LÊ THANH VƯƠNG</v>
          </cell>
          <cell r="D29" t="str">
            <v>09/04/2000</v>
          </cell>
          <cell r="E29" t="str">
            <v>70/5F Ấp Hậu Lân, xã Bà Điểm, huyện Hóc Môn, TP.HCM</v>
          </cell>
          <cell r="F29">
            <v>0</v>
          </cell>
          <cell r="G29" t="str">
            <v>0765450941</v>
          </cell>
          <cell r="H29" t="str">
            <v>hltv090420@gmail.com</v>
          </cell>
          <cell r="I29" t="str">
            <v>8821716694</v>
          </cell>
          <cell r="J29" t="str">
            <v>7935325575</v>
          </cell>
          <cell r="K29" t="str">
            <v>079200034812</v>
          </cell>
          <cell r="L29" t="str">
            <v>09/04/2025</v>
          </cell>
          <cell r="M29" t="str">
            <v>TP.HCM</v>
          </cell>
          <cell r="N29" t="str">
            <v>0765450941</v>
          </cell>
          <cell r="O29" t="str">
            <v>MB Bank</v>
          </cell>
          <cell r="P29" t="str">
            <v>03/11/2025</v>
          </cell>
          <cell r="Q29" t="str">
            <v>Backend Developer</v>
          </cell>
          <cell r="R29" t="str">
            <v>Công Nghệ Thông Tin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Medigo</v>
          </cell>
          <cell r="X29" t="str">
            <v>HỢP ĐỒNG CÓ THỜI HẠN</v>
          </cell>
          <cell r="Y29" t="str">
            <v>IT</v>
          </cell>
          <cell r="Z29" t="str">
            <v>03/11/2025</v>
          </cell>
          <cell r="AA29" t="str">
            <v>03/01/2026</v>
          </cell>
          <cell r="AB29">
            <v>0</v>
          </cell>
          <cell r="AC29">
            <v>0</v>
          </cell>
          <cell r="AD29">
            <v>0</v>
          </cell>
          <cell r="AE29">
            <v>2</v>
          </cell>
          <cell r="AF29" t="str">
            <v>01/01/2026</v>
          </cell>
          <cell r="AG29" t="str">
            <v>01/01/2028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20000000</v>
          </cell>
          <cell r="AN29">
            <v>17000000</v>
          </cell>
          <cell r="AO29" t="str">
            <v>Gross</v>
          </cell>
          <cell r="AP29">
            <v>5310000</v>
          </cell>
          <cell r="AQ29">
            <v>14690000</v>
          </cell>
          <cell r="AR29" t="str">
            <v>Mười bốn triệu sáu trăm chín mươi ngàn đồng</v>
          </cell>
          <cell r="AS29">
            <v>0</v>
          </cell>
          <cell r="AT29" t="str">
            <v>Nam</v>
          </cell>
          <cell r="AU29">
            <v>0</v>
          </cell>
          <cell r="AV29" t="str">
            <v>T1/2026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 t="str">
            <v>Lầu 3, 451/24/4 Tô Hiến Thành, P.14, Q.10, Tp.HCM</v>
          </cell>
          <cell r="BF29">
            <v>9</v>
          </cell>
          <cell r="BG29">
            <v>4</v>
          </cell>
          <cell r="BH29">
            <v>2000</v>
          </cell>
          <cell r="BI29">
            <v>3</v>
          </cell>
          <cell r="BJ29">
            <v>11</v>
          </cell>
          <cell r="BK29">
            <v>2025</v>
          </cell>
          <cell r="BL29" t="str">
            <v>3/11/2025</v>
          </cell>
        </row>
        <row r="30">
          <cell r="C30" t="str">
            <v>NGUYỄN VŨ KHÔI</v>
          </cell>
          <cell r="D30" t="str">
            <v>11/12/2005</v>
          </cell>
          <cell r="E30" t="str">
            <v>Ninh Quý, Phước Dân, Khánh Hòa</v>
          </cell>
          <cell r="F30" t="str">
            <v>68 Thống Nhất, Tân Thành, Tân Phú</v>
          </cell>
          <cell r="G30" t="str">
            <v>0329999640</v>
          </cell>
          <cell r="H30" t="str">
            <v>nvukhoi329@gmail.com</v>
          </cell>
          <cell r="I30" t="str">
            <v>058205004288</v>
          </cell>
          <cell r="J30">
            <v>5820500550</v>
          </cell>
          <cell r="K30" t="str">
            <v>058205004288</v>
          </cell>
          <cell r="L30" t="str">
            <v>19/02/2024</v>
          </cell>
          <cell r="M30" t="str">
            <v>CỤC CẢNH SÁT QUẢN LÝ HÀNH CHÍNH VỀ TRẬT TỰ XÃ HỘI</v>
          </cell>
          <cell r="N30" t="str">
            <v>1025444220</v>
          </cell>
          <cell r="O30" t="str">
            <v>Vietcombank</v>
          </cell>
          <cell r="P30" t="str">
            <v>25/12/2025</v>
          </cell>
          <cell r="Q30" t="str">
            <v>Thực tập sinh Marketing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Medigo</v>
          </cell>
          <cell r="X30" t="str">
            <v>Thực tập</v>
          </cell>
          <cell r="Y30" t="str">
            <v>Marketing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3000000</v>
          </cell>
          <cell r="AN30">
            <v>2500000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nam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 t="str">
            <v>Lầu 1, 207 Nguyễn Chí Thanh, P.12, Q.5</v>
          </cell>
          <cell r="BF30">
            <v>11</v>
          </cell>
          <cell r="BG30">
            <v>12</v>
          </cell>
          <cell r="BH30">
            <v>2005</v>
          </cell>
          <cell r="BI30">
            <v>25</v>
          </cell>
          <cell r="BJ30">
            <v>12</v>
          </cell>
          <cell r="BK30">
            <v>2025</v>
          </cell>
          <cell r="BL30" t="str">
            <v>25/12/2025</v>
          </cell>
        </row>
        <row r="31">
          <cell r="C31" t="str">
            <v>NGUYỄN THỊ THU HUỆ</v>
          </cell>
          <cell r="D31" t="str">
            <v>07/12/2005</v>
          </cell>
          <cell r="E31" t="str">
            <v>Mỹ Sơn, Tam Anh, TP. Đà Nẵng</v>
          </cell>
          <cell r="F31" t="str">
            <v>39/26 Bùi Văn Ba, P. Tân Thuận, TP. Hồ Chí Minh</v>
          </cell>
          <cell r="G31" t="str">
            <v>0703021162</v>
          </cell>
          <cell r="H31" t="str">
            <v>huenguyen.07122005@gmail.com</v>
          </cell>
          <cell r="I31">
            <v>0</v>
          </cell>
          <cell r="J31">
            <v>0</v>
          </cell>
          <cell r="K31" t="str">
            <v>049305011969</v>
          </cell>
          <cell r="L31" t="str">
            <v>13/8/2021</v>
          </cell>
          <cell r="M31" t="str">
            <v>Cục Cảnh sát quản lý hành chính về trật tự xã hội</v>
          </cell>
          <cell r="N31" t="str">
            <v>41042747</v>
          </cell>
          <cell r="O31" t="str">
            <v>Ngân hàng Á Châu (ACB)</v>
          </cell>
          <cell r="P31" t="str">
            <v>29/12/2025</v>
          </cell>
          <cell r="Q31" t="str">
            <v>Thực tập sinh Marketing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Medigo</v>
          </cell>
          <cell r="X31" t="str">
            <v>Thực tập</v>
          </cell>
          <cell r="Y31" t="str">
            <v>Marketing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1500000</v>
          </cell>
          <cell r="AN31">
            <v>1500000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 t="str">
            <v>nữ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 t="str">
            <v>Lầu 1, 207 Nguyễn Chí Thanh, P.12, Q.5</v>
          </cell>
          <cell r="BF31">
            <v>7</v>
          </cell>
          <cell r="BG31">
            <v>12</v>
          </cell>
          <cell r="BH31">
            <v>2005</v>
          </cell>
          <cell r="BI31">
            <v>29</v>
          </cell>
          <cell r="BJ31">
            <v>12</v>
          </cell>
          <cell r="BK31">
            <v>2025</v>
          </cell>
          <cell r="BL31" t="str">
            <v>29/12/2025</v>
          </cell>
        </row>
        <row r="32">
          <cell r="C32" t="str">
            <v>LAI THỊ BÍCH CHÂU</v>
          </cell>
          <cell r="D32" t="str">
            <v>2/3/2004</v>
          </cell>
          <cell r="E32" t="str">
            <v>528 An Dương Vương phường 10 quận 6 thành phố Hồ Chí Minh</v>
          </cell>
          <cell r="F32" t="str">
            <v>528 An Dương Vương phường 10 quận 6 thành phố Hồ Chí Minh</v>
          </cell>
          <cell r="G32" t="str">
            <v>0768694764</v>
          </cell>
          <cell r="H32" t="str">
            <v>laithibichchau020304@gmail.com</v>
          </cell>
          <cell r="I32">
            <v>0</v>
          </cell>
          <cell r="J32">
            <v>7933489747</v>
          </cell>
          <cell r="K32" t="str">
            <v>079304019166</v>
          </cell>
          <cell r="L32" t="str">
            <v>20/12/2021</v>
          </cell>
          <cell r="M32" t="str">
            <v>Cục cảnh sát</v>
          </cell>
          <cell r="N32" t="str">
            <v>951004960615</v>
          </cell>
          <cell r="O32" t="str">
            <v>Techcombank</v>
          </cell>
          <cell r="P32" t="str">
            <v>12/1/2026</v>
          </cell>
          <cell r="Q32" t="str">
            <v>Thực tập sinh Marketing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Medigo</v>
          </cell>
          <cell r="X32" t="str">
            <v>Thực tập</v>
          </cell>
          <cell r="Y32" t="str">
            <v>Marketing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 t="str">
            <v>12/01/2026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1500000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 t="str">
            <v>nữ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E32" t="str">
            <v>Lầu 1, 207 Nguyễn Chí Thanh, P.12, Q.5</v>
          </cell>
          <cell r="BF32">
            <v>2</v>
          </cell>
          <cell r="BG32">
            <v>3</v>
          </cell>
          <cell r="BH32">
            <v>2004</v>
          </cell>
          <cell r="BI32">
            <v>12</v>
          </cell>
          <cell r="BJ32">
            <v>1</v>
          </cell>
          <cell r="BK32">
            <v>2026</v>
          </cell>
          <cell r="BL32" t="str">
            <v>12/1/2026</v>
          </cell>
        </row>
        <row r="33">
          <cell r="C33" t="str">
            <v>QUÁCH XUÂN PHONG</v>
          </cell>
          <cell r="D33" t="str">
            <v>08/02/1984</v>
          </cell>
          <cell r="E33" t="str">
            <v>4.19 Khối A3, chung cư Hiệp Bình Phước - Tam Bình, đường Gò Dưa, khu phố 9, phường Hiệp Bình, TPHCM</v>
          </cell>
          <cell r="F33" t="str">
            <v>63/6/4A đường 12, khu phố 11, phường Tam Bình, TPHCM</v>
          </cell>
          <cell r="G33" t="str">
            <v>0988949284</v>
          </cell>
          <cell r="H33" t="str">
            <v>dsquachxuanphong@gmail.com</v>
          </cell>
          <cell r="I33">
            <v>0</v>
          </cell>
          <cell r="J33">
            <v>0</v>
          </cell>
          <cell r="K33" t="str">
            <v>046084000254</v>
          </cell>
          <cell r="L33" t="str">
            <v>12/11/2022</v>
          </cell>
          <cell r="M33" t="str">
            <v>Cục Cảnh sát Quản lý hành chính về TTXH</v>
          </cell>
          <cell r="N33" t="str">
            <v>0181003320736</v>
          </cell>
          <cell r="O33" t="str">
            <v>Vietcombank</v>
          </cell>
          <cell r="P33" t="str">
            <v>01/02/2026</v>
          </cell>
          <cell r="Q33" t="str">
            <v>Chief Growth Officer</v>
          </cell>
          <cell r="R33" t="str">
            <v>Thạc sĩ Sale and Marketing - nước Pháp; ĐH Dược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 t="str">
            <v>Medigo</v>
          </cell>
          <cell r="X33">
            <v>0</v>
          </cell>
          <cell r="Y33" t="str">
            <v>BGĐ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2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30578000</v>
          </cell>
          <cell r="AN33">
            <v>0</v>
          </cell>
          <cell r="AO33">
            <v>0</v>
          </cell>
          <cell r="AP33">
            <v>5310000</v>
          </cell>
          <cell r="AQ33">
            <v>25268000</v>
          </cell>
          <cell r="AR33">
            <v>0</v>
          </cell>
          <cell r="AS33">
            <v>0</v>
          </cell>
          <cell r="AT33" t="str">
            <v>Nam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 t="str">
            <v>Lầu 3, 451/24/4 Tô Hiến Thành, P.14, Q.10, Tp.HCM</v>
          </cell>
          <cell r="BF33">
            <v>8</v>
          </cell>
          <cell r="BG33">
            <v>2</v>
          </cell>
          <cell r="BH33">
            <v>1984</v>
          </cell>
          <cell r="BI33">
            <v>2</v>
          </cell>
          <cell r="BJ33">
            <v>2</v>
          </cell>
          <cell r="BK33">
            <v>2026</v>
          </cell>
          <cell r="BL33" t="str">
            <v>2/2/2026</v>
          </cell>
        </row>
        <row r="34">
          <cell r="C34" t="str">
            <v>TRẦN THỊ MINH PHƯỢNG</v>
          </cell>
          <cell r="D34" t="str">
            <v>18/12/1992</v>
          </cell>
          <cell r="E34" t="str">
            <v>4.19 Khối A3, chung cư Hiệp Bình Phước - Tam Bình, đường Gò Dưa, khu phố 9, phường Hiệp Bình, TPHCM</v>
          </cell>
          <cell r="F34" t="str">
            <v>63/6/4A đường 12, khu phố 11, phường Tam Bình, TPHCM</v>
          </cell>
          <cell r="G34" t="str">
            <v>0988949284</v>
          </cell>
          <cell r="H34" t="str">
            <v>minhphuongpharma@gmail.com</v>
          </cell>
          <cell r="I34" t="str">
            <v>8678288830</v>
          </cell>
          <cell r="J34" t="str">
            <v>7915217456</v>
          </cell>
          <cell r="K34" t="str">
            <v>070192000130</v>
          </cell>
          <cell r="L34" t="str">
            <v>22/11/2021</v>
          </cell>
          <cell r="M34" t="str">
            <v>Cục Cảnh sát Quản lý hành chính về TTXH</v>
          </cell>
          <cell r="N34" t="str">
            <v>19034554431014</v>
          </cell>
          <cell r="O34" t="str">
            <v>Techcombank</v>
          </cell>
          <cell r="P34" t="str">
            <v>02/2/2026</v>
          </cell>
          <cell r="Q34" t="str">
            <v>Chief Growth Officer</v>
          </cell>
          <cell r="R34" t="str">
            <v>Thạc sĩ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Medigo</v>
          </cell>
          <cell r="X34" t="str">
            <v>HỢP ĐỒNG CÓ THỜI HẠN</v>
          </cell>
          <cell r="Y34" t="str">
            <v>BGĐ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2</v>
          </cell>
          <cell r="AF34" t="str">
            <v>02/02/2026</v>
          </cell>
          <cell r="AG34" t="str">
            <v>02/02/2028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30578000</v>
          </cell>
          <cell r="AN34">
            <v>0</v>
          </cell>
          <cell r="AO34">
            <v>0</v>
          </cell>
          <cell r="AP34">
            <v>5310000</v>
          </cell>
          <cell r="AQ34">
            <v>25268000</v>
          </cell>
          <cell r="AR34" t="str">
            <v>Hai mươi lăm triệu hai trăm sáu mươi tám ngàn đồng</v>
          </cell>
          <cell r="AS34">
            <v>0</v>
          </cell>
          <cell r="AT34" t="str">
            <v>Nữ</v>
          </cell>
          <cell r="AU34">
            <v>0</v>
          </cell>
          <cell r="AV34" t="str">
            <v>T2/2026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 t="str">
            <v>Lầu 3, 451/24/4 Tô Hiến Thành, P.14, Q.10, Tp.HCM</v>
          </cell>
          <cell r="BF34">
            <v>18</v>
          </cell>
          <cell r="BG34">
            <v>12</v>
          </cell>
          <cell r="BH34">
            <v>1992</v>
          </cell>
          <cell r="BI34">
            <v>2</v>
          </cell>
          <cell r="BJ34">
            <v>2</v>
          </cell>
          <cell r="BK34">
            <v>2026</v>
          </cell>
          <cell r="BL34" t="str">
            <v>2/2/2026</v>
          </cell>
        </row>
        <row r="35">
          <cell r="C35" t="str">
            <v>VÕ PHẠM BĂNG TÂM</v>
          </cell>
          <cell r="D35" t="str">
            <v>07/04/2004</v>
          </cell>
          <cell r="E35" t="str">
            <v>Thị trấn Chợ Chùa, Nghĩa Hành, Quảng Ngãi</v>
          </cell>
          <cell r="F35" t="str">
            <v>Phước Kiểng, Nhà Bè, Tp. Hồ Chí Minh</v>
          </cell>
          <cell r="G35" t="str">
            <v>0364749838</v>
          </cell>
          <cell r="H35" t="str">
            <v>vobangtam04@gmail.com</v>
          </cell>
          <cell r="I35" t="str">
            <v>031304011857</v>
          </cell>
          <cell r="K35" t="str">
            <v>031304011857</v>
          </cell>
          <cell r="L35" t="str">
            <v>14/09/2021</v>
          </cell>
          <cell r="M35" t="str">
            <v>Cục cảnh sát</v>
          </cell>
          <cell r="N35" t="str">
            <v>1031720061</v>
          </cell>
          <cell r="O35" t="str">
            <v>Vietcombank</v>
          </cell>
          <cell r="P35" t="str">
            <v>03/11/2025</v>
          </cell>
          <cell r="Q35" t="str">
            <v>Thực tập Marketing</v>
          </cell>
          <cell r="W35" t="str">
            <v>Medigo</v>
          </cell>
          <cell r="X35" t="str">
            <v>Thực tập</v>
          </cell>
          <cell r="Y35" t="str">
            <v>Marketing</v>
          </cell>
          <cell r="AM35">
            <v>3000000</v>
          </cell>
          <cell r="AN35">
            <v>3000000</v>
          </cell>
          <cell r="AT35" t="str">
            <v>Nữ</v>
          </cell>
          <cell r="BE35" t="str">
            <v>Lầu 1, 207 Nguyễn Chí Thanh, P.12, Q.5</v>
          </cell>
          <cell r="BF35">
            <v>7</v>
          </cell>
          <cell r="BG35">
            <v>4</v>
          </cell>
          <cell r="BH35">
            <v>2004</v>
          </cell>
          <cell r="BI35">
            <v>3</v>
          </cell>
          <cell r="BJ35">
            <v>11</v>
          </cell>
          <cell r="BK35">
            <v>2025</v>
          </cell>
          <cell r="BL35" t="str">
            <v>3/11/2025</v>
          </cell>
        </row>
        <row r="36">
          <cell r="C36" t="str">
            <v>LÊ NGỌC THÚY VY</v>
          </cell>
          <cell r="D36" t="str">
            <v>01/10/2004</v>
          </cell>
          <cell r="E36" t="str">
            <v>28 Hùng Vương, Hồng Ngự tỉnh Đồng Tháp</v>
          </cell>
          <cell r="F36" t="str">
            <v>645/19 Điện Biên Phủ Q3</v>
          </cell>
          <cell r="G36" t="str">
            <v>0949649507</v>
          </cell>
          <cell r="H36" t="str">
            <v>vy1102004@gmail.com</v>
          </cell>
          <cell r="I36" t="str">
            <v>087304010314</v>
          </cell>
          <cell r="J36" t="str">
            <v>Chưa có</v>
          </cell>
          <cell r="K36" t="str">
            <v>087304010314</v>
          </cell>
          <cell r="L36" t="str">
            <v>12/08/2021</v>
          </cell>
          <cell r="M36" t="str">
            <v>Hồng Ngự-Đồng Tháp</v>
          </cell>
          <cell r="N36">
            <v>1023965471</v>
          </cell>
          <cell r="O36" t="str">
            <v>Vietcombank</v>
          </cell>
          <cell r="P36" t="str">
            <v>07/11/2025</v>
          </cell>
          <cell r="Q36" t="str">
            <v>Thực tập sinh Thiết kế đồ hoạ</v>
          </cell>
          <cell r="W36" t="str">
            <v>Medigo</v>
          </cell>
          <cell r="X36" t="str">
            <v>Thực tập</v>
          </cell>
          <cell r="Y36" t="str">
            <v>Marketing</v>
          </cell>
          <cell r="Z36" t="str">
            <v>07/11/2025</v>
          </cell>
          <cell r="AM36">
            <v>2500000</v>
          </cell>
          <cell r="AN36">
            <v>2500000</v>
          </cell>
          <cell r="AT36" t="str">
            <v>Nữ</v>
          </cell>
          <cell r="BE36" t="str">
            <v>Lầu 1, 207 Nguyễn Chí Thanh, P.12, Q.5</v>
          </cell>
          <cell r="BF36">
            <v>1</v>
          </cell>
          <cell r="BG36">
            <v>10</v>
          </cell>
          <cell r="BH36">
            <v>2004</v>
          </cell>
          <cell r="BI36">
            <v>7</v>
          </cell>
          <cell r="BJ36">
            <v>11</v>
          </cell>
          <cell r="BK36">
            <v>2025</v>
          </cell>
          <cell r="BL36" t="str">
            <v>7/11/2025</v>
          </cell>
        </row>
        <row r="37">
          <cell r="C37" t="str">
            <v>LÊ ĐÌNH HỒNG KIM</v>
          </cell>
          <cell r="D37" t="str">
            <v>20/07/2004</v>
          </cell>
          <cell r="E37" t="str">
            <v>10/22 Phạm Phú Thứ, Phường B'Lao, tỉnh Lâm Đồng</v>
          </cell>
          <cell r="F37" t="str">
            <v>Chung cư Giai Việt (854-856 Tạ Quang Bửu, Phường Chánh Hưng)</v>
          </cell>
          <cell r="G37" t="str">
            <v>0783200704</v>
          </cell>
          <cell r="H37" t="str">
            <v>ledinhhongkim.work@gmail.com</v>
          </cell>
          <cell r="I37" t="str">
            <v>068304009629</v>
          </cell>
          <cell r="J37" t="str">
            <v>6821571697</v>
          </cell>
          <cell r="K37" t="str">
            <v>068304009629</v>
          </cell>
          <cell r="L37" t="str">
            <v>31/05/2021</v>
          </cell>
          <cell r="M37" t="str">
            <v>Cục trưởng cục Cảnh sát quản lý hành chính về trật tự xã hội</v>
          </cell>
          <cell r="N37" t="str">
            <v>1028768290</v>
          </cell>
          <cell r="O37" t="str">
            <v>Vietcombank</v>
          </cell>
          <cell r="P37" t="str">
            <v>10/11/2025</v>
          </cell>
          <cell r="Q37" t="str">
            <v>Marketing Intern</v>
          </cell>
          <cell r="W37" t="str">
            <v>Medigo</v>
          </cell>
          <cell r="X37" t="str">
            <v>Thực tập</v>
          </cell>
          <cell r="Y37" t="str">
            <v>Marketing</v>
          </cell>
          <cell r="AM37">
            <v>3000000</v>
          </cell>
          <cell r="AN37">
            <v>3000000</v>
          </cell>
          <cell r="AT37" t="str">
            <v>Nữ</v>
          </cell>
          <cell r="BE37" t="str">
            <v>Lầu 1, 207 Nguyễn Chí Thanh, P.12, Q.5</v>
          </cell>
          <cell r="BF37">
            <v>20</v>
          </cell>
          <cell r="BG37">
            <v>7</v>
          </cell>
          <cell r="BH37">
            <v>2004</v>
          </cell>
          <cell r="BI37">
            <v>10</v>
          </cell>
          <cell r="BJ37">
            <v>11</v>
          </cell>
          <cell r="BK37">
            <v>2025</v>
          </cell>
          <cell r="BL37" t="str">
            <v>10/11/2025</v>
          </cell>
        </row>
        <row r="38">
          <cell r="C38" t="str">
            <v>ĐẬU NHẬT THẢO VY</v>
          </cell>
          <cell r="D38" t="str">
            <v>30/04/2005</v>
          </cell>
          <cell r="E38" t="str">
            <v>Ấp Đất Mới, Xã Long Phước, Huyện Long Thành, Tỉnh Đồng Nai</v>
          </cell>
          <cell r="F38" t="str">
            <v>156/7c Tô Hiến Thành phường 15 quận 10</v>
          </cell>
          <cell r="G38" t="str">
            <v>0798595141</v>
          </cell>
          <cell r="H38" t="str">
            <v>daunhatthaovy2005@gmail.com</v>
          </cell>
          <cell r="I38" t="str">
            <v>8778750978</v>
          </cell>
          <cell r="J38" t="str">
            <v>Không</v>
          </cell>
          <cell r="K38" t="str">
            <v>075305022320</v>
          </cell>
          <cell r="L38" t="str">
            <v>17/06/2022</v>
          </cell>
          <cell r="M38" t="str">
            <v>Cục Cảnh sát</v>
          </cell>
          <cell r="N38">
            <v>1040283619</v>
          </cell>
          <cell r="O38" t="str">
            <v>Vietcombank</v>
          </cell>
          <cell r="P38" t="str">
            <v>11/11/2025</v>
          </cell>
          <cell r="Q38" t="str">
            <v>Thực tập sinh Marketing</v>
          </cell>
          <cell r="W38" t="str">
            <v>Medigo</v>
          </cell>
          <cell r="X38" t="str">
            <v>Thực tập</v>
          </cell>
          <cell r="Y38" t="str">
            <v>Marketing</v>
          </cell>
          <cell r="AM38">
            <v>1500000</v>
          </cell>
          <cell r="AN38">
            <v>1500000</v>
          </cell>
          <cell r="AT38" t="str">
            <v>Nữ</v>
          </cell>
          <cell r="BE38" t="str">
            <v>Lầu 1, 207 Nguyễn Chí Thanh, P.12, Q.5</v>
          </cell>
          <cell r="BF38">
            <v>30</v>
          </cell>
          <cell r="BG38">
            <v>4</v>
          </cell>
          <cell r="BH38">
            <v>2005</v>
          </cell>
          <cell r="BI38">
            <v>11</v>
          </cell>
          <cell r="BJ38">
            <v>11</v>
          </cell>
          <cell r="BK38">
            <v>2025</v>
          </cell>
          <cell r="BL38" t="str">
            <v>11/11/2025</v>
          </cell>
        </row>
        <row r="39">
          <cell r="C39" t="str">
            <v>LÊ THỊ KIM VUI</v>
          </cell>
          <cell r="D39" t="str">
            <v>09/9/2002</v>
          </cell>
          <cell r="E39" t="str">
            <v>ấp Minh Thượng, xã U Minh Thượng, tỉnh An Giang</v>
          </cell>
          <cell r="F39" t="str">
            <v>51 Sơn Kỳ, phường Tân Sơn Nhì, TP HCM</v>
          </cell>
          <cell r="G39" t="str">
            <v>0938942240</v>
          </cell>
          <cell r="H39" t="str">
            <v>ltkv0909@gmail.com</v>
          </cell>
          <cell r="I39" t="str">
            <v>8939778737</v>
          </cell>
          <cell r="J39" t="str">
            <v>9123190344</v>
          </cell>
          <cell r="K39" t="str">
            <v>091302015853</v>
          </cell>
          <cell r="L39" t="str">
            <v>23/7/2022</v>
          </cell>
          <cell r="M39" t="str">
            <v>Cục cảnh sát</v>
          </cell>
          <cell r="N39" t="str">
            <v>104884633629</v>
          </cell>
          <cell r="O39" t="str">
            <v>Vietinbank</v>
          </cell>
          <cell r="P39" t="str">
            <v>10/11/2025</v>
          </cell>
          <cell r="Q39" t="str">
            <v>Thực tập sinh Marketing</v>
          </cell>
          <cell r="R39" t="str">
            <v>Đại học</v>
          </cell>
          <cell r="W39" t="str">
            <v>Medigo</v>
          </cell>
          <cell r="X39" t="str">
            <v>Thực tập</v>
          </cell>
          <cell r="Y39" t="str">
            <v>Marketing</v>
          </cell>
          <cell r="AM39">
            <v>1500000</v>
          </cell>
          <cell r="AN39">
            <v>1500000</v>
          </cell>
          <cell r="AT39" t="str">
            <v>Nữ</v>
          </cell>
          <cell r="BE39" t="str">
            <v>Lầu 1, 207 Nguyễn Chí Thanh, P.12, Q.5</v>
          </cell>
          <cell r="BF39">
            <v>9</v>
          </cell>
          <cell r="BG39">
            <v>9</v>
          </cell>
          <cell r="BH39">
            <v>2002</v>
          </cell>
          <cell r="BI39">
            <v>10</v>
          </cell>
          <cell r="BJ39">
            <v>11</v>
          </cell>
          <cell r="BK39">
            <v>2025</v>
          </cell>
          <cell r="BL39" t="str">
            <v>10/11/2025</v>
          </cell>
        </row>
        <row r="40">
          <cell r="C40" t="str">
            <v>LÊ THỊ KIM OANH</v>
          </cell>
          <cell r="D40" t="str">
            <v>24/12/2003</v>
          </cell>
          <cell r="E40" t="str">
            <v>Khu 7, Thuỵ Lôi, Thuỵ Lâm, Đông Anh, Hà Nội</v>
          </cell>
          <cell r="F40" t="str">
            <v>Khu 7, Thuỵ Lôi, Thuỵ Lâm, Đông Anh, Hà Nội</v>
          </cell>
          <cell r="G40" t="str">
            <v>0327982002</v>
          </cell>
          <cell r="H40" t="str">
            <v>kimoanh241203@gmail.com</v>
          </cell>
          <cell r="I40" t="str">
            <v>8852026683</v>
          </cell>
          <cell r="J40" t="str">
            <v>không cố</v>
          </cell>
          <cell r="K40" t="str">
            <v>001303019033</v>
          </cell>
          <cell r="L40" t="str">
            <v>25/4/2021</v>
          </cell>
          <cell r="M40" t="str">
            <v>Cục Cảnh Sát Quản Lý Hành Chính về Trật Tự Xã Hội Hà Nội</v>
          </cell>
          <cell r="N40" t="str">
            <v>0300124122003</v>
          </cell>
          <cell r="O40" t="str">
            <v>MB Bank</v>
          </cell>
          <cell r="P40" t="str">
            <v>12/11/2025</v>
          </cell>
          <cell r="Q40" t="str">
            <v>Cộng tác viên nhập liệu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 t="str">
            <v>Medigo</v>
          </cell>
          <cell r="X40" t="str">
            <v>Thực tập</v>
          </cell>
          <cell r="Y40" t="str">
            <v>Marketing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 t="str">
            <v>Nữ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 t="str">
            <v>online</v>
          </cell>
          <cell r="BF40">
            <v>24</v>
          </cell>
          <cell r="BG40">
            <v>12</v>
          </cell>
          <cell r="BH40">
            <v>2003</v>
          </cell>
          <cell r="BI40">
            <v>12</v>
          </cell>
          <cell r="BJ40">
            <v>11</v>
          </cell>
          <cell r="BK40">
            <v>2025</v>
          </cell>
          <cell r="BL40" t="str">
            <v>12/11/2025</v>
          </cell>
        </row>
        <row r="41">
          <cell r="C41" t="str">
            <v>NGUYỄN HUỲNH THU AN</v>
          </cell>
          <cell r="D41" t="str">
            <v>14/02/2001</v>
          </cell>
          <cell r="E41" t="str">
            <v>Xã Long Phụng, huyện Mộ Đức, tỉnh Quảng Ngãi</v>
          </cell>
          <cell r="F41" t="str">
            <v>Xã Long Phụng, huyện Mộ Đức, tỉnh Quảng Ngãi</v>
          </cell>
          <cell r="G41" t="str">
            <v>0899034189</v>
          </cell>
          <cell r="H41" t="str">
            <v>Fallan7839@gmail.com</v>
          </cell>
          <cell r="I41" t="str">
            <v>8844226720</v>
          </cell>
          <cell r="J41">
            <v>0</v>
          </cell>
          <cell r="K41" t="str">
            <v>051301012642</v>
          </cell>
          <cell r="L41" t="str">
            <v>12/01/2022</v>
          </cell>
          <cell r="M41" t="str">
            <v>Cục Cảnh sát</v>
          </cell>
          <cell r="N41" t="str">
            <v>5611217839</v>
          </cell>
          <cell r="O41" t="str">
            <v>BIDV</v>
          </cell>
          <cell r="P41" t="str">
            <v>12/11/2025</v>
          </cell>
          <cell r="Q41" t="str">
            <v>Cộng tác viên nhập liệu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Medigo</v>
          </cell>
          <cell r="X41" t="str">
            <v>Thực tập</v>
          </cell>
          <cell r="Y41" t="str">
            <v>Marketing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 t="str">
            <v>Nữ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 t="str">
            <v>online</v>
          </cell>
          <cell r="BF41">
            <v>14</v>
          </cell>
          <cell r="BG41">
            <v>2</v>
          </cell>
          <cell r="BH41">
            <v>2001</v>
          </cell>
          <cell r="BI41">
            <v>12</v>
          </cell>
          <cell r="BJ41">
            <v>11</v>
          </cell>
          <cell r="BK41">
            <v>2025</v>
          </cell>
          <cell r="BL41" t="str">
            <v>12/11/2025</v>
          </cell>
        </row>
        <row r="42">
          <cell r="C42" t="str">
            <v>VU CAO HOÀNG YẾN</v>
          </cell>
          <cell r="D42" t="str">
            <v>17/12/2002</v>
          </cell>
          <cell r="E42" t="str">
            <v>156/7c Tô Hiến Thành phường 15 quận 10</v>
          </cell>
          <cell r="F42" t="str">
            <v>156/7c Tô Hiến Thành phường 15 quận 10</v>
          </cell>
          <cell r="G42" t="str">
            <v>0838465152</v>
          </cell>
          <cell r="H42" t="str">
            <v>caohoangyenvu@gmail.com</v>
          </cell>
          <cell r="I42" t="str">
            <v>8778750978</v>
          </cell>
          <cell r="J42" t="str">
            <v>Không</v>
          </cell>
          <cell r="K42" t="str">
            <v>079302034744</v>
          </cell>
          <cell r="L42" t="str">
            <v>24/11/2019</v>
          </cell>
          <cell r="M42" t="str">
            <v>Cục Cảnh sát</v>
          </cell>
          <cell r="N42" t="str">
            <v>0411 5542 301</v>
          </cell>
          <cell r="O42" t="str">
            <v>Tiên phong Bank</v>
          </cell>
          <cell r="P42" t="str">
            <v>13/11/2025</v>
          </cell>
          <cell r="Q42" t="str">
            <v>Cộng tác viên nhập liệu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Medigo</v>
          </cell>
          <cell r="X42" t="str">
            <v>Thực tập</v>
          </cell>
          <cell r="Y42" t="str">
            <v>Marketing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 t="str">
            <v>Nữ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 t="str">
            <v>online</v>
          </cell>
          <cell r="BF42">
            <v>17</v>
          </cell>
          <cell r="BG42">
            <v>12</v>
          </cell>
          <cell r="BH42">
            <v>2002</v>
          </cell>
          <cell r="BI42">
            <v>13</v>
          </cell>
          <cell r="BJ42">
            <v>11</v>
          </cell>
          <cell r="BK42">
            <v>2025</v>
          </cell>
          <cell r="BL42" t="str">
            <v>13/11/2025</v>
          </cell>
        </row>
        <row r="43">
          <cell r="C43" t="str">
            <v>LÝ BẢO TRÂN</v>
          </cell>
          <cell r="D43" t="str">
            <v>05/10/1999</v>
          </cell>
          <cell r="E43" t="str">
            <v>42 Hùng Vương, phường Rạch Giá, tỉnh An Giang</v>
          </cell>
          <cell r="F43" t="str">
            <v>13 Nguyễn Thị Xiếu, phường Tân Thuận, tp. Hồ Chí Minh</v>
          </cell>
          <cell r="G43" t="str">
            <v>0368783915</v>
          </cell>
          <cell r="H43" t="str">
            <v>baotrankg1999@gmail.com</v>
          </cell>
          <cell r="I43">
            <v>8755997231</v>
          </cell>
          <cell r="J43">
            <v>9121784948</v>
          </cell>
          <cell r="K43" t="str">
            <v>091199011397</v>
          </cell>
          <cell r="L43" t="str">
            <v>27/11/2024</v>
          </cell>
          <cell r="M43" t="str">
            <v>CỤC TRƯỞNG CỤC CẢNH SÁT QUẢN LÝ HÀNH CHÍNH VỀ TRẬT TỰ XÃ HỘI</v>
          </cell>
          <cell r="N43" t="str">
            <v>1044880228</v>
          </cell>
          <cell r="O43" t="str">
            <v>Vietcombank</v>
          </cell>
          <cell r="P43" t="str">
            <v>18/11/2025</v>
          </cell>
          <cell r="Q43" t="str">
            <v>Cộng tác viên nhập liệu</v>
          </cell>
          <cell r="R43" t="str">
            <v>Đại học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 t="str">
            <v>Medigo</v>
          </cell>
          <cell r="X43" t="str">
            <v>Dịch vụ</v>
          </cell>
          <cell r="Y43" t="str">
            <v>INVENTORY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 t="str">
            <v>Nữ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 t="str">
            <v>online</v>
          </cell>
          <cell r="BF43">
            <v>5</v>
          </cell>
          <cell r="BG43">
            <v>10</v>
          </cell>
          <cell r="BH43">
            <v>1999</v>
          </cell>
          <cell r="BI43">
            <v>18</v>
          </cell>
          <cell r="BJ43">
            <v>11</v>
          </cell>
          <cell r="BK43">
            <v>2025</v>
          </cell>
          <cell r="BL43" t="str">
            <v>18/11/2025</v>
          </cell>
        </row>
        <row r="44">
          <cell r="C44" t="str">
            <v>NGUYỄN TRÍ THANH</v>
          </cell>
          <cell r="D44" t="str">
            <v>19/04/2002</v>
          </cell>
          <cell r="E44" t="str">
            <v>475/B2 đường CMT8, Khu phố 25, Phường Hoà hưng, Thành phố Hồ Chí Minh</v>
          </cell>
          <cell r="F44" t="str">
            <v>CC Hoàng Anh Thanh Bình đường D4, Phường Tân Hưng, Thành phố Hồ Chí Minh</v>
          </cell>
          <cell r="G44" t="str">
            <v>0963108417</v>
          </cell>
          <cell r="H44" t="str">
            <v>lostofnightmare@gmail.com</v>
          </cell>
          <cell r="I44" t="str">
            <v>079202000378</v>
          </cell>
          <cell r="J44">
            <v>7932474275</v>
          </cell>
          <cell r="K44" t="str">
            <v>079202000378</v>
          </cell>
          <cell r="L44" t="str">
            <v>07/03/2022</v>
          </cell>
          <cell r="M44" t="str">
            <v>CỤC TRƯỞNG CỤC CẢNH SÁT QUẢN LÝ HÀNH CHÍNH VỀ TRẬT TỰ XÃ HỘI</v>
          </cell>
          <cell r="N44" t="str">
            <v>0081001283848</v>
          </cell>
          <cell r="O44" t="str">
            <v>Vietcombank</v>
          </cell>
          <cell r="P44" t="str">
            <v>20/11/2025</v>
          </cell>
          <cell r="Q44" t="str">
            <v>Cộng tác viên nhập liệu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 t="str">
            <v>Medigo</v>
          </cell>
          <cell r="X44" t="str">
            <v>Dịch vụ</v>
          </cell>
          <cell r="Y44" t="str">
            <v>INVENTORY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 t="str">
            <v>Nam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 t="str">
            <v>online</v>
          </cell>
          <cell r="BF44">
            <v>19</v>
          </cell>
          <cell r="BG44">
            <v>4</v>
          </cell>
          <cell r="BH44">
            <v>2002</v>
          </cell>
          <cell r="BI44">
            <v>20</v>
          </cell>
          <cell r="BJ44">
            <v>11</v>
          </cell>
          <cell r="BK44">
            <v>2025</v>
          </cell>
          <cell r="BL44" t="str">
            <v>20/11/2025</v>
          </cell>
        </row>
        <row r="45">
          <cell r="C45" t="str">
            <v>PHAN THỊ THẢO VY</v>
          </cell>
          <cell r="D45" t="str">
            <v>24/01/1998</v>
          </cell>
          <cell r="E45" t="str">
            <v>Ấp Trang Trí, xã Xuyên Mộc, Thành phố Hồ Chí Minh</v>
          </cell>
          <cell r="F45" t="str">
            <v>159/1/6 Bạch Đằng, Phường Tân Sơn Hòa, Thành phố Hồ Chí Minh</v>
          </cell>
          <cell r="G45" t="str">
            <v>0359897071</v>
          </cell>
          <cell r="H45" t="str">
            <v>thaovy2401@gmail.com</v>
          </cell>
          <cell r="I45" t="str">
            <v>077198001619</v>
          </cell>
          <cell r="J45">
            <v>0</v>
          </cell>
          <cell r="K45" t="str">
            <v>077198001619</v>
          </cell>
          <cell r="L45" t="str">
            <v>08/09/2022</v>
          </cell>
          <cell r="M45" t="str">
            <v>CTCCSQLHCVTTXH</v>
          </cell>
          <cell r="N45" t="str">
            <v>105870299127</v>
          </cell>
          <cell r="O45" t="str">
            <v>VietinBank</v>
          </cell>
          <cell r="P45" t="str">
            <v>20/11/2025</v>
          </cell>
          <cell r="Q45" t="str">
            <v>Cộng tác viên nhập liệu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 t="str">
            <v>Medigo</v>
          </cell>
          <cell r="X45" t="str">
            <v>Dịch vụ</v>
          </cell>
          <cell r="Y45" t="str">
            <v>INVENTORY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 t="str">
            <v>Nữ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 t="str">
            <v>online</v>
          </cell>
          <cell r="BF45">
            <v>24</v>
          </cell>
          <cell r="BG45">
            <v>1</v>
          </cell>
          <cell r="BH45">
            <v>1998</v>
          </cell>
          <cell r="BI45">
            <v>20</v>
          </cell>
          <cell r="BJ45">
            <v>11</v>
          </cell>
          <cell r="BK45">
            <v>2025</v>
          </cell>
          <cell r="BL45" t="str">
            <v>20/11/2025</v>
          </cell>
        </row>
        <row r="46">
          <cell r="C46" t="str">
            <v>LƯƠNG PHƯƠNG CHI</v>
          </cell>
          <cell r="D46" t="str">
            <v>29/09/2000</v>
          </cell>
          <cell r="E46" t="str">
            <v>phường Hội Phú, tỉnh Gia Lai</v>
          </cell>
          <cell r="F46" t="str">
            <v>phường Hội Phú, tỉnh Gia Lai</v>
          </cell>
          <cell r="G46" t="str">
            <v>0915076084</v>
          </cell>
          <cell r="H46" t="str">
            <v>phuongchi2992000@gmail.com</v>
          </cell>
          <cell r="I46" t="str">
            <v>064300015098</v>
          </cell>
          <cell r="J46">
            <v>0</v>
          </cell>
          <cell r="K46" t="str">
            <v>064300015098</v>
          </cell>
          <cell r="L46" t="str">
            <v>21/08/2025</v>
          </cell>
          <cell r="M46" t="str">
            <v>Bộ công an</v>
          </cell>
          <cell r="N46" t="str">
            <v>0291000343779</v>
          </cell>
          <cell r="O46" t="str">
            <v>Vietcombank</v>
          </cell>
          <cell r="P46" t="str">
            <v>20/11/2025</v>
          </cell>
          <cell r="Q46" t="str">
            <v>Cộng tác viên nhập liệu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 t="str">
            <v>Medigo</v>
          </cell>
          <cell r="X46" t="str">
            <v>Dịch vụ</v>
          </cell>
          <cell r="Y46" t="str">
            <v>INVENTORY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 t="str">
            <v>Nữ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 t="str">
            <v>online</v>
          </cell>
          <cell r="BF46">
            <v>29</v>
          </cell>
          <cell r="BG46">
            <v>9</v>
          </cell>
          <cell r="BH46">
            <v>2000</v>
          </cell>
          <cell r="BI46">
            <v>21</v>
          </cell>
          <cell r="BJ46">
            <v>11</v>
          </cell>
          <cell r="BK46">
            <v>2025</v>
          </cell>
          <cell r="BL46" t="str">
            <v>21/11/2025</v>
          </cell>
        </row>
        <row r="47">
          <cell r="C47" t="str">
            <v>CAO PHAN NGỌC YẾN</v>
          </cell>
          <cell r="D47" t="str">
            <v>15/07/1998</v>
          </cell>
          <cell r="E47" t="str">
            <v>Khối phố 6, phường Hương Trà, TP. Đà Nẵng</v>
          </cell>
          <cell r="F47" t="str">
            <v>1002 Hương Lộ 2, phường Bình Trị Đông, quận Bình Tân, TP.HCM</v>
          </cell>
          <cell r="G47" t="str">
            <v>0325650123</v>
          </cell>
          <cell r="H47" t="str">
            <v>caophanngocyen157@gmail.com</v>
          </cell>
          <cell r="I47" t="str">
            <v>8493836890</v>
          </cell>
          <cell r="J47">
            <v>0</v>
          </cell>
          <cell r="K47" t="str">
            <v>049198012722</v>
          </cell>
          <cell r="L47" t="str">
            <v>26/02/2022</v>
          </cell>
          <cell r="M47" t="str">
            <v>Cục Cảnh sát quản lý hành chính về trật tự xã hội</v>
          </cell>
          <cell r="N47" t="str">
            <v>9325650123</v>
          </cell>
          <cell r="O47" t="str">
            <v>Ngân hàng Vietcombank</v>
          </cell>
          <cell r="P47" t="str">
            <v>20/11/2025</v>
          </cell>
          <cell r="Q47" t="str">
            <v>Cộng tác viên nhập liệu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Medigo</v>
          </cell>
          <cell r="X47" t="str">
            <v>Dịch vụ</v>
          </cell>
          <cell r="Y47" t="str">
            <v>INVENTORY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 t="str">
            <v>Nữ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 t="str">
            <v>online</v>
          </cell>
          <cell r="BF47">
            <v>15</v>
          </cell>
          <cell r="BG47">
            <v>7</v>
          </cell>
          <cell r="BH47">
            <v>1998</v>
          </cell>
          <cell r="BI47">
            <v>20</v>
          </cell>
          <cell r="BJ47">
            <v>11</v>
          </cell>
          <cell r="BK47">
            <v>2025</v>
          </cell>
          <cell r="BL47" t="str">
            <v>20/11/2025</v>
          </cell>
        </row>
        <row r="48">
          <cell r="C48" t="str">
            <v>NGUYỄN QUANG THỊ DỎN</v>
          </cell>
          <cell r="D48" t="str">
            <v>20/11/1995</v>
          </cell>
          <cell r="E48" t="str">
            <v>75/22/17 Dã Tượng, Nha Trang, Khánh Hòa</v>
          </cell>
          <cell r="F48">
            <v>0</v>
          </cell>
          <cell r="G48" t="str">
            <v>0797890258</v>
          </cell>
          <cell r="H48" t="str">
            <v>donnguyen95py@gmail.com</v>
          </cell>
          <cell r="I48" t="str">
            <v>054195008851</v>
          </cell>
          <cell r="J48">
            <v>0</v>
          </cell>
          <cell r="K48" t="str">
            <v>054195008851</v>
          </cell>
          <cell r="L48">
            <v>0</v>
          </cell>
          <cell r="M48">
            <v>0</v>
          </cell>
          <cell r="N48" t="str">
            <v>6011104987</v>
          </cell>
          <cell r="O48" t="str">
            <v>BIDV</v>
          </cell>
          <cell r="P48" t="str">
            <v>01/11/2025</v>
          </cell>
          <cell r="Q48" t="str">
            <v>Cộng tác viên nhập liệu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 t="str">
            <v>Medigo</v>
          </cell>
          <cell r="X48" t="str">
            <v>Dịch vụ</v>
          </cell>
          <cell r="Y48" t="str">
            <v>INVENTORY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 t="str">
            <v>Nữ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 t="str">
            <v>online</v>
          </cell>
          <cell r="BF48">
            <v>15</v>
          </cell>
          <cell r="BG48">
            <v>7</v>
          </cell>
          <cell r="BH48">
            <v>1998</v>
          </cell>
          <cell r="BI48">
            <v>20</v>
          </cell>
          <cell r="BJ48">
            <v>11</v>
          </cell>
          <cell r="BK48">
            <v>2025</v>
          </cell>
          <cell r="BL48" t="str">
            <v>20/11/2025</v>
          </cell>
        </row>
        <row r="49">
          <cell r="C49" t="str">
            <v>VŨ THÙY DUNG</v>
          </cell>
          <cell r="D49" t="str">
            <v>25/03/2001</v>
          </cell>
          <cell r="E49" t="str">
            <v>Yên Sở Hoàng Mai Hà Nội</v>
          </cell>
          <cell r="F49">
            <v>0</v>
          </cell>
          <cell r="G49" t="str">
            <v>0375893261</v>
          </cell>
          <cell r="H49" t="str">
            <v>Thuydungvu2532001@gmail.com</v>
          </cell>
          <cell r="I49">
            <v>0</v>
          </cell>
          <cell r="J49">
            <v>0</v>
          </cell>
          <cell r="K49" t="str">
            <v>001301003515</v>
          </cell>
          <cell r="L49" t="str">
            <v>21/04/2021</v>
          </cell>
          <cell r="M49" t="str">
            <v>CTCCSQLHCVTTXH</v>
          </cell>
          <cell r="N49" t="str">
            <v>19072449464011</v>
          </cell>
          <cell r="O49" t="str">
            <v>Techcombank</v>
          </cell>
          <cell r="P49" t="str">
            <v>01/11/2025</v>
          </cell>
          <cell r="Q49" t="str">
            <v>Cộng tác viên nhập liệu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Medigo</v>
          </cell>
          <cell r="X49" t="str">
            <v>Dịch vụ</v>
          </cell>
          <cell r="Y49" t="str">
            <v>INVENTORY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 t="str">
            <v>Nữ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 t="str">
            <v>online</v>
          </cell>
          <cell r="BF49">
            <v>15</v>
          </cell>
          <cell r="BG49">
            <v>7</v>
          </cell>
          <cell r="BH49">
            <v>1998</v>
          </cell>
          <cell r="BI49">
            <v>20</v>
          </cell>
          <cell r="BJ49">
            <v>11</v>
          </cell>
          <cell r="BK49">
            <v>2025</v>
          </cell>
          <cell r="BL49" t="str">
            <v>20/11/2025</v>
          </cell>
        </row>
        <row r="50">
          <cell r="C50" t="str">
            <v>DIỆP TIỂU LY</v>
          </cell>
          <cell r="D50" t="str">
            <v>19/05/1997</v>
          </cell>
          <cell r="E50" t="str">
            <v>xã Đức Cơ, Tỉnh Gia Lai</v>
          </cell>
          <cell r="F50" t="str">
            <v>22 Tân Thuận Tây, phường Tân Thuận, Thành phố Hố Chí Minh</v>
          </cell>
          <cell r="G50" t="str">
            <v>0968916518</v>
          </cell>
          <cell r="H50" t="str">
            <v>dieply195@gmail.com</v>
          </cell>
          <cell r="I50" t="str">
            <v>052197001999</v>
          </cell>
          <cell r="J50">
            <v>0</v>
          </cell>
          <cell r="K50" t="str">
            <v>052197001999</v>
          </cell>
          <cell r="L50" t="str">
            <v>08/09/2022</v>
          </cell>
          <cell r="M50" t="str">
            <v>Cục cảnh sát QLHC về TTXH</v>
          </cell>
          <cell r="N50" t="str">
            <v>0968916518</v>
          </cell>
          <cell r="O50" t="str">
            <v>Shinhan Bank</v>
          </cell>
          <cell r="P50" t="str">
            <v>01/11/2025</v>
          </cell>
          <cell r="Q50" t="str">
            <v>Cộng tác viên nhập liệu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 t="str">
            <v>Medigo</v>
          </cell>
          <cell r="X50" t="str">
            <v>Dịch vụ</v>
          </cell>
          <cell r="Y50" t="str">
            <v>INVENTORY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 t="str">
            <v>Nữ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 t="str">
            <v>online</v>
          </cell>
          <cell r="BF50">
            <v>15</v>
          </cell>
          <cell r="BG50">
            <v>7</v>
          </cell>
          <cell r="BH50">
            <v>1998</v>
          </cell>
          <cell r="BI50">
            <v>20</v>
          </cell>
          <cell r="BJ50">
            <v>11</v>
          </cell>
          <cell r="BK50">
            <v>2025</v>
          </cell>
          <cell r="BL50" t="str">
            <v>20/11/2025</v>
          </cell>
        </row>
        <row r="51">
          <cell r="C51" t="str">
            <v>NGUYỄN THỊ THANH VÂN</v>
          </cell>
          <cell r="D51" t="str">
            <v>24/04/1978</v>
          </cell>
          <cell r="E51" t="str">
            <v>1085 Hiệp Nhất, P.4, Q. Tân Bình, Tp.HCM</v>
          </cell>
          <cell r="F51" t="str">
            <v>1085 Hiệp Nhất, P.4, Q. Tân Bình, Tp.HCM</v>
          </cell>
          <cell r="G51" t="str">
            <v>0907867335</v>
          </cell>
          <cell r="H51">
            <v>0</v>
          </cell>
          <cell r="I51">
            <v>0</v>
          </cell>
          <cell r="J51">
            <v>0</v>
          </cell>
          <cell r="K51" t="str">
            <v>079178028861</v>
          </cell>
          <cell r="L51" t="str">
            <v>10/02/2023</v>
          </cell>
          <cell r="M51" t="str">
            <v>Cục cảnh sát QLHC về TTXH</v>
          </cell>
          <cell r="N51" t="str">
            <v>0181000274231</v>
          </cell>
          <cell r="O51" t="str">
            <v>Vietcombank</v>
          </cell>
          <cell r="P51" t="str">
            <v>08/7/2025</v>
          </cell>
          <cell r="Q51" t="str">
            <v>NV tạp vụ Q.5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str">
            <v>Medigo</v>
          </cell>
          <cell r="X51" t="str">
            <v>Dịch vụ</v>
          </cell>
          <cell r="Y51" t="str">
            <v>HC-NS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8/7/2025</v>
          </cell>
          <cell r="AG51" t="str">
            <v>8/7/2026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 t="str">
            <v>70.000đ/h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 t="str">
            <v>Nữ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 t="str">
            <v>207 Nguyễn Chí Thanh, P.12, Q.5</v>
          </cell>
          <cell r="BF51">
            <v>24</v>
          </cell>
          <cell r="BG51">
            <v>4</v>
          </cell>
          <cell r="BH51">
            <v>1978</v>
          </cell>
          <cell r="BI51">
            <v>8</v>
          </cell>
          <cell r="BJ51">
            <v>7</v>
          </cell>
          <cell r="BK51">
            <v>2025</v>
          </cell>
          <cell r="BL51" t="str">
            <v>8/7/2025</v>
          </cell>
        </row>
        <row r="52">
          <cell r="C52" t="str">
            <v>NGUYỄN THỊ THU VÂN</v>
          </cell>
          <cell r="D52" t="str">
            <v>08/3/1976</v>
          </cell>
          <cell r="E52" t="str">
            <v>Tân Hưng, Cái Bè, Tiền Giang</v>
          </cell>
          <cell r="F52" t="str">
            <v>54/1/3 Duy Tân, P.15, Q. Phú Nhuận</v>
          </cell>
          <cell r="G52" t="str">
            <v>0903079752</v>
          </cell>
          <cell r="H52" t="str">
            <v>vthu1047@gmail.com</v>
          </cell>
          <cell r="I52">
            <v>0</v>
          </cell>
          <cell r="J52">
            <v>0</v>
          </cell>
          <cell r="K52" t="str">
            <v>082176016102</v>
          </cell>
          <cell r="L52" t="str">
            <v>12/06/2021</v>
          </cell>
          <cell r="M52" t="str">
            <v>Cục cảnh sát QLHC về TTXH</v>
          </cell>
          <cell r="N52" t="str">
            <v>060287823013</v>
          </cell>
          <cell r="O52" t="str">
            <v>Sacombank</v>
          </cell>
          <cell r="P52" t="str">
            <v>0101/2026</v>
          </cell>
          <cell r="Q52" t="str">
            <v>NV tạp vụ Tô Hiến Thành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 t="str">
            <v>Medigo</v>
          </cell>
          <cell r="X52" t="str">
            <v>Dịch vụ</v>
          </cell>
          <cell r="Y52" t="str">
            <v>HC-NS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 t="str">
            <v>01/01/2026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 t="str">
            <v>100.000đ/h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 t="str">
            <v>Nữ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 t="str">
            <v>Lầu 3, 451/24/4 Tô Hiến Thành, P.14, Q.10, Tp.HCM</v>
          </cell>
          <cell r="BF52">
            <v>8</v>
          </cell>
          <cell r="BG52">
            <v>3</v>
          </cell>
          <cell r="BH52">
            <v>1976</v>
          </cell>
          <cell r="BI52">
            <v>1</v>
          </cell>
          <cell r="BJ52">
            <v>1</v>
          </cell>
          <cell r="BK52">
            <v>2026</v>
          </cell>
          <cell r="BL52" t="str">
            <v>1/1/2026</v>
          </cell>
        </row>
        <row r="53">
          <cell r="C53" t="str">
            <v>LÊ QUỐC THỊNH</v>
          </cell>
          <cell r="D53" t="str">
            <v>01/05/2001</v>
          </cell>
          <cell r="E53" t="str">
            <v>Ấp Bình Thắng, An Bình, Phú Giáo, Bình Dương</v>
          </cell>
          <cell r="F53" t="str">
            <v>Ấp Bình Thắng, An Bình, Phú Giáo, Bình Dương</v>
          </cell>
          <cell r="G53" t="str">
            <v>0982625202</v>
          </cell>
          <cell r="H53" t="str">
            <v>thinhquocle524@gmail.com</v>
          </cell>
          <cell r="I53">
            <v>74201003745</v>
          </cell>
          <cell r="J53">
            <v>0</v>
          </cell>
          <cell r="K53" t="str">
            <v>074201003745</v>
          </cell>
          <cell r="L53" t="str">
            <v>12/08/2022</v>
          </cell>
          <cell r="M53" t="str">
            <v>Cục cảnh sát QLHC về TTXH</v>
          </cell>
          <cell r="N53" t="str">
            <v>4569797979</v>
          </cell>
          <cell r="O53" t="str">
            <v>MB bank</v>
          </cell>
          <cell r="P53" t="str">
            <v>20/3/2026</v>
          </cell>
          <cell r="Q53" t="str">
            <v>Outsource Product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Medigo</v>
          </cell>
          <cell r="X53" t="str">
            <v>Dịch vụ</v>
          </cell>
          <cell r="Y53" t="str">
            <v>IT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 t="str">
            <v>20/3/2026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150.000đ/h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 t="str">
            <v>nam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 t="str">
            <v>Lầu 3, 451/24/4 Tô Hiến Thành, P.14, Q.10, Tp.HCM</v>
          </cell>
          <cell r="BF53">
            <v>1</v>
          </cell>
          <cell r="BG53">
            <v>5</v>
          </cell>
          <cell r="BH53">
            <v>2001</v>
          </cell>
          <cell r="BI53">
            <v>20</v>
          </cell>
          <cell r="BJ53">
            <v>3</v>
          </cell>
          <cell r="BK53">
            <v>2026</v>
          </cell>
          <cell r="BL53" t="str">
            <v>20/3/2026</v>
          </cell>
        </row>
        <row r="54">
          <cell r="C54" t="str">
            <v>Đỗ Hoàng Anh Vương</v>
          </cell>
          <cell r="D54">
            <v>31790</v>
          </cell>
          <cell r="E54" t="str">
            <v>7A Đường 4, KP6, P. Hiệp Bình Phước, Tp. Thủ Đức, Tp. HCM</v>
          </cell>
          <cell r="F54" t="str">
            <v>Tổ 4 KP1, Đường TL41, P Thạnh Lộc, Q12, HCM</v>
          </cell>
          <cell r="G54" t="str">
            <v>0909130187</v>
          </cell>
          <cell r="H54">
            <v>0</v>
          </cell>
          <cell r="I54" t="str">
            <v>8738523954</v>
          </cell>
          <cell r="J54" t="str">
            <v>7910409131</v>
          </cell>
          <cell r="K54" t="str">
            <v>079087018781</v>
          </cell>
          <cell r="L54">
            <v>44771</v>
          </cell>
          <cell r="M54" t="str">
            <v>CTCCS QLHCVTTXH</v>
          </cell>
          <cell r="N54" t="str">
            <v>224722709</v>
          </cell>
          <cell r="O54" t="str">
            <v>ACB</v>
          </cell>
          <cell r="P54">
            <v>44866</v>
          </cell>
          <cell r="Q54" t="str">
            <v>Marketing Manager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 t="str">
            <v>Medigo Software</v>
          </cell>
          <cell r="X54" t="str">
            <v>HỢP ĐỒNG CÓ THỜI HẠN</v>
          </cell>
          <cell r="Y54" t="str">
            <v>MARKETING</v>
          </cell>
          <cell r="Z54">
            <v>44866</v>
          </cell>
          <cell r="AA54">
            <v>0</v>
          </cell>
          <cell r="AB54">
            <v>0</v>
          </cell>
          <cell r="AC54">
            <v>46148</v>
          </cell>
          <cell r="AD54">
            <v>42</v>
          </cell>
          <cell r="AE54">
            <v>0</v>
          </cell>
          <cell r="AF54">
            <v>45108</v>
          </cell>
          <cell r="AG54">
            <v>45838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-310</v>
          </cell>
          <cell r="AM54">
            <v>30000000</v>
          </cell>
          <cell r="AN54">
            <v>0</v>
          </cell>
          <cell r="AO54" t="str">
            <v>Gross</v>
          </cell>
          <cell r="AP54">
            <v>5310000</v>
          </cell>
          <cell r="AQ54">
            <v>0</v>
          </cell>
          <cell r="AR54">
            <v>0</v>
          </cell>
          <cell r="AS54">
            <v>0</v>
          </cell>
          <cell r="AT54" t="str">
            <v>Nam</v>
          </cell>
          <cell r="AU54" t="str">
            <v>medigo.vuong.do@gmail.com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</row>
        <row r="55">
          <cell r="C55" t="str">
            <v>Trương Hoàng Ngân</v>
          </cell>
          <cell r="D55">
            <v>36857</v>
          </cell>
          <cell r="E55" t="str">
            <v>118A Lê Lai, P. 14, Q. Tân Bình, Tp. HCM</v>
          </cell>
          <cell r="F55" t="str">
            <v>118A Lê Lai, P. 14, Q. Tân Bình, Tp. HCM</v>
          </cell>
          <cell r="G55" t="str">
            <v>0703990354</v>
          </cell>
          <cell r="H55">
            <v>0</v>
          </cell>
          <cell r="I55" t="str">
            <v>8576109144</v>
          </cell>
          <cell r="J55" t="str">
            <v>7939359706</v>
          </cell>
          <cell r="K55" t="str">
            <v>079300024213</v>
          </cell>
          <cell r="L55" t="str">
            <v>11/01/2022</v>
          </cell>
          <cell r="M55" t="str">
            <v>CTCCS QLHCVTTXH</v>
          </cell>
          <cell r="N55" t="str">
            <v>0251002776128</v>
          </cell>
          <cell r="O55" t="str">
            <v>Vietcombank - chi nhánh Chợ Lớn</v>
          </cell>
          <cell r="P55">
            <v>44741</v>
          </cell>
          <cell r="Q55" t="str">
            <v>Admin - điều phối đơn hàng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 t="str">
            <v>Medigo Software</v>
          </cell>
          <cell r="X55" t="str">
            <v>HỢP ĐỒNG CÓ THỜI HẠN</v>
          </cell>
          <cell r="Y55" t="str">
            <v>ADMIN CSKH</v>
          </cell>
          <cell r="Z55">
            <v>44741</v>
          </cell>
          <cell r="AA55">
            <v>0</v>
          </cell>
          <cell r="AB55">
            <v>0</v>
          </cell>
          <cell r="AC55">
            <v>46148</v>
          </cell>
          <cell r="AD55">
            <v>46</v>
          </cell>
          <cell r="AE55">
            <v>0</v>
          </cell>
          <cell r="AF55">
            <v>45532</v>
          </cell>
          <cell r="AG55">
            <v>46261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113</v>
          </cell>
          <cell r="AM55">
            <v>10000000</v>
          </cell>
          <cell r="AN55">
            <v>0</v>
          </cell>
          <cell r="AO55" t="str">
            <v>Gross</v>
          </cell>
          <cell r="AP55">
            <v>5310000</v>
          </cell>
          <cell r="AQ55">
            <v>0</v>
          </cell>
          <cell r="AR55">
            <v>0</v>
          </cell>
          <cell r="AS55">
            <v>0</v>
          </cell>
          <cell r="AT55" t="str">
            <v>Nữ</v>
          </cell>
          <cell r="AU55" t="str">
            <v>medigo.ngan.truong@gmail.com</v>
          </cell>
          <cell r="AV55">
            <v>0</v>
          </cell>
          <cell r="AW55" t="str">
            <v>Thiếu</v>
          </cell>
          <cell r="AX55" t="str">
            <v>Thiếu</v>
          </cell>
          <cell r="AY55" t="str">
            <v>Thiếu</v>
          </cell>
          <cell r="AZ55" t="str">
            <v>Thiếu</v>
          </cell>
          <cell r="BA55" t="str">
            <v>Thiếu</v>
          </cell>
          <cell r="BB55" t="str">
            <v>- CCCD photo
- SYLL photo</v>
          </cell>
          <cell r="BC55">
            <v>0</v>
          </cell>
          <cell r="BD55">
            <v>0</v>
          </cell>
        </row>
        <row r="56">
          <cell r="C56" t="str">
            <v>NGUYỄN PHAN HOÀNG PHÚC</v>
          </cell>
          <cell r="D56">
            <v>37965</v>
          </cell>
          <cell r="E56" t="str">
            <v>Ninh Bình, Bàu Năng, Dương Minh Châu, Tây Ninh</v>
          </cell>
          <cell r="F56" t="str">
            <v>62 Bùi Thế Mỹ, Phường 10, quận Tân Bình, TPHCM</v>
          </cell>
          <cell r="G56" t="str">
            <v>0369322789</v>
          </cell>
          <cell r="H56" t="str">
            <v>phuc.nguyencse1210@gmail.com</v>
          </cell>
          <cell r="I56">
            <v>8773488614</v>
          </cell>
          <cell r="J56" t="str">
            <v>chưa có</v>
          </cell>
          <cell r="K56" t="str">
            <v>072303004984</v>
          </cell>
          <cell r="L56">
            <v>44326</v>
          </cell>
          <cell r="M56" t="str">
            <v>Cục cảnh sát quản lý hành chính về trật tự xã hội</v>
          </cell>
          <cell r="N56" t="str">
            <v>0369322789</v>
          </cell>
          <cell r="O56" t="str">
            <v>MB bank</v>
          </cell>
          <cell r="P56">
            <v>45524</v>
          </cell>
          <cell r="Q56" t="str">
            <v>Nhân viên IT</v>
          </cell>
          <cell r="R56" t="str">
            <v>Khoa học máy tính</v>
          </cell>
          <cell r="S56">
            <v>0</v>
          </cell>
          <cell r="T56">
            <v>0</v>
          </cell>
          <cell r="U56" t="str">
            <v>https://drive.google.com/open?id=18zmGDpE5wtEXb_OCuVxRsVrBUcHb_LvK, https://drive.google.com/open?id=1TWb3PhSpiv1dy96AHtnfBRjZkm7e7v4g</v>
          </cell>
          <cell r="V56">
            <v>0</v>
          </cell>
          <cell r="W56" t="str">
            <v>Medigo Software</v>
          </cell>
          <cell r="X56" t="str">
            <v>HỢP ĐỒNG CÓ THỜI HẠN</v>
          </cell>
          <cell r="Y56" t="str">
            <v>IT</v>
          </cell>
          <cell r="Z56">
            <v>45524</v>
          </cell>
          <cell r="AA56">
            <v>45584</v>
          </cell>
          <cell r="AB56">
            <v>-564</v>
          </cell>
          <cell r="AC56">
            <v>46148</v>
          </cell>
          <cell r="AD56">
            <v>20</v>
          </cell>
          <cell r="AE56" t="str">
            <v>02 THÁNG</v>
          </cell>
          <cell r="AF56">
            <v>45585</v>
          </cell>
          <cell r="AG56">
            <v>46314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166</v>
          </cell>
          <cell r="AM56">
            <v>15000000</v>
          </cell>
          <cell r="AN56">
            <v>0</v>
          </cell>
          <cell r="AO56" t="str">
            <v>Gross</v>
          </cell>
          <cell r="AP56" t="str">
            <v>CTV</v>
          </cell>
          <cell r="AQ56">
            <v>0</v>
          </cell>
          <cell r="AR56" t="str">
            <v>Lương thỏa thuận: 15.000.00đ
Thử việc: 85%</v>
          </cell>
          <cell r="AS56" t="e">
            <v>#REF!</v>
          </cell>
          <cell r="AT56" t="str">
            <v>Nữ</v>
          </cell>
          <cell r="AU56" t="str">
            <v>Medigo.phuc.phan@gmail.com</v>
          </cell>
          <cell r="AV56" t="str">
            <v>T11/2024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 t="str">
            <v>10NTD/2024/HĐCT-MEDIGO</v>
          </cell>
        </row>
        <row r="57">
          <cell r="C57" t="str">
            <v>TRẦN TIẾN VINH</v>
          </cell>
          <cell r="D57" t="str">
            <v>20/05/1995</v>
          </cell>
          <cell r="E57" t="str">
            <v>91 tô hiến thành p13 q10</v>
          </cell>
          <cell r="F57" t="str">
            <v>91 tô hiến thành p13 q10</v>
          </cell>
          <cell r="G57" t="str">
            <v>0888200595</v>
          </cell>
          <cell r="H57" t="str">
            <v>vinhtien90@gmail.com</v>
          </cell>
          <cell r="I57">
            <v>8630851854</v>
          </cell>
          <cell r="J57">
            <v>7932418987</v>
          </cell>
          <cell r="K57" t="str">
            <v>079095014728</v>
          </cell>
          <cell r="L57" t="str">
            <v>17/05/2023</v>
          </cell>
          <cell r="M57" t="str">
            <v>cục trưởng cục cảnh sát quản lý hành chính về trật tự xã hội</v>
          </cell>
          <cell r="N57">
            <v>5715587</v>
          </cell>
          <cell r="O57" t="str">
            <v>ACB</v>
          </cell>
          <cell r="P57" t="str">
            <v>17/12/2024</v>
          </cell>
          <cell r="Q57" t="str">
            <v>Senior Backend Engineer</v>
          </cell>
          <cell r="R57" t="str">
            <v>Senior Backend Engineer</v>
          </cell>
          <cell r="S57">
            <v>0</v>
          </cell>
          <cell r="T57">
            <v>0</v>
          </cell>
          <cell r="U57" t="str">
            <v>https://drive.google.com/open?id=1Giv1EyNYhcZsYcScy1EwGXAU_AmmkVOw, https://drive.google.com/open?id=1sMFr016r6JTAjkSNu1lIHzj-YDoUc2wk</v>
          </cell>
          <cell r="V57">
            <v>0</v>
          </cell>
          <cell r="W57" t="str">
            <v>Medigo Software</v>
          </cell>
          <cell r="X57" t="str">
            <v>HỢP ĐỒNG CÓ THỜI HẠN</v>
          </cell>
          <cell r="Y57" t="str">
            <v>IT</v>
          </cell>
          <cell r="Z57" t="str">
            <v>17/12/2024</v>
          </cell>
          <cell r="AA57" t="str">
            <v>16/02/2025</v>
          </cell>
          <cell r="AB57">
            <v>-444</v>
          </cell>
          <cell r="AC57">
            <v>46148</v>
          </cell>
          <cell r="AD57">
            <v>16</v>
          </cell>
          <cell r="AE57" t="str">
            <v>02 THÁNG</v>
          </cell>
          <cell r="AF57" t="str">
            <v>17/02/2025</v>
          </cell>
          <cell r="AG57" t="str">
            <v>16/02/2027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286</v>
          </cell>
          <cell r="AM57">
            <v>38000000</v>
          </cell>
          <cell r="AN57">
            <v>0</v>
          </cell>
          <cell r="AO57" t="str">
            <v>Gross</v>
          </cell>
          <cell r="AP57" t="str">
            <v>T3/2025</v>
          </cell>
          <cell r="AQ57">
            <v>0</v>
          </cell>
          <cell r="AR57" t="str">
            <v>Lương thỏa thuận: 38.000.00đ
Thử việc: 85%</v>
          </cell>
          <cell r="AS57" t="e">
            <v>#REF!</v>
          </cell>
          <cell r="AT57" t="str">
            <v>Nam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</row>
        <row r="58">
          <cell r="C58" t="str">
            <v>NGÔ THỊ TRÚC PHƯƠNG</v>
          </cell>
          <cell r="D58">
            <v>37677</v>
          </cell>
          <cell r="E58" t="str">
            <v>Tân Phú, Tân Hương, Tiền Giang</v>
          </cell>
          <cell r="F58" t="str">
            <v>624 Lê Văn Lương, Phường Tân Phong, Quận 7,  Tp.HCM</v>
          </cell>
          <cell r="G58" t="str">
            <v>0338841945</v>
          </cell>
          <cell r="H58" t="str">
            <v>ngothitrucphuong2522003@gmail.com</v>
          </cell>
          <cell r="I58" t="str">
            <v>Chưa có</v>
          </cell>
          <cell r="J58" t="str">
            <v>Chưa có</v>
          </cell>
          <cell r="K58" t="str">
            <v>082303006190</v>
          </cell>
          <cell r="L58">
            <v>44957</v>
          </cell>
          <cell r="M58" t="str">
            <v>Tiền Giang</v>
          </cell>
          <cell r="N58">
            <v>1018179290</v>
          </cell>
          <cell r="O58" t="str">
            <v>Vietcombank</v>
          </cell>
          <cell r="P58">
            <v>45461</v>
          </cell>
          <cell r="Q58" t="str">
            <v>Trợ lý hành chính Văn phòng</v>
          </cell>
          <cell r="R58" t="str">
            <v>Trợ lý CEO</v>
          </cell>
          <cell r="S58">
            <v>0</v>
          </cell>
          <cell r="T58">
            <v>0</v>
          </cell>
          <cell r="U58" t="str">
            <v>https://drive.google.com/open?id=1Vc48RSW5uTkmWEGdqKaWpmCQCcOJOVn7, https://drive.google.com/open?id=126fRA6e9muMp9XLxg_ZuL5CvdGWOsbXT</v>
          </cell>
          <cell r="V58">
            <v>0</v>
          </cell>
          <cell r="W58" t="str">
            <v>Medigo Software</v>
          </cell>
          <cell r="X58" t="str">
            <v>HỢP ĐỒNG CÓ THỜI HẠN</v>
          </cell>
          <cell r="Y58" t="str">
            <v>HR-OFFICE</v>
          </cell>
          <cell r="Z58" t="str">
            <v>18/06/2024</v>
          </cell>
          <cell r="AA58" t="str">
            <v>01/01/2025</v>
          </cell>
          <cell r="AB58">
            <v>6</v>
          </cell>
          <cell r="AC58">
            <v>46148</v>
          </cell>
          <cell r="AD58">
            <v>22</v>
          </cell>
          <cell r="AE58">
            <v>0</v>
          </cell>
          <cell r="AF58" t="str">
            <v>01/01/2025</v>
          </cell>
          <cell r="AG58" t="str">
            <v>31/12/2026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239</v>
          </cell>
          <cell r="AM58">
            <v>8000000</v>
          </cell>
          <cell r="AN58">
            <v>0</v>
          </cell>
          <cell r="AO58" t="str">
            <v>Gross</v>
          </cell>
          <cell r="AP58" t="str">
            <v>T01/2025</v>
          </cell>
          <cell r="AQ58">
            <v>0</v>
          </cell>
          <cell r="AR58" t="str">
            <v>Lương thỏa thuận: 8.000.000đ</v>
          </cell>
          <cell r="AS58" t="e">
            <v>#REF!</v>
          </cell>
          <cell r="AT58" t="str">
            <v>Nữ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</row>
        <row r="59">
          <cell r="C59" t="str">
            <v>LÊ THỊ THANH TUYỀN</v>
          </cell>
          <cell r="D59" t="str">
            <v>21/10/1995</v>
          </cell>
          <cell r="E59" t="str">
            <v>Tổ 7, Tân Thanh, Tân Nhuận Đông, Châu Thành, Đồng Tháp</v>
          </cell>
          <cell r="F59" t="str">
            <v>120/10E Thích Quảng Đức, Phường 5, Quận Phú Nhuận, TP HCM.</v>
          </cell>
          <cell r="G59" t="str">
            <v>0787120435</v>
          </cell>
          <cell r="H59" t="str">
            <v>lethithanhtuyen0050@gmail.com</v>
          </cell>
          <cell r="I59" t="str">
            <v>8468203929</v>
          </cell>
          <cell r="J59" t="str">
            <v>7916475179</v>
          </cell>
          <cell r="K59" t="str">
            <v>087195011112</v>
          </cell>
          <cell r="L59">
            <v>44599</v>
          </cell>
          <cell r="M59" t="str">
            <v>Cục trưởng cục cảnh sát quản lý hành chính về trật tự xã hội</v>
          </cell>
          <cell r="N59">
            <v>102876156282</v>
          </cell>
          <cell r="O59" t="str">
            <v>Vietinbank</v>
          </cell>
          <cell r="P59" t="str">
            <v>3/3/2025</v>
          </cell>
          <cell r="Q59" t="str">
            <v>Nhân viên hành chính nhân sự</v>
          </cell>
          <cell r="R59" t="str">
            <v>Cử nhân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Medigo Software</v>
          </cell>
          <cell r="X59" t="str">
            <v>HỢP ĐỒNG CÓ THỜI HẠN</v>
          </cell>
          <cell r="Y59" t="str">
            <v>HR-OFFICE</v>
          </cell>
          <cell r="Z59">
            <v>45719</v>
          </cell>
          <cell r="AA59" t="str">
            <v>30/04/2025</v>
          </cell>
          <cell r="AB59">
            <v>0</v>
          </cell>
          <cell r="AC59">
            <v>46148</v>
          </cell>
          <cell r="AD59">
            <v>14</v>
          </cell>
          <cell r="AE59" t="str">
            <v>02 THÁNG</v>
          </cell>
          <cell r="AF59">
            <v>45719</v>
          </cell>
          <cell r="AG59" t="str">
            <v>30/04/2027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12000000</v>
          </cell>
          <cell r="AN59">
            <v>0</v>
          </cell>
          <cell r="AO59" t="str">
            <v>Gross</v>
          </cell>
          <cell r="AP59">
            <v>5310000</v>
          </cell>
          <cell r="AQ59">
            <v>0</v>
          </cell>
          <cell r="AR59" t="str">
            <v>Lương thỏa thuận: 12.000.00đ
Thử việc: 85%</v>
          </cell>
          <cell r="AS59">
            <v>6690000</v>
          </cell>
          <cell r="AT59" t="str">
            <v>Nữ</v>
          </cell>
          <cell r="AU59" t="str">
            <v>medigo.thanhtuyen.le@gmail.com</v>
          </cell>
          <cell r="AV59" t="str">
            <v>T5/2025</v>
          </cell>
          <cell r="AW59" t="str">
            <v>X</v>
          </cell>
          <cell r="AX59" t="str">
            <v>X</v>
          </cell>
          <cell r="AY59" t="str">
            <v>X</v>
          </cell>
          <cell r="AZ59" t="str">
            <v>X</v>
          </cell>
          <cell r="BA59" t="str">
            <v>X</v>
          </cell>
          <cell r="BB59" t="str">
            <v>- Bằng ĐH cc
- Chứng chỉ Quản trị NS HĐ, Excel HR, C&amp;B cc</v>
          </cell>
          <cell r="BC59">
            <v>0</v>
          </cell>
          <cell r="BD59">
            <v>0</v>
          </cell>
        </row>
        <row r="60">
          <cell r="C60" t="str">
            <v>NGUYỄN ĐỨC THUẬN</v>
          </cell>
          <cell r="D60">
            <v>34486</v>
          </cell>
          <cell r="E60" t="str">
            <v>Khóm Long Thạnh, Tx. Tân Châu, An Giang</v>
          </cell>
          <cell r="F60" t="str">
            <v>6 Nguyễn Cửu Đàm, Tân Sơn Nhì, Tân Phú, TP.HCM</v>
          </cell>
          <cell r="G60" t="str">
            <v>0348776478</v>
          </cell>
          <cell r="H60" t="str">
            <v>nthuan22@gmail.com</v>
          </cell>
          <cell r="I60" t="str">
            <v>8482717556</v>
          </cell>
          <cell r="J60" t="str">
            <v>8924656325</v>
          </cell>
          <cell r="K60" t="str">
            <v>089094016293</v>
          </cell>
          <cell r="L60" t="str">
            <v>18/09/2022</v>
          </cell>
          <cell r="M60" t="str">
            <v>Cục Cảnh sát quản lí hành chính về trật tự xã hội</v>
          </cell>
          <cell r="N60" t="str">
            <v>01898809201</v>
          </cell>
          <cell r="O60" t="str">
            <v>Tien Phong Bank (TP Bank)</v>
          </cell>
          <cell r="P60">
            <v>45719</v>
          </cell>
          <cell r="Q60" t="str">
            <v>UI/UX Designer - Graphic Designer</v>
          </cell>
          <cell r="R60" t="str">
            <v>Design (UI/UX, Graphic)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Medigo Software</v>
          </cell>
          <cell r="X60" t="str">
            <v>HỢP ĐỒNG CÓ THỜI HẠN</v>
          </cell>
          <cell r="Y60" t="str">
            <v>IT</v>
          </cell>
          <cell r="Z60">
            <v>45719</v>
          </cell>
          <cell r="AA60" t="str">
            <v>30/04/2025</v>
          </cell>
          <cell r="AB60">
            <v>0</v>
          </cell>
          <cell r="AC60">
            <v>46148</v>
          </cell>
          <cell r="AD60">
            <v>14</v>
          </cell>
          <cell r="AE60" t="str">
            <v>02 THÁNG</v>
          </cell>
          <cell r="AF60">
            <v>45719</v>
          </cell>
          <cell r="AG60" t="str">
            <v>30/04/2027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14000000</v>
          </cell>
          <cell r="AN60">
            <v>0</v>
          </cell>
          <cell r="AO60" t="str">
            <v>Gross</v>
          </cell>
          <cell r="AP60">
            <v>5310000</v>
          </cell>
          <cell r="AQ60">
            <v>0</v>
          </cell>
          <cell r="AR60" t="str">
            <v>Lương thỏa thuận: 14.000.00đ
Thử việc: 85%</v>
          </cell>
          <cell r="AS60">
            <v>8690000</v>
          </cell>
          <cell r="AT60" t="str">
            <v>Nam</v>
          </cell>
          <cell r="AU60" t="str">
            <v>Medigo.thuan.nguyen@gmail.com</v>
          </cell>
          <cell r="AV60" t="str">
            <v>T5/2025</v>
          </cell>
          <cell r="AW60" t="str">
            <v>Thiếu</v>
          </cell>
          <cell r="AX60" t="str">
            <v>Thiếu</v>
          </cell>
          <cell r="AY60" t="str">
            <v>Thiếu</v>
          </cell>
          <cell r="AZ60" t="str">
            <v>Thiếu</v>
          </cell>
          <cell r="BA60" t="str">
            <v>Thiếu</v>
          </cell>
          <cell r="BB60">
            <v>0</v>
          </cell>
          <cell r="BC60">
            <v>0</v>
          </cell>
          <cell r="BD60">
            <v>0</v>
          </cell>
        </row>
        <row r="61">
          <cell r="C61" t="str">
            <v>THÁI THIÊN SƠN</v>
          </cell>
          <cell r="D61" t="str">
            <v>20/05/1995</v>
          </cell>
          <cell r="E61" t="str">
            <v>448/40 Trường Chinh, p.Tân Hưng Thuận, q.12</v>
          </cell>
          <cell r="F61" t="str">
            <v>160 Xô Viết Nghệ TĨnh, p22, q Bình Thạnh</v>
          </cell>
          <cell r="G61" t="str">
            <v>0353543508</v>
          </cell>
          <cell r="H61" t="str">
            <v>thaithienson2005@gmail.com</v>
          </cell>
          <cell r="I61" t="str">
            <v>8667803952</v>
          </cell>
          <cell r="J61" t="str">
            <v>7936465755</v>
          </cell>
          <cell r="K61" t="str">
            <v>079095003319</v>
          </cell>
          <cell r="L61" t="str">
            <v>14/07/2024</v>
          </cell>
          <cell r="M61" t="str">
            <v>Bộ Công An</v>
          </cell>
          <cell r="N61" t="str">
            <v>153020051995</v>
          </cell>
          <cell r="O61" t="str">
            <v>Techcombank</v>
          </cell>
          <cell r="P61" t="str">
            <v>28/04/2025</v>
          </cell>
          <cell r="Q61" t="str">
            <v>Thiết kế</v>
          </cell>
          <cell r="R61" t="str">
            <v>Thiết kế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 t="str">
            <v>28/04/2025</v>
          </cell>
          <cell r="AA61" t="str">
            <v>27/06/2025</v>
          </cell>
          <cell r="AB61">
            <v>0</v>
          </cell>
          <cell r="AC61">
            <v>46148</v>
          </cell>
          <cell r="AD61">
            <v>12</v>
          </cell>
          <cell r="AE61">
            <v>0</v>
          </cell>
          <cell r="AF61" t="str">
            <v>28/06/2025</v>
          </cell>
          <cell r="AG61" t="str">
            <v>27/06/2027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 t="str">
            <v>Lầu 1, 207 Nguyễn Chí Thanh, P.12, Q.5</v>
          </cell>
          <cell r="BF61">
            <v>2</v>
          </cell>
          <cell r="BG61">
            <v>2</v>
          </cell>
          <cell r="BH61">
            <v>2004</v>
          </cell>
          <cell r="BI61">
            <v>25</v>
          </cell>
          <cell r="BJ61">
            <v>7</v>
          </cell>
          <cell r="BK61">
            <v>2025</v>
          </cell>
        </row>
        <row r="62">
          <cell r="C62" t="str">
            <v>HUỲNH NGUYỄN NHƯ THÙY</v>
          </cell>
          <cell r="D62" t="str">
            <v>10/08/2000</v>
          </cell>
          <cell r="E62" t="str">
            <v>43 Quốc lộ 1A, Như Xuân 2, Vĩnh Phương, Nha Trang, Khánh Hoà</v>
          </cell>
          <cell r="F62" t="str">
            <v>457/73 Cách Mạng Tháng 8, Phường 13, Quận 10, Hồ Chí Minh</v>
          </cell>
          <cell r="G62" t="str">
            <v>0386382598</v>
          </cell>
          <cell r="H62" t="str">
            <v>nhuthuy651@gmail.com</v>
          </cell>
          <cell r="I62" t="str">
            <v>chưa có</v>
          </cell>
          <cell r="J62" t="str">
            <v>chưa có</v>
          </cell>
          <cell r="K62" t="str">
            <v>056300009196</v>
          </cell>
          <cell r="L62" t="str">
            <v>20/10/2024</v>
          </cell>
          <cell r="M62" t="str">
            <v>Bộ Công An</v>
          </cell>
          <cell r="N62" t="str">
            <v>2386382598</v>
          </cell>
          <cell r="O62" t="str">
            <v>Vietcombank</v>
          </cell>
          <cell r="P62" t="str">
            <v>28/04/2025</v>
          </cell>
          <cell r="Q62" t="str">
            <v>THỰC TẬP SINH THƯ KÝ GIÁM ĐỐC</v>
          </cell>
          <cell r="R62" t="str">
            <v>chưa có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46148</v>
          </cell>
          <cell r="AD62">
            <v>1516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 t="str">
            <v>Lầu 3, 451/24/4 Tô Hiến Thành, P.14, Q.10, Tp.HCM</v>
          </cell>
          <cell r="BF62">
            <v>16</v>
          </cell>
          <cell r="BG62">
            <v>12</v>
          </cell>
          <cell r="BH62">
            <v>2003</v>
          </cell>
          <cell r="BI62">
            <v>1</v>
          </cell>
          <cell r="BJ62">
            <v>8</v>
          </cell>
          <cell r="BK62">
            <v>2025</v>
          </cell>
          <cell r="BL62" t="str">
            <v>1/8/2025</v>
          </cell>
        </row>
        <row r="63">
          <cell r="C63" t="str">
            <v>NGUYỄN KHÁNH VY</v>
          </cell>
          <cell r="D63" t="str">
            <v>18/06/2002</v>
          </cell>
          <cell r="E63" t="str">
            <v>Nguyễn Văn Thương, Bình Thạnh</v>
          </cell>
          <cell r="F63" t="str">
            <v>Nguyễn Văn Thương, Bình Thạnh</v>
          </cell>
          <cell r="G63" t="str">
            <v>0936277529</v>
          </cell>
          <cell r="H63" t="str">
            <v>nguyenkhanhvy180602@gmail.com</v>
          </cell>
          <cell r="I63" t="str">
            <v>8940425870</v>
          </cell>
          <cell r="J63" t="str">
            <v>bổ sung sau</v>
          </cell>
          <cell r="K63" t="str">
            <v>037302003684</v>
          </cell>
          <cell r="L63" t="str">
            <v>08/05/2025</v>
          </cell>
          <cell r="M63" t="str">
            <v>Bộ Công An</v>
          </cell>
          <cell r="N63" t="str">
            <v>19036513131017</v>
          </cell>
          <cell r="O63" t="str">
            <v>Techcombank</v>
          </cell>
          <cell r="P63" t="str">
            <v>07/07/2025</v>
          </cell>
          <cell r="Q63" t="str">
            <v>Marketing Intern</v>
          </cell>
          <cell r="R63" t="str">
            <v>Marketing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 t="str">
            <v>Lầu 1, 207 Nguyễn Chí Thanh, P.12, Q.5</v>
          </cell>
          <cell r="BF63">
            <v>4</v>
          </cell>
          <cell r="BG63">
            <v>4</v>
          </cell>
          <cell r="BH63">
            <v>2025</v>
          </cell>
          <cell r="BI63">
            <v>25</v>
          </cell>
          <cell r="BJ63">
            <v>7</v>
          </cell>
          <cell r="BK63">
            <v>2025</v>
          </cell>
          <cell r="BL63" t="str">
            <v>25/7/2025</v>
          </cell>
        </row>
        <row r="64">
          <cell r="C64" t="str">
            <v>Ngô Thị Hương</v>
          </cell>
          <cell r="D64">
            <v>34559</v>
          </cell>
          <cell r="E64" t="str">
            <v>Thôn Tân Bình 2, xã Thiệu Ngọc, Huyện Thiệu Hóa, Tỉnh Thanh Hóa</v>
          </cell>
          <cell r="F64" t="str">
            <v>211/124 Hoàng Hoa Thám, Phường 5, Quận Phú Nhuận, TP. Hồ Chí Minh</v>
          </cell>
          <cell r="G64" t="str">
            <v>0938612083</v>
          </cell>
          <cell r="H64" t="str">
            <v>thienhuongngo.1407@gmail.com</v>
          </cell>
          <cell r="I64">
            <v>8409390025</v>
          </cell>
          <cell r="J64" t="str">
            <v>Đã rút</v>
          </cell>
          <cell r="K64" t="str">
            <v>038194031899</v>
          </cell>
          <cell r="L64">
            <v>44958</v>
          </cell>
          <cell r="M64" t="str">
            <v>CTCCS QLHCVTTXH</v>
          </cell>
          <cell r="N64" t="str">
            <v>=COUNTA(C10:C60)</v>
          </cell>
          <cell r="O64" t="str">
            <v>Techcombank</v>
          </cell>
          <cell r="P64">
            <v>45263</v>
          </cell>
          <cell r="Q64" t="str">
            <v>Trưởng phòng Hành chính Nhân sự</v>
          </cell>
          <cell r="R64" t="str">
            <v>Quản trị nhân sự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 t="str">
            <v>Medigo Software</v>
          </cell>
          <cell r="X64" t="str">
            <v>HỢP ĐỒNG CÓ THỜI HẠN</v>
          </cell>
          <cell r="Y64" t="str">
            <v>HR-OFFICE</v>
          </cell>
          <cell r="Z64">
            <v>45369</v>
          </cell>
          <cell r="AA64">
            <v>0</v>
          </cell>
          <cell r="AB64">
            <v>0</v>
          </cell>
          <cell r="AC64">
            <v>46148</v>
          </cell>
          <cell r="AD64">
            <v>25</v>
          </cell>
          <cell r="AE64" t="str">
            <v>02 THÁNG</v>
          </cell>
          <cell r="AF64" t="str">
            <v>18/05/2024</v>
          </cell>
          <cell r="AG64" t="str">
            <v>17/05/2025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-354</v>
          </cell>
          <cell r="AM64">
            <v>20000000</v>
          </cell>
          <cell r="AN64">
            <v>0</v>
          </cell>
          <cell r="AO64" t="str">
            <v>NET</v>
          </cell>
          <cell r="AP64">
            <v>5310000</v>
          </cell>
          <cell r="AQ64" t="str">
            <v>BHXH tăng từ T6/2024</v>
          </cell>
          <cell r="AR64" t="str">
            <v>Mức lương: 20.000.000đ / tháng [net]; 
- Thời gian thử việc là 02 tháng, hưởng 85% mức lương thỏa thuận</v>
          </cell>
          <cell r="AS64">
            <v>0</v>
          </cell>
          <cell r="AT64" t="str">
            <v>Nữ</v>
          </cell>
          <cell r="AU64" t="str">
            <v>huong.ngo@medigoapp.com</v>
          </cell>
          <cell r="AV64">
            <v>0</v>
          </cell>
          <cell r="AW64" t="str">
            <v>Thiếu</v>
          </cell>
          <cell r="AX64" t="str">
            <v>Thiếu</v>
          </cell>
          <cell r="AY64" t="str">
            <v>Thiếu</v>
          </cell>
          <cell r="AZ64" t="str">
            <v>Thiếu</v>
          </cell>
          <cell r="BA64" t="str">
            <v>Thiếu</v>
          </cell>
          <cell r="BB64">
            <v>0</v>
          </cell>
          <cell r="BC64">
            <v>0</v>
          </cell>
          <cell r="BD64">
            <v>0</v>
          </cell>
          <cell r="BE64" t="str">
            <v>Lầu 1, 207 Nguyễn Chí Thanh, P.12, Q.5</v>
          </cell>
          <cell r="BF64">
            <v>2</v>
          </cell>
          <cell r="BG64">
            <v>2</v>
          </cell>
          <cell r="BH64">
            <v>2005</v>
          </cell>
          <cell r="BI64">
            <v>2</v>
          </cell>
          <cell r="BJ64">
            <v>8</v>
          </cell>
          <cell r="BK64">
            <v>2025</v>
          </cell>
          <cell r="BL64" t="str">
            <v>2/8/2025</v>
          </cell>
        </row>
        <row r="65">
          <cell r="C65" t="str">
            <v>NGUYỄN HUỲNH NHẬT PHƯỢNG</v>
          </cell>
          <cell r="D65" t="str">
            <v>02/02/2004</v>
          </cell>
          <cell r="E65" t="str">
            <v>A7/9Q,  Võ Văn Vân, Xã Tân Vĩnh Lộc, Huyện Bình Chánh, TPHCM</v>
          </cell>
          <cell r="F65" t="str">
            <v>A7/9Q,  Võ Văn Vân, Xã Tân Vĩnh Lộc, Huyện Bình Chánh, TPHCM</v>
          </cell>
          <cell r="G65" t="str">
            <v>0869162144</v>
          </cell>
          <cell r="H65" t="str">
            <v>nph02022004@gmail.com</v>
          </cell>
          <cell r="I65">
            <v>8809972701</v>
          </cell>
          <cell r="J65">
            <v>5120835535</v>
          </cell>
          <cell r="K65" t="str">
            <v>051304005634</v>
          </cell>
          <cell r="L65" t="str">
            <v>23/2/2022</v>
          </cell>
          <cell r="M65" t="str">
            <v>Quảng Ngãi</v>
          </cell>
          <cell r="N65" t="str">
            <v>0869162144</v>
          </cell>
          <cell r="O65" t="str">
            <v>MB BANK</v>
          </cell>
          <cell r="P65" t="str">
            <v>25/7/2025</v>
          </cell>
          <cell r="Q65" t="str">
            <v>Thực tập sinh Marketing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Medigo</v>
          </cell>
          <cell r="X65" t="str">
            <v>Thực tập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1500000</v>
          </cell>
          <cell r="AN65">
            <v>1500000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 t="str">
            <v>Nữ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 t="str">
            <v>Lầu 1, 207 Nguyễn Chí Thanh, P.12, Q.5</v>
          </cell>
          <cell r="BF65">
            <v>2</v>
          </cell>
          <cell r="BG65">
            <v>2</v>
          </cell>
          <cell r="BH65">
            <v>2004</v>
          </cell>
          <cell r="BI65">
            <v>25</v>
          </cell>
          <cell r="BJ65">
            <v>7</v>
          </cell>
          <cell r="BK65">
            <v>2025</v>
          </cell>
          <cell r="BL65" t="str">
            <v>2/12/2024</v>
          </cell>
        </row>
        <row r="66">
          <cell r="C66" t="str">
            <v>PHẠM THỊ MỸ NGỌC</v>
          </cell>
          <cell r="D66" t="str">
            <v>16/12/2003</v>
          </cell>
          <cell r="E66" t="str">
            <v>189/1C Đường 14/9, Phường 5, TP. Vĩnh Long, tỉnh Vĩnh Long</v>
          </cell>
          <cell r="F66" t="str">
            <v>43 Nguyễn Bĩnh Khiêm, Gò Vấp, TPHCM</v>
          </cell>
          <cell r="G66" t="str">
            <v>0706351778</v>
          </cell>
          <cell r="H66" t="str">
            <v>myngocpham1612@gmail.com</v>
          </cell>
          <cell r="I66">
            <v>8920010490</v>
          </cell>
          <cell r="J66">
            <v>8621213742</v>
          </cell>
          <cell r="K66" t="str">
            <v>086303009969</v>
          </cell>
          <cell r="L66" t="str">
            <v>31/05/2021</v>
          </cell>
          <cell r="M66" t="str">
            <v>Cục cảnh sát</v>
          </cell>
          <cell r="N66" t="str">
            <v>102806161203</v>
          </cell>
          <cell r="O66" t="str">
            <v>VietinBank</v>
          </cell>
          <cell r="P66" t="str">
            <v>01/08/2025</v>
          </cell>
          <cell r="Q66" t="str">
            <v>Thực tập sinh Trợ lý Giám đốc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Medigo</v>
          </cell>
          <cell r="X66" t="str">
            <v>Thực tập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5000000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 t="str">
            <v>Nữ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 t="str">
            <v>Lầu 3, 451/24/4 Tô Hiến Thành, P.14, Q.10, Tp.HCM</v>
          </cell>
          <cell r="BF66">
            <v>16</v>
          </cell>
          <cell r="BG66">
            <v>12</v>
          </cell>
          <cell r="BH66">
            <v>2003</v>
          </cell>
          <cell r="BI66">
            <v>1</v>
          </cell>
          <cell r="BJ66">
            <v>8</v>
          </cell>
          <cell r="BK66">
            <v>2025</v>
          </cell>
          <cell r="BL66" t="str">
            <v>1/8/2025</v>
          </cell>
        </row>
        <row r="67">
          <cell r="C67" t="str">
            <v>NGUYỄN QUỲNH HƯƠNG</v>
          </cell>
          <cell r="D67" t="str">
            <v>04/04/2005</v>
          </cell>
          <cell r="E67" t="str">
            <v>Tổ 10 ấp Long Bình, phường Long Nguyên, Tp Hồ Chí Minh</v>
          </cell>
          <cell r="F67" t="str">
            <v>276 Cao Lỗ, phường 4, quận 8, Tp. Hồ Chí Minh</v>
          </cell>
          <cell r="G67" t="str">
            <v>0704042005</v>
          </cell>
          <cell r="H67" t="str">
            <v>nqh442005@gmail.com</v>
          </cell>
          <cell r="I67" t="str">
            <v>Chưa có</v>
          </cell>
          <cell r="J67">
            <v>7022024183</v>
          </cell>
          <cell r="K67" t="str">
            <v>074305004284</v>
          </cell>
          <cell r="L67" t="str">
            <v>22/2/2023</v>
          </cell>
          <cell r="M67" t="str">
            <v>Cục trưởng cục cảnh sát và quản lý hành chính về trật tự xã hội</v>
          </cell>
          <cell r="N67" t="str">
            <v>0704042005</v>
          </cell>
          <cell r="O67" t="str">
            <v>MB Bank</v>
          </cell>
          <cell r="P67" t="str">
            <v>25/7/2025</v>
          </cell>
          <cell r="Q67" t="str">
            <v>Thực tập sinh Marketing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 t="str">
            <v>Medigo</v>
          </cell>
          <cell r="X67" t="str">
            <v>Thực tập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1500000</v>
          </cell>
          <cell r="AN67">
            <v>1500000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 t="str">
            <v>Nữ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 t="str">
            <v>Lầu 1, 207 Nguyễn Chí Thanh, P.12, Q.5</v>
          </cell>
          <cell r="BF67">
            <v>4</v>
          </cell>
          <cell r="BG67">
            <v>4</v>
          </cell>
          <cell r="BH67">
            <v>2025</v>
          </cell>
          <cell r="BI67">
            <v>25</v>
          </cell>
          <cell r="BJ67">
            <v>7</v>
          </cell>
          <cell r="BK67">
            <v>2025</v>
          </cell>
          <cell r="BL67" t="str">
            <v>25/7/2025</v>
          </cell>
        </row>
        <row r="68">
          <cell r="C68" t="str">
            <v>VÕ MINH TOÀN</v>
          </cell>
          <cell r="D68" t="str">
            <v>05/11/2005</v>
          </cell>
          <cell r="E68" t="str">
            <v>Khóm 4, xã Tân hòa, Tỉnh Vĩnh Long</v>
          </cell>
          <cell r="F68" t="str">
            <v>20 Trung Mỹ Tây 9, Quận 12, Hồ chí minh</v>
          </cell>
          <cell r="G68" t="str">
            <v>0344808473</v>
          </cell>
          <cell r="H68" t="str">
            <v>toanvo639957@gmail.com</v>
          </cell>
          <cell r="I68" t="str">
            <v>Chưa có</v>
          </cell>
          <cell r="J68" t="str">
            <v>Chưa có</v>
          </cell>
          <cell r="K68" t="str">
            <v>084205009965</v>
          </cell>
          <cell r="L68" t="str">
            <v>31/10/2023</v>
          </cell>
          <cell r="M68" t="str">
            <v>CTCCSVQLTTXH</v>
          </cell>
          <cell r="N68" t="str">
            <v>0344080473</v>
          </cell>
          <cell r="O68" t="str">
            <v>MB Bank</v>
          </cell>
          <cell r="P68" t="str">
            <v>02/08/2024</v>
          </cell>
          <cell r="Q68" t="str">
            <v>Thực tập sinh Marketing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 t="str">
            <v>Medigo</v>
          </cell>
          <cell r="X68" t="str">
            <v>Thực tập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1500000</v>
          </cell>
          <cell r="AN68">
            <v>1500000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 t="str">
            <v>Nam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 t="str">
            <v>Lầu 1, 207 Nguyễn Chí Thanh, P.12, Q.5</v>
          </cell>
          <cell r="BF68">
            <v>5</v>
          </cell>
          <cell r="BG68">
            <v>11</v>
          </cell>
          <cell r="BH68">
            <v>2005</v>
          </cell>
          <cell r="BI68">
            <v>2</v>
          </cell>
          <cell r="BJ68">
            <v>8</v>
          </cell>
          <cell r="BK68">
            <v>2025</v>
          </cell>
          <cell r="BL68" t="str">
            <v>2/8/2025</v>
          </cell>
        </row>
        <row r="69">
          <cell r="C69" t="str">
            <v>VÕ THỊ THẢO TRÚC</v>
          </cell>
          <cell r="D69" t="str">
            <v>16/10/1995</v>
          </cell>
          <cell r="E69" t="str">
            <v>ấp Phú Qưới, xã Long Vĩnh, huyện Gò Công Tây, tỉnh Tiền Giang</v>
          </cell>
          <cell r="F69" t="str">
            <v>416/6/15 Lạc Long Quân, Phường 5, Quận 11</v>
          </cell>
          <cell r="G69" t="str">
            <v>0333386437</v>
          </cell>
          <cell r="H69" t="str">
            <v>thaotruc437@gmail.com</v>
          </cell>
          <cell r="I69">
            <v>8558858158</v>
          </cell>
          <cell r="J69">
            <v>8223223739</v>
          </cell>
          <cell r="K69" t="str">
            <v>082195001346</v>
          </cell>
          <cell r="L69" t="str">
            <v>23/04/2021</v>
          </cell>
          <cell r="M69" t="str">
            <v>Tiền Giang</v>
          </cell>
          <cell r="N69" t="str">
            <v>0707085227</v>
          </cell>
          <cell r="O69" t="str">
            <v>Ngân hàng TMCP Quân Đội</v>
          </cell>
          <cell r="P69" t="str">
            <v>02/12/2024</v>
          </cell>
          <cell r="Q69" t="str">
            <v>Kế toán viên</v>
          </cell>
          <cell r="R69" t="str">
            <v>Chứng chỉ Kế toán</v>
          </cell>
          <cell r="S69">
            <v>0</v>
          </cell>
          <cell r="T69" t="str">
            <v>Khí tượng học</v>
          </cell>
          <cell r="U69" t="str">
            <v>https://drive.google.com/open?id=1Srn3ActTYByCM9Ye1PK21zuwqNkFFagS</v>
          </cell>
          <cell r="V69">
            <v>0</v>
          </cell>
          <cell r="W69" t="str">
            <v>Medigo Software</v>
          </cell>
          <cell r="X69" t="str">
            <v>HỢP ĐỒNG CÓ THỜI HẠN</v>
          </cell>
          <cell r="Y69" t="str">
            <v>KẾ TOÁN</v>
          </cell>
          <cell r="Z69" t="str">
            <v>02/12/2024</v>
          </cell>
          <cell r="AA69" t="str">
            <v>01/02/2025</v>
          </cell>
          <cell r="AB69">
            <v>-459</v>
          </cell>
          <cell r="AC69">
            <v>46148</v>
          </cell>
          <cell r="AD69">
            <v>17</v>
          </cell>
          <cell r="AE69" t="str">
            <v>02 THÁNG</v>
          </cell>
          <cell r="AF69" t="str">
            <v>02/02/2025</v>
          </cell>
          <cell r="AG69" t="str">
            <v>01/02/2027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271</v>
          </cell>
          <cell r="AM69">
            <v>9000000</v>
          </cell>
          <cell r="AN69">
            <v>0</v>
          </cell>
          <cell r="AO69" t="str">
            <v>Gross</v>
          </cell>
          <cell r="AP69" t="str">
            <v>T2/2025</v>
          </cell>
          <cell r="AQ69">
            <v>0</v>
          </cell>
          <cell r="AR69" t="str">
            <v>Lương thỏa thuận: 9.000.00đ
Thử việc: 85%</v>
          </cell>
          <cell r="AS69" t="e">
            <v>#REF!</v>
          </cell>
          <cell r="AT69" t="str">
            <v>Nữ</v>
          </cell>
          <cell r="AU69">
            <v>0</v>
          </cell>
          <cell r="AV69">
            <v>0</v>
          </cell>
          <cell r="AW69" t="str">
            <v>Thiếu</v>
          </cell>
          <cell r="AX69" t="str">
            <v>Thiếu</v>
          </cell>
          <cell r="AY69" t="str">
            <v>Thiếu</v>
          </cell>
          <cell r="AZ69" t="str">
            <v>Thiếu</v>
          </cell>
          <cell r="BA69" t="str">
            <v>Thiếu</v>
          </cell>
          <cell r="BB69" t="str">
            <v>- CCCD quá hạn
- Bằng CĐ quá hạn
- Chứng chỉ kế toán quá hạn
- Chứng chỉ Tin học, Tiếng Anh quá hạn</v>
          </cell>
          <cell r="BC69">
            <v>0</v>
          </cell>
          <cell r="BD69">
            <v>0</v>
          </cell>
          <cell r="BE69" t="str">
            <v>Lầu 1, 207 Nguyễn Chí Thanh, P.12, Q.5</v>
          </cell>
          <cell r="BF69">
            <v>16</v>
          </cell>
          <cell r="BG69">
            <v>10</v>
          </cell>
          <cell r="BH69">
            <v>1995</v>
          </cell>
          <cell r="BI69">
            <v>2</v>
          </cell>
          <cell r="BJ69">
            <v>12</v>
          </cell>
          <cell r="BK69">
            <v>2024</v>
          </cell>
          <cell r="BL69" t="str">
            <v>2/12/2024</v>
          </cell>
        </row>
        <row r="70">
          <cell r="C70" t="str">
            <v>Nguyễn Thị Diễm Mi</v>
          </cell>
          <cell r="D70">
            <v>34919</v>
          </cell>
          <cell r="E70" t="str">
            <v>Tổ 3, P. An Phú, Thị xã An Khê, Gia Lai</v>
          </cell>
          <cell r="F70" t="str">
            <v>420 Quang Trung, TT Phù Mỹ, Huyện Phù Mỹ, Tỉnh Bình Định</v>
          </cell>
          <cell r="G70" t="str">
            <v>0392121554</v>
          </cell>
          <cell r="H70" t="str">
            <v>mi.nguyen@medigoapp.com</v>
          </cell>
          <cell r="I70" t="str">
            <v>8421917251</v>
          </cell>
          <cell r="J70" t="str">
            <v>6421592322</v>
          </cell>
          <cell r="K70" t="str">
            <v>064195004758</v>
          </cell>
          <cell r="L70">
            <v>44905</v>
          </cell>
          <cell r="M70" t="str">
            <v>CTCCS QLHCVTTXH</v>
          </cell>
          <cell r="N70" t="str">
            <v>8899779989</v>
          </cell>
          <cell r="O70" t="str">
            <v>NH Seabank</v>
          </cell>
          <cell r="P70">
            <v>44818</v>
          </cell>
          <cell r="Q70" t="str">
            <v>Admin - điều phối đơn hàng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 t="str">
            <v>Medigo Software</v>
          </cell>
          <cell r="X70" t="str">
            <v>HỢP ĐỒNG CÓ THỜI HẠN</v>
          </cell>
          <cell r="Y70" t="str">
            <v>ADMIN CSKH</v>
          </cell>
          <cell r="Z70">
            <v>44818</v>
          </cell>
          <cell r="AA70">
            <v>0</v>
          </cell>
          <cell r="AB70">
            <v>0</v>
          </cell>
          <cell r="AC70">
            <v>46148</v>
          </cell>
          <cell r="AD70">
            <v>43</v>
          </cell>
          <cell r="AE70">
            <v>0</v>
          </cell>
          <cell r="AF70">
            <v>45108</v>
          </cell>
          <cell r="AG70">
            <v>45838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-310</v>
          </cell>
          <cell r="AM70">
            <v>9000000</v>
          </cell>
          <cell r="AN70">
            <v>0</v>
          </cell>
          <cell r="AO70" t="str">
            <v>Gross</v>
          </cell>
          <cell r="AP70">
            <v>5310000</v>
          </cell>
          <cell r="AQ70">
            <v>0</v>
          </cell>
          <cell r="AR70">
            <v>0</v>
          </cell>
          <cell r="AS70">
            <v>0</v>
          </cell>
          <cell r="AT70" t="str">
            <v>Nữ</v>
          </cell>
          <cell r="AU70" t="str">
            <v>medigo.mi.nguyen@gmail.com</v>
          </cell>
          <cell r="AV70">
            <v>0</v>
          </cell>
          <cell r="AW70" t="str">
            <v>Thiếu</v>
          </cell>
          <cell r="AX70" t="str">
            <v>Thiếu</v>
          </cell>
          <cell r="AY70" t="str">
            <v>Thiếu</v>
          </cell>
          <cell r="AZ70" t="str">
            <v>Thiếu</v>
          </cell>
          <cell r="BA70" t="str">
            <v>Thiếu</v>
          </cell>
          <cell r="BB70" t="str">
            <v>- CCCD photo
- SYLL photo
- Bằng ĐH photo
- Chứng chỉ Tin học + TA photo</v>
          </cell>
          <cell r="BC70">
            <v>0</v>
          </cell>
          <cell r="BD70">
            <v>0</v>
          </cell>
          <cell r="BE70" t="str">
            <v>Lầu 1, 207 Nguyễn Chí Thanh, P.12, Q.5</v>
          </cell>
          <cell r="BF70">
            <v>8</v>
          </cell>
          <cell r="BG70">
            <v>8</v>
          </cell>
          <cell r="BH70">
            <v>1995</v>
          </cell>
          <cell r="BI70">
            <v>14</v>
          </cell>
          <cell r="BJ70">
            <v>9</v>
          </cell>
          <cell r="BK70">
            <v>2022</v>
          </cell>
          <cell r="BL70" t="str">
            <v>14/9/2022</v>
          </cell>
        </row>
        <row r="71">
          <cell r="C71" t="str">
            <v>HÀNG THU HUỆ</v>
          </cell>
          <cell r="D71" t="str">
            <v>26/02/2004</v>
          </cell>
          <cell r="E71" t="str">
            <v>Xã Ninh Hưng, thị xã Ninh Hoà, tỉnh Khánh Hoà</v>
          </cell>
          <cell r="F71" t="str">
            <v>132/68 Nguyễn Hữu Cảnh, phường 22, quận Bình Thạnh</v>
          </cell>
          <cell r="G71" t="str">
            <v>0977208072</v>
          </cell>
          <cell r="H71" t="str">
            <v>huehang262@gmail.com</v>
          </cell>
          <cell r="I71" t="str">
            <v>8833344049</v>
          </cell>
          <cell r="J71" t="str">
            <v>0</v>
          </cell>
          <cell r="K71" t="str">
            <v>056304003269</v>
          </cell>
          <cell r="L71" t="str">
            <v>27/04/2022</v>
          </cell>
          <cell r="M71" t="str">
            <v>Khánh Hoà</v>
          </cell>
          <cell r="N71" t="str">
            <v>1025 1098 46</v>
          </cell>
          <cell r="O71" t="str">
            <v>Vietcombank</v>
          </cell>
          <cell r="P71" t="str">
            <v>07/07/2025</v>
          </cell>
          <cell r="Q71" t="str">
            <v>Thực tập sinh Marketing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 t="str">
            <v>Medigo</v>
          </cell>
          <cell r="X71" t="str">
            <v>Thực tập</v>
          </cell>
          <cell r="Y71" t="str">
            <v>Marketing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 t="str">
            <v>Lầu 1, 207 Nguyễn Chí Thanh, P.12, Q.5</v>
          </cell>
          <cell r="BF71">
            <v>26</v>
          </cell>
          <cell r="BG71">
            <v>2</v>
          </cell>
          <cell r="BH71">
            <v>2004</v>
          </cell>
          <cell r="BI71">
            <v>7</v>
          </cell>
          <cell r="BJ71">
            <v>7</v>
          </cell>
          <cell r="BK71">
            <v>2025</v>
          </cell>
          <cell r="BL71" t="str">
            <v>7/7/2025</v>
          </cell>
        </row>
        <row r="72">
          <cell r="C72" t="str">
            <v>NGUYỄN TUẤN KIỆT</v>
          </cell>
          <cell r="D72" t="str">
            <v>21/08/2003</v>
          </cell>
          <cell r="E72" t="str">
            <v>11/2 đường số 3, Bình Hưng Hoà, Bình Tân, Tp.Hồ Chí Minh</v>
          </cell>
          <cell r="F72" t="str">
            <v>11/2 đường số 3, Bình Hưng Hoà, Bình Tân, Hồ Chí Minh</v>
          </cell>
          <cell r="G72" t="str">
            <v>0337602573</v>
          </cell>
          <cell r="H72" t="str">
            <v>tuankietnguyenwork@gmail.com</v>
          </cell>
          <cell r="I72" t="str">
            <v>074203000525</v>
          </cell>
          <cell r="J72" t="str">
            <v>0724550443</v>
          </cell>
          <cell r="K72" t="str">
            <v>074203000525</v>
          </cell>
          <cell r="L72" t="str">
            <v>27/3/2022</v>
          </cell>
          <cell r="M72" t="str">
            <v>Cục trưởng cục cảnh sát quản lý hành chính về trật tự xã hội</v>
          </cell>
          <cell r="N72" t="str">
            <v>65210001929562</v>
          </cell>
          <cell r="O72" t="str">
            <v>BIDV</v>
          </cell>
          <cell r="P72" t="str">
            <v>24/7/2025</v>
          </cell>
          <cell r="Q72" t="str">
            <v>Thực tập sinh Marketing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 t="str">
            <v>Medigo</v>
          </cell>
          <cell r="X72" t="str">
            <v>Thực tập</v>
          </cell>
          <cell r="Y72" t="str">
            <v>Marketing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1500000</v>
          </cell>
          <cell r="AN72">
            <v>1500000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 t="str">
            <v>Nam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 t="str">
            <v>Lầu 1, 207 Nguyễn Chí Thanh, P.12, Q.5</v>
          </cell>
          <cell r="BF72">
            <v>21</v>
          </cell>
          <cell r="BG72">
            <v>8</v>
          </cell>
          <cell r="BH72">
            <v>2003</v>
          </cell>
          <cell r="BI72">
            <v>24</v>
          </cell>
          <cell r="BJ72">
            <v>7</v>
          </cell>
          <cell r="BK72">
            <v>2025</v>
          </cell>
          <cell r="BL72" t="str">
            <v>24/7/2025</v>
          </cell>
        </row>
        <row r="73">
          <cell r="C73" t="str">
            <v>QUẢN NGUYỄN VÂN ANH</v>
          </cell>
          <cell r="D73" t="str">
            <v>15/4/2004</v>
          </cell>
          <cell r="E73" t="str">
            <v>Ấp An Hòa, Xã Đức Huệ, Tỉnh Tây Ninh</v>
          </cell>
          <cell r="F73" t="str">
            <v>Tân Tạo Plaza, đường Trần Đại Nghĩa, xã Tân Nhựt, TPHCM</v>
          </cell>
          <cell r="G73" t="str">
            <v>0373464644</v>
          </cell>
          <cell r="H73" t="str">
            <v>quannguyenvananh1504@gmail.com</v>
          </cell>
          <cell r="I73" t="str">
            <v>8887164571</v>
          </cell>
          <cell r="J73">
            <v>0</v>
          </cell>
          <cell r="K73" t="str">
            <v>080304003747</v>
          </cell>
          <cell r="L73" t="str">
            <v>21/4/2021</v>
          </cell>
          <cell r="M73" t="str">
            <v>C06</v>
          </cell>
          <cell r="N73" t="str">
            <v>1027052612</v>
          </cell>
          <cell r="O73" t="str">
            <v>Vietcombank</v>
          </cell>
          <cell r="P73" t="str">
            <v>12/8/2025</v>
          </cell>
          <cell r="Q73" t="str">
            <v>Thực tập sinh Marketing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 t="str">
            <v>Medigo</v>
          </cell>
          <cell r="X73" t="str">
            <v>Thực tập</v>
          </cell>
          <cell r="Y73" t="str">
            <v>Marketing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1500000</v>
          </cell>
          <cell r="AN73">
            <v>1500000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 t="str">
            <v>Nữ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 t="str">
            <v>Lầu 1, 207 Nguyễn Chí Thanh, P.12, Q.5</v>
          </cell>
          <cell r="BF73">
            <v>15</v>
          </cell>
          <cell r="BG73">
            <v>4</v>
          </cell>
          <cell r="BH73">
            <v>2004</v>
          </cell>
          <cell r="BI73">
            <v>12</v>
          </cell>
          <cell r="BJ73">
            <v>8</v>
          </cell>
          <cell r="BK73">
            <v>2025</v>
          </cell>
          <cell r="BL73" t="str">
            <v>12/8/2025</v>
          </cell>
        </row>
        <row r="74">
          <cell r="C74" t="str">
            <v>NGUYỄN ĐÌNH HOÀNG ANH</v>
          </cell>
          <cell r="D74" t="str">
            <v>08/07/1993</v>
          </cell>
          <cell r="E74" t="str">
            <v>155/10 Nguyễn Thông, P. Nhiêu Lộc, Tp.HCM</v>
          </cell>
          <cell r="F74" t="str">
            <v>D7/18A Liên Ấp 2-3-4, X. Vĩnh Lộc, Tp.HCM</v>
          </cell>
          <cell r="G74" t="str">
            <v>0988909360</v>
          </cell>
          <cell r="H74" t="str">
            <v>hoanganh080793@gmail.com</v>
          </cell>
          <cell r="I74" t="str">
            <v>8455073775</v>
          </cell>
          <cell r="J74" t="str">
            <v>7932377222</v>
          </cell>
          <cell r="K74" t="str">
            <v>079093024926</v>
          </cell>
          <cell r="L74" t="str">
            <v>11/08/2021</v>
          </cell>
          <cell r="M74" t="str">
            <v>Thành phố Hồ Chí Minh</v>
          </cell>
          <cell r="N74" t="str">
            <v>17703507</v>
          </cell>
          <cell r="O74" t="str">
            <v>ACB</v>
          </cell>
          <cell r="P74" t="str">
            <v>07/07/2025</v>
          </cell>
          <cell r="Q74" t="str">
            <v>SEO Marketing Lead</v>
          </cell>
          <cell r="R74" t="str">
            <v>Marketing / Quản trị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HỢP ĐỒNG CÓ THỜI HẠN</v>
          </cell>
          <cell r="Y74" t="str">
            <v>Marketing</v>
          </cell>
          <cell r="Z74" t="str">
            <v>07/07/2025</v>
          </cell>
          <cell r="AA74" t="str">
            <v>07/09/2025</v>
          </cell>
          <cell r="AB74">
            <v>0</v>
          </cell>
          <cell r="AC74">
            <v>0</v>
          </cell>
          <cell r="AD74">
            <v>0</v>
          </cell>
          <cell r="AE74" t="str">
            <v>1 tháng</v>
          </cell>
          <cell r="AF74" t="str">
            <v>01/09/2025</v>
          </cell>
          <cell r="AG74" t="str">
            <v>30/09/2025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12000000</v>
          </cell>
          <cell r="AN74">
            <v>10200000</v>
          </cell>
          <cell r="AO74">
            <v>0</v>
          </cell>
          <cell r="AP74">
            <v>5310000</v>
          </cell>
          <cell r="AQ74">
            <v>6690000</v>
          </cell>
          <cell r="AR74" t="str">
            <v>Sáu triệu sáu trăm chín mươi ngàn đồng</v>
          </cell>
          <cell r="AS74">
            <v>0</v>
          </cell>
          <cell r="AT74" t="str">
            <v>Nam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 t="str">
            <v>Lầu 1, 207 Nguyễn Chí Thanh, P.12, Q.5</v>
          </cell>
          <cell r="BF74">
            <v>8</v>
          </cell>
          <cell r="BG74">
            <v>7</v>
          </cell>
          <cell r="BH74">
            <v>1993</v>
          </cell>
          <cell r="BI74">
            <v>7</v>
          </cell>
          <cell r="BJ74">
            <v>7</v>
          </cell>
          <cell r="BK74">
            <v>2025</v>
          </cell>
          <cell r="BL74" t="str">
            <v>7/7/2025</v>
          </cell>
        </row>
        <row r="75">
          <cell r="C75" t="str">
            <v>PHẠM QUANG KHANH</v>
          </cell>
          <cell r="D75" t="str">
            <v>19/01/2000</v>
          </cell>
          <cell r="E75" t="str">
            <v>172/35A Đặng Văn Ngữ, phường 13, quận Phú Nhuận</v>
          </cell>
          <cell r="F75" t="str">
            <v>489/24/54A Huỳnh Văn Bánh, phường 13, quận Phú Nhuận</v>
          </cell>
          <cell r="G75" t="str">
            <v>0902621322</v>
          </cell>
          <cell r="H75" t="str">
            <v>qkp.khanh@gmail.com</v>
          </cell>
          <cell r="I75" t="str">
            <v>8741675160</v>
          </cell>
          <cell r="J75" t="str">
            <v>7937669355</v>
          </cell>
          <cell r="K75" t="str">
            <v>056200000081</v>
          </cell>
          <cell r="L75" t="str">
            <v>07/01/2025</v>
          </cell>
          <cell r="M75" t="str">
            <v>Cục Cảnh sát quản lý hành chính về trật tự xã hội</v>
          </cell>
          <cell r="N75" t="str">
            <v>45332448888</v>
          </cell>
          <cell r="O75" t="str">
            <v>TPBank</v>
          </cell>
          <cell r="P75" t="str">
            <v>14/04/2025</v>
          </cell>
          <cell r="Q75" t="str">
            <v>Frontend Developer</v>
          </cell>
          <cell r="R75" t="str">
            <v>Công nghệ thông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 t="str">
            <v>Medigo Software</v>
          </cell>
          <cell r="X75" t="str">
            <v>HỢP ĐỒNG CÓ THỜI HẠN</v>
          </cell>
          <cell r="Y75" t="str">
            <v>IT</v>
          </cell>
          <cell r="Z75" t="str">
            <v>14/04/2025</v>
          </cell>
          <cell r="AA75" t="str">
            <v>13/06/2025</v>
          </cell>
          <cell r="AB75">
            <v>0</v>
          </cell>
          <cell r="AC75">
            <v>46148</v>
          </cell>
          <cell r="AD75">
            <v>12</v>
          </cell>
          <cell r="AE75">
            <v>0</v>
          </cell>
          <cell r="AF75" t="str">
            <v>14/06/2025</v>
          </cell>
          <cell r="AG75" t="str">
            <v>13/06/2027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 t="str">
            <v>Nam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 t="str">
            <v>Lầu 1, 207 Nguyễn Chí Thanh, P.12, Q.5</v>
          </cell>
          <cell r="BF75">
            <v>19</v>
          </cell>
          <cell r="BG75">
            <v>1</v>
          </cell>
          <cell r="BH75">
            <v>2000</v>
          </cell>
          <cell r="BI75">
            <v>14</v>
          </cell>
          <cell r="BJ75">
            <v>4</v>
          </cell>
          <cell r="BK75">
            <v>2025</v>
          </cell>
          <cell r="BL75" t="str">
            <v>14/4/2025</v>
          </cell>
        </row>
        <row r="76">
          <cell r="C76" t="str">
            <v>TRẦN THỊ THANH THÚY</v>
          </cell>
          <cell r="D76" t="str">
            <v>09/9/2004</v>
          </cell>
          <cell r="E76" t="str">
            <v>224 Hà Đặc, Trung Mỹ Tây, Quận 12, Tp Hồ Chí Minh</v>
          </cell>
          <cell r="F76">
            <v>0</v>
          </cell>
          <cell r="G76" t="str">
            <v>0901869179</v>
          </cell>
          <cell r="H76" t="str">
            <v>tranthithanhthuya0@gmail.com</v>
          </cell>
          <cell r="I76">
            <v>0</v>
          </cell>
          <cell r="J76">
            <v>0</v>
          </cell>
          <cell r="K76" t="str">
            <v>082304005327</v>
          </cell>
          <cell r="L76" t="str">
            <v>28/9/2021</v>
          </cell>
          <cell r="M76" t="str">
            <v>Tiền Giang</v>
          </cell>
          <cell r="N76" t="str">
            <v>0352576634</v>
          </cell>
          <cell r="O76" t="str">
            <v>MB Bank</v>
          </cell>
          <cell r="P76" t="str">
            <v>20/10/2025</v>
          </cell>
          <cell r="Q76" t="str">
            <v>Thực tập sinh Marketing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 t="str">
            <v>Medigo</v>
          </cell>
          <cell r="X76" t="str">
            <v>Thực tập</v>
          </cell>
          <cell r="Y76" t="str">
            <v>Marketing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 t="str">
            <v>20/10/2025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3000000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 t="str">
            <v>Nữ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 t="str">
            <v>Lầu 1, 207 Nguyễn Chí Thanh, P.12, Q.5</v>
          </cell>
          <cell r="BF76">
            <v>9</v>
          </cell>
          <cell r="BG76">
            <v>9</v>
          </cell>
          <cell r="BH76">
            <v>2004</v>
          </cell>
          <cell r="BI76">
            <v>20</v>
          </cell>
          <cell r="BJ76">
            <v>10</v>
          </cell>
          <cell r="BK76">
            <v>2025</v>
          </cell>
          <cell r="BL76" t="str">
            <v>20/10/2025</v>
          </cell>
        </row>
        <row r="77">
          <cell r="C77" t="str">
            <v>SƠN KIM PHƯƠNG ANH</v>
          </cell>
          <cell r="D77" t="str">
            <v>24/05/1989</v>
          </cell>
          <cell r="E77" t="str">
            <v>704 Ấp Thị trấn B1, Xã Hoà Bình, Tỉnh Cà Mau</v>
          </cell>
          <cell r="F77" t="str">
            <v>373/172/12C Lý Thường Kiệt, Khu phố 9, Phường Tân Hoà, TP.HCM</v>
          </cell>
          <cell r="G77" t="str">
            <v>0902781367</v>
          </cell>
          <cell r="H77" t="str">
            <v>phuonganh.sonkim24@gmail.com</v>
          </cell>
          <cell r="I77" t="str">
            <v>095189007234</v>
          </cell>
          <cell r="J77">
            <v>7912165169</v>
          </cell>
          <cell r="K77" t="str">
            <v>095189007234</v>
          </cell>
          <cell r="L77" t="str">
            <v>15/01/2023</v>
          </cell>
          <cell r="M77" t="str">
            <v>CQLHC&amp;TTXH</v>
          </cell>
          <cell r="N77" t="str">
            <v>0421000546198</v>
          </cell>
          <cell r="O77" t="str">
            <v>Vietcombank</v>
          </cell>
          <cell r="P77" t="str">
            <v>06/10/2025</v>
          </cell>
          <cell r="Q77" t="str">
            <v>Content Lead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 t="str">
            <v>Medigo</v>
          </cell>
          <cell r="X77" t="str">
            <v>thử việc</v>
          </cell>
          <cell r="Y77" t="str">
            <v>Marketing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2 tháng</v>
          </cell>
          <cell r="AF77" t="str">
            <v>06/10/2025</v>
          </cell>
          <cell r="AG77" t="str">
            <v>06/12/2025</v>
          </cell>
          <cell r="AH77" t="str">
            <v>thử việc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25000000</v>
          </cell>
          <cell r="AN77">
            <v>21250000</v>
          </cell>
          <cell r="AO77" t="str">
            <v>Gross</v>
          </cell>
          <cell r="AP77">
            <v>5310000</v>
          </cell>
          <cell r="AQ77">
            <v>15940000</v>
          </cell>
          <cell r="AR77" t="str">
            <v>mười lăm triệu chín trăm bốn mươi ngàn đồng</v>
          </cell>
          <cell r="AS77">
            <v>0</v>
          </cell>
          <cell r="AT77" t="str">
            <v>nữ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 t="str">
            <v>Lầu 1, 207 Nguyễn Chí Thanh, P.12, Q.6</v>
          </cell>
          <cell r="BF77">
            <v>24</v>
          </cell>
          <cell r="BG77">
            <v>5</v>
          </cell>
          <cell r="BH77">
            <v>1989</v>
          </cell>
          <cell r="BI77">
            <v>6</v>
          </cell>
          <cell r="BJ77">
            <v>10</v>
          </cell>
          <cell r="BK77">
            <v>2025</v>
          </cell>
          <cell r="BL77" t="str">
            <v>6/10/2025</v>
          </cell>
        </row>
        <row r="78">
          <cell r="C78" t="str">
            <v>NGUYỄN NGỌC TÂM ĐOAN</v>
          </cell>
          <cell r="D78" t="str">
            <v>11/09/2004</v>
          </cell>
          <cell r="E78" t="str">
            <v>01 đường 17A ấp Tân Tiến xã Tân Thông Hội huyện Củ Chi TP.HCM</v>
          </cell>
          <cell r="F78">
            <v>0</v>
          </cell>
          <cell r="G78" t="str">
            <v>0912207752</v>
          </cell>
          <cell r="H78" t="str">
            <v>nguyenngoctamdoan11092004@gmail.com</v>
          </cell>
          <cell r="I78" t="str">
            <v>8795062499</v>
          </cell>
          <cell r="J78">
            <v>0</v>
          </cell>
          <cell r="K78" t="str">
            <v>079304028381</v>
          </cell>
          <cell r="L78" t="str">
            <v>09/9/2022</v>
          </cell>
          <cell r="M78" t="str">
            <v>CỤC TRƯỞNG CỤC CẢNH SÁT QUẢN LÝ HÀNH CHÍNH VỀ TRẬT TỰ XÃ HỘI</v>
          </cell>
          <cell r="N78" t="str">
            <v>1032532383</v>
          </cell>
          <cell r="O78" t="str">
            <v>Vietcombank</v>
          </cell>
          <cell r="P78" t="str">
            <v>15/10/2025</v>
          </cell>
          <cell r="Q78" t="str">
            <v>Thực tập sinh marketing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Medigo</v>
          </cell>
          <cell r="X78" t="str">
            <v>Thực tập</v>
          </cell>
          <cell r="Y78" t="str">
            <v>Marketing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 t="str">
            <v>15/10/2025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1500000</v>
          </cell>
          <cell r="AN78">
            <v>1500000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 t="str">
            <v>Nữ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 t="str">
            <v>Lầu 1, 207 Nguyễn Chí Thanh, P.12, Q.5</v>
          </cell>
          <cell r="BF78">
            <v>11</v>
          </cell>
          <cell r="BG78">
            <v>9</v>
          </cell>
          <cell r="BH78">
            <v>2004</v>
          </cell>
          <cell r="BI78">
            <v>15</v>
          </cell>
          <cell r="BJ78">
            <v>10</v>
          </cell>
          <cell r="BK78">
            <v>2025</v>
          </cell>
          <cell r="BL78" t="str">
            <v>15/10/2025</v>
          </cell>
        </row>
        <row r="79">
          <cell r="C79" t="str">
            <v>TRẦN PHẠM HỒNG ÂN</v>
          </cell>
          <cell r="D79" t="str">
            <v>21/4/2004</v>
          </cell>
          <cell r="E79" t="str">
            <v>Ấp Hòa Hiệp 1, Xã An Ninh Đông, Đức Hòa, Long An</v>
          </cell>
          <cell r="F79" t="str">
            <v>524/48 Nguyễn Đình Chiểu, Phường 4, Quận 3</v>
          </cell>
          <cell r="G79" t="str">
            <v>0934901825</v>
          </cell>
          <cell r="H79" t="str">
            <v>hngant1304@gmail.com</v>
          </cell>
          <cell r="I79">
            <v>0</v>
          </cell>
          <cell r="J79">
            <v>0</v>
          </cell>
          <cell r="K79" t="str">
            <v>080304014700</v>
          </cell>
          <cell r="L79" t="str">
            <v>22/11/2021</v>
          </cell>
          <cell r="M79" t="str">
            <v>Cục trưởng Cục Cảnh sát quản lý hành chính về trật tự xã hội</v>
          </cell>
          <cell r="N79" t="str">
            <v>0934901825</v>
          </cell>
          <cell r="O79" t="str">
            <v>Ngân hàng Quân đội MB Bank</v>
          </cell>
          <cell r="P79" t="str">
            <v>20/10/2025</v>
          </cell>
          <cell r="Q79" t="str">
            <v>Thực tập sinh Marketing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 t="str">
            <v>Medigo</v>
          </cell>
          <cell r="X79" t="str">
            <v>Thực tập</v>
          </cell>
          <cell r="Y79" t="str">
            <v>Marketing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 t="str">
            <v>20/10/2025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1500000</v>
          </cell>
          <cell r="AN79">
            <v>1500000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 t="str">
            <v>Nữ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 t="str">
            <v>Lầu 1, 207 Nguyễn Chí Thanh, P.12, Q.5</v>
          </cell>
          <cell r="BF79">
            <v>21</v>
          </cell>
          <cell r="BG79">
            <v>4</v>
          </cell>
          <cell r="BH79">
            <v>2004</v>
          </cell>
          <cell r="BI79">
            <v>20</v>
          </cell>
          <cell r="BJ79">
            <v>10</v>
          </cell>
          <cell r="BK79">
            <v>2025</v>
          </cell>
          <cell r="BL79" t="str">
            <v>20/10/2025</v>
          </cell>
        </row>
        <row r="80">
          <cell r="C80" t="str">
            <v>NGUYỄN THỊ NGỌC NGA</v>
          </cell>
          <cell r="D80" t="str">
            <v>30/08/2001</v>
          </cell>
          <cell r="E80" t="str">
            <v>579/47 Phạm Văn Chí phường 7 quận 6 TP.HCM</v>
          </cell>
          <cell r="F80" t="str">
            <v>579/47 Phạm Văn Chí phường 7 quận 6 TP.HCM</v>
          </cell>
          <cell r="G80" t="str">
            <v>0934413530</v>
          </cell>
          <cell r="H80" t="str">
            <v>ntnnga19@gmail.com</v>
          </cell>
          <cell r="I80" t="str">
            <v>8649043628</v>
          </cell>
          <cell r="J80" t="str">
            <v>7933487683</v>
          </cell>
          <cell r="K80" t="str">
            <v>079301016737</v>
          </cell>
          <cell r="L80" t="str">
            <v>22/11/2021</v>
          </cell>
          <cell r="M80" t="str">
            <v>Cục trưởng cục cảnh sát</v>
          </cell>
          <cell r="N80" t="str">
            <v>20013008658</v>
          </cell>
          <cell r="O80" t="str">
            <v>TP Bank</v>
          </cell>
          <cell r="P80" t="str">
            <v>07/07/2025</v>
          </cell>
          <cell r="Q80" t="str">
            <v>Nhân viên Marketing</v>
          </cell>
          <cell r="R80" t="str">
            <v>Marketing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 t="str">
            <v>Medigo Software</v>
          </cell>
          <cell r="X80" t="str">
            <v>thử việc</v>
          </cell>
          <cell r="Y80" t="str">
            <v>Marketing</v>
          </cell>
          <cell r="Z80" t="str">
            <v>01/10/2025</v>
          </cell>
          <cell r="AA80" t="str">
            <v>01/12/2025</v>
          </cell>
          <cell r="AB80">
            <v>0</v>
          </cell>
          <cell r="AC80">
            <v>0</v>
          </cell>
          <cell r="AD80">
            <v>0</v>
          </cell>
          <cell r="AE80" t="str">
            <v>2 tháng</v>
          </cell>
          <cell r="AF80" t="str">
            <v>01/12/2025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8000000</v>
          </cell>
          <cell r="AN80">
            <v>6800000</v>
          </cell>
          <cell r="AO80">
            <v>0</v>
          </cell>
          <cell r="AP80">
            <v>5310000</v>
          </cell>
          <cell r="AQ80">
            <v>1490000</v>
          </cell>
          <cell r="AR80" t="str">
            <v>một triệu bốn trăm chín mươi ngàn đồng</v>
          </cell>
          <cell r="AS80">
            <v>0</v>
          </cell>
          <cell r="AT80" t="str">
            <v>nữ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 t="str">
            <v>Lầu 1, 207 Nguyễn Chí Thanh, P.12, Q.5</v>
          </cell>
          <cell r="BF80">
            <v>30</v>
          </cell>
          <cell r="BG80">
            <v>8</v>
          </cell>
          <cell r="BH80">
            <v>2001</v>
          </cell>
          <cell r="BI80">
            <v>7</v>
          </cell>
          <cell r="BJ80">
            <v>7</v>
          </cell>
          <cell r="BK80">
            <v>2025</v>
          </cell>
          <cell r="BL80" t="str">
            <v>7/7/2025</v>
          </cell>
        </row>
        <row r="81">
          <cell r="C81" t="str">
            <v>TRẦN THỊ HUYỀN LINH</v>
          </cell>
          <cell r="D81" t="str">
            <v>06/09/2003</v>
          </cell>
          <cell r="E81" t="str">
            <v>126 đường Nguyễn Văn Linh, Xã Cư Jut, tỉnh Lâm Đồng</v>
          </cell>
          <cell r="F81" t="str">
            <v>76/4/2B đường Lê Trọng Tấn, phường Tây Thạnh, quận Tân Phú, TP. HCM</v>
          </cell>
          <cell r="G81" t="str">
            <v>0768667153</v>
          </cell>
          <cell r="H81" t="str">
            <v>tranhuyenlinh693@gmail.com</v>
          </cell>
          <cell r="I81" t="str">
            <v>8810513029</v>
          </cell>
          <cell r="J81" t="str">
            <v>Chưa có</v>
          </cell>
          <cell r="K81" t="str">
            <v>067303007918</v>
          </cell>
          <cell r="L81" t="str">
            <v>04/9/2022</v>
          </cell>
          <cell r="M81" t="str">
            <v>Cục Cảnh sát quản lý hành chính về trật tự xã hội</v>
          </cell>
          <cell r="N81" t="str">
            <v>0768667153</v>
          </cell>
          <cell r="O81" t="str">
            <v>MB Bank</v>
          </cell>
          <cell r="P81" t="str">
            <v>24/7/2025</v>
          </cell>
          <cell r="Q81" t="str">
            <v>Thực tập sinh Marketing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 t="str">
            <v>Medigo</v>
          </cell>
          <cell r="X81" t="str">
            <v>Thực tập</v>
          </cell>
          <cell r="Y81" t="str">
            <v>Marketing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1500000</v>
          </cell>
          <cell r="AN81">
            <v>1500000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 t="str">
            <v>Nữ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 t="str">
            <v>Lầu 1, 207 Nguyễn Chí Thanh, P.12, Q.5</v>
          </cell>
          <cell r="BF81">
            <v>6</v>
          </cell>
          <cell r="BG81">
            <v>9</v>
          </cell>
          <cell r="BH81">
            <v>2003</v>
          </cell>
          <cell r="BI81">
            <v>24</v>
          </cell>
          <cell r="BJ81">
            <v>7</v>
          </cell>
          <cell r="BK81">
            <v>2025</v>
          </cell>
          <cell r="BL81" t="str">
            <v>24/7/2025</v>
          </cell>
        </row>
        <row r="82">
          <cell r="C82" t="str">
            <v>TRẦN NGUYỄN KIỀU TRÂN</v>
          </cell>
          <cell r="D82" t="str">
            <v>31/05/2004</v>
          </cell>
          <cell r="E82" t="str">
            <v>Phú Thuận, Phú Thịnh, Tam Bình, Vĩnh Long</v>
          </cell>
          <cell r="F82" t="str">
            <v>Phước Lý, Cần Giuộc, Long An</v>
          </cell>
          <cell r="G82" t="str">
            <v>0326776914</v>
          </cell>
          <cell r="H82" t="str">
            <v>tnktrann315@gmail.com</v>
          </cell>
          <cell r="I82" t="str">
            <v>8651796650</v>
          </cell>
          <cell r="J82" t="str">
            <v>Chưa có</v>
          </cell>
          <cell r="K82" t="str">
            <v>086304002212</v>
          </cell>
          <cell r="L82" t="str">
            <v>09/06/2023</v>
          </cell>
          <cell r="M82" t="str">
            <v>Cục Trưởng Cục Cảnh sát QLHC về TTXH</v>
          </cell>
          <cell r="N82" t="str">
            <v>103876849798</v>
          </cell>
          <cell r="O82" t="str">
            <v>VietinBank</v>
          </cell>
          <cell r="P82" t="str">
            <v>11/08/2025</v>
          </cell>
          <cell r="Q82" t="str">
            <v>Thực tập sinh Marketing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 t="str">
            <v>Medigo</v>
          </cell>
          <cell r="X82" t="str">
            <v>Thực tập</v>
          </cell>
          <cell r="Y82" t="str">
            <v>Marketing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1500000</v>
          </cell>
          <cell r="AN82">
            <v>1500000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 t="str">
            <v>Nữ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 t="str">
            <v>Lầu 1, 207 Nguyễn Chí Thanh, P.12, Q.5</v>
          </cell>
          <cell r="BF82">
            <v>31</v>
          </cell>
          <cell r="BG82">
            <v>5</v>
          </cell>
          <cell r="BH82">
            <v>2004</v>
          </cell>
          <cell r="BI82">
            <v>11</v>
          </cell>
          <cell r="BJ82">
            <v>8</v>
          </cell>
          <cell r="BK82">
            <v>2025</v>
          </cell>
          <cell r="BL82" t="str">
            <v>11/8/2025</v>
          </cell>
        </row>
        <row r="83">
          <cell r="C83" t="str">
            <v>NGUYỄN TRƯỜNG PHÚ</v>
          </cell>
          <cell r="D83" t="str">
            <v>13/12/2004</v>
          </cell>
          <cell r="E83" t="str">
            <v>Ấp Đông Lợi A, xã Đông Phước, huyện Châu Thành, tỉnh Cần Thơ</v>
          </cell>
          <cell r="F83" t="str">
            <v>11 Nguyễn Hữu Dật, phường Tây Thạnh, quận Tân Phú, TPHCM</v>
          </cell>
          <cell r="G83" t="str">
            <v>0962129385</v>
          </cell>
          <cell r="H83" t="str">
            <v>truongphu131204@gmail.com</v>
          </cell>
          <cell r="I83" t="str">
            <v>079204037509</v>
          </cell>
          <cell r="J83" t="str">
            <v>Mã số Bảo hiểm xã hội</v>
          </cell>
          <cell r="K83" t="str">
            <v>079204037509</v>
          </cell>
          <cell r="L83" t="str">
            <v>01/05/2021</v>
          </cell>
          <cell r="M83" t="str">
            <v>Cục Trưởng Cục Cảnh Sát</v>
          </cell>
          <cell r="N83" t="str">
            <v>73710000566432</v>
          </cell>
          <cell r="O83" t="str">
            <v>BIDV bank</v>
          </cell>
          <cell r="P83" t="str">
            <v>11/8/2025</v>
          </cell>
          <cell r="Q83" t="str">
            <v>Thực tập sinh Marketing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 t="str">
            <v>Medigo</v>
          </cell>
          <cell r="X83" t="str">
            <v>Thực tập</v>
          </cell>
          <cell r="Y83" t="str">
            <v>Marketing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1500000</v>
          </cell>
          <cell r="AN83">
            <v>1500000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 t="str">
            <v>Nam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 t="str">
            <v>Lầu 1, 207 Nguyễn Chí Thanh, P.12, Q.5</v>
          </cell>
          <cell r="BF83">
            <v>13</v>
          </cell>
          <cell r="BG83">
            <v>12</v>
          </cell>
          <cell r="BH83">
            <v>2004</v>
          </cell>
          <cell r="BI83">
            <v>11</v>
          </cell>
          <cell r="BJ83">
            <v>8</v>
          </cell>
          <cell r="BK83">
            <v>2025</v>
          </cell>
          <cell r="BL83" t="str">
            <v>11/8/2025</v>
          </cell>
        </row>
        <row r="84">
          <cell r="C84" t="str">
            <v>NGUYỄN THỊ XUÂN HUỲNH</v>
          </cell>
          <cell r="D84" t="str">
            <v>05/11/2004</v>
          </cell>
          <cell r="E84" t="str">
            <v>39A/4, Ấp 4, Xã Sơn Đông, TP. Bến Tre, Tỉnh Bến Tre</v>
          </cell>
          <cell r="F84" t="str">
            <v>551 Lê Văn Quới, P. Bình Trị Đông A, Q. Bình Tân, TP. Hồ Chí Minh</v>
          </cell>
          <cell r="G84" t="str">
            <v>0914786693</v>
          </cell>
          <cell r="H84" t="str">
            <v>huynh0914786693@gmail.com</v>
          </cell>
          <cell r="I84" t="str">
            <v>8868127574</v>
          </cell>
          <cell r="J84">
            <v>8322744004</v>
          </cell>
          <cell r="K84" t="str">
            <v>089304009705</v>
          </cell>
          <cell r="L84" t="str">
            <v>15/04/2022</v>
          </cell>
          <cell r="M84" t="str">
            <v>Tỉnh Bến Tre</v>
          </cell>
          <cell r="N84" t="str">
            <v>1054357091</v>
          </cell>
          <cell r="O84" t="str">
            <v>Vietcombank</v>
          </cell>
          <cell r="P84" t="str">
            <v>11/08/2025</v>
          </cell>
          <cell r="Q84" t="str">
            <v>Thực tập sinh Marketing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 t="str">
            <v>Medigo</v>
          </cell>
          <cell r="X84" t="str">
            <v>Thực tập</v>
          </cell>
          <cell r="Y84" t="str">
            <v>Marketing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1500000</v>
          </cell>
          <cell r="AN84">
            <v>1500000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 t="str">
            <v>Nữ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 t="str">
            <v>Lầu 1, 207 Nguyễn Chí Thanh, P.12, Q.5</v>
          </cell>
          <cell r="BF84">
            <v>5</v>
          </cell>
          <cell r="BG84">
            <v>11</v>
          </cell>
          <cell r="BH84">
            <v>2004</v>
          </cell>
          <cell r="BI84">
            <v>11</v>
          </cell>
          <cell r="BJ84">
            <v>8</v>
          </cell>
          <cell r="BK84">
            <v>2025</v>
          </cell>
          <cell r="BL84" t="str">
            <v>11/8/2025</v>
          </cell>
        </row>
        <row r="85">
          <cell r="C85" t="str">
            <v>LÊ DUY ĐAN</v>
          </cell>
          <cell r="D85" t="str">
            <v>23/02/2003</v>
          </cell>
          <cell r="E85" t="str">
            <v>214B Nguyễn Trãi Quận 1 Tp. Hồ Chí Minh</v>
          </cell>
          <cell r="F85" t="str">
            <v>214B Nguyễn Trãi Quận 1 Tp. Hồ Chí Minh</v>
          </cell>
          <cell r="G85" t="str">
            <v>0978963683</v>
          </cell>
          <cell r="H85" t="str">
            <v>leduydan06@gmail.com</v>
          </cell>
          <cell r="I85">
            <v>0</v>
          </cell>
          <cell r="J85">
            <v>0</v>
          </cell>
          <cell r="K85" t="str">
            <v>075203013132</v>
          </cell>
          <cell r="L85" t="str">
            <v>06/09/2021</v>
          </cell>
          <cell r="M85" t="str">
            <v>Cục Cảnh Sát</v>
          </cell>
          <cell r="N85">
            <v>9323022003</v>
          </cell>
          <cell r="O85" t="str">
            <v>MB Bank</v>
          </cell>
          <cell r="P85" t="str">
            <v>03/11/2025</v>
          </cell>
          <cell r="Q85" t="str">
            <v>Thực Tập Sinh Marketing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 t="str">
            <v>Medigo</v>
          </cell>
          <cell r="X85" t="str">
            <v>Thực tập</v>
          </cell>
          <cell r="Y85" t="str">
            <v>Marketing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1500000</v>
          </cell>
          <cell r="AN85">
            <v>1500000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 t="str">
            <v>Nam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 t="str">
            <v>Lầu 1, 207 Nguyễn Chí Thanh, P.12, Q.5</v>
          </cell>
          <cell r="BF85">
            <v>23</v>
          </cell>
          <cell r="BG85">
            <v>2</v>
          </cell>
          <cell r="BH85">
            <v>2003</v>
          </cell>
          <cell r="BI85">
            <v>3</v>
          </cell>
          <cell r="BJ85">
            <v>11</v>
          </cell>
          <cell r="BK85">
            <v>2025</v>
          </cell>
          <cell r="BL85" t="str">
            <v>3/11/2025</v>
          </cell>
        </row>
        <row r="86">
          <cell r="C86" t="str">
            <v>PHẠM LÊ HUY</v>
          </cell>
          <cell r="D86" t="str">
            <v>03/7/1990</v>
          </cell>
          <cell r="E86" t="str">
            <v>B51 Nguyễn Trãi, phường Cầu Ông Lãnh, tp Hồ Chí Minh</v>
          </cell>
          <cell r="F86" t="str">
            <v>B51 Nguyễn Trãi, phường Cầu Ông Lãnh, tp Hồ Chí Minh</v>
          </cell>
          <cell r="G86" t="str">
            <v>0932441929</v>
          </cell>
          <cell r="H86" t="str">
            <v>huyphamanim@gmail.com</v>
          </cell>
          <cell r="I86" t="str">
            <v>049090018520</v>
          </cell>
          <cell r="J86">
            <v>7915230062</v>
          </cell>
          <cell r="K86" t="str">
            <v>049090018520</v>
          </cell>
          <cell r="L86" t="str">
            <v>06/2/2023</v>
          </cell>
          <cell r="M86" t="str">
            <v>Cục trưởng cục cảnh sát quản lý hành chính về trật tự xã hội</v>
          </cell>
          <cell r="N86" t="str">
            <v>102867155097</v>
          </cell>
          <cell r="O86" t="str">
            <v>Vietin bank</v>
          </cell>
          <cell r="P86" t="str">
            <v>06/10/2025</v>
          </cell>
          <cell r="Q86" t="str">
            <v>Video Editor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 t="str">
            <v>Medigo</v>
          </cell>
          <cell r="X86" t="str">
            <v>thử việc</v>
          </cell>
          <cell r="Y86" t="str">
            <v>Marketing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 t="str">
            <v>2 tháng</v>
          </cell>
          <cell r="AF86" t="str">
            <v>06/10/2025</v>
          </cell>
          <cell r="AG86" t="str">
            <v>06/12/2025</v>
          </cell>
          <cell r="AH86" t="str">
            <v>thử việc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15000000</v>
          </cell>
          <cell r="AN86">
            <v>12750000</v>
          </cell>
          <cell r="AO86" t="str">
            <v>Gross</v>
          </cell>
          <cell r="AP86">
            <v>5310000</v>
          </cell>
          <cell r="AQ86">
            <v>7440000</v>
          </cell>
          <cell r="AR86" t="str">
            <v>bảy triệu bốn trăm bốn mươi ngàn đồng</v>
          </cell>
          <cell r="AS86">
            <v>0</v>
          </cell>
          <cell r="AT86" t="str">
            <v>Nam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 t="str">
            <v>Lầu 1, 207 Nguyễn Chí Thanh, P.12, Q.5</v>
          </cell>
          <cell r="BF86">
            <v>3</v>
          </cell>
          <cell r="BG86">
            <v>7</v>
          </cell>
          <cell r="BH86">
            <v>1990</v>
          </cell>
          <cell r="BI86">
            <v>6</v>
          </cell>
          <cell r="BJ86">
            <v>10</v>
          </cell>
          <cell r="BK86">
            <v>2025</v>
          </cell>
          <cell r="BL86" t="str">
            <v>6/10/2025</v>
          </cell>
        </row>
        <row r="87">
          <cell r="C87" t="str">
            <v>NGÔ NHỰT DUY</v>
          </cell>
          <cell r="D87" t="str">
            <v>03/06/2004</v>
          </cell>
          <cell r="E87" t="str">
            <v>Khóm 1, xã Cái Nước, tỉnh Cà Mau</v>
          </cell>
          <cell r="F87" t="str">
            <v>94/39 Vườn Lài, khu phố 6, phường An Phú Đông, tp.HCM</v>
          </cell>
          <cell r="G87" t="str">
            <v>0854690068</v>
          </cell>
          <cell r="H87" t="str">
            <v>ngoduy0306@gmail.com</v>
          </cell>
          <cell r="I87" t="str">
            <v>8779465395</v>
          </cell>
          <cell r="J87" t="str">
            <v>9621909787</v>
          </cell>
          <cell r="K87" t="str">
            <v>096204002409</v>
          </cell>
          <cell r="L87" t="str">
            <v>23/05/2022</v>
          </cell>
          <cell r="M87" t="str">
            <v>Cục trưởng cục cảnh sát quản lý hành chính về trật tự xã hội</v>
          </cell>
          <cell r="N87" t="str">
            <v>333366220044</v>
          </cell>
          <cell r="O87" t="str">
            <v>Techcombank</v>
          </cell>
          <cell r="P87" t="str">
            <v>06/11/2025</v>
          </cell>
          <cell r="Q87" t="str">
            <v>Thực tập sinh Marketing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 t="str">
            <v>Medigo</v>
          </cell>
          <cell r="X87" t="str">
            <v>Thực tập</v>
          </cell>
          <cell r="Y87" t="str">
            <v>Marketing</v>
          </cell>
          <cell r="Z87" t="str">
            <v>06/11/2025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3000000</v>
          </cell>
          <cell r="AN87">
            <v>3000000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 t="str">
            <v>Nam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 t="str">
            <v>Lầu 1, 207 Nguyễn Chí Thanh, P.12, Q.5</v>
          </cell>
          <cell r="BF87">
            <v>3</v>
          </cell>
          <cell r="BG87">
            <v>6</v>
          </cell>
          <cell r="BH87">
            <v>2004</v>
          </cell>
          <cell r="BI87">
            <v>6</v>
          </cell>
          <cell r="BJ87">
            <v>10</v>
          </cell>
          <cell r="BK87">
            <v>2025</v>
          </cell>
          <cell r="BL87" t="str">
            <v>6/10/2025</v>
          </cell>
        </row>
        <row r="88">
          <cell r="C88" t="str">
            <v>PHẠM GIA HUY</v>
          </cell>
          <cell r="D88" t="str">
            <v>23/6/2004</v>
          </cell>
          <cell r="E88" t="str">
            <v>137 đường 11, Phước Bình, TP Thủ Đức</v>
          </cell>
          <cell r="F88" t="str">
            <v>68/44 Tân Thới Hiệp 29 Quận 12</v>
          </cell>
          <cell r="G88" t="str">
            <v>0827817837</v>
          </cell>
          <cell r="H88" t="str">
            <v>Phamhuy23062399@gmail.com</v>
          </cell>
          <cell r="I88" t="str">
            <v>072204006239</v>
          </cell>
          <cell r="J88">
            <v>0</v>
          </cell>
          <cell r="K88" t="str">
            <v>072204006239</v>
          </cell>
          <cell r="L88" t="str">
            <v>18/9/2022</v>
          </cell>
          <cell r="M88" t="str">
            <v>Thành Phố Hồ Chí Minh</v>
          </cell>
          <cell r="N88" t="str">
            <v>9021898745045</v>
          </cell>
          <cell r="O88" t="str">
            <v>Bản Việt Bank</v>
          </cell>
          <cell r="P88" t="str">
            <v>20/10/2025</v>
          </cell>
          <cell r="Q88" t="str">
            <v>Thực tập sinh Marketing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 t="str">
            <v>Medigo</v>
          </cell>
          <cell r="X88" t="str">
            <v>Thực tập</v>
          </cell>
          <cell r="Y88" t="str">
            <v>Marketing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20/10/2025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1500000</v>
          </cell>
          <cell r="AN88">
            <v>1500000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 t="str">
            <v>Nam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 t="str">
            <v>Lầu 1, 207 Nguyễn Chí Thanh, P.12, Q.5</v>
          </cell>
          <cell r="BF88">
            <v>23</v>
          </cell>
          <cell r="BG88">
            <v>6</v>
          </cell>
          <cell r="BH88">
            <v>2004</v>
          </cell>
          <cell r="BI88">
            <v>20</v>
          </cell>
          <cell r="BJ88">
            <v>10</v>
          </cell>
          <cell r="BK88">
            <v>2025</v>
          </cell>
          <cell r="BL88" t="str">
            <v>20/10/2025</v>
          </cell>
        </row>
        <row r="89">
          <cell r="C89" t="str">
            <v>PHẠM NGUYỄN XUÂN MAI</v>
          </cell>
          <cell r="D89" t="str">
            <v>27/3/2005</v>
          </cell>
          <cell r="E89" t="str">
            <v>532 Đoàn Văn Bơ, Phường 14, Quận 4, TP. Hồ Chí Minh</v>
          </cell>
          <cell r="F89" t="str">
            <v>55 tổ 8, khu phố Tân Mai 2, Phước Tân, Đồng Nai</v>
          </cell>
          <cell r="G89" t="str">
            <v>0363050127</v>
          </cell>
          <cell r="H89" t="str">
            <v>mai763635@gmail.com</v>
          </cell>
          <cell r="I89">
            <v>0</v>
          </cell>
          <cell r="J89">
            <v>0</v>
          </cell>
          <cell r="K89" t="str">
            <v>0793050260</v>
          </cell>
          <cell r="L89" t="str">
            <v>13/01/2022</v>
          </cell>
          <cell r="M89" t="str">
            <v>CTCCSQLHCVTTXH</v>
          </cell>
          <cell r="N89" t="str">
            <v>9355614602</v>
          </cell>
          <cell r="O89" t="str">
            <v>vietcombank</v>
          </cell>
          <cell r="P89" t="str">
            <v>10/11/2025</v>
          </cell>
          <cell r="Q89" t="str">
            <v>Thực tập sinh Marketing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 t="str">
            <v>Medigo</v>
          </cell>
          <cell r="X89" t="str">
            <v>Thực tập</v>
          </cell>
          <cell r="Y89" t="str">
            <v>Marketing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1500000</v>
          </cell>
          <cell r="AN89">
            <v>1500000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 t="str">
            <v>Nữ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 t="str">
            <v>Lầu 1, 207 Nguyễn Chí Thanh, P.12, Q.5</v>
          </cell>
          <cell r="BF89">
            <v>27</v>
          </cell>
          <cell r="BG89">
            <v>3</v>
          </cell>
          <cell r="BH89">
            <v>2025</v>
          </cell>
          <cell r="BI89">
            <v>10</v>
          </cell>
          <cell r="BJ89">
            <v>11</v>
          </cell>
          <cell r="BK89">
            <v>2025</v>
          </cell>
          <cell r="BL89" t="str">
            <v>10/11/2025</v>
          </cell>
        </row>
        <row r="90">
          <cell r="C90" t="str">
            <v>NGHIÊM THỊ OANH THƯ</v>
          </cell>
          <cell r="D90" t="str">
            <v>03/11/2000</v>
          </cell>
          <cell r="E90" t="str">
            <v>116b, Nguyên Khiết, Hồng Hà, Hà Nội</v>
          </cell>
          <cell r="F90" t="str">
            <v>116b, Nguyên Khiết, Hồng Hà, Hà Nội</v>
          </cell>
          <cell r="G90" t="str">
            <v>0966600737</v>
          </cell>
          <cell r="H90" t="str">
            <v>oanhthunghiem@gmail.com</v>
          </cell>
          <cell r="I90">
            <v>0</v>
          </cell>
          <cell r="J90">
            <v>0</v>
          </cell>
          <cell r="K90" t="str">
            <v>01300001413</v>
          </cell>
          <cell r="L90" t="str">
            <v>01/10/2025</v>
          </cell>
          <cell r="M90" t="str">
            <v>Bộ Công An</v>
          </cell>
          <cell r="N90" t="str">
            <v>2491926401</v>
          </cell>
          <cell r="O90" t="str">
            <v>TP Bank</v>
          </cell>
          <cell r="P90" t="str">
            <v>12/11/2025</v>
          </cell>
          <cell r="Q90" t="str">
            <v>Cộng tác viên nhập liệu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 t="str">
            <v>Medigo</v>
          </cell>
          <cell r="X90" t="str">
            <v>Thực tập</v>
          </cell>
          <cell r="Y90" t="str">
            <v>Marketing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 t="str">
            <v>Nữ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 t="str">
            <v>online</v>
          </cell>
          <cell r="BF90">
            <v>3</v>
          </cell>
          <cell r="BG90">
            <v>11</v>
          </cell>
          <cell r="BH90">
            <v>2000</v>
          </cell>
          <cell r="BI90">
            <v>12</v>
          </cell>
          <cell r="BJ90">
            <v>11</v>
          </cell>
          <cell r="BK90">
            <v>2025</v>
          </cell>
          <cell r="BL90" t="str">
            <v>12/11/2025</v>
          </cell>
        </row>
        <row r="91">
          <cell r="C91" t="str">
            <v>VÕ THỊ QUỲNH NHƯ</v>
          </cell>
          <cell r="D91" t="str">
            <v>09/11/2003</v>
          </cell>
          <cell r="E91" t="str">
            <v>Thôn Hòa Thọ, Xã Đình Cương, Tỉnh Quảng Ngãi</v>
          </cell>
          <cell r="F91" t="str">
            <v>A7/22N5 Ấp 4, Xã Bình Hưng, Thành Phố Hồ Chí Minh</v>
          </cell>
          <cell r="G91" t="str">
            <v>0938453765</v>
          </cell>
          <cell r="H91" t="str">
            <v>vothiquynhnhu3765@gmail.com</v>
          </cell>
          <cell r="I91">
            <v>0</v>
          </cell>
          <cell r="J91">
            <v>0</v>
          </cell>
          <cell r="K91" t="str">
            <v>051303007988</v>
          </cell>
          <cell r="L91" t="str">
            <v>18/05/2023</v>
          </cell>
          <cell r="M91" t="str">
            <v>Quảng Ngãi</v>
          </cell>
          <cell r="N91" t="str">
            <v>0938453765</v>
          </cell>
          <cell r="O91" t="str">
            <v>MB Bank</v>
          </cell>
          <cell r="P91" t="str">
            <v>30/10/2025</v>
          </cell>
          <cell r="Q91" t="str">
            <v>Thực tập Marketing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 t="str">
            <v>Medigo</v>
          </cell>
          <cell r="X91" t="str">
            <v>Thực tập</v>
          </cell>
          <cell r="Y91" t="str">
            <v>Marketing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3000000</v>
          </cell>
          <cell r="AN91">
            <v>3000000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 t="str">
            <v>Nữ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 t="str">
            <v>Lầu 1, 207 Nguyễn Chí Thanh, P.12, Q.5</v>
          </cell>
          <cell r="BF91">
            <v>9</v>
          </cell>
          <cell r="BG91">
            <v>11</v>
          </cell>
          <cell r="BH91">
            <v>2003</v>
          </cell>
          <cell r="BI91">
            <v>30</v>
          </cell>
          <cell r="BJ91">
            <v>10</v>
          </cell>
          <cell r="BK91">
            <v>2025</v>
          </cell>
          <cell r="BL91" t="str">
            <v>30/10/2025</v>
          </cell>
        </row>
        <row r="92">
          <cell r="C92" t="str">
            <v>LÊ THỊ KIM VUI</v>
          </cell>
          <cell r="D92" t="str">
            <v>09/9/2002</v>
          </cell>
          <cell r="E92" t="str">
            <v>ấp Minh Thượng, xã U Minh Thượng, tỉnh An Giang</v>
          </cell>
          <cell r="F92" t="str">
            <v>51 Sơn Kỳ, phường Tân Sơn Nhì, TP HCM</v>
          </cell>
          <cell r="G92" t="str">
            <v>0938942240</v>
          </cell>
          <cell r="H92" t="str">
            <v>ltkv0909@gmail.com</v>
          </cell>
          <cell r="I92" t="str">
            <v>8939778737</v>
          </cell>
          <cell r="J92" t="str">
            <v>9123190344</v>
          </cell>
          <cell r="K92" t="str">
            <v>091302015853</v>
          </cell>
          <cell r="L92" t="str">
            <v>23/7/2022</v>
          </cell>
          <cell r="M92" t="str">
            <v>Cục cảnh sát</v>
          </cell>
          <cell r="N92" t="str">
            <v>104884633629</v>
          </cell>
          <cell r="O92" t="str">
            <v>Vietinbank</v>
          </cell>
          <cell r="P92" t="str">
            <v>10/11/2025</v>
          </cell>
          <cell r="Q92" t="str">
            <v>Thực tập sinh Marketing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 t="str">
            <v>Medigo</v>
          </cell>
          <cell r="X92" t="str">
            <v>Thực tập</v>
          </cell>
          <cell r="Y92" t="str">
            <v>Marketing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1500000</v>
          </cell>
          <cell r="AN92">
            <v>1500000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 t="str">
            <v>Nữ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 t="str">
            <v>Lầu 1, 207 Nguyễn Chí Thanh, P.12, Q.5</v>
          </cell>
          <cell r="BF92">
            <v>9</v>
          </cell>
          <cell r="BG92">
            <v>9</v>
          </cell>
          <cell r="BH92">
            <v>2002</v>
          </cell>
          <cell r="BI92">
            <v>10</v>
          </cell>
          <cell r="BJ92">
            <v>11</v>
          </cell>
          <cell r="BK92">
            <v>2025</v>
          </cell>
          <cell r="BL92" t="str">
            <v>10/11/2025</v>
          </cell>
        </row>
        <row r="93">
          <cell r="C93" t="str">
            <v>LÊ ĐÌNH HỒNG KIM</v>
          </cell>
          <cell r="D93" t="str">
            <v>20/07/2004</v>
          </cell>
          <cell r="E93" t="str">
            <v>10/22 Phạm Phú Thứ, Phường B'Lao, tỉnh Lâm Đồng</v>
          </cell>
          <cell r="F93" t="str">
            <v>Chung cư Giai Việt (854-856 Tạ Quang Bửu, Phường Chánh Hưng)</v>
          </cell>
          <cell r="G93" t="str">
            <v>0783200704</v>
          </cell>
          <cell r="H93" t="str">
            <v>ledinhhongkim.work@gmail.com</v>
          </cell>
          <cell r="I93" t="str">
            <v>068304009629</v>
          </cell>
          <cell r="J93" t="str">
            <v>6821571697</v>
          </cell>
          <cell r="K93" t="str">
            <v>068304009629</v>
          </cell>
          <cell r="L93" t="str">
            <v>31/05/2021</v>
          </cell>
          <cell r="M93" t="str">
            <v>Cục trưởng cục Cảnh sát quản lý hành chính về trật tự xã hội</v>
          </cell>
          <cell r="N93" t="str">
            <v>1028768290</v>
          </cell>
          <cell r="O93" t="str">
            <v>Vietcombank</v>
          </cell>
          <cell r="P93" t="str">
            <v>10/11/2025</v>
          </cell>
          <cell r="Q93" t="str">
            <v>Marketing Intern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 t="str">
            <v>Medigo</v>
          </cell>
          <cell r="X93" t="str">
            <v>Thực tập</v>
          </cell>
          <cell r="Y93" t="str">
            <v>Marketing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3000000</v>
          </cell>
          <cell r="AN93">
            <v>3000000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 t="str">
            <v>Nữ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 t="str">
            <v>Lầu 1, 207 Nguyễn Chí Thanh, P.12, Q.5</v>
          </cell>
          <cell r="BF93">
            <v>20</v>
          </cell>
          <cell r="BG93">
            <v>7</v>
          </cell>
          <cell r="BH93">
            <v>2004</v>
          </cell>
          <cell r="BI93">
            <v>10</v>
          </cell>
          <cell r="BJ93">
            <v>11</v>
          </cell>
          <cell r="BK93">
            <v>2025</v>
          </cell>
          <cell r="BL93" t="str">
            <v>10/11/2025</v>
          </cell>
        </row>
        <row r="94">
          <cell r="C94" t="str">
            <v>NGÔ THỊ ANH THƯ</v>
          </cell>
          <cell r="D94" t="str">
            <v>19/09/2005</v>
          </cell>
          <cell r="E94" t="str">
            <v>Kp.Lập Bình, Thuận Nam, Hàm Thuân Nam, Lâm Đồng</v>
          </cell>
          <cell r="F94" t="str">
            <v>Nguyễn Cửu Phú, Tân Tạo, Bình Tân, TP HCM</v>
          </cell>
          <cell r="G94" t="str">
            <v>0522960802</v>
          </cell>
          <cell r="H94" t="str">
            <v>Ngothianhthu321@gmail.com</v>
          </cell>
          <cell r="I94" t="str">
            <v xml:space="preserve">060305000949 </v>
          </cell>
          <cell r="J94">
            <v>0</v>
          </cell>
          <cell r="K94" t="str">
            <v>060305000949</v>
          </cell>
          <cell r="L94" t="str">
            <v>12/04/2021</v>
          </cell>
          <cell r="M94" t="str">
            <v>Lâm Đồng</v>
          </cell>
          <cell r="N94" t="str">
            <v>104879670337</v>
          </cell>
          <cell r="O94" t="str">
            <v>VietinBank</v>
          </cell>
          <cell r="P94" t="str">
            <v>27/10/2025</v>
          </cell>
          <cell r="Q94" t="str">
            <v>Thực tập Marketing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 t="str">
            <v>Medigo</v>
          </cell>
          <cell r="X94" t="str">
            <v>Thực tập</v>
          </cell>
          <cell r="Y94" t="str">
            <v>Marketing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1500000</v>
          </cell>
          <cell r="AN94">
            <v>1500000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 t="str">
            <v>Nữ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 t="str">
            <v>Lầu 1, 207 Nguyễn Chí Thanh, P.12, Q.5</v>
          </cell>
          <cell r="BF94">
            <v>19</v>
          </cell>
          <cell r="BG94">
            <v>9</v>
          </cell>
          <cell r="BH94">
            <v>2005</v>
          </cell>
          <cell r="BI94">
            <v>27</v>
          </cell>
          <cell r="BJ94">
            <v>10</v>
          </cell>
          <cell r="BK94">
            <v>2025</v>
          </cell>
          <cell r="BL94" t="str">
            <v>27/10/2025</v>
          </cell>
        </row>
        <row r="95">
          <cell r="C95" t="str">
            <v>NGUYỄN NGỌC THẢO</v>
          </cell>
          <cell r="D95" t="str">
            <v>17/03/2004</v>
          </cell>
          <cell r="E95" t="str">
            <v>214 Nguyễn Trãi P3 Q5</v>
          </cell>
          <cell r="F95" t="str">
            <v>214 Nguyễn Trãi P3 Q5</v>
          </cell>
          <cell r="G95" t="str">
            <v>0778008981</v>
          </cell>
          <cell r="H95" t="str">
            <v>Thaonn222@uef.edu.vn</v>
          </cell>
          <cell r="I95" t="str">
            <v>092304013567</v>
          </cell>
          <cell r="J95" t="str">
            <v>Chưa có</v>
          </cell>
          <cell r="K95" t="str">
            <v>092304013567</v>
          </cell>
          <cell r="L95" t="str">
            <v>31/05/2021</v>
          </cell>
          <cell r="M95" t="str">
            <v>CỤC TRƯỞNG CỤC CẢNH SÁT QẢN LÝ HÀNH CHÍNH VỀ TRẬT TỰ XÃ HỘI</v>
          </cell>
          <cell r="N95" t="str">
            <v>0778008981</v>
          </cell>
          <cell r="O95" t="str">
            <v>VietinBank</v>
          </cell>
          <cell r="P95" t="str">
            <v>13/10/2025</v>
          </cell>
          <cell r="Q95" t="str">
            <v>Thực tập sinh Marketing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 t="str">
            <v>Medigo</v>
          </cell>
          <cell r="X95" t="str">
            <v>Thực tập</v>
          </cell>
          <cell r="Y95" t="str">
            <v>Marketing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 t="str">
            <v>14/10/2025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1500000</v>
          </cell>
          <cell r="AN95">
            <v>1500000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 t="str">
            <v>Nữ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 t="str">
            <v>Lầu 1, 207 Nguyễn Chí Thanh, P.12, Q.5</v>
          </cell>
          <cell r="BF95">
            <v>17</v>
          </cell>
          <cell r="BG95">
            <v>3</v>
          </cell>
          <cell r="BH95">
            <v>2004</v>
          </cell>
          <cell r="BI95">
            <v>14</v>
          </cell>
          <cell r="BJ95">
            <v>10</v>
          </cell>
          <cell r="BK95">
            <v>2025</v>
          </cell>
          <cell r="BL95" t="str">
            <v>14/10/2025</v>
          </cell>
        </row>
        <row r="96">
          <cell r="C96" t="str">
            <v>LÊ NGỌC THÚY VY</v>
          </cell>
          <cell r="D96" t="str">
            <v>01/10/2004</v>
          </cell>
          <cell r="E96" t="str">
            <v>28 Hùng Vương, Hồng Ngự tỉnh Đồng Tháp</v>
          </cell>
          <cell r="F96" t="str">
            <v>645/19 Điện Biên Phủ Q3</v>
          </cell>
          <cell r="G96" t="str">
            <v>0949649507</v>
          </cell>
          <cell r="H96" t="str">
            <v>vy1102004@gmail.com</v>
          </cell>
          <cell r="I96" t="str">
            <v>087304010314</v>
          </cell>
          <cell r="J96" t="str">
            <v>Chưa có</v>
          </cell>
          <cell r="K96" t="str">
            <v>087304010314</v>
          </cell>
          <cell r="L96" t="str">
            <v>12/08/2021</v>
          </cell>
          <cell r="M96" t="str">
            <v>Hồng Ngự-Đồng Tháp</v>
          </cell>
          <cell r="N96">
            <v>1023965471</v>
          </cell>
          <cell r="O96" t="str">
            <v>Vietcombank</v>
          </cell>
          <cell r="P96" t="str">
            <v>07/11/2025</v>
          </cell>
          <cell r="Q96" t="str">
            <v>Thực tập sinh Thiết kế đồ hoạ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 t="str">
            <v>Medigo</v>
          </cell>
          <cell r="X96" t="str">
            <v>Thực tập</v>
          </cell>
          <cell r="Y96" t="str">
            <v>Marketing</v>
          </cell>
          <cell r="Z96" t="str">
            <v>07/11/2025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2500000</v>
          </cell>
          <cell r="AN96">
            <v>2500000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 t="str">
            <v>Nữ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 t="str">
            <v>Lầu 1, 207 Nguyễn Chí Thanh, P.12, Q.5</v>
          </cell>
          <cell r="BF96">
            <v>1</v>
          </cell>
          <cell r="BG96">
            <v>10</v>
          </cell>
          <cell r="BH96">
            <v>2004</v>
          </cell>
          <cell r="BI96">
            <v>7</v>
          </cell>
          <cell r="BJ96">
            <v>11</v>
          </cell>
          <cell r="BK96">
            <v>2025</v>
          </cell>
          <cell r="BL96" t="str">
            <v>7/11/2025</v>
          </cell>
        </row>
        <row r="97">
          <cell r="C97" t="str">
            <v>VÕ PHẠM BĂNG TÂM</v>
          </cell>
          <cell r="D97" t="str">
            <v>07/04/2004</v>
          </cell>
          <cell r="E97" t="str">
            <v>Thị trấn Chợ Chùa, Nghĩa Hành, Quảng Ngãi</v>
          </cell>
          <cell r="F97" t="str">
            <v>Phước Kiểng, Nhà Bè, Tp. Hồ Chí Minh</v>
          </cell>
          <cell r="G97" t="str">
            <v>0364749838</v>
          </cell>
          <cell r="H97" t="str">
            <v>vobangtam04@gmail.com</v>
          </cell>
          <cell r="I97" t="str">
            <v>031304011857</v>
          </cell>
          <cell r="J97">
            <v>0</v>
          </cell>
          <cell r="K97" t="str">
            <v>031304011857</v>
          </cell>
          <cell r="L97" t="str">
            <v>14/09/2021</v>
          </cell>
          <cell r="M97" t="str">
            <v>Cục cảnh sát</v>
          </cell>
          <cell r="N97" t="str">
            <v>1031720061</v>
          </cell>
          <cell r="O97" t="str">
            <v>Vietcombank</v>
          </cell>
          <cell r="P97" t="str">
            <v>03/11/2025</v>
          </cell>
          <cell r="Q97" t="str">
            <v>Thực tập Marketing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 t="str">
            <v>Medigo</v>
          </cell>
          <cell r="X97" t="str">
            <v>Thực tập</v>
          </cell>
          <cell r="Y97" t="str">
            <v>Marketing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3000000</v>
          </cell>
          <cell r="AN97">
            <v>3000000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 t="str">
            <v>Nữ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 t="str">
            <v>Lầu 1, 207 Nguyễn Chí Thanh, P.12, Q.5</v>
          </cell>
          <cell r="BF97">
            <v>7</v>
          </cell>
          <cell r="BG97">
            <v>4</v>
          </cell>
          <cell r="BH97">
            <v>2004</v>
          </cell>
          <cell r="BI97">
            <v>3</v>
          </cell>
          <cell r="BJ97">
            <v>11</v>
          </cell>
          <cell r="BK97">
            <v>2025</v>
          </cell>
          <cell r="BL97" t="str">
            <v>3/11/2025</v>
          </cell>
        </row>
        <row r="98">
          <cell r="C98" t="str">
            <v>NGUYỄN THỊ  THÙY DUNG</v>
          </cell>
          <cell r="D98" t="str">
            <v>12/7/1992</v>
          </cell>
          <cell r="E98" t="str">
            <v>Tổ 1, Ô1/1 KP Hải Vân, Xã Long Hải, TPHCM</v>
          </cell>
          <cell r="F98" t="str">
            <v>199/11A Tây Hoà, Phường Phước Long, TPHCM</v>
          </cell>
          <cell r="G98" t="str">
            <v>0974036872</v>
          </cell>
          <cell r="H98" t="str">
            <v>nguyenthuydung252@gmail.com</v>
          </cell>
          <cell r="I98" t="str">
            <v>77192001911</v>
          </cell>
          <cell r="J98" t="str">
            <v>7721991034</v>
          </cell>
          <cell r="K98" t="str">
            <v>077192001911</v>
          </cell>
          <cell r="L98" t="str">
            <v>12/8/2021</v>
          </cell>
          <cell r="M98" t="str">
            <v>CCS QLHC về TTXH</v>
          </cell>
          <cell r="N98" t="str">
            <v>19023468017017</v>
          </cell>
          <cell r="O98" t="str">
            <v>Techcombank</v>
          </cell>
          <cell r="P98" t="str">
            <v>10/9/2025</v>
          </cell>
          <cell r="Q98" t="str">
            <v>Senior Performance Marketing Specialist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 t="str">
            <v>Medigo</v>
          </cell>
          <cell r="X98" t="str">
            <v>HỢP ĐỒNG CÓ THỜI HẠN</v>
          </cell>
          <cell r="Y98" t="str">
            <v>Marketing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2 năm</v>
          </cell>
          <cell r="AF98" t="str">
            <v>01/11/2025</v>
          </cell>
          <cell r="AG98" t="str">
            <v>01/11/2027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25000000</v>
          </cell>
          <cell r="AN98">
            <v>21250000</v>
          </cell>
          <cell r="AO98" t="str">
            <v>Gross</v>
          </cell>
          <cell r="AP98">
            <v>5310000</v>
          </cell>
          <cell r="AQ98">
            <v>19690000</v>
          </cell>
          <cell r="AR98" t="str">
            <v>mười chín triệu sáu trăm chín mươi ngàn đồng</v>
          </cell>
          <cell r="AS98">
            <v>0</v>
          </cell>
          <cell r="AT98" t="str">
            <v>nữ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 t="str">
            <v>Lầu 1, 207 Nguyễn Chí Thanh, P.12, Q.5</v>
          </cell>
          <cell r="BF98">
            <v>12</v>
          </cell>
          <cell r="BG98">
            <v>7</v>
          </cell>
          <cell r="BH98">
            <v>1992</v>
          </cell>
          <cell r="BI98">
            <v>10</v>
          </cell>
          <cell r="BJ98">
            <v>9</v>
          </cell>
          <cell r="BK98">
            <v>2025</v>
          </cell>
          <cell r="BL98" t="str">
            <v>10/9/2025</v>
          </cell>
        </row>
        <row r="99">
          <cell r="C99" t="str">
            <v>NGUYỄN MAI TRÚC VY</v>
          </cell>
          <cell r="D99" t="str">
            <v>21/2/2005</v>
          </cell>
          <cell r="E99" t="str">
            <v>427, ấp Khánh Hội Tây, xã Tiên Thuỷ, tỉnh Vĩnh Long</v>
          </cell>
          <cell r="F99" t="str">
            <v>223 Lê Tấn Bê, phường An Lạc, TP. Hồ Chí Minh</v>
          </cell>
          <cell r="G99" t="str">
            <v>0335717065</v>
          </cell>
          <cell r="H99" t="str">
            <v>nguyenmaitrucvy21@gmail.com</v>
          </cell>
          <cell r="I99" t="str">
            <v>Chưa có</v>
          </cell>
          <cell r="J99" t="str">
            <v>Chưa có</v>
          </cell>
          <cell r="K99" t="str">
            <v>083305001258</v>
          </cell>
          <cell r="L99" t="str">
            <v>11/4/2021</v>
          </cell>
          <cell r="M99" t="str">
            <v>Cục Trưởng Cục Cảnh Sát Quản Lý Hành Chính Về Trật Tự Xã Hội</v>
          </cell>
          <cell r="N99" t="str">
            <v>102877771924</v>
          </cell>
          <cell r="O99" t="str">
            <v>Vietinbank</v>
          </cell>
          <cell r="P99" t="str">
            <v>12/11/2025</v>
          </cell>
          <cell r="Q99" t="str">
            <v>Thực tập sinh Marketing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 t="str">
            <v>Medigo</v>
          </cell>
          <cell r="X99" t="str">
            <v>Thực tập</v>
          </cell>
          <cell r="Y99" t="str">
            <v>Marketing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1500000</v>
          </cell>
          <cell r="AN99">
            <v>1500000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 t="str">
            <v>Nữ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 t="str">
            <v>Lầu 1, 207 Nguyễn Chí Thanh, P.12, Q.5</v>
          </cell>
          <cell r="BF99">
            <v>21</v>
          </cell>
          <cell r="BG99">
            <v>2</v>
          </cell>
          <cell r="BH99">
            <v>2005</v>
          </cell>
          <cell r="BI99">
            <v>12</v>
          </cell>
          <cell r="BJ99">
            <v>11</v>
          </cell>
          <cell r="BK99">
            <v>2025</v>
          </cell>
          <cell r="BL99" t="str">
            <v>12/11/2025</v>
          </cell>
        </row>
        <row r="100">
          <cell r="C100" t="str">
            <v>ĐẬU NHẬT THẢO VY</v>
          </cell>
          <cell r="D100" t="str">
            <v>30/04/2005</v>
          </cell>
          <cell r="E100" t="str">
            <v>Ấp Đất Mới, Xã Long Phước, Huyện Long Thành, Tỉnh Đồng Nai</v>
          </cell>
          <cell r="F100">
            <v>0</v>
          </cell>
          <cell r="G100" t="str">
            <v>0798595141</v>
          </cell>
          <cell r="H100" t="str">
            <v>daunhatthaovy2005@gmail.com</v>
          </cell>
          <cell r="I100" t="str">
            <v>8915699204</v>
          </cell>
          <cell r="J100">
            <v>0</v>
          </cell>
          <cell r="K100" t="str">
            <v>075305022320</v>
          </cell>
          <cell r="L100" t="str">
            <v>17/06/2022</v>
          </cell>
          <cell r="M100" t="str">
            <v>Cục Cảnh sát</v>
          </cell>
          <cell r="N100">
            <v>1040283619</v>
          </cell>
          <cell r="O100" t="str">
            <v>Vietcombank</v>
          </cell>
          <cell r="P100" t="str">
            <v>11/11/2025</v>
          </cell>
          <cell r="Q100" t="str">
            <v>Thực tập sinh Marketing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 t="str">
            <v>Medigo</v>
          </cell>
          <cell r="X100" t="str">
            <v>Thực tập</v>
          </cell>
          <cell r="Y100" t="str">
            <v>Marketing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1500000</v>
          </cell>
          <cell r="AN100">
            <v>1500000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 t="str">
            <v>Nữ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 t="str">
            <v>Lầu 1, 207 Nguyễn Chí Thanh, P.12, Q.5</v>
          </cell>
          <cell r="BF100">
            <v>30</v>
          </cell>
          <cell r="BG100">
            <v>4</v>
          </cell>
          <cell r="BH100">
            <v>2005</v>
          </cell>
          <cell r="BI100">
            <v>11</v>
          </cell>
          <cell r="BJ100">
            <v>11</v>
          </cell>
          <cell r="BK100">
            <v>2025</v>
          </cell>
          <cell r="BL100" t="str">
            <v>11/11/2025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://p.bd/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R674"/>
  <sheetViews>
    <sheetView zoomScale="70" zoomScaleNormal="70" workbookViewId="0">
      <pane xSplit="3" ySplit="6" topLeftCell="D47" activePane="bottomRight" state="frozen"/>
      <selection pane="topRight" activeCell="A1" sqref="A1"/>
      <selection pane="bottomLeft" activeCell="A1" sqref="A1"/>
      <selection pane="bottomRight" activeCell="H63" sqref="H63:P63"/>
    </sheetView>
  </sheetViews>
  <sheetFormatPr baseColWidth="8" defaultColWidth="14.44140625" defaultRowHeight="15" customHeight="1"/>
  <cols>
    <col width="4.5546875" customWidth="1" style="1264" min="1" max="1"/>
    <col width="10.5546875" customWidth="1" style="1264" min="2" max="2"/>
    <col width="29.33203125" customWidth="1" style="1264" min="3" max="3"/>
    <col width="13.88671875" customWidth="1" style="307" min="4" max="4"/>
    <col width="4.5546875" customWidth="1" style="1264" min="5" max="10"/>
    <col width="11.44140625" customWidth="1" style="307" min="11" max="11"/>
    <col width="4.5546875" customWidth="1" style="1264" min="12" max="17"/>
    <col width="8.33203125" customWidth="1" style="307" min="18" max="18"/>
    <col width="6.5546875" customWidth="1" style="1264" min="19" max="19"/>
    <col width="7.5546875" customWidth="1" style="1264" min="20" max="20"/>
    <col width="4.5546875" customWidth="1" style="1264" min="21" max="24"/>
    <col width="8.88671875" customWidth="1" style="308" min="25" max="25"/>
    <col width="4.5546875" customWidth="1" style="1264" min="26" max="31"/>
    <col width="11.33203125" customWidth="1" style="307" min="32" max="32"/>
    <col width="4.5546875" customWidth="1" style="1264" min="33" max="34"/>
    <col width="10" customWidth="1" style="1264" min="35" max="35"/>
    <col width="7.6640625" customWidth="1" style="1264" min="36" max="36"/>
    <col width="6.88671875" customWidth="1" style="1264" min="37" max="37"/>
    <col width="7.5546875" customWidth="1" style="1264" min="38" max="38"/>
    <col width="10" customWidth="1" style="1264" min="39" max="39"/>
    <col width="11.33203125" customWidth="1" style="1264" min="40" max="41"/>
    <col width="14.5546875" customWidth="1" style="1264" min="42" max="44"/>
  </cols>
  <sheetData>
    <row r="1" ht="24.75" customHeight="1" s="1264">
      <c r="A1" s="1263" t="inlineStr">
        <is>
          <t>BẢNG CHẤM CÔNG</t>
        </is>
      </c>
      <c r="AP1" s="309" t="n"/>
      <c r="AQ1" s="309" t="n"/>
      <c r="AR1" s="309" t="n"/>
    </row>
    <row r="2" hidden="1" ht="15" customHeight="1" s="1264">
      <c r="A2" s="310" t="n"/>
      <c r="B2" s="310" t="n"/>
      <c r="C2" s="310" t="n"/>
      <c r="D2" s="311" t="n"/>
      <c r="E2" s="312" t="n"/>
      <c r="F2" s="312" t="n"/>
      <c r="G2" s="312" t="n"/>
      <c r="H2" s="312" t="n"/>
      <c r="I2" s="312" t="n"/>
      <c r="J2" s="312" t="n"/>
      <c r="K2" s="311" t="n"/>
      <c r="L2" s="312" t="n"/>
      <c r="M2" s="312" t="n"/>
      <c r="N2" s="312" t="n"/>
      <c r="O2" s="312" t="n"/>
      <c r="P2" s="312" t="n"/>
      <c r="Q2" s="312" t="n"/>
      <c r="R2" s="311" t="n"/>
      <c r="S2" s="312" t="n"/>
      <c r="T2" s="312" t="n"/>
      <c r="U2" s="312" t="n"/>
      <c r="V2" s="312" t="n"/>
      <c r="W2" s="312" t="n"/>
      <c r="X2" s="312" t="n"/>
      <c r="Y2" s="313" t="n"/>
      <c r="Z2" s="312" t="n"/>
      <c r="AA2" s="312" t="n"/>
      <c r="AB2" s="312" t="n"/>
      <c r="AC2" s="312" t="n"/>
      <c r="AD2" s="312" t="n"/>
      <c r="AE2" s="312" t="n"/>
      <c r="AF2" s="311" t="n"/>
      <c r="AG2" s="312" t="n"/>
      <c r="AH2" s="312" t="n"/>
      <c r="AI2" s="312" t="n"/>
      <c r="AJ2" s="312" t="n"/>
      <c r="AK2" s="312" t="n"/>
      <c r="AL2" s="312" t="n"/>
      <c r="AM2" s="312" t="n"/>
      <c r="AN2" s="312" t="n"/>
      <c r="AO2" s="312" t="n"/>
      <c r="AP2" s="310" t="n"/>
      <c r="AQ2" s="310" t="n"/>
      <c r="AR2" s="310" t="n"/>
    </row>
    <row r="3" ht="28.5" customHeight="1" s="1264">
      <c r="A3" s="314" t="n"/>
      <c r="B3" s="314" t="n"/>
      <c r="C3" s="314" t="n"/>
      <c r="D3" s="314" t="n"/>
      <c r="E3" s="314" t="n"/>
      <c r="F3" s="314" t="n"/>
      <c r="G3" s="314" t="n"/>
      <c r="H3" s="314" t="n"/>
      <c r="I3" s="314" t="n"/>
      <c r="J3" s="314" t="n"/>
      <c r="K3" s="314" t="n"/>
      <c r="L3" s="315" t="n"/>
      <c r="M3" s="315" t="n"/>
      <c r="N3" s="315" t="n"/>
      <c r="O3" s="315" t="n"/>
      <c r="P3" s="1265" t="inlineStr">
        <is>
          <t>Tháng</t>
        </is>
      </c>
      <c r="R3" s="311" t="n">
        <v>8</v>
      </c>
      <c r="S3" s="1265" t="inlineStr">
        <is>
          <t>Năm</t>
        </is>
      </c>
      <c r="T3" s="1265" t="n">
        <v>2026</v>
      </c>
      <c r="U3" s="315" t="n"/>
      <c r="V3" s="315" t="n"/>
      <c r="W3" s="315" t="n"/>
      <c r="X3" s="315" t="n"/>
      <c r="Y3" s="317" t="n"/>
      <c r="Z3" s="315" t="n"/>
      <c r="AA3" s="315" t="n"/>
      <c r="AB3" s="315" t="n"/>
      <c r="AC3" s="315" t="n"/>
      <c r="AD3" s="315" t="n"/>
      <c r="AE3" s="315" t="n"/>
      <c r="AF3" s="317" t="n"/>
      <c r="AG3" s="315" t="n"/>
      <c r="AH3" s="315" t="n"/>
      <c r="AI3" s="315" t="n"/>
      <c r="AJ3" s="315" t="n"/>
      <c r="AK3" s="315" t="n"/>
      <c r="AL3" s="315" t="n"/>
      <c r="AM3" s="315" t="n"/>
      <c r="AN3" s="1371">
        <f>SUM(AN8:AN36)</f>
        <v/>
      </c>
      <c r="AO3" s="315" t="n"/>
      <c r="AP3" s="319" t="n"/>
      <c r="AQ3" s="319" t="n"/>
      <c r="AR3" s="319" t="n"/>
    </row>
    <row r="4" ht="23.25" customHeight="1" s="1264">
      <c r="A4" s="1267" t="inlineStr">
        <is>
          <t>Thông tin nhân viên</t>
        </is>
      </c>
      <c r="B4" s="1372" t="n"/>
      <c r="C4" s="1373" t="n"/>
      <c r="D4" s="1272" t="inlineStr">
        <is>
          <t>Các ngày trong tháng</t>
        </is>
      </c>
      <c r="E4" s="1372" t="n"/>
      <c r="F4" s="1372" t="n"/>
      <c r="G4" s="1372" t="n"/>
      <c r="H4" s="1372" t="n"/>
      <c r="I4" s="1372" t="n"/>
      <c r="J4" s="1372" t="n"/>
      <c r="K4" s="1372" t="n"/>
      <c r="L4" s="1372" t="n"/>
      <c r="M4" s="1372" t="n"/>
      <c r="N4" s="1372" t="n"/>
      <c r="O4" s="1372" t="n"/>
      <c r="P4" s="1372" t="n"/>
      <c r="Q4" s="1372" t="n"/>
      <c r="R4" s="1372" t="n"/>
      <c r="S4" s="1372" t="n"/>
      <c r="T4" s="1372" t="n"/>
      <c r="U4" s="1372" t="n"/>
      <c r="V4" s="1372" t="n"/>
      <c r="W4" s="1372" t="n"/>
      <c r="X4" s="1372" t="n"/>
      <c r="Y4" s="1372" t="n"/>
      <c r="Z4" s="1372" t="n"/>
      <c r="AA4" s="1372" t="n"/>
      <c r="AB4" s="1372" t="n"/>
      <c r="AC4" s="1372" t="n"/>
      <c r="AD4" s="1372" t="n"/>
      <c r="AE4" s="1372" t="n"/>
      <c r="AF4" s="1372" t="n"/>
      <c r="AG4" s="1372" t="n"/>
      <c r="AH4" s="1373" t="n"/>
      <c r="AI4" s="1272" t="inlineStr">
        <is>
          <t>Tổng Ngày Công</t>
        </is>
      </c>
      <c r="AJ4" s="1372" t="n"/>
      <c r="AK4" s="1372" t="n"/>
      <c r="AL4" s="1373" t="n"/>
      <c r="AM4" s="1272" t="inlineStr">
        <is>
          <t>Tổng</t>
        </is>
      </c>
      <c r="AN4" s="1272" t="inlineStr">
        <is>
          <t>Tổng ngày công tính lương</t>
        </is>
      </c>
      <c r="AO4" s="1272" t="inlineStr">
        <is>
          <t>Ngày nhận việc</t>
        </is>
      </c>
      <c r="AP4" s="322" t="n"/>
      <c r="AQ4" s="322" t="n"/>
      <c r="AR4" s="322" t="n"/>
    </row>
    <row r="5" ht="16.5" customHeight="1" s="1264">
      <c r="A5" s="1267" t="inlineStr">
        <is>
          <t>STT</t>
        </is>
      </c>
      <c r="B5" s="1267" t="inlineStr">
        <is>
          <t>Mã NV</t>
        </is>
      </c>
      <c r="C5" s="1267" t="inlineStr">
        <is>
          <t>Họ và tên</t>
        </is>
      </c>
      <c r="D5" s="1374">
        <f>DATE(T3,R3,1)</f>
        <v/>
      </c>
      <c r="E5" s="1375">
        <f>D5+1</f>
        <v/>
      </c>
      <c r="F5" s="1375">
        <f>E5+1</f>
        <v/>
      </c>
      <c r="G5" s="1375">
        <f>F5+1</f>
        <v/>
      </c>
      <c r="H5" s="1375">
        <f>G5+1</f>
        <v/>
      </c>
      <c r="I5" s="1375">
        <f>H5+1</f>
        <v/>
      </c>
      <c r="J5" s="1375">
        <f>I5+1</f>
        <v/>
      </c>
      <c r="K5" s="1374">
        <f>J5+1</f>
        <v/>
      </c>
      <c r="L5" s="1375">
        <f>K5+1</f>
        <v/>
      </c>
      <c r="M5" s="1375">
        <f>L5+1</f>
        <v/>
      </c>
      <c r="N5" s="1375">
        <f>M5+1</f>
        <v/>
      </c>
      <c r="O5" s="1375">
        <f>N5+1</f>
        <v/>
      </c>
      <c r="P5" s="1375">
        <f>O5+1</f>
        <v/>
      </c>
      <c r="Q5" s="1375">
        <f>P5+1</f>
        <v/>
      </c>
      <c r="R5" s="1374">
        <f>Q5+1</f>
        <v/>
      </c>
      <c r="S5" s="1375">
        <f>R5+1</f>
        <v/>
      </c>
      <c r="T5" s="1375">
        <f>S5+1</f>
        <v/>
      </c>
      <c r="U5" s="1375">
        <f>T5+1</f>
        <v/>
      </c>
      <c r="V5" s="1375">
        <f>U5+1</f>
        <v/>
      </c>
      <c r="W5" s="1375">
        <f>V5+1</f>
        <v/>
      </c>
      <c r="X5" s="1375">
        <f>W5+1</f>
        <v/>
      </c>
      <c r="Y5" s="1374">
        <f>X5+1</f>
        <v/>
      </c>
      <c r="Z5" s="1375">
        <f>Y5+1</f>
        <v/>
      </c>
      <c r="AA5" s="1375">
        <f>Z5+1</f>
        <v/>
      </c>
      <c r="AB5" s="1375">
        <f>AA5+1</f>
        <v/>
      </c>
      <c r="AC5" s="1375">
        <f>AB5+1</f>
        <v/>
      </c>
      <c r="AD5" s="1375">
        <f>AC5+1</f>
        <v/>
      </c>
      <c r="AE5" s="1375">
        <f>AD5+1</f>
        <v/>
      </c>
      <c r="AF5" s="1374">
        <f>AE5+1</f>
        <v/>
      </c>
      <c r="AG5" s="1375">
        <f>AF5+1</f>
        <v/>
      </c>
      <c r="AH5" s="1375">
        <f>AG5+1</f>
        <v/>
      </c>
      <c r="AI5" s="1272" t="inlineStr">
        <is>
          <t>TT</t>
        </is>
      </c>
      <c r="AJ5" s="1272" t="inlineStr">
        <is>
          <t>P</t>
        </is>
      </c>
      <c r="AK5" s="1272" t="inlineStr">
        <is>
          <t>L</t>
        </is>
      </c>
      <c r="AL5" s="1272" t="inlineStr">
        <is>
          <t>KL</t>
        </is>
      </c>
      <c r="AM5" s="325" t="n"/>
      <c r="AN5" s="325" t="n"/>
      <c r="AO5" s="325" t="n"/>
      <c r="AP5" s="322" t="n"/>
      <c r="AQ5" s="322" t="n"/>
      <c r="AR5" s="322" t="n"/>
    </row>
    <row r="6" ht="33.75" customHeight="1" s="1264">
      <c r="A6" s="325" t="n"/>
      <c r="B6" s="325" t="n"/>
      <c r="C6" s="325" t="n"/>
      <c r="D6" s="326">
        <f>TEXT(D5,"ddd")</f>
        <v/>
      </c>
      <c r="E6" s="327">
        <f>TEXT(E5,"ddd")</f>
        <v/>
      </c>
      <c r="F6" s="328">
        <f>TEXT(F5,"ddd")</f>
        <v/>
      </c>
      <c r="G6" s="328">
        <f>TEXT(G5,"ddd")</f>
        <v/>
      </c>
      <c r="H6" s="328">
        <f>TEXT(H5,"ddd")</f>
        <v/>
      </c>
      <c r="I6" s="328">
        <f>TEXT(I5,"ddd")</f>
        <v/>
      </c>
      <c r="J6" s="328">
        <f>TEXT(J5,"ddd")</f>
        <v/>
      </c>
      <c r="K6" s="326">
        <f>TEXT(K5,"ddd")</f>
        <v/>
      </c>
      <c r="L6" s="327">
        <f>TEXT(L5,"ddd")</f>
        <v/>
      </c>
      <c r="M6" s="328">
        <f>TEXT(M5,"ddd")</f>
        <v/>
      </c>
      <c r="N6" s="328">
        <f>TEXT(N5,"ddd")</f>
        <v/>
      </c>
      <c r="O6" s="328">
        <f>TEXT(O5,"ddd")</f>
        <v/>
      </c>
      <c r="P6" s="328">
        <f>TEXT(P5,"ddd")</f>
        <v/>
      </c>
      <c r="Q6" s="328">
        <f>TEXT(Q5,"ddd")</f>
        <v/>
      </c>
      <c r="R6" s="326">
        <f>TEXT(R5,"ddd")</f>
        <v/>
      </c>
      <c r="S6" s="327">
        <f>TEXT(S5,"ddd")</f>
        <v/>
      </c>
      <c r="T6" s="328">
        <f>TEXT(T5,"ddd")</f>
        <v/>
      </c>
      <c r="U6" s="328">
        <f>TEXT(U5,"ddd")</f>
        <v/>
      </c>
      <c r="V6" s="328">
        <f>TEXT(V5,"ddd")</f>
        <v/>
      </c>
      <c r="W6" s="328">
        <f>TEXT(W5,"ddd")</f>
        <v/>
      </c>
      <c r="X6" s="328">
        <f>TEXT(X5,"ddd")</f>
        <v/>
      </c>
      <c r="Y6" s="326">
        <f>TEXT(Y5,"ddd")</f>
        <v/>
      </c>
      <c r="Z6" s="327">
        <f>TEXT(Z5,"ddd")</f>
        <v/>
      </c>
      <c r="AA6" s="328">
        <f>TEXT(AA5,"ddd")</f>
        <v/>
      </c>
      <c r="AB6" s="328">
        <f>TEXT(AB5,"ddd")</f>
        <v/>
      </c>
      <c r="AC6" s="328">
        <f>TEXT(AC5,"ddd")</f>
        <v/>
      </c>
      <c r="AD6" s="328">
        <f>TEXT(AD5,"ddd")</f>
        <v/>
      </c>
      <c r="AE6" s="328">
        <f>TEXT(AE5,"ddd")</f>
        <v/>
      </c>
      <c r="AF6" s="326">
        <f>TEXT(AF5,"ddd")</f>
        <v/>
      </c>
      <c r="AG6" s="327">
        <f>TEXT(AG5,"ddd")</f>
        <v/>
      </c>
      <c r="AH6" s="328">
        <f>TEXT(AH5,"ddd")</f>
        <v/>
      </c>
      <c r="AI6" s="325" t="n"/>
      <c r="AJ6" s="325" t="n"/>
      <c r="AK6" s="325" t="n"/>
      <c r="AL6" s="325" t="n"/>
      <c r="AM6" s="325" t="n"/>
      <c r="AN6" s="325" t="n"/>
      <c r="AO6" s="325" t="n"/>
      <c r="AP6" s="322" t="n"/>
      <c r="AQ6" s="322" t="n"/>
      <c r="AR6" s="322" t="n"/>
    </row>
    <row r="7" ht="22.5" customHeight="1" s="1264">
      <c r="A7" s="329" t="inlineStr">
        <is>
          <t>MEDIGO</t>
        </is>
      </c>
      <c r="B7" s="329" t="n"/>
      <c r="C7" s="329" t="n"/>
      <c r="D7" s="330" t="n"/>
      <c r="E7" s="329" t="n"/>
      <c r="F7" s="329" t="n"/>
      <c r="G7" s="329" t="n"/>
      <c r="H7" s="329" t="n"/>
      <c r="I7" s="329" t="n"/>
      <c r="J7" s="329" t="n"/>
      <c r="K7" s="330" t="n"/>
      <c r="L7" s="329" t="n"/>
      <c r="M7" s="329" t="n"/>
      <c r="N7" s="329" t="n"/>
      <c r="O7" s="329" t="n"/>
      <c r="P7" s="329" t="n"/>
      <c r="Q7" s="329" t="n"/>
      <c r="R7" s="330" t="n"/>
      <c r="S7" s="329" t="n"/>
      <c r="T7" s="329" t="n"/>
      <c r="U7" s="329" t="n"/>
      <c r="V7" s="329" t="n"/>
      <c r="W7" s="329" t="n"/>
      <c r="X7" s="329" t="n"/>
      <c r="Y7" s="330" t="n"/>
      <c r="Z7" s="329" t="n"/>
      <c r="AA7" s="329" t="n"/>
      <c r="AB7" s="329" t="n"/>
      <c r="AC7" s="329" t="n"/>
      <c r="AD7" s="329" t="n"/>
      <c r="AE7" s="329" t="n"/>
      <c r="AF7" s="330" t="n"/>
      <c r="AG7" s="329" t="n"/>
      <c r="AH7" s="329" t="n"/>
      <c r="AI7" s="329">
        <f>SUM(AI8:AI36)</f>
        <v/>
      </c>
      <c r="AJ7" s="329">
        <f>SUM(AJ8:AJ36)</f>
        <v/>
      </c>
      <c r="AK7" s="329">
        <f>SUM(AK8:AK36)</f>
        <v/>
      </c>
      <c r="AL7" s="329">
        <f>SUM(AL8:AL36)</f>
        <v/>
      </c>
      <c r="AM7" s="329">
        <f>SUM(AM8:AM36)</f>
        <v/>
      </c>
      <c r="AN7" s="329">
        <f>SUM(AN8:AN36)</f>
        <v/>
      </c>
      <c r="AO7" s="329" t="n"/>
      <c r="AP7" s="322" t="n"/>
      <c r="AQ7" s="322" t="n"/>
      <c r="AR7" s="322" t="n"/>
    </row>
    <row r="8" ht="27" customHeight="1" s="1264">
      <c r="A8" s="1376" t="n">
        <v>1</v>
      </c>
      <c r="B8" s="1376" t="n"/>
      <c r="C8" s="331" t="inlineStr">
        <is>
          <t>Le Huu Ha</t>
        </is>
      </c>
      <c r="D8" s="332" t="n">
        <v>1</v>
      </c>
      <c r="E8" s="333" t="n"/>
      <c r="F8" s="333" t="n">
        <v>1</v>
      </c>
      <c r="G8" s="333" t="n">
        <v>1</v>
      </c>
      <c r="H8" s="333" t="n">
        <v>1</v>
      </c>
      <c r="I8" s="333" t="n">
        <v>1</v>
      </c>
      <c r="J8" s="333" t="n">
        <v>1</v>
      </c>
      <c r="K8" s="332" t="n">
        <v>1</v>
      </c>
      <c r="L8" s="333" t="n"/>
      <c r="M8" s="333" t="n">
        <v>1</v>
      </c>
      <c r="N8" s="333" t="n">
        <v>1</v>
      </c>
      <c r="O8" s="333" t="n">
        <v>1</v>
      </c>
      <c r="P8" s="333" t="n">
        <v>1</v>
      </c>
      <c r="Q8" s="333" t="n">
        <v>1</v>
      </c>
      <c r="R8" s="332" t="n">
        <v>1</v>
      </c>
      <c r="S8" s="333" t="n"/>
      <c r="T8" s="333" t="n">
        <v>1</v>
      </c>
      <c r="U8" s="333" t="n">
        <v>1</v>
      </c>
      <c r="V8" s="333" t="n">
        <v>1</v>
      </c>
      <c r="W8" s="333" t="n">
        <v>1</v>
      </c>
      <c r="X8" s="333" t="n">
        <v>1</v>
      </c>
      <c r="Y8" s="332" t="n">
        <v>1</v>
      </c>
      <c r="Z8" s="333" t="n"/>
      <c r="AA8" s="333" t="n">
        <v>1</v>
      </c>
      <c r="AB8" s="333" t="n">
        <v>1</v>
      </c>
      <c r="AC8" s="333" t="n">
        <v>1</v>
      </c>
      <c r="AD8" s="333" t="n">
        <v>1</v>
      </c>
      <c r="AE8" s="333" t="n">
        <v>1</v>
      </c>
      <c r="AF8" s="332" t="n">
        <v>1</v>
      </c>
      <c r="AG8" s="333" t="n"/>
      <c r="AH8" s="333" t="n">
        <v>1</v>
      </c>
      <c r="AI8" s="1377">
        <f>SUM(D8:AH8)+(COUNTIF(D8:AH8,"0,5KL")/2)+(COUNTIF(D8:AH8,"0,5P")/2)+(COUNTIF(D8:AH8,"0.5L")/2)</f>
        <v/>
      </c>
      <c r="AJ8" s="1377">
        <f>(COUNTIF(D8:AH8,"P"))+(COUNTIF(D8:AG8,"P/2")/2)+(COUNTIF(D8:AG8,"0,5P")/2)+(COUNTIF(D8:AG8,"L/P")/2)+(COUNTIF(D8:AG8,"P/KL")/2)</f>
        <v/>
      </c>
      <c r="AK8" s="1377">
        <f>COUNTIF(D8:AH8,"L")+(COUNTIF(D8:AG8,"L/2")/2)+(COUNTIF(D8:AG8,"L/P")/2)+(COUNTIF(D8:AG8,"L/KL")/2)</f>
        <v/>
      </c>
      <c r="AL8" s="1377">
        <f>COUNTIF(D8:AH8,"KL")+COUNTIF(D8:AG8,"0,5KL")/2+COUNTIF(D8:AG8,"L/KL")/2+COUNTIF(D8:AG8,"KL/2")/2+COUNTIF(D8:AG8,"P/KL")/2+COUNTIF(D8:AG8,"0.5")/2</f>
        <v/>
      </c>
      <c r="AM8" s="1378">
        <f>SUM(AI8:AL8)</f>
        <v/>
      </c>
      <c r="AN8" s="1378">
        <f>AI8+AJ8+AK8</f>
        <v/>
      </c>
      <c r="AO8" s="1379" t="inlineStr">
        <is>
          <t>2019</t>
        </is>
      </c>
      <c r="AP8" s="322" t="n"/>
      <c r="AQ8" s="322" t="n"/>
      <c r="AR8" s="322" t="n"/>
    </row>
    <row r="9" ht="27" customHeight="1" s="1264">
      <c r="A9" s="1376" t="n">
        <v>2</v>
      </c>
      <c r="B9" s="1376" t="n"/>
      <c r="C9" s="336" t="inlineStr">
        <is>
          <t>Trần Thị Minh Phượng</t>
        </is>
      </c>
      <c r="D9" s="332" t="n">
        <v>1</v>
      </c>
      <c r="E9" s="333" t="n"/>
      <c r="F9" s="333" t="n">
        <v>1</v>
      </c>
      <c r="G9" s="333" t="n">
        <v>1</v>
      </c>
      <c r="H9" s="333" t="n">
        <v>1</v>
      </c>
      <c r="I9" s="333" t="n">
        <v>1</v>
      </c>
      <c r="J9" s="333" t="n">
        <v>1</v>
      </c>
      <c r="K9" s="332" t="n">
        <v>1</v>
      </c>
      <c r="L9" s="333" t="n"/>
      <c r="M9" s="333" t="n">
        <v>1</v>
      </c>
      <c r="N9" s="333" t="n">
        <v>1</v>
      </c>
      <c r="O9" s="333" t="n">
        <v>1</v>
      </c>
      <c r="P9" s="333" t="n">
        <v>1</v>
      </c>
      <c r="Q9" s="333" t="n">
        <v>1</v>
      </c>
      <c r="R9" s="332" t="n">
        <v>1</v>
      </c>
      <c r="S9" s="333" t="n"/>
      <c r="T9" s="333" t="n">
        <v>1</v>
      </c>
      <c r="U9" s="333" t="n">
        <v>1</v>
      </c>
      <c r="V9" s="333" t="n">
        <v>1</v>
      </c>
      <c r="W9" s="337" t="inlineStr">
        <is>
          <t>P</t>
        </is>
      </c>
      <c r="X9" s="337" t="inlineStr">
        <is>
          <t>P</t>
        </is>
      </c>
      <c r="Y9" s="338" t="inlineStr">
        <is>
          <t>P</t>
        </is>
      </c>
      <c r="Z9" s="333" t="n"/>
      <c r="AA9" s="333" t="n">
        <v>1</v>
      </c>
      <c r="AB9" s="333" t="n">
        <v>1</v>
      </c>
      <c r="AC9" s="333" t="n">
        <v>1</v>
      </c>
      <c r="AD9" s="333" t="n">
        <v>1</v>
      </c>
      <c r="AE9" s="333" t="n">
        <v>1</v>
      </c>
      <c r="AF9" s="332" t="n">
        <v>1</v>
      </c>
      <c r="AG9" s="333" t="n"/>
      <c r="AH9" s="333" t="n">
        <v>1</v>
      </c>
      <c r="AI9" s="1377">
        <f>SUM(D9:AH9)+(COUNTIF(D9:AH9,"0,5KL")/2)+(COUNTIF(D9:AH9,"0,5P")/2)+(COUNTIF(D9:AH9,"0.5L")/2)</f>
        <v/>
      </c>
      <c r="AJ9" s="1377">
        <f>(COUNTIF(D9:AH9,"P"))+(COUNTIF(D9:AG9,"P/2")/2)+(COUNTIF(D9:AG9,"0,5P")/2)+(COUNTIF(D9:AG9,"L/P")/2)+(COUNTIF(D9:AG9,"P/KL")/2)</f>
        <v/>
      </c>
      <c r="AK9" s="1377">
        <f>COUNTIF(D9:AH9,"L")+(COUNTIF(D9:AG9,"L/2")/2)+(COUNTIF(D9:AG9,"L/P")/2)+(COUNTIF(D9:AG9,"L/KL")/2)</f>
        <v/>
      </c>
      <c r="AL9" s="1377">
        <f>COUNTIF(D9:AH9,"KL")+COUNTIF(D9:AG9,"0,5KL")/2+COUNTIF(D9:AG9,"L/KL")/2+COUNTIF(D9:AG9,"KL/2")/2+COUNTIF(D9:AG9,"P/KL")/2+COUNTIF(D9:AG9,"0.5")/2</f>
        <v/>
      </c>
      <c r="AM9" s="1378">
        <f>SUM(AI9:AL9)</f>
        <v/>
      </c>
      <c r="AN9" s="1378">
        <f>AI9+AJ9+AK9</f>
        <v/>
      </c>
      <c r="AO9" s="1378">
        <f>VLOOKUP(C9,'[7]1. MEDIGO'!$C$4:$BL$100,62,0)</f>
        <v/>
      </c>
      <c r="AP9" s="319" t="n"/>
      <c r="AQ9" s="319" t="n"/>
      <c r="AR9" s="319" t="n"/>
    </row>
    <row r="10" ht="27" customHeight="1" s="1264">
      <c r="A10" s="1376" t="n">
        <v>3</v>
      </c>
      <c r="B10" s="1376" t="n"/>
      <c r="C10" s="339" t="inlineStr">
        <is>
          <t>Nguyễn Thị Thúy Na</t>
        </is>
      </c>
      <c r="D10" s="332" t="n">
        <v>1</v>
      </c>
      <c r="E10" s="333" t="n"/>
      <c r="F10" s="333" t="n">
        <v>1</v>
      </c>
      <c r="G10" s="333" t="n">
        <v>1</v>
      </c>
      <c r="H10" s="333" t="n">
        <v>1</v>
      </c>
      <c r="I10" s="333" t="n">
        <v>1</v>
      </c>
      <c r="J10" s="333" t="n">
        <v>1</v>
      </c>
      <c r="K10" s="332" t="n">
        <v>1</v>
      </c>
      <c r="L10" s="333" t="n"/>
      <c r="M10" s="333" t="n">
        <v>1</v>
      </c>
      <c r="N10" s="333" t="n">
        <v>1</v>
      </c>
      <c r="O10" s="333" t="n">
        <v>1</v>
      </c>
      <c r="P10" s="333" t="n">
        <v>1</v>
      </c>
      <c r="Q10" s="333" t="n">
        <v>1</v>
      </c>
      <c r="R10" s="332" t="n">
        <v>1</v>
      </c>
      <c r="S10" s="333" t="n"/>
      <c r="T10" s="333" t="n">
        <v>1</v>
      </c>
      <c r="U10" s="333" t="n">
        <v>1</v>
      </c>
      <c r="V10" s="333" t="n">
        <v>1</v>
      </c>
      <c r="W10" s="333" t="n">
        <v>1</v>
      </c>
      <c r="X10" s="337" t="inlineStr">
        <is>
          <t>P</t>
        </is>
      </c>
      <c r="Y10" s="332" t="n">
        <v>1</v>
      </c>
      <c r="Z10" s="333" t="n"/>
      <c r="AA10" s="333" t="n">
        <v>1</v>
      </c>
      <c r="AB10" s="333" t="n">
        <v>1</v>
      </c>
      <c r="AC10" s="333" t="n">
        <v>1</v>
      </c>
      <c r="AD10" s="333" t="n">
        <v>1</v>
      </c>
      <c r="AE10" s="333" t="n">
        <v>1</v>
      </c>
      <c r="AF10" s="340" t="inlineStr">
        <is>
          <t>P</t>
        </is>
      </c>
      <c r="AG10" s="333" t="n"/>
      <c r="AH10" s="337" t="inlineStr">
        <is>
          <t>P</t>
        </is>
      </c>
      <c r="AI10" s="1377">
        <f>SUM(D10:AH10)+(COUNTIF(D10:AH10,"0,5KL")/2)+(COUNTIF(D10:AH10,"0,5P")/2)+(COUNTIF(D10:AH10,"0.5L")/2)</f>
        <v/>
      </c>
      <c r="AJ10" s="1377">
        <f>(COUNTIF(D10:AH10,"P"))+(COUNTIF(D10:AG10,"P/2")/2)+(COUNTIF(D10:AG10,"0,5P")/2)+(COUNTIF(D10:AG10,"L/P")/2)+(COUNTIF(D10:AG10,"P/KL")/2)</f>
        <v/>
      </c>
      <c r="AK10" s="1377">
        <f>COUNTIF(D10:AH10,"L")+(COUNTIF(D10:AG10,"L/2")/2)+(COUNTIF(D10:AG10,"L/P")/2)+(COUNTIF(D10:AG10,"L/KL")/2)</f>
        <v/>
      </c>
      <c r="AL10" s="1377">
        <f>COUNTIF(D10:AH10,"KL")+COUNTIF(D10:AG10,"0,5KL")/2+COUNTIF(D10:AG10,"L/KL")/2+COUNTIF(D10:AG10,"KL/2")/2+COUNTIF(D10:AG10,"P/KL")/2+COUNTIF(D10:AG10,"0.5")/2</f>
        <v/>
      </c>
      <c r="AM10" s="1378">
        <f>SUM(AI10:AL10)</f>
        <v/>
      </c>
      <c r="AN10" s="1378">
        <f>AI10+AJ10+AK10</f>
        <v/>
      </c>
      <c r="AO10" s="1378">
        <f>VLOOKUP(C10,'[7]1. MEDIGO'!$C$4:$BL$100,62,0)</f>
        <v/>
      </c>
      <c r="AP10" s="319" t="n"/>
      <c r="AQ10" s="319" t="n"/>
      <c r="AR10" s="319" t="n"/>
    </row>
    <row r="11" ht="27" customHeight="1" s="1264">
      <c r="A11" s="1376" t="n">
        <v>4</v>
      </c>
      <c r="B11" s="1376" t="n"/>
      <c r="C11" s="331" t="inlineStr">
        <is>
          <t>Nguyễn Thành Tài</t>
        </is>
      </c>
      <c r="D11" s="332" t="n">
        <v>1</v>
      </c>
      <c r="E11" s="333" t="n"/>
      <c r="F11" s="333" t="n">
        <v>1</v>
      </c>
      <c r="G11" s="333" t="n">
        <v>1</v>
      </c>
      <c r="H11" s="333" t="n">
        <v>1</v>
      </c>
      <c r="I11" s="333" t="n">
        <v>1</v>
      </c>
      <c r="J11" s="333" t="n">
        <v>1</v>
      </c>
      <c r="K11" s="332" t="n">
        <v>1</v>
      </c>
      <c r="L11" s="333" t="n"/>
      <c r="M11" s="333" t="n">
        <v>1</v>
      </c>
      <c r="N11" s="333" t="n">
        <v>1</v>
      </c>
      <c r="O11" s="333" t="n">
        <v>1</v>
      </c>
      <c r="P11" s="333" t="n">
        <v>1</v>
      </c>
      <c r="Q11" s="333" t="n">
        <v>1</v>
      </c>
      <c r="R11" s="332" t="n">
        <v>1</v>
      </c>
      <c r="S11" s="333" t="n"/>
      <c r="T11" s="333" t="n">
        <v>1</v>
      </c>
      <c r="U11" s="333" t="n">
        <v>1</v>
      </c>
      <c r="V11" s="333" t="n">
        <v>1</v>
      </c>
      <c r="W11" s="333" t="n">
        <v>1</v>
      </c>
      <c r="X11" s="333" t="n">
        <v>1</v>
      </c>
      <c r="Y11" s="332" t="n">
        <v>1</v>
      </c>
      <c r="Z11" s="333" t="n"/>
      <c r="AA11" s="333" t="n">
        <v>1</v>
      </c>
      <c r="AB11" s="333" t="n">
        <v>1</v>
      </c>
      <c r="AC11" s="333" t="n">
        <v>1</v>
      </c>
      <c r="AD11" s="333" t="n">
        <v>1</v>
      </c>
      <c r="AE11" s="333" t="n">
        <v>1</v>
      </c>
      <c r="AF11" s="332" t="n">
        <v>1</v>
      </c>
      <c r="AG11" s="333" t="n"/>
      <c r="AH11" s="333" t="n">
        <v>1</v>
      </c>
      <c r="AI11" s="1377">
        <f>SUM(D11:AH11)+(COUNTIF(D11:AH11,"0,5KL")/2)+(COUNTIF(D11:AH11,"0,5P")/2)+(COUNTIF(D11:AH11,"0.5L")/2)</f>
        <v/>
      </c>
      <c r="AJ11" s="1377">
        <f>(COUNTIF(D11:AH11,"P"))+(COUNTIF(D11:AG11,"P/2")/2)+(COUNTIF(D11:AG11,"0,5P")/2)+(COUNTIF(D11:AG11,"L/P")/2)+(COUNTIF(D11:AG11,"P/KL")/2)</f>
        <v/>
      </c>
      <c r="AK11" s="1377">
        <f>COUNTIF(D11:AH11,"L")+(COUNTIF(D11:AG11,"L/2")/2)+(COUNTIF(D11:AG11,"L/P")/2)+(COUNTIF(D11:AG11,"L/KL")/2)</f>
        <v/>
      </c>
      <c r="AL11" s="1377">
        <f>COUNTIF(D11:AH11,"KL")+COUNTIF(D11:AG11,"0,5KL")/2+COUNTIF(D11:AG11,"L/KL")/2+COUNTIF(D11:AG11,"KL/2")/2+COUNTIF(D11:AG11,"P/KL")/2+COUNTIF(D11:AG11,"0.5")/2</f>
        <v/>
      </c>
      <c r="AM11" s="1378">
        <f>SUM(AI11:AL11)</f>
        <v/>
      </c>
      <c r="AN11" s="1378">
        <f>AI11+AJ11+AK11</f>
        <v/>
      </c>
      <c r="AO11" s="1378">
        <f>VLOOKUP(C11,'[7]1. MEDIGO'!$C$4:$BL$100,62,0)</f>
        <v/>
      </c>
      <c r="AP11" s="322" t="n"/>
      <c r="AQ11" s="322" t="n"/>
      <c r="AR11" s="322" t="n"/>
    </row>
    <row r="12" ht="27" customHeight="1" s="1264">
      <c r="A12" s="1376" t="n">
        <v>5</v>
      </c>
      <c r="B12" s="1376" t="n"/>
      <c r="C12" s="339" t="inlineStr">
        <is>
          <t>Tô Ngọc Thiên Phú</t>
        </is>
      </c>
      <c r="D12" s="332" t="n">
        <v>1</v>
      </c>
      <c r="E12" s="333" t="n"/>
      <c r="F12" s="333" t="n">
        <v>1</v>
      </c>
      <c r="G12" s="333" t="n">
        <v>1</v>
      </c>
      <c r="H12" s="333" t="n">
        <v>1</v>
      </c>
      <c r="I12" s="333" t="n">
        <v>1</v>
      </c>
      <c r="J12" s="333" t="n">
        <v>1</v>
      </c>
      <c r="K12" s="332" t="n">
        <v>1</v>
      </c>
      <c r="L12" s="333" t="n"/>
      <c r="M12" s="333" t="n">
        <v>1</v>
      </c>
      <c r="N12" s="333" t="n">
        <v>1</v>
      </c>
      <c r="O12" s="333" t="n">
        <v>1</v>
      </c>
      <c r="P12" s="333" t="n">
        <v>1</v>
      </c>
      <c r="Q12" s="337" t="inlineStr">
        <is>
          <t>P</t>
        </is>
      </c>
      <c r="R12" s="338" t="inlineStr">
        <is>
          <t>P</t>
        </is>
      </c>
      <c r="S12" s="333" t="n"/>
      <c r="T12" s="333" t="n">
        <v>1</v>
      </c>
      <c r="U12" s="333" t="n">
        <v>1</v>
      </c>
      <c r="V12" s="333" t="n">
        <v>1</v>
      </c>
      <c r="W12" s="333" t="n">
        <v>1</v>
      </c>
      <c r="X12" s="333" t="n">
        <v>1</v>
      </c>
      <c r="Y12" s="332" t="n">
        <v>1</v>
      </c>
      <c r="Z12" s="333" t="n"/>
      <c r="AA12" s="333" t="n">
        <v>1</v>
      </c>
      <c r="AB12" s="333" t="n">
        <v>1</v>
      </c>
      <c r="AC12" s="333" t="n">
        <v>1</v>
      </c>
      <c r="AD12" s="333" t="n">
        <v>1</v>
      </c>
      <c r="AE12" s="333" t="n">
        <v>1</v>
      </c>
      <c r="AF12" s="332" t="n">
        <v>1</v>
      </c>
      <c r="AG12" s="333" t="n"/>
      <c r="AH12" s="337" t="inlineStr">
        <is>
          <t>P</t>
        </is>
      </c>
      <c r="AI12" s="1377">
        <f>SUM(D12:AH12)+(COUNTIF(D12:AH12,"0,5KL")/2)+(COUNTIF(D12:AH12,"0,5P")/2)+(COUNTIF(D12:AH12,"0.5L")/2)</f>
        <v/>
      </c>
      <c r="AJ12" s="1377">
        <f>(COUNTIF(D12:AH12,"P"))+(COUNTIF(D12:AG12,"P/2")/2)+(COUNTIF(D12:AG12,"0,5P")/2)+(COUNTIF(D12:AG12,"L/P")/2)+(COUNTIF(D12:AG12,"P/KL")/2)</f>
        <v/>
      </c>
      <c r="AK12" s="1377">
        <f>COUNTIF(D12:AH12,"L")+(COUNTIF(D12:AG12,"L/2")/2)+(COUNTIF(D12:AG12,"L/P")/2)+(COUNTIF(D12:AG12,"L/KL")/2)</f>
        <v/>
      </c>
      <c r="AL12" s="1377">
        <f>COUNTIF(D12:AH12,"KL")+COUNTIF(D12:AG12,"0,5KL")/2+COUNTIF(D12:AG12,"L/KL")/2+COUNTIF(D12:AG12,"KL/2")/2+COUNTIF(D12:AG12,"P/KL")/2+COUNTIF(D12:AG12,"0.5")/2</f>
        <v/>
      </c>
      <c r="AM12" s="1378">
        <f>SUM(AI12:AL12)</f>
        <v/>
      </c>
      <c r="AN12" s="1378">
        <f>AI12+AJ12+AK12</f>
        <v/>
      </c>
      <c r="AO12" s="1378">
        <f>VLOOKUP(C12,'[7]1. MEDIGO'!$C$4:$BL$100,62,0)</f>
        <v/>
      </c>
      <c r="AP12" s="341" t="n">
        <v>46249</v>
      </c>
      <c r="AQ12" s="319" t="n"/>
      <c r="AR12" s="319" t="n"/>
    </row>
    <row r="13" ht="27" customHeight="1" s="1264">
      <c r="A13" s="1376" t="n">
        <v>6</v>
      </c>
      <c r="B13" s="1376" t="n"/>
      <c r="C13" s="342" t="inlineStr">
        <is>
          <t>Huỳnh Quang Toàn</t>
        </is>
      </c>
      <c r="D13" s="332" t="n">
        <v>1</v>
      </c>
      <c r="E13" s="333" t="n"/>
      <c r="F13" s="333" t="n">
        <v>1</v>
      </c>
      <c r="G13" s="333" t="n">
        <v>1</v>
      </c>
      <c r="H13" s="333" t="n">
        <v>1</v>
      </c>
      <c r="I13" s="333" t="n">
        <v>1</v>
      </c>
      <c r="J13" s="333" t="n">
        <v>1</v>
      </c>
      <c r="K13" s="332" t="n">
        <v>1</v>
      </c>
      <c r="L13" s="333" t="n"/>
      <c r="M13" s="333" t="n">
        <v>1</v>
      </c>
      <c r="N13" s="333" t="n">
        <v>1</v>
      </c>
      <c r="O13" s="333" t="n">
        <v>1</v>
      </c>
      <c r="P13" s="333" t="n">
        <v>1</v>
      </c>
      <c r="Q13" s="333" t="n">
        <v>1</v>
      </c>
      <c r="R13" s="332" t="n">
        <v>1</v>
      </c>
      <c r="S13" s="333" t="n"/>
      <c r="T13" s="333" t="n">
        <v>1</v>
      </c>
      <c r="U13" s="333" t="n">
        <v>1</v>
      </c>
      <c r="V13" s="333" t="n">
        <v>1</v>
      </c>
      <c r="W13" s="333" t="n">
        <v>1</v>
      </c>
      <c r="X13" s="333" t="n">
        <v>1</v>
      </c>
      <c r="Y13" s="332" t="n">
        <v>1</v>
      </c>
      <c r="Z13" s="333" t="n"/>
      <c r="AA13" s="333" t="n">
        <v>1</v>
      </c>
      <c r="AB13" s="333" t="n">
        <v>1</v>
      </c>
      <c r="AC13" s="333" t="n">
        <v>1</v>
      </c>
      <c r="AD13" s="333" t="n">
        <v>1</v>
      </c>
      <c r="AE13" s="333" t="n">
        <v>1</v>
      </c>
      <c r="AF13" s="332" t="n">
        <v>1</v>
      </c>
      <c r="AG13" s="333" t="n"/>
      <c r="AH13" s="333" t="n">
        <v>1</v>
      </c>
      <c r="AI13" s="1377">
        <f>SUM(D13:AH13)+(COUNTIF(D13:AH13,"0,5KL")/2)+(COUNTIF(D13:AH13,"0,5P")/2)+(COUNTIF(D13:AH13,"0.5L")/2)</f>
        <v/>
      </c>
      <c r="AJ13" s="1377">
        <f>(COUNTIF(D13:AH13,"P"))+(COUNTIF(D13:AG13,"P/2")/2)+(COUNTIF(D13:AG13,"0,5P")/2)+(COUNTIF(D13:AG13,"L/P")/2)+(COUNTIF(D13:AG13,"P/KL")/2)</f>
        <v/>
      </c>
      <c r="AK13" s="1377">
        <f>COUNTIF(D13:AH13,"L")+(COUNTIF(D13:AG13,"L/2")/2)+(COUNTIF(D13:AG13,"L/P")/2)+(COUNTIF(D13:AG13,"L/KL")/2)</f>
        <v/>
      </c>
      <c r="AL13" s="1377">
        <f>COUNTIF(D13:AH13,"KL")+COUNTIF(D13:AG13,"0,5KL")/2+COUNTIF(D13:AG13,"L/KL")/2+COUNTIF(D13:AG13,"KL/2")/2+COUNTIF(D13:AG13,"P/KL")/2+COUNTIF(D13:AG13,"0.5")/2</f>
        <v/>
      </c>
      <c r="AM13" s="1378">
        <f>SUM(AI13:AL13)</f>
        <v/>
      </c>
      <c r="AN13" s="1378">
        <f>AI13+AJ13+AK13</f>
        <v/>
      </c>
      <c r="AO13" s="1378" t="inlineStr">
        <is>
          <t>HĐ CÔNG TÁC VIÊN TỪ THÁNG 4/2026</t>
        </is>
      </c>
      <c r="AP13" s="319" t="n"/>
      <c r="AQ13" s="319" t="n"/>
      <c r="AR13" s="319" t="n"/>
    </row>
    <row r="14" ht="27" customHeight="1" s="1264">
      <c r="A14" s="1376" t="n">
        <v>7</v>
      </c>
      <c r="B14" s="1376" t="n"/>
      <c r="C14" s="244" t="inlineStr">
        <is>
          <t>Nguyễn Tuấn Vinh</t>
        </is>
      </c>
      <c r="D14" s="332" t="n">
        <v>1</v>
      </c>
      <c r="E14" s="333" t="n"/>
      <c r="F14" s="333" t="n">
        <v>1</v>
      </c>
      <c r="G14" s="333" t="n">
        <v>1</v>
      </c>
      <c r="H14" s="333" t="n">
        <v>1</v>
      </c>
      <c r="I14" s="333" t="n">
        <v>1</v>
      </c>
      <c r="J14" s="333" t="n">
        <v>1</v>
      </c>
      <c r="K14" s="332" t="n">
        <v>1</v>
      </c>
      <c r="L14" s="333" t="n"/>
      <c r="M14" s="333" t="n">
        <v>1</v>
      </c>
      <c r="N14" s="333" t="n">
        <v>1</v>
      </c>
      <c r="O14" s="333" t="n">
        <v>1</v>
      </c>
      <c r="P14" s="333" t="n">
        <v>1</v>
      </c>
      <c r="Q14" s="333" t="n">
        <v>1</v>
      </c>
      <c r="R14" s="332" t="n">
        <v>1</v>
      </c>
      <c r="S14" s="333" t="n"/>
      <c r="T14" s="333" t="n">
        <v>1</v>
      </c>
      <c r="U14" s="333" t="n">
        <v>1</v>
      </c>
      <c r="V14" s="333" t="n">
        <v>1</v>
      </c>
      <c r="W14" s="333" t="n">
        <v>1</v>
      </c>
      <c r="X14" s="333" t="n">
        <v>1</v>
      </c>
      <c r="Y14" s="332" t="n">
        <v>1</v>
      </c>
      <c r="Z14" s="333" t="n"/>
      <c r="AA14" s="333" t="n">
        <v>1</v>
      </c>
      <c r="AB14" s="333" t="n">
        <v>1</v>
      </c>
      <c r="AC14" s="333" t="n">
        <v>1</v>
      </c>
      <c r="AD14" s="333" t="n">
        <v>1</v>
      </c>
      <c r="AE14" s="333" t="n">
        <v>1</v>
      </c>
      <c r="AF14" s="332" t="n">
        <v>1</v>
      </c>
      <c r="AG14" s="333" t="n"/>
      <c r="AH14" s="333" t="n">
        <v>1</v>
      </c>
      <c r="AI14" s="1377">
        <f>SUM(D14:AH14)+(COUNTIF(D14:AH14,"0,5KL")/2)+(COUNTIF(D14:AH14,"0,5P")/2)+(COUNTIF(D14:AH14,"0.5L")/2)</f>
        <v/>
      </c>
      <c r="AJ14" s="1377">
        <f>(COUNTIF(D14:AH14,"P"))+(COUNTIF(D14:AG14,"P/2")/2)+(COUNTIF(D14:AG14,"0,5P")/2)+(COUNTIF(D14:AG14,"L/P")/2)+(COUNTIF(D14:AG14,"P/KL")/2)</f>
        <v/>
      </c>
      <c r="AK14" s="1377">
        <f>COUNTIF(D14:AH14,"L")+(COUNTIF(D14:AG14,"L/2")/2)+(COUNTIF(D14:AG14,"L/P")/2)+(COUNTIF(D14:AG14,"L/KL")/2)</f>
        <v/>
      </c>
      <c r="AL14" s="1377">
        <f>COUNTIF(D14:AH14,"KL")+COUNTIF(D14:AG14,"0,5KL")/2+COUNTIF(D14:AG14,"L/KL")/2+COUNTIF(D14:AG14,"KL/2")/2+COUNTIF(D14:AG14,"P/KL")/2+COUNTIF(D14:AG14,"0.5")/2</f>
        <v/>
      </c>
      <c r="AM14" s="1378">
        <f>SUM(AI14:AL14)</f>
        <v/>
      </c>
      <c r="AN14" s="1378">
        <f>AI14+AJ14+AK14</f>
        <v/>
      </c>
      <c r="AO14" s="1378" t="inlineStr">
        <is>
          <t>HĐ CÔNG TÁC VIÊN TỪ THÁNG 5/2026</t>
        </is>
      </c>
      <c r="AP14" s="319" t="n"/>
      <c r="AQ14" s="319" t="n"/>
      <c r="AR14" s="319" t="n"/>
    </row>
    <row r="15" ht="27" customHeight="1" s="1264">
      <c r="A15" s="1376" t="n">
        <v>8</v>
      </c>
      <c r="B15" s="1376" t="n"/>
      <c r="C15" s="331" t="inlineStr">
        <is>
          <t>Hoàng Lê Thanh Vương</t>
        </is>
      </c>
      <c r="D15" s="332" t="n">
        <v>1</v>
      </c>
      <c r="E15" s="333" t="n"/>
      <c r="F15" s="333" t="n">
        <v>1</v>
      </c>
      <c r="G15" s="333" t="n">
        <v>1</v>
      </c>
      <c r="H15" s="333" t="n">
        <v>1</v>
      </c>
      <c r="I15" s="333" t="n">
        <v>1</v>
      </c>
      <c r="J15" s="333" t="n">
        <v>1</v>
      </c>
      <c r="K15" s="332" t="n">
        <v>1</v>
      </c>
      <c r="L15" s="333" t="n"/>
      <c r="M15" s="333" t="n">
        <v>1</v>
      </c>
      <c r="N15" s="333" t="n">
        <v>1</v>
      </c>
      <c r="O15" s="333" t="n">
        <v>1</v>
      </c>
      <c r="P15" s="333" t="n">
        <v>1</v>
      </c>
      <c r="Q15" s="333" t="n">
        <v>1</v>
      </c>
      <c r="R15" s="332" t="n">
        <v>1</v>
      </c>
      <c r="S15" s="333" t="n"/>
      <c r="T15" s="333" t="n">
        <v>1</v>
      </c>
      <c r="U15" s="333" t="n">
        <v>1</v>
      </c>
      <c r="V15" s="333" t="n">
        <v>1</v>
      </c>
      <c r="W15" s="333" t="n">
        <v>1</v>
      </c>
      <c r="X15" s="333" t="n">
        <v>1</v>
      </c>
      <c r="Y15" s="332" t="n">
        <v>1</v>
      </c>
      <c r="Z15" s="333" t="n"/>
      <c r="AA15" s="333" t="n">
        <v>1</v>
      </c>
      <c r="AB15" s="333" t="n">
        <v>1</v>
      </c>
      <c r="AC15" s="333" t="n">
        <v>1</v>
      </c>
      <c r="AD15" s="333" t="n">
        <v>1</v>
      </c>
      <c r="AE15" s="333" t="n">
        <v>1</v>
      </c>
      <c r="AF15" s="332" t="n">
        <v>1</v>
      </c>
      <c r="AG15" s="333" t="n"/>
      <c r="AH15" s="333" t="n">
        <v>1</v>
      </c>
      <c r="AI15" s="1377">
        <f>SUM(D15:AH15)+(COUNTIF(D15:AH15,"0,5KL")/2)+(COUNTIF(D15:AH15,"0,5P")/2)+(COUNTIF(D15:AH15,"0.5L")/2)</f>
        <v/>
      </c>
      <c r="AJ15" s="1377">
        <f>(COUNTIF(D15:AH15,"P"))+(COUNTIF(D15:AG15,"P/2")/2)+(COUNTIF(D15:AG15,"0,5P")/2)+(COUNTIF(D15:AG15,"L/P")/2)+(COUNTIF(D15:AG15,"P/KL")/2)</f>
        <v/>
      </c>
      <c r="AK15" s="1377">
        <f>COUNTIF(D15:AH15,"L")+(COUNTIF(D15:AG15,"L/2")/2)+(COUNTIF(D15:AG15,"L/P")/2)+(COUNTIF(D15:AG15,"L/KL")/2)</f>
        <v/>
      </c>
      <c r="AL15" s="1377">
        <f>COUNTIF(D15:AH15,"KL")+COUNTIF(D15:AG15,"0,5KL")/2+COUNTIF(D15:AG15,"L/KL")/2+COUNTIF(D15:AG15,"KL/2")/2+COUNTIF(D15:AG15,"P/KL")/2+COUNTIF(D15:AG15,"0.5")/2</f>
        <v/>
      </c>
      <c r="AM15" s="1378">
        <f>SUM(AI15:AL15)</f>
        <v/>
      </c>
      <c r="AN15" s="1378">
        <f>AI15+AJ15+AK15</f>
        <v/>
      </c>
      <c r="AO15" s="1378">
        <f>VLOOKUP(C15,'[7]1. MEDIGO'!$C$4:$BL$100,62,0)</f>
        <v/>
      </c>
      <c r="AP15" s="322" t="n"/>
      <c r="AQ15" s="322" t="n"/>
      <c r="AR15" s="322" t="n"/>
    </row>
    <row r="16" ht="25.5" customHeight="1" s="1264">
      <c r="A16" s="1376" t="n">
        <v>9</v>
      </c>
      <c r="B16" s="1376" t="n"/>
      <c r="C16" s="343" t="inlineStr">
        <is>
          <t>Nguyễn Hoàng Nguyên Đan</t>
        </is>
      </c>
      <c r="D16" s="332" t="n">
        <v>1</v>
      </c>
      <c r="E16" s="333" t="n"/>
      <c r="F16" s="333" t="n">
        <v>1</v>
      </c>
      <c r="G16" s="333" t="n">
        <v>1</v>
      </c>
      <c r="H16" s="333" t="n">
        <v>1</v>
      </c>
      <c r="I16" s="333" t="n">
        <v>1</v>
      </c>
      <c r="J16" s="333" t="n">
        <v>1</v>
      </c>
      <c r="K16" s="332" t="n">
        <v>1</v>
      </c>
      <c r="L16" s="333" t="n"/>
      <c r="M16" s="333" t="n">
        <v>1</v>
      </c>
      <c r="N16" s="333" t="n">
        <v>1</v>
      </c>
      <c r="O16" s="333" t="n">
        <v>1</v>
      </c>
      <c r="P16" s="333" t="n">
        <v>1</v>
      </c>
      <c r="Q16" s="333" t="n">
        <v>1</v>
      </c>
      <c r="R16" s="332" t="n">
        <v>1</v>
      </c>
      <c r="S16" s="333" t="n"/>
      <c r="T16" s="333" t="n">
        <v>1</v>
      </c>
      <c r="U16" s="333" t="n">
        <v>1</v>
      </c>
      <c r="V16" s="333" t="n">
        <v>1</v>
      </c>
      <c r="W16" s="333" t="n">
        <v>1</v>
      </c>
      <c r="X16" s="333" t="n">
        <v>1</v>
      </c>
      <c r="Y16" s="332" t="n">
        <v>1</v>
      </c>
      <c r="Z16" s="333" t="n"/>
      <c r="AA16" s="333" t="n">
        <v>1</v>
      </c>
      <c r="AB16" s="333" t="n">
        <v>1</v>
      </c>
      <c r="AC16" s="333" t="n">
        <v>1</v>
      </c>
      <c r="AD16" s="333" t="n">
        <v>1</v>
      </c>
      <c r="AE16" s="333" t="n">
        <v>1</v>
      </c>
      <c r="AF16" s="332" t="n">
        <v>1</v>
      </c>
      <c r="AG16" s="333" t="n"/>
      <c r="AH16" s="333" t="n">
        <v>1</v>
      </c>
      <c r="AI16" s="1377">
        <f>SUM(D16:AH16)+(COUNTIF(D16:AH16,"0,5KL")/2)+(COUNTIF(D16:AH16,"0,5P")/2)+(COUNTIF(D16:AH16,"0.5L")/2)</f>
        <v/>
      </c>
      <c r="AJ16" s="1377">
        <f>(COUNTIF(D16:AH16,"P"))+(COUNTIF(D16:AG16,"P/2")/2)+(COUNTIF(D16:AG16,"0,5P")/2)+(COUNTIF(D16:AG16,"L/P")/2)+(COUNTIF(D16:AG16,"P/KL")/2)</f>
        <v/>
      </c>
      <c r="AK16" s="1377">
        <f>COUNTIF(D16:AH16,"L")+(COUNTIF(D16:AG16,"L/2")/2)+(COUNTIF(D16:AG16,"L/P")/2)+(COUNTIF(D16:AG16,"L/KL")/2)</f>
        <v/>
      </c>
      <c r="AL16" s="1377">
        <f>COUNTIF(D16:AH16,"KL")+COUNTIF(D16:AG16,"0,5KL")/2+COUNTIF(D16:AG16,"L/KL")/2+COUNTIF(D16:AG16,"KL/2")/2+COUNTIF(D16:AG16,"P/KL")/2+COUNTIF(D16:AG16,"0.5")/2</f>
        <v/>
      </c>
      <c r="AM16" s="1378">
        <f>SUM(AI16:AL16)</f>
        <v/>
      </c>
      <c r="AN16" s="1378">
        <f>AI16+AJ16+AK16</f>
        <v/>
      </c>
      <c r="AO16" s="1378">
        <f>VLOOKUP(C16,'[7]1. MEDIGO'!$C$4:$BL$100,62,0)</f>
        <v/>
      </c>
      <c r="AP16" s="319" t="n"/>
      <c r="AQ16" s="319" t="n"/>
      <c r="AR16" s="319" t="n"/>
    </row>
    <row r="17" ht="27" customHeight="1" s="1264">
      <c r="A17" s="1376" t="n">
        <v>10</v>
      </c>
      <c r="B17" s="1376" t="n"/>
      <c r="C17" s="344" t="inlineStr">
        <is>
          <t>Nguyễn Văn Toàn</t>
        </is>
      </c>
      <c r="D17" s="332" t="n">
        <v>1</v>
      </c>
      <c r="E17" s="333" t="n"/>
      <c r="F17" s="333" t="n">
        <v>1</v>
      </c>
      <c r="G17" s="333" t="n">
        <v>1</v>
      </c>
      <c r="H17" s="333" t="n">
        <v>1</v>
      </c>
      <c r="I17" s="333" t="n">
        <v>1</v>
      </c>
      <c r="J17" s="333" t="n">
        <v>1</v>
      </c>
      <c r="K17" s="332" t="n">
        <v>1</v>
      </c>
      <c r="L17" s="333" t="n"/>
      <c r="M17" s="333" t="n">
        <v>1</v>
      </c>
      <c r="N17" s="333" t="n">
        <v>1</v>
      </c>
      <c r="O17" s="333" t="n">
        <v>1</v>
      </c>
      <c r="P17" s="333" t="n">
        <v>1</v>
      </c>
      <c r="Q17" s="333" t="n">
        <v>1</v>
      </c>
      <c r="R17" s="332" t="n">
        <v>1</v>
      </c>
      <c r="S17" s="333" t="n"/>
      <c r="T17" s="333" t="n">
        <v>1</v>
      </c>
      <c r="U17" s="333" t="n">
        <v>1</v>
      </c>
      <c r="V17" s="333" t="n">
        <v>1</v>
      </c>
      <c r="W17" s="333" t="n">
        <v>1</v>
      </c>
      <c r="X17" s="333" t="n">
        <v>1</v>
      </c>
      <c r="Y17" s="332" t="n">
        <v>1</v>
      </c>
      <c r="Z17" s="333" t="n"/>
      <c r="AA17" s="333" t="n">
        <v>1</v>
      </c>
      <c r="AB17" s="333" t="n">
        <v>1</v>
      </c>
      <c r="AC17" s="333" t="n">
        <v>1</v>
      </c>
      <c r="AD17" s="333" t="n">
        <v>1</v>
      </c>
      <c r="AE17" s="337" t="inlineStr">
        <is>
          <t>P</t>
        </is>
      </c>
      <c r="AF17" s="338" t="inlineStr">
        <is>
          <t>P</t>
        </is>
      </c>
      <c r="AG17" s="333" t="n"/>
      <c r="AH17" s="337" t="inlineStr">
        <is>
          <t>P</t>
        </is>
      </c>
      <c r="AI17" s="1377">
        <f>SUM(D17:AH17)+(COUNTIF(D17:AH17,"0,5KL")/2)+(COUNTIF(D17:AH17,"0,5P")/2)+(COUNTIF(D17:AH17,"0.5L")/2)</f>
        <v/>
      </c>
      <c r="AJ17" s="1377">
        <f>(COUNTIF(D17:AH17,"P"))+(COUNTIF(D17:AG17,"P/2")/2)+(COUNTIF(D17:AG17,"0,5P")/2)+(COUNTIF(D17:AG17,"L/P")/2)+(COUNTIF(D17:AG17,"P/KL")/2)</f>
        <v/>
      </c>
      <c r="AK17" s="1377">
        <f>COUNTIF(D17:AH17,"L")+(COUNTIF(D17:AG17,"L/2")/2)+(COUNTIF(D17:AG17,"L/P")/2)+(COUNTIF(D17:AG17,"L/KL")/2)</f>
        <v/>
      </c>
      <c r="AL17" s="1377">
        <f>COUNTIF(D17:AH17,"KL")+COUNTIF(D17:AG17,"0,5KL")/2+COUNTIF(D17:AG17,"L/KL")/2+COUNTIF(D17:AG17,"KL/2")/2+COUNTIF(D17:AG17,"P/KL")/2+COUNTIF(D17:AG17,"0.5")/2</f>
        <v/>
      </c>
      <c r="AM17" s="1378">
        <f>SUM(AI17:AL17)</f>
        <v/>
      </c>
      <c r="AN17" s="1378">
        <f>AI17+AJ17+AK17</f>
        <v/>
      </c>
      <c r="AO17" s="1378">
        <f>VLOOKUP(C17,'[7]1. MEDIGO'!$C$4:$BL$100,62,0)</f>
        <v/>
      </c>
      <c r="AP17" s="341" t="n">
        <v>46263</v>
      </c>
      <c r="AQ17" s="319" t="n"/>
      <c r="AR17" s="319" t="n"/>
    </row>
    <row r="18" ht="27" customHeight="1" s="1264">
      <c r="A18" s="1376" t="n">
        <v>11</v>
      </c>
      <c r="B18" s="1376" t="n"/>
      <c r="C18" s="343" t="inlineStr">
        <is>
          <t>Lê Phú Quí</t>
        </is>
      </c>
      <c r="D18" s="332" t="n">
        <v>1</v>
      </c>
      <c r="E18" s="333" t="n"/>
      <c r="F18" s="333" t="n">
        <v>1</v>
      </c>
      <c r="G18" s="333" t="n">
        <v>1</v>
      </c>
      <c r="H18" s="333" t="n">
        <v>1</v>
      </c>
      <c r="I18" s="333" t="n">
        <v>1</v>
      </c>
      <c r="J18" s="333" t="n">
        <v>1</v>
      </c>
      <c r="K18" s="332" t="n">
        <v>1</v>
      </c>
      <c r="L18" s="333" t="n"/>
      <c r="M18" s="333" t="n">
        <v>1</v>
      </c>
      <c r="N18" s="333" t="n">
        <v>1</v>
      </c>
      <c r="O18" s="333" t="n">
        <v>1</v>
      </c>
      <c r="P18" s="333" t="n">
        <v>1</v>
      </c>
      <c r="Q18" s="333" t="n">
        <v>1</v>
      </c>
      <c r="R18" s="332" t="n">
        <v>1</v>
      </c>
      <c r="S18" s="333" t="n"/>
      <c r="T18" s="333" t="n">
        <v>1</v>
      </c>
      <c r="U18" s="333" t="n">
        <v>1</v>
      </c>
      <c r="V18" s="333" t="n">
        <v>1</v>
      </c>
      <c r="W18" s="333" t="n">
        <v>1</v>
      </c>
      <c r="X18" s="333" t="n">
        <v>1</v>
      </c>
      <c r="Y18" s="332" t="n">
        <v>1</v>
      </c>
      <c r="Z18" s="333" t="n"/>
      <c r="AA18" s="333" t="n">
        <v>1</v>
      </c>
      <c r="AB18" s="333" t="n">
        <v>1</v>
      </c>
      <c r="AC18" s="333" t="n">
        <v>1</v>
      </c>
      <c r="AD18" s="333" t="n">
        <v>1</v>
      </c>
      <c r="AE18" s="333" t="n">
        <v>1</v>
      </c>
      <c r="AF18" s="332" t="n">
        <v>1</v>
      </c>
      <c r="AG18" s="333" t="n"/>
      <c r="AH18" s="337" t="inlineStr">
        <is>
          <t>P</t>
        </is>
      </c>
      <c r="AI18" s="1377">
        <f>SUM(D18:AH18)+(COUNTIF(D18:AH18,"0,5KL")/2)+(COUNTIF(D18:AH18,"0,5P")/2)+(COUNTIF(D18:AH18,"0.5L")/2)</f>
        <v/>
      </c>
      <c r="AJ18" s="1377">
        <f>(COUNTIF(D18:AH18,"P"))+(COUNTIF(D18:AG18,"P/2")/2)+(COUNTIF(D18:AG18,"0,5P")/2)+(COUNTIF(D18:AG18,"L/P")/2)+(COUNTIF(D18:AG18,"P/KL")/2)</f>
        <v/>
      </c>
      <c r="AK18" s="1377">
        <f>COUNTIF(D18:AH18,"L")+(COUNTIF(D18:AG18,"L/2")/2)+(COUNTIF(D18:AG18,"L/P")/2)+(COUNTIF(D18:AG18,"L/KL")/2)</f>
        <v/>
      </c>
      <c r="AL18" s="1377">
        <f>COUNTIF(D18:AH18,"KL")+COUNTIF(D18:AG18,"0,5KL")/2+COUNTIF(D18:AG18,"L/KL")/2+COUNTIF(D18:AG18,"KL/2")/2+COUNTIF(D18:AG18,"P/KL")/2+COUNTIF(D18:AG18,"0.5")/2</f>
        <v/>
      </c>
      <c r="AM18" s="1378">
        <f>SUM(AI18:AL18)</f>
        <v/>
      </c>
      <c r="AN18" s="1378">
        <f>AI18+AJ18+AK18</f>
        <v/>
      </c>
      <c r="AO18" s="1378">
        <f>VLOOKUP(C18,'[7]1. MEDIGO'!$C$4:$BL$100,62,0)</f>
        <v/>
      </c>
      <c r="AP18" s="322" t="n"/>
      <c r="AQ18" s="322" t="n"/>
      <c r="AR18" s="322" t="n"/>
    </row>
    <row r="19" ht="27" customFormat="1" customHeight="1" s="302">
      <c r="A19" s="1376" t="n">
        <v>12</v>
      </c>
      <c r="B19" s="1380" t="n"/>
      <c r="C19" s="346" t="inlineStr">
        <is>
          <t>Nguyễn Hồ Phương Anh</t>
        </is>
      </c>
      <c r="D19" s="332" t="n">
        <v>1</v>
      </c>
      <c r="E19" s="333" t="n"/>
      <c r="F19" s="333" t="n">
        <v>1</v>
      </c>
      <c r="G19" s="333" t="n">
        <v>1</v>
      </c>
      <c r="H19" s="333" t="n">
        <v>1</v>
      </c>
      <c r="I19" s="333" t="n">
        <v>1</v>
      </c>
      <c r="J19" s="333" t="n">
        <v>1</v>
      </c>
      <c r="K19" s="332" t="n">
        <v>1</v>
      </c>
      <c r="L19" s="333" t="n"/>
      <c r="M19" s="333" t="n">
        <v>1</v>
      </c>
      <c r="N19" s="333" t="n">
        <v>1</v>
      </c>
      <c r="O19" s="333" t="n">
        <v>1</v>
      </c>
      <c r="P19" s="333" t="n">
        <v>1</v>
      </c>
      <c r="Q19" s="333" t="n">
        <v>1</v>
      </c>
      <c r="R19" s="332" t="n">
        <v>1</v>
      </c>
      <c r="S19" s="333" t="n"/>
      <c r="T19" s="333" t="n">
        <v>1</v>
      </c>
      <c r="U19" s="333" t="n">
        <v>1</v>
      </c>
      <c r="V19" s="333" t="n">
        <v>1</v>
      </c>
      <c r="W19" s="333" t="n">
        <v>1</v>
      </c>
      <c r="X19" s="333" t="n">
        <v>1</v>
      </c>
      <c r="Y19" s="332" t="n">
        <v>1</v>
      </c>
      <c r="Z19" s="333" t="n"/>
      <c r="AA19" s="333" t="n">
        <v>1</v>
      </c>
      <c r="AB19" s="333" t="n">
        <v>1</v>
      </c>
      <c r="AC19" s="333" t="n">
        <v>1</v>
      </c>
      <c r="AD19" s="333" t="n">
        <v>1</v>
      </c>
      <c r="AE19" s="333" t="n">
        <v>1</v>
      </c>
      <c r="AF19" s="332" t="n">
        <v>1</v>
      </c>
      <c r="AG19" s="333" t="n"/>
      <c r="AH19" s="333" t="n">
        <v>1</v>
      </c>
      <c r="AI19" s="1377">
        <f>SUM(D19:AH19)+(COUNTIF(D19:AH19,"0,5KL")/2)+(COUNTIF(D19:AH19,"0,5P")/2)+(COUNTIF(D19:AH19,"0.5L")/2)</f>
        <v/>
      </c>
      <c r="AJ19" s="1377">
        <f>(COUNTIF(D19:AH19,"P"))+(COUNTIF(D19:AG19,"P/2")/2)+(COUNTIF(D19:AG19,"0,5P")/2)+(COUNTIF(D19:AG19,"L/P")/2)+(COUNTIF(D19:AG19,"P/KL")/2)</f>
        <v/>
      </c>
      <c r="AK19" s="1377">
        <f>COUNTIF(D19:AH19,"L")+(COUNTIF(D19:AG19,"L/2")/2)+(COUNTIF(D19:AG19,"L/P")/2)+(COUNTIF(D19:AG19,"L/KL")/2)</f>
        <v/>
      </c>
      <c r="AL19" s="1377">
        <f>COUNTIF(D19:AH19,"KL")+COUNTIF(D19:AG19,"0,5KL")/2+COUNTIF(D19:AG19,"L/KL")/2+COUNTIF(D19:AG19,"KL/2")/2+COUNTIF(D19:AG19,"P/KL")/2+COUNTIF(D19:AG19,"0.5")/2</f>
        <v/>
      </c>
      <c r="AM19" s="1378">
        <f>SUM(AI19:AL19)</f>
        <v/>
      </c>
      <c r="AN19" s="1378">
        <f>AI19+AJ19+AK19</f>
        <v/>
      </c>
      <c r="AO19" s="1381">
        <f>VLOOKUP(C19,'[7]1. MEDIGO'!$C$4:$BL$100,62,0)</f>
        <v/>
      </c>
      <c r="AP19" s="348" t="n"/>
      <c r="AQ19" s="348" t="n"/>
      <c r="AR19" s="348" t="n"/>
    </row>
    <row r="20" ht="27" customFormat="1" customHeight="1" s="302">
      <c r="A20" s="1376" t="n">
        <v>13</v>
      </c>
      <c r="B20" s="1380" t="n"/>
      <c r="C20" s="346" t="inlineStr">
        <is>
          <t>Nguyễn Thị Ngọc Hân</t>
        </is>
      </c>
      <c r="D20" s="332" t="n">
        <v>1</v>
      </c>
      <c r="E20" s="333" t="n"/>
      <c r="F20" s="333" t="n">
        <v>1</v>
      </c>
      <c r="G20" s="333" t="n">
        <v>1</v>
      </c>
      <c r="H20" s="333" t="n">
        <v>1</v>
      </c>
      <c r="I20" s="333" t="n">
        <v>1</v>
      </c>
      <c r="J20" s="333" t="n">
        <v>1</v>
      </c>
      <c r="K20" s="332" t="n">
        <v>1</v>
      </c>
      <c r="L20" s="333" t="n"/>
      <c r="M20" s="333" t="n">
        <v>1</v>
      </c>
      <c r="N20" s="333" t="n">
        <v>1</v>
      </c>
      <c r="O20" s="333" t="n">
        <v>1</v>
      </c>
      <c r="P20" s="333" t="n">
        <v>1</v>
      </c>
      <c r="Q20" s="333" t="n">
        <v>1</v>
      </c>
      <c r="R20" s="332" t="n">
        <v>1</v>
      </c>
      <c r="S20" s="333" t="n"/>
      <c r="T20" s="333" t="n">
        <v>1</v>
      </c>
      <c r="U20" s="333" t="n">
        <v>1</v>
      </c>
      <c r="V20" s="333" t="n">
        <v>1</v>
      </c>
      <c r="W20" s="333" t="n">
        <v>1</v>
      </c>
      <c r="X20" s="333" t="n">
        <v>1</v>
      </c>
      <c r="Y20" s="332" t="n">
        <v>1</v>
      </c>
      <c r="Z20" s="333" t="n"/>
      <c r="AA20" s="333" t="n">
        <v>1</v>
      </c>
      <c r="AB20" s="333" t="n">
        <v>1</v>
      </c>
      <c r="AC20" s="333" t="n">
        <v>1</v>
      </c>
      <c r="AD20" s="333" t="n">
        <v>1</v>
      </c>
      <c r="AE20" s="333" t="n">
        <v>1</v>
      </c>
      <c r="AF20" s="332" t="n">
        <v>1</v>
      </c>
      <c r="AG20" s="333" t="n"/>
      <c r="AH20" s="333" t="n">
        <v>1</v>
      </c>
      <c r="AI20" s="1377">
        <f>SUM(D20:AH20)+(COUNTIF(D20:AH20,"0,5KL")/2)+(COUNTIF(D20:AH20,"0,5P")/2)+(COUNTIF(D20:AH20,"0.5L")/2)</f>
        <v/>
      </c>
      <c r="AJ20" s="1377">
        <f>(COUNTIF(D20:AH20,"P"))+(COUNTIF(D20:AG20,"P/2")/2)+(COUNTIF(D20:AG20,"0,5P")/2)+(COUNTIF(D20:AG20,"L/P")/2)+(COUNTIF(D20:AG20,"P/KL")/2)</f>
        <v/>
      </c>
      <c r="AK20" s="1377">
        <f>COUNTIF(D20:AH20,"L")+(COUNTIF(D20:AG20,"L/2")/2)+(COUNTIF(D20:AG20,"L/P")/2)+(COUNTIF(D20:AG20,"L/KL")/2)</f>
        <v/>
      </c>
      <c r="AL20" s="1377">
        <f>COUNTIF(D20:AH20,"KL")+COUNTIF(D20:AG20,"0,5KL")/2+COUNTIF(D20:AG20,"L/KL")/2+COUNTIF(D20:AG20,"KL/2")/2+COUNTIF(D20:AG20,"P/KL")/2+COUNTIF(D20:AG20,"0.5")/2</f>
        <v/>
      </c>
      <c r="AM20" s="1378">
        <f>SUM(AI20:AL20)</f>
        <v/>
      </c>
      <c r="AN20" s="1378">
        <f>AI20+AJ20+AK20</f>
        <v/>
      </c>
      <c r="AO20" s="1381">
        <f>VLOOKUP(C20,'[7]1. MEDIGO'!$C$4:$BL$100,62,0)</f>
        <v/>
      </c>
      <c r="AP20" s="348" t="n"/>
      <c r="AQ20" s="348" t="n"/>
      <c r="AR20" s="348" t="n"/>
    </row>
    <row r="21" ht="27" customFormat="1" customHeight="1" s="302">
      <c r="A21" s="1376" t="n">
        <v>14</v>
      </c>
      <c r="B21" s="1380" t="n"/>
      <c r="C21" s="346" t="inlineStr">
        <is>
          <t>Võ Thị Diệu Hiền</t>
        </is>
      </c>
      <c r="D21" s="332" t="n">
        <v>1</v>
      </c>
      <c r="E21" s="333" t="n"/>
      <c r="F21" s="333" t="n">
        <v>1</v>
      </c>
      <c r="G21" s="333" t="n">
        <v>1</v>
      </c>
      <c r="H21" s="333" t="n">
        <v>1</v>
      </c>
      <c r="I21" s="333" t="n">
        <v>1</v>
      </c>
      <c r="J21" s="333" t="n">
        <v>1</v>
      </c>
      <c r="K21" s="332" t="n">
        <v>1</v>
      </c>
      <c r="L21" s="333" t="n"/>
      <c r="M21" s="333" t="n">
        <v>1</v>
      </c>
      <c r="N21" s="333" t="n">
        <v>1</v>
      </c>
      <c r="O21" s="333" t="n">
        <v>1</v>
      </c>
      <c r="P21" s="333" t="n">
        <v>1</v>
      </c>
      <c r="Q21" s="333" t="n">
        <v>1</v>
      </c>
      <c r="R21" s="332" t="n">
        <v>1</v>
      </c>
      <c r="S21" s="337" t="n"/>
      <c r="T21" s="333" t="n">
        <v>1</v>
      </c>
      <c r="U21" s="333" t="n">
        <v>1</v>
      </c>
      <c r="V21" s="333" t="n">
        <v>1</v>
      </c>
      <c r="W21" s="333" t="n">
        <v>1</v>
      </c>
      <c r="X21" s="333" t="n">
        <v>1</v>
      </c>
      <c r="Y21" s="332" t="n">
        <v>1</v>
      </c>
      <c r="Z21" s="333" t="n"/>
      <c r="AA21" s="333" t="n">
        <v>1</v>
      </c>
      <c r="AB21" s="333" t="n">
        <v>1</v>
      </c>
      <c r="AC21" s="333" t="n">
        <v>1</v>
      </c>
      <c r="AD21" s="333" t="n">
        <v>1</v>
      </c>
      <c r="AE21" s="333" t="n">
        <v>1</v>
      </c>
      <c r="AF21" s="332" t="n">
        <v>1</v>
      </c>
      <c r="AG21" s="333" t="n"/>
      <c r="AH21" s="333" t="n">
        <v>1</v>
      </c>
      <c r="AI21" s="1377">
        <f>SUM(D21:AH21)+(COUNTIF(D21:AH21,"0,5KL")/2)+(COUNTIF(D21:AH21,"0,5P")/2)+(COUNTIF(D21:AH21,"0.5L")/2)</f>
        <v/>
      </c>
      <c r="AJ21" s="1377">
        <f>(COUNTIF(D21:AH21,"P"))+(COUNTIF(D21:AG21,"P/2")/2)+(COUNTIF(D21:AG21,"0,5P")/2)+(COUNTIF(D21:AG21,"L/P")/2)+(COUNTIF(D21:AG21,"P/KL")/2)</f>
        <v/>
      </c>
      <c r="AK21" s="1377">
        <f>COUNTIF(D21:AH21,"L")+(COUNTIF(D21:AG21,"L/2")/2)+(COUNTIF(D21:AG21,"L/P")/2)+(COUNTIF(D21:AG21,"L/KL")/2)</f>
        <v/>
      </c>
      <c r="AL21" s="1377">
        <f>COUNTIF(D21:AH21,"KL")+COUNTIF(D21:AG21,"0,5KL")/2+COUNTIF(D21:AG21,"L/KL")/2+COUNTIF(D21:AG21,"KL/2")/2+COUNTIF(D21:AG21,"P/KL")/2+COUNTIF(D21:AG21,"0.5")/2</f>
        <v/>
      </c>
      <c r="AM21" s="1378">
        <f>SUM(AI21:AL21)</f>
        <v/>
      </c>
      <c r="AN21" s="1378">
        <f>AI21+AJ21+AK21</f>
        <v/>
      </c>
      <c r="AO21" s="1381">
        <f>VLOOKUP(C21,'[7]1. MEDIGO'!$C$4:$BL$100,62,0)</f>
        <v/>
      </c>
      <c r="AP21" s="349" t="n"/>
      <c r="AQ21" s="349" t="n"/>
      <c r="AR21" s="349" t="n"/>
    </row>
    <row r="22" ht="27" customFormat="1" customHeight="1" s="302">
      <c r="A22" s="1376" t="n">
        <v>15</v>
      </c>
      <c r="B22" s="1380" t="n"/>
      <c r="C22" s="350" t="inlineStr">
        <is>
          <t>Lưu Thanh Tuyền</t>
        </is>
      </c>
      <c r="D22" s="332" t="n">
        <v>1</v>
      </c>
      <c r="E22" s="333" t="n"/>
      <c r="F22" s="333" t="n">
        <v>1</v>
      </c>
      <c r="G22" s="333" t="n">
        <v>1</v>
      </c>
      <c r="H22" s="333" t="n">
        <v>1</v>
      </c>
      <c r="I22" s="333" t="n">
        <v>1</v>
      </c>
      <c r="J22" s="333" t="n">
        <v>1</v>
      </c>
      <c r="K22" s="332" t="n">
        <v>1</v>
      </c>
      <c r="L22" s="333" t="n"/>
      <c r="M22" s="333" t="n">
        <v>1</v>
      </c>
      <c r="N22" s="333" t="n">
        <v>1</v>
      </c>
      <c r="O22" s="333" t="n">
        <v>1</v>
      </c>
      <c r="P22" s="333" t="n">
        <v>1</v>
      </c>
      <c r="Q22" s="333" t="n">
        <v>1</v>
      </c>
      <c r="R22" s="332" t="n">
        <v>1</v>
      </c>
      <c r="S22" s="333" t="n"/>
      <c r="T22" s="333" t="n">
        <v>1</v>
      </c>
      <c r="U22" s="333" t="n">
        <v>1</v>
      </c>
      <c r="V22" s="333" t="n">
        <v>1</v>
      </c>
      <c r="W22" s="333" t="n">
        <v>1</v>
      </c>
      <c r="X22" s="333" t="n">
        <v>1</v>
      </c>
      <c r="Y22" s="332" t="n">
        <v>1</v>
      </c>
      <c r="Z22" s="333" t="n"/>
      <c r="AA22" s="333" t="n">
        <v>1</v>
      </c>
      <c r="AB22" s="333" t="n">
        <v>1</v>
      </c>
      <c r="AC22" s="333" t="n">
        <v>1</v>
      </c>
      <c r="AD22" s="333" t="n">
        <v>1</v>
      </c>
      <c r="AE22" s="333" t="n">
        <v>1</v>
      </c>
      <c r="AF22" s="332" t="n">
        <v>1</v>
      </c>
      <c r="AG22" s="333" t="n"/>
      <c r="AH22" s="333" t="n">
        <v>1</v>
      </c>
      <c r="AI22" s="1377">
        <f>SUM(D22:AH22)+(COUNTIF(D22:AH22,"0,5KL")/2)+(COUNTIF(D22:AH22,"0,5P")/2)+(COUNTIF(D22:AH22,"0.5L")/2)</f>
        <v/>
      </c>
      <c r="AJ22" s="1377">
        <f>(COUNTIF(D22:AH22,"P"))+(COUNTIF(D22:AG22,"P/2")/2)+(COUNTIF(D22:AG22,"0,5P")/2)+(COUNTIF(D22:AG22,"L/P")/2)+(COUNTIF(D22:AG22,"P/KL")/2)</f>
        <v/>
      </c>
      <c r="AK22" s="1377">
        <f>COUNTIF(D22:AH22,"L")+(COUNTIF(D22:AG22,"L/2")/2)+(COUNTIF(D22:AG22,"L/P")/2)+(COUNTIF(D22:AG22,"L/KL")/2)</f>
        <v/>
      </c>
      <c r="AL22" s="1377">
        <f>COUNTIF(D22:AH22,"KL")+COUNTIF(D22:AG22,"0,5KL")/2+COUNTIF(D22:AG22,"L/KL")/2+COUNTIF(D22:AG22,"KL/2")/2+COUNTIF(D22:AG22,"P/KL")/2+COUNTIF(D22:AG22,"0.5")/2</f>
        <v/>
      </c>
      <c r="AM22" s="1378">
        <f>SUM(AI22:AL22)</f>
        <v/>
      </c>
      <c r="AN22" s="1378">
        <f>AI22+AJ22+AK22</f>
        <v/>
      </c>
      <c r="AO22" s="1381">
        <f>VLOOKUP(C22,'[7]1. MEDIGO'!$C$4:$BL$100,62,0)</f>
        <v/>
      </c>
      <c r="AP22" s="351" t="n"/>
      <c r="AQ22" s="351" t="n"/>
      <c r="AR22" s="351" t="n"/>
    </row>
    <row r="23" ht="27" customFormat="1" customHeight="1" s="302">
      <c r="A23" s="1376" t="n">
        <v>16</v>
      </c>
      <c r="B23" s="1380" t="n"/>
      <c r="C23" s="346" t="inlineStr">
        <is>
          <t>Võ Tấn Trường</t>
        </is>
      </c>
      <c r="D23" s="332" t="inlineStr">
        <is>
          <t>P</t>
        </is>
      </c>
      <c r="E23" s="333" t="n"/>
      <c r="F23" s="333" t="inlineStr">
        <is>
          <t>P</t>
        </is>
      </c>
      <c r="G23" s="333" t="n">
        <v>1</v>
      </c>
      <c r="H23" s="333" t="n">
        <v>1</v>
      </c>
      <c r="I23" s="333" t="n">
        <v>1</v>
      </c>
      <c r="J23" s="333" t="n">
        <v>1</v>
      </c>
      <c r="K23" s="332" t="n">
        <v>1</v>
      </c>
      <c r="L23" s="333" t="n"/>
      <c r="M23" s="333" t="n">
        <v>1</v>
      </c>
      <c r="N23" s="333" t="n">
        <v>1</v>
      </c>
      <c r="O23" s="333" t="n">
        <v>1</v>
      </c>
      <c r="P23" s="333" t="n">
        <v>1</v>
      </c>
      <c r="Q23" s="333" t="n">
        <v>1</v>
      </c>
      <c r="R23" s="332" t="n">
        <v>1</v>
      </c>
      <c r="S23" s="333" t="n"/>
      <c r="T23" s="333" t="n">
        <v>1</v>
      </c>
      <c r="U23" s="333" t="n">
        <v>1</v>
      </c>
      <c r="V23" s="333" t="n">
        <v>1</v>
      </c>
      <c r="W23" s="333" t="n">
        <v>1</v>
      </c>
      <c r="X23" s="333" t="n">
        <v>1</v>
      </c>
      <c r="Y23" s="332" t="n">
        <v>1</v>
      </c>
      <c r="Z23" s="333" t="n"/>
      <c r="AA23" s="333" t="n">
        <v>1</v>
      </c>
      <c r="AB23" s="333" t="n">
        <v>1</v>
      </c>
      <c r="AC23" s="333" t="n">
        <v>1</v>
      </c>
      <c r="AD23" s="333" t="n">
        <v>1</v>
      </c>
      <c r="AE23" s="333" t="n">
        <v>1</v>
      </c>
      <c r="AF23" s="332" t="n">
        <v>1</v>
      </c>
      <c r="AG23" s="333" t="n"/>
      <c r="AH23" s="333" t="n">
        <v>1</v>
      </c>
      <c r="AI23" s="1377">
        <f>SUM(D23:AH23)+(COUNTIF(D23:AH23,"0,5KL")/2)+(COUNTIF(D23:AH23,"0,5P")/2)+(COUNTIF(D23:AH23,"0.5L")/2)</f>
        <v/>
      </c>
      <c r="AJ23" s="1377">
        <f>(COUNTIF(D23:AH23,"P"))+(COUNTIF(D23:AG23,"P/2")/2)+(COUNTIF(D23:AG23,"0,5P")/2)+(COUNTIF(D23:AG23,"L/P")/2)+(COUNTIF(D23:AG23,"P/KL")/2)</f>
        <v/>
      </c>
      <c r="AK23" s="1377">
        <f>COUNTIF(D23:AH23,"L")+(COUNTIF(D23:AG23,"L/2")/2)+(COUNTIF(D23:AG23,"L/P")/2)+(COUNTIF(D23:AG23,"L/KL")/2)</f>
        <v/>
      </c>
      <c r="AL23" s="1377">
        <f>COUNTIF(D23:AH23,"KL")+COUNTIF(D23:AG23,"0,5KL")/2+COUNTIF(D23:AG23,"L/KL")/2+COUNTIF(D23:AG23,"KL/2")/2+COUNTIF(D23:AG23,"P/KL")/2+COUNTIF(D23:AG23,"0.5")/2</f>
        <v/>
      </c>
      <c r="AM23" s="1378">
        <f>SUM(AI23:AL23)</f>
        <v/>
      </c>
      <c r="AN23" s="1378">
        <f>AI23+AJ23+AK23</f>
        <v/>
      </c>
      <c r="AO23" s="1381">
        <f>VLOOKUP(C23,'[7]1. MEDIGO'!$C$4:$BL$100,62,0)</f>
        <v/>
      </c>
      <c r="AP23" s="349" t="n"/>
      <c r="AQ23" s="349" t="n"/>
      <c r="AR23" s="349" t="n"/>
    </row>
    <row r="24" ht="27" customFormat="1" customHeight="1" s="302">
      <c r="A24" s="1376" t="n">
        <v>17</v>
      </c>
      <c r="B24" s="1382" t="n"/>
      <c r="C24" s="353" t="inlineStr">
        <is>
          <t>Trần Thị Tâm Nhung</t>
        </is>
      </c>
      <c r="D24" s="332" t="n">
        <v>1</v>
      </c>
      <c r="E24" s="333" t="n"/>
      <c r="F24" s="333" t="n">
        <v>1</v>
      </c>
      <c r="G24" s="333" t="n">
        <v>1</v>
      </c>
      <c r="H24" s="333" t="n">
        <v>1</v>
      </c>
      <c r="I24" s="333" t="n">
        <v>1</v>
      </c>
      <c r="J24" s="333" t="n">
        <v>1</v>
      </c>
      <c r="K24" s="332" t="n">
        <v>1</v>
      </c>
      <c r="L24" s="333" t="n"/>
      <c r="M24" s="333" t="n">
        <v>1</v>
      </c>
      <c r="N24" s="333" t="n">
        <v>1</v>
      </c>
      <c r="O24" s="333" t="n">
        <v>1</v>
      </c>
      <c r="P24" s="333" t="n">
        <v>1</v>
      </c>
      <c r="Q24" s="333" t="n">
        <v>1</v>
      </c>
      <c r="R24" s="332" t="n">
        <v>1</v>
      </c>
      <c r="S24" s="333" t="n"/>
      <c r="T24" s="333" t="n">
        <v>1</v>
      </c>
      <c r="U24" s="333" t="n">
        <v>1</v>
      </c>
      <c r="V24" s="333" t="n">
        <v>1</v>
      </c>
      <c r="W24" s="333" t="n">
        <v>1</v>
      </c>
      <c r="X24" s="333" t="inlineStr">
        <is>
          <t>P</t>
        </is>
      </c>
      <c r="Y24" s="332" t="n">
        <v>1</v>
      </c>
      <c r="Z24" s="333" t="n"/>
      <c r="AA24" s="333" t="n">
        <v>1</v>
      </c>
      <c r="AB24" s="333" t="n">
        <v>1</v>
      </c>
      <c r="AC24" s="333" t="n">
        <v>1</v>
      </c>
      <c r="AD24" s="333" t="n">
        <v>1</v>
      </c>
      <c r="AE24" s="333" t="n">
        <v>1</v>
      </c>
      <c r="AF24" s="332" t="n">
        <v>1</v>
      </c>
      <c r="AG24" s="333" t="n"/>
      <c r="AH24" s="333" t="n">
        <v>1</v>
      </c>
      <c r="AI24" s="1377">
        <f>SUM(D24:AH24)+(COUNTIF(D24:AH24,"0,5KL")/2)+(COUNTIF(D24:AH24,"0,5P")/2)+(COUNTIF(D24:AH24,"0.5L")/2)</f>
        <v/>
      </c>
      <c r="AJ24" s="1377">
        <f>(COUNTIF(D24:AH24,"P"))+(COUNTIF(D24:AG24,"P/2")/2)+(COUNTIF(D24:AG24,"0,5P")/2)+(COUNTIF(D24:AG24,"L/P")/2)+(COUNTIF(D24:AG24,"P/KL")/2)</f>
        <v/>
      </c>
      <c r="AK24" s="1377">
        <f>COUNTIF(D24:AH24,"L")+(COUNTIF(D24:AG24,"L/2")/2)+(COUNTIF(D24:AG24,"L/P")/2)+(COUNTIF(D24:AG24,"L/KL")/2)</f>
        <v/>
      </c>
      <c r="AL24" s="1377">
        <f>COUNTIF(D24:AH24,"KL")+COUNTIF(D24:AG24,"0,5KL")/2+COUNTIF(D24:AG24,"L/KL")/2+COUNTIF(D24:AG24,"KL/2")/2+COUNTIF(D24:AG24,"P/KL")/2+COUNTIF(D24:AG24,"0.5")/2</f>
        <v/>
      </c>
      <c r="AM24" s="1378">
        <f>SUM(AI24:AL24)</f>
        <v/>
      </c>
      <c r="AN24" s="1378">
        <f>AI24+AJ24+AK24</f>
        <v/>
      </c>
      <c r="AO24" s="1381">
        <f>VLOOKUP(C24,'[7]1. MEDIGO'!$C$4:$BL$100,62,0)</f>
        <v/>
      </c>
      <c r="AP24" s="354" t="n"/>
      <c r="AQ24" s="354" t="n"/>
      <c r="AR24" s="354" t="n"/>
    </row>
    <row r="25" ht="27" customHeight="1" s="1264">
      <c r="A25" s="1376" t="n">
        <v>18</v>
      </c>
      <c r="B25" s="1376" t="n"/>
      <c r="C25" s="355" t="inlineStr">
        <is>
          <t>Nguyễn Tuấn Nghĩa</t>
        </is>
      </c>
      <c r="D25" s="332" t="n">
        <v>1</v>
      </c>
      <c r="E25" s="333" t="n"/>
      <c r="F25" s="333" t="n">
        <v>1</v>
      </c>
      <c r="G25" s="333" t="n">
        <v>1</v>
      </c>
      <c r="H25" s="333" t="n">
        <v>1</v>
      </c>
      <c r="I25" s="333" t="n">
        <v>1</v>
      </c>
      <c r="J25" s="333" t="n">
        <v>1</v>
      </c>
      <c r="K25" s="332" t="n">
        <v>1</v>
      </c>
      <c r="L25" s="333" t="n"/>
      <c r="M25" s="333" t="n">
        <v>1</v>
      </c>
      <c r="N25" s="333" t="n">
        <v>1</v>
      </c>
      <c r="O25" s="333" t="n">
        <v>1</v>
      </c>
      <c r="P25" s="333" t="n">
        <v>1</v>
      </c>
      <c r="Q25" s="333" t="n">
        <v>1</v>
      </c>
      <c r="R25" s="332" t="n">
        <v>1</v>
      </c>
      <c r="S25" s="333" t="n"/>
      <c r="T25" s="333" t="n">
        <v>1</v>
      </c>
      <c r="U25" s="333" t="n">
        <v>1</v>
      </c>
      <c r="V25" s="333" t="n">
        <v>1</v>
      </c>
      <c r="W25" s="333" t="n">
        <v>1</v>
      </c>
      <c r="X25" s="333" t="n">
        <v>1</v>
      </c>
      <c r="Y25" s="332" t="n">
        <v>1</v>
      </c>
      <c r="Z25" s="333" t="n"/>
      <c r="AA25" s="333" t="n">
        <v>1</v>
      </c>
      <c r="AB25" s="333" t="n">
        <v>1</v>
      </c>
      <c r="AC25" s="333" t="n">
        <v>1</v>
      </c>
      <c r="AD25" s="333" t="n">
        <v>1</v>
      </c>
      <c r="AE25" s="333" t="n">
        <v>1</v>
      </c>
      <c r="AF25" s="332" t="n">
        <v>1</v>
      </c>
      <c r="AG25" s="333" t="n"/>
      <c r="AH25" s="333" t="n">
        <v>1</v>
      </c>
      <c r="AI25" s="1377">
        <f>SUM(D25:AH25)+(COUNTIF(D25:AH25,"0,5KL")/2)+(COUNTIF(D25:AH25,"0,5P")/2)+(COUNTIF(D25:AH25,"0.5L")/2)</f>
        <v/>
      </c>
      <c r="AJ25" s="1377">
        <f>(COUNTIF(D25:AH25,"P"))+(COUNTIF(D25:AG25,"P/2")/2)+(COUNTIF(D25:AG25,"0,5P")/2)+(COUNTIF(D25:AG25,"L/P")/2)+(COUNTIF(D25:AG25,"P/KL")/2)</f>
        <v/>
      </c>
      <c r="AK25" s="1377">
        <f>COUNTIF(D25:AH25,"L")+(COUNTIF(D25:AG25,"L/2")/2)+(COUNTIF(D25:AG25,"L/P")/2)+(COUNTIF(D25:AG25,"L/KL")/2)</f>
        <v/>
      </c>
      <c r="AL25" s="1377">
        <f>COUNTIF(D25:AH25,"KL")+COUNTIF(D25:AG25,"0,5KL")/2+COUNTIF(D25:AG25,"L/KL")/2+COUNTIF(D25:AG25,"KL/2")/2+COUNTIF(D25:AG25,"P/KL")/2+COUNTIF(D25:AG25,"0.5")/2</f>
        <v/>
      </c>
      <c r="AM25" s="1378">
        <f>SUM(AI25:AL25)</f>
        <v/>
      </c>
      <c r="AN25" s="1378">
        <f>AI25+AJ25+AK25</f>
        <v/>
      </c>
      <c r="AO25" s="1378">
        <f>VLOOKUP(C25,'[7]1. MEDIGO'!$C$4:$BL$100,62,0)</f>
        <v/>
      </c>
      <c r="AP25" s="356" t="n"/>
      <c r="AQ25" s="356" t="n"/>
      <c r="AR25" s="356" t="n"/>
    </row>
    <row r="26" ht="27" customHeight="1" s="1264">
      <c r="A26" s="1376" t="n">
        <v>19</v>
      </c>
      <c r="B26" s="1383" t="n"/>
      <c r="C26" s="358" t="inlineStr">
        <is>
          <t>Nguyễn Thị Cẩm Bình</t>
        </is>
      </c>
      <c r="D26" s="332" t="n">
        <v>1</v>
      </c>
      <c r="E26" s="333" t="n"/>
      <c r="F26" s="333" t="n">
        <v>1</v>
      </c>
      <c r="G26" s="333" t="n">
        <v>1</v>
      </c>
      <c r="H26" s="333" t="n">
        <v>1</v>
      </c>
      <c r="I26" s="333" t="n">
        <v>1</v>
      </c>
      <c r="J26" s="333" t="n">
        <v>1</v>
      </c>
      <c r="K26" s="332" t="n">
        <v>1</v>
      </c>
      <c r="L26" s="333" t="n"/>
      <c r="M26" s="333" t="n">
        <v>1</v>
      </c>
      <c r="N26" s="333" t="n">
        <v>1</v>
      </c>
      <c r="O26" s="333" t="n">
        <v>1</v>
      </c>
      <c r="P26" s="333" t="n">
        <v>1</v>
      </c>
      <c r="Q26" s="333" t="n">
        <v>1</v>
      </c>
      <c r="R26" s="332" t="n">
        <v>1</v>
      </c>
      <c r="S26" s="333" t="n"/>
      <c r="T26" s="333" t="n">
        <v>1</v>
      </c>
      <c r="U26" s="333" t="n">
        <v>1</v>
      </c>
      <c r="V26" s="333" t="n">
        <v>1</v>
      </c>
      <c r="W26" s="333" t="n">
        <v>1</v>
      </c>
      <c r="X26" s="333" t="n">
        <v>1</v>
      </c>
      <c r="Y26" s="332" t="n">
        <v>1</v>
      </c>
      <c r="Z26" s="333" t="n"/>
      <c r="AA26" s="333" t="n">
        <v>1</v>
      </c>
      <c r="AB26" s="333" t="n">
        <v>1</v>
      </c>
      <c r="AC26" s="333" t="n">
        <v>1</v>
      </c>
      <c r="AD26" s="333" t="n">
        <v>1</v>
      </c>
      <c r="AE26" s="333" t="n">
        <v>1</v>
      </c>
      <c r="AF26" s="332" t="n">
        <v>1</v>
      </c>
      <c r="AG26" s="333" t="n"/>
      <c r="AH26" s="333" t="n">
        <v>1</v>
      </c>
      <c r="AI26" s="1377">
        <f>SUM(D26:AH26)+(COUNTIF(D26:AH26,"0,5KL")/2)+(COUNTIF(D26:AH26,"0,5P")/2)+(COUNTIF(D26:AH26,"0.5L")/2)</f>
        <v/>
      </c>
      <c r="AJ26" s="1377">
        <f>(COUNTIF(D26:AH26,"P"))+(COUNTIF(D26:AG26,"P/2")/2)+(COUNTIF(D26:AG26,"0,5P")/2)+(COUNTIF(D26:AG26,"L/P")/2)+(COUNTIF(D26:AG26,"P/KL")/2)</f>
        <v/>
      </c>
      <c r="AK26" s="1377">
        <f>COUNTIF(D26:AH26,"L")+(COUNTIF(D26:AG26,"L/2")/2)+(COUNTIF(D26:AG26,"L/P")/2)+(COUNTIF(D26:AG26,"L/KL")/2)</f>
        <v/>
      </c>
      <c r="AL26" s="1377">
        <f>COUNTIF(D26:AH26,"KL")+COUNTIF(D26:AG26,"0,5KL")/2+COUNTIF(D26:AG26,"L/KL")/2+COUNTIF(D26:AG26,"KL/2")/2+COUNTIF(D26:AG26,"P/KL")/2+COUNTIF(D26:AG26,"0.5")/2</f>
        <v/>
      </c>
      <c r="AM26" s="1378">
        <f>SUM(AI26:AL26)</f>
        <v/>
      </c>
      <c r="AN26" s="1378">
        <f>AI26+AJ26+AK26</f>
        <v/>
      </c>
      <c r="AO26" s="1378">
        <f>VLOOKUP(C26,'[7]1. MEDIGO'!$C$4:$BL$100,62,0)</f>
        <v/>
      </c>
      <c r="AP26" s="356" t="n"/>
      <c r="AQ26" s="356" t="n"/>
      <c r="AR26" s="356" t="n"/>
    </row>
    <row r="27" ht="27" customFormat="1" customHeight="1" s="303">
      <c r="A27" s="1376" t="n">
        <v>20</v>
      </c>
      <c r="B27" s="1384" t="n"/>
      <c r="C27" s="360" t="inlineStr">
        <is>
          <t>Nguyễn Cao Nhân</t>
        </is>
      </c>
      <c r="D27" s="332" t="n">
        <v>1</v>
      </c>
      <c r="E27" s="333" t="n"/>
      <c r="F27" s="333" t="n">
        <v>1</v>
      </c>
      <c r="G27" s="333" t="n">
        <v>1</v>
      </c>
      <c r="H27" s="333" t="n">
        <v>1</v>
      </c>
      <c r="I27" s="333" t="n">
        <v>1</v>
      </c>
      <c r="J27" s="333" t="n">
        <v>1</v>
      </c>
      <c r="K27" s="332" t="n">
        <v>1</v>
      </c>
      <c r="L27" s="333" t="n"/>
      <c r="M27" s="333" t="n">
        <v>1</v>
      </c>
      <c r="N27" s="333" t="n">
        <v>1</v>
      </c>
      <c r="O27" s="333" t="n">
        <v>1</v>
      </c>
      <c r="P27" s="333" t="n">
        <v>1</v>
      </c>
      <c r="Q27" s="333" t="n">
        <v>1</v>
      </c>
      <c r="R27" s="332" t="n">
        <v>1</v>
      </c>
      <c r="S27" s="333" t="n"/>
      <c r="T27" s="333" t="n">
        <v>1</v>
      </c>
      <c r="U27" s="333" t="n">
        <v>1</v>
      </c>
      <c r="V27" s="333" t="n">
        <v>1</v>
      </c>
      <c r="W27" s="333" t="n">
        <v>1</v>
      </c>
      <c r="X27" s="333" t="n">
        <v>1</v>
      </c>
      <c r="Y27" s="332" t="n">
        <v>1</v>
      </c>
      <c r="Z27" s="333" t="n"/>
      <c r="AA27" s="333" t="n">
        <v>1</v>
      </c>
      <c r="AB27" s="333" t="n">
        <v>1</v>
      </c>
      <c r="AC27" s="333" t="n">
        <v>1</v>
      </c>
      <c r="AD27" s="333" t="n">
        <v>1</v>
      </c>
      <c r="AE27" s="333" t="n">
        <v>1</v>
      </c>
      <c r="AF27" s="332" t="n">
        <v>1</v>
      </c>
      <c r="AG27" s="333" t="n"/>
      <c r="AH27" s="333" t="n">
        <v>1</v>
      </c>
      <c r="AI27" s="1377">
        <f>SUM(D27:AH27)+(COUNTIF(D27:AH27,"0,5KL")/2)+(COUNTIF(D27:AH27,"0,5P")/2)+(COUNTIF(D27:AH27,"0.5L")/2)</f>
        <v/>
      </c>
      <c r="AJ27" s="1377">
        <f>(COUNTIF(D27:AH27,"P"))+(COUNTIF(D27:AG27,"P/2")/2)+(COUNTIF(D27:AG27,"0,5P")/2)+(COUNTIF(D27:AG27,"L/P")/2)+(COUNTIF(D27:AG27,"P/KL")/2)</f>
        <v/>
      </c>
      <c r="AK27" s="1377">
        <f>COUNTIF(D27:AH27,"L")+(COUNTIF(D27:AG27,"L/2")/2)+(COUNTIF(D27:AG27,"L/P")/2)+(COUNTIF(D27:AG27,"L/KL")/2)</f>
        <v/>
      </c>
      <c r="AL27" s="1377">
        <f>COUNTIF(D27:AH27,"KL")+COUNTIF(D27:AG27,"0,5KL")/2+COUNTIF(D27:AG27,"L/KL")/2+COUNTIF(D27:AG27,"KL/2")/2+COUNTIF(D27:AG27,"P/KL")/2+COUNTIF(D27:AG27,"0.5")/2</f>
        <v/>
      </c>
      <c r="AM27" s="1378">
        <f>SUM(AI27:AL27)</f>
        <v/>
      </c>
      <c r="AN27" s="1378">
        <f>AI27+AJ27+AK27</f>
        <v/>
      </c>
      <c r="AO27" s="1378">
        <f>VLOOKUP(C27,'[7]1. MEDIGO'!$C$4:$BL$100,62,0)</f>
        <v/>
      </c>
      <c r="AP27" s="361" t="n"/>
      <c r="AQ27" s="361" t="n"/>
      <c r="AR27" s="361" t="n"/>
    </row>
    <row r="28" ht="27" customHeight="1" s="1264">
      <c r="A28" s="1376" t="n">
        <v>21</v>
      </c>
      <c r="B28" s="1376" t="n"/>
      <c r="C28" s="343" t="inlineStr">
        <is>
          <t>Đặng Thị Quế Anh</t>
        </is>
      </c>
      <c r="D28" s="332" t="n">
        <v>1</v>
      </c>
      <c r="E28" s="333" t="n"/>
      <c r="F28" s="333" t="n">
        <v>1</v>
      </c>
      <c r="G28" s="333" t="n">
        <v>1</v>
      </c>
      <c r="H28" s="333" t="n">
        <v>1</v>
      </c>
      <c r="I28" s="333" t="n">
        <v>1</v>
      </c>
      <c r="J28" s="333" t="n">
        <v>1</v>
      </c>
      <c r="K28" s="332" t="n">
        <v>1</v>
      </c>
      <c r="L28" s="333" t="n"/>
      <c r="M28" s="333" t="n">
        <v>1</v>
      </c>
      <c r="N28" s="333" t="n">
        <v>1</v>
      </c>
      <c r="O28" s="333" t="n">
        <v>1</v>
      </c>
      <c r="P28" s="333" t="n">
        <v>1</v>
      </c>
      <c r="Q28" s="333" t="n">
        <v>1</v>
      </c>
      <c r="R28" s="332" t="n">
        <v>1</v>
      </c>
      <c r="S28" s="333" t="n"/>
      <c r="T28" s="333" t="n">
        <v>1</v>
      </c>
      <c r="U28" s="333" t="n">
        <v>1</v>
      </c>
      <c r="V28" s="333" t="n">
        <v>1</v>
      </c>
      <c r="W28" s="333" t="n">
        <v>1</v>
      </c>
      <c r="X28" s="333" t="n">
        <v>1</v>
      </c>
      <c r="Y28" s="332" t="n">
        <v>1</v>
      </c>
      <c r="Z28" s="333" t="n"/>
      <c r="AA28" s="337" t="inlineStr">
        <is>
          <t>P</t>
        </is>
      </c>
      <c r="AB28" s="333" t="n">
        <v>1</v>
      </c>
      <c r="AC28" s="333" t="n">
        <v>1</v>
      </c>
      <c r="AD28" s="333" t="n">
        <v>1</v>
      </c>
      <c r="AE28" s="333" t="n">
        <v>1</v>
      </c>
      <c r="AF28" s="332" t="n">
        <v>1</v>
      </c>
      <c r="AG28" s="333" t="n"/>
      <c r="AH28" s="337" t="inlineStr">
        <is>
          <t>P</t>
        </is>
      </c>
      <c r="AI28" s="1377">
        <f>SUM(D28:AH28)+(COUNTIF(D28:AH28,"0,5KL")/2)+(COUNTIF(D28:AH28,"0,5P")/2)+(COUNTIF(D28:AH28,"0.5L")/2)</f>
        <v/>
      </c>
      <c r="AJ28" s="1377">
        <f>(COUNTIF(D28:AH28,"P"))+(COUNTIF(D28:AG28,"P/2")/2)+(COUNTIF(D28:AG28,"0,5P")/2)+(COUNTIF(D28:AG28,"L/P")/2)+(COUNTIF(D28:AG28,"P/KL")/2)</f>
        <v/>
      </c>
      <c r="AK28" s="1377">
        <f>COUNTIF(D28:AH28,"L")+(COUNTIF(D28:AG28,"L/2")/2)+(COUNTIF(D28:AG28,"L/P")/2)+(COUNTIF(D28:AG28,"L/KL")/2)</f>
        <v/>
      </c>
      <c r="AL28" s="1377">
        <f>COUNTIF(D28:AH28,"KL")+COUNTIF(D28:AG28,"0,5KL")/2+COUNTIF(D28:AG28,"L/KL")/2+COUNTIF(D28:AG28,"KL/2")/2+COUNTIF(D28:AG28,"P/KL")/2+COUNTIF(D28:AG28,"0.5")/2</f>
        <v/>
      </c>
      <c r="AM28" s="1378">
        <f>SUM(AI28:AL28)</f>
        <v/>
      </c>
      <c r="AN28" s="1378">
        <f>AI28+AJ28+AK28</f>
        <v/>
      </c>
      <c r="AO28" s="1378">
        <f>VLOOKUP(C28,'[7]1. MEDIGO'!$C$4:$BL$100,62,0)</f>
        <v/>
      </c>
      <c r="AP28" s="319" t="n"/>
      <c r="AQ28" s="319" t="n"/>
      <c r="AR28" s="319" t="n"/>
    </row>
    <row r="29" ht="26.4" customHeight="1" s="1264">
      <c r="A29" s="1376" t="n">
        <v>22</v>
      </c>
      <c r="B29" s="1376" t="n"/>
      <c r="C29" s="343" t="inlineStr">
        <is>
          <t>Nguyễn Thị Ánh Hồng</t>
        </is>
      </c>
      <c r="D29" s="332" t="n">
        <v>1</v>
      </c>
      <c r="E29" s="333" t="n"/>
      <c r="F29" s="333" t="n">
        <v>1</v>
      </c>
      <c r="G29" s="333" t="n">
        <v>1</v>
      </c>
      <c r="H29" s="333" t="n">
        <v>1</v>
      </c>
      <c r="I29" s="333" t="n">
        <v>1</v>
      </c>
      <c r="J29" s="333" t="n">
        <v>1</v>
      </c>
      <c r="K29" s="332" t="n">
        <v>1</v>
      </c>
      <c r="L29" s="333" t="n"/>
      <c r="M29" s="333" t="n">
        <v>1</v>
      </c>
      <c r="N29" s="333" t="n">
        <v>1</v>
      </c>
      <c r="O29" s="333" t="n">
        <v>1</v>
      </c>
      <c r="P29" s="333" t="n">
        <v>1</v>
      </c>
      <c r="Q29" s="333" t="n">
        <v>1</v>
      </c>
      <c r="R29" s="332" t="n">
        <v>1</v>
      </c>
      <c r="S29" s="333" t="n"/>
      <c r="T29" s="333" t="n">
        <v>1</v>
      </c>
      <c r="U29" s="333" t="n">
        <v>1</v>
      </c>
      <c r="V29" s="333" t="n">
        <v>1</v>
      </c>
      <c r="W29" s="333" t="n">
        <v>1</v>
      </c>
      <c r="X29" s="333" t="n">
        <v>1</v>
      </c>
      <c r="Y29" s="332" t="n">
        <v>1</v>
      </c>
      <c r="Z29" s="333" t="n"/>
      <c r="AA29" s="333" t="n">
        <v>1</v>
      </c>
      <c r="AB29" s="333" t="n">
        <v>1</v>
      </c>
      <c r="AC29" s="333" t="n">
        <v>1</v>
      </c>
      <c r="AD29" s="333" t="n">
        <v>1</v>
      </c>
      <c r="AE29" s="333" t="n">
        <v>1</v>
      </c>
      <c r="AF29" s="332" t="n">
        <v>1</v>
      </c>
      <c r="AG29" s="333" t="n"/>
      <c r="AH29" s="333" t="n">
        <v>1</v>
      </c>
      <c r="AI29" s="1377">
        <f>SUM(D29:AH29)+(COUNTIF(D29:AH29,"0,5KL")/2)+(COUNTIF(D29:AH29,"0,5P")/2)+(COUNTIF(D29:AH29,"0.5L")/2)</f>
        <v/>
      </c>
      <c r="AJ29" s="1377">
        <f>(COUNTIF(D29:AH29,"P"))+(COUNTIF(D29:AG29,"P/2")/2)+(COUNTIF(D29:AG29,"0,5P")/2)+(COUNTIF(D29:AG29,"L/P")/2)+(COUNTIF(D29:AG29,"P/KL")/2)</f>
        <v/>
      </c>
      <c r="AK29" s="1377">
        <f>COUNTIF(D29:AH29,"L")+(COUNTIF(D29:AG29,"L/2")/2)+(COUNTIF(D29:AG29,"L/P")/2)+(COUNTIF(D29:AG29,"L/KL")/2)</f>
        <v/>
      </c>
      <c r="AL29" s="1377">
        <f>COUNTIF(D29:AH29,"KL")+COUNTIF(D29:AG29,"0,5KL")/2+COUNTIF(D29:AG29,"L/KL")/2+COUNTIF(D29:AG29,"KL/2")/2+COUNTIF(D29:AG29,"P/KL")/2+COUNTIF(D29:AG29,"0.5")/2</f>
        <v/>
      </c>
      <c r="AM29" s="1378">
        <f>SUM(AI29:AL29)</f>
        <v/>
      </c>
      <c r="AN29" s="1378">
        <f>AI29+AJ29+AK29</f>
        <v/>
      </c>
      <c r="AO29" s="1378">
        <f>VLOOKUP(C29,'[7]1. MEDIGO'!$C$4:$BL$100,62,0)</f>
        <v/>
      </c>
      <c r="AP29" s="319" t="n"/>
      <c r="AQ29" s="319" t="n"/>
      <c r="AR29" s="319" t="n"/>
    </row>
    <row r="30" ht="27" customHeight="1" s="1264">
      <c r="A30" s="1376" t="n">
        <v>23</v>
      </c>
      <c r="B30" s="1376" t="n"/>
      <c r="C30" s="344" t="inlineStr">
        <is>
          <t>Phan Thị Kim Hiên</t>
        </is>
      </c>
      <c r="D30" s="332" t="n">
        <v>1</v>
      </c>
      <c r="E30" s="333" t="n"/>
      <c r="F30" s="333" t="n">
        <v>1</v>
      </c>
      <c r="G30" s="333" t="n">
        <v>1</v>
      </c>
      <c r="H30" s="333" t="n">
        <v>1</v>
      </c>
      <c r="I30" s="333" t="n">
        <v>1</v>
      </c>
      <c r="J30" s="333" t="n">
        <v>1</v>
      </c>
      <c r="K30" s="332" t="n">
        <v>1</v>
      </c>
      <c r="L30" s="333" t="n"/>
      <c r="M30" s="333" t="n">
        <v>1</v>
      </c>
      <c r="N30" s="333" t="n">
        <v>1</v>
      </c>
      <c r="O30" s="333" t="n">
        <v>1</v>
      </c>
      <c r="P30" s="333" t="n">
        <v>1</v>
      </c>
      <c r="Q30" s="333" t="n">
        <v>1</v>
      </c>
      <c r="R30" s="332" t="n">
        <v>1</v>
      </c>
      <c r="S30" s="333" t="n"/>
      <c r="T30" s="333" t="n">
        <v>1</v>
      </c>
      <c r="U30" s="333" t="n">
        <v>1</v>
      </c>
      <c r="V30" s="333" t="n">
        <v>1</v>
      </c>
      <c r="W30" s="333" t="n">
        <v>1</v>
      </c>
      <c r="X30" s="333" t="n">
        <v>1</v>
      </c>
      <c r="Y30" s="332" t="n">
        <v>1</v>
      </c>
      <c r="Z30" s="333" t="n"/>
      <c r="AA30" s="333" t="n">
        <v>1</v>
      </c>
      <c r="AB30" s="333" t="n">
        <v>1</v>
      </c>
      <c r="AC30" s="333" t="n">
        <v>1</v>
      </c>
      <c r="AD30" s="333" t="n">
        <v>1</v>
      </c>
      <c r="AE30" s="333" t="n">
        <v>1</v>
      </c>
      <c r="AF30" s="332" t="n">
        <v>1</v>
      </c>
      <c r="AG30" s="333" t="n"/>
      <c r="AH30" s="333" t="n">
        <v>1</v>
      </c>
      <c r="AI30" s="1377">
        <f>SUM(D30:AH30)+(COUNTIF(D30:AH30,"0,5KL")/2)+(COUNTIF(D30:AH30,"0,5P")/2)+(COUNTIF(D30:AH30,"0.5L")/2)</f>
        <v/>
      </c>
      <c r="AJ30" s="1377">
        <f>(COUNTIF(D30:AH30,"P"))+(COUNTIF(D30:AG30,"P/2")/2)+(COUNTIF(D30:AG30,"0,5P")/2)+(COUNTIF(D30:AG30,"L/P")/2)+(COUNTIF(D30:AG30,"P/KL")/2)</f>
        <v/>
      </c>
      <c r="AK30" s="1377">
        <f>COUNTIF(D30:AH30,"L")+(COUNTIF(D30:AG30,"L/2")/2)+(COUNTIF(D30:AG30,"L/P")/2)+(COUNTIF(D30:AG30,"L/KL")/2)</f>
        <v/>
      </c>
      <c r="AL30" s="1377">
        <f>COUNTIF(D30:AH30,"KL")+COUNTIF(D30:AG30,"0,5KL")/2+COUNTIF(D30:AG30,"L/KL")/2+COUNTIF(D30:AG30,"KL/2")/2+COUNTIF(D30:AG30,"P/KL")/2+COUNTIF(D30:AG30,"0.5")/2</f>
        <v/>
      </c>
      <c r="AM30" s="1378">
        <f>SUM(AI30:AL30)</f>
        <v/>
      </c>
      <c r="AN30" s="1378">
        <f>AI30+AJ30+AK30</f>
        <v/>
      </c>
      <c r="AO30" s="1378">
        <f>VLOOKUP(C30,'[7]1. MEDIGO'!$C$4:$BL$100,62,0)</f>
        <v/>
      </c>
      <c r="AP30" s="319" t="n"/>
      <c r="AQ30" s="319" t="n"/>
      <c r="AR30" s="319" t="n"/>
    </row>
    <row r="31" ht="27" customHeight="1" s="1264">
      <c r="A31" s="1376" t="n">
        <v>24</v>
      </c>
      <c r="B31" s="1376" t="n"/>
      <c r="C31" s="339" t="inlineStr">
        <is>
          <t>Lê Thị Phương Thảo</t>
        </is>
      </c>
      <c r="D31" s="332" t="n">
        <v>1</v>
      </c>
      <c r="E31" s="333" t="n"/>
      <c r="F31" s="333" t="n">
        <v>1</v>
      </c>
      <c r="G31" s="333" t="n">
        <v>1</v>
      </c>
      <c r="H31" s="333" t="n">
        <v>1</v>
      </c>
      <c r="I31" s="333" t="n">
        <v>1</v>
      </c>
      <c r="J31" s="333" t="n">
        <v>1</v>
      </c>
      <c r="K31" s="332" t="n">
        <v>1</v>
      </c>
      <c r="L31" s="333" t="n"/>
      <c r="M31" s="333" t="n">
        <v>1</v>
      </c>
      <c r="N31" s="333" t="n">
        <v>1</v>
      </c>
      <c r="O31" s="333" t="n">
        <v>1</v>
      </c>
      <c r="P31" s="333" t="n">
        <v>1</v>
      </c>
      <c r="Q31" s="333" t="n">
        <v>1</v>
      </c>
      <c r="R31" s="332" t="n">
        <v>1</v>
      </c>
      <c r="S31" s="333" t="n"/>
      <c r="T31" s="333" t="n">
        <v>1</v>
      </c>
      <c r="U31" s="333" t="n">
        <v>1</v>
      </c>
      <c r="V31" s="333" t="n">
        <v>1</v>
      </c>
      <c r="W31" s="333" t="n">
        <v>1</v>
      </c>
      <c r="X31" s="333" t="n">
        <v>1</v>
      </c>
      <c r="Y31" s="332" t="n">
        <v>1</v>
      </c>
      <c r="Z31" s="333" t="n"/>
      <c r="AA31" s="333" t="n">
        <v>1</v>
      </c>
      <c r="AB31" s="333" t="n">
        <v>1</v>
      </c>
      <c r="AC31" s="333" t="n">
        <v>1</v>
      </c>
      <c r="AD31" s="333" t="n">
        <v>1</v>
      </c>
      <c r="AE31" s="333" t="n">
        <v>1</v>
      </c>
      <c r="AF31" s="332" t="n">
        <v>1</v>
      </c>
      <c r="AG31" s="333" t="n"/>
      <c r="AH31" s="333" t="n">
        <v>1</v>
      </c>
      <c r="AI31" s="1377">
        <f>SUM(D31:AH31)+(COUNTIF(D31:AH31,"0,5KL")/2)+(COUNTIF(D31:AH31,"0,5P")/2)+(COUNTIF(D31:AH31,"0.5L")/2)</f>
        <v/>
      </c>
      <c r="AJ31" s="1377">
        <f>(COUNTIF(D31:AH31,"P"))+(COUNTIF(D31:AG31,"P/2")/2)+(COUNTIF(D31:AG31,"0,5P")/2)+(COUNTIF(D31:AG31,"L/P")/2)+(COUNTIF(D31:AG31,"P/KL")/2)</f>
        <v/>
      </c>
      <c r="AK31" s="1377">
        <f>COUNTIF(D31:AH31,"L")+(COUNTIF(D31:AG31,"L/2")/2)+(COUNTIF(D31:AG31,"L/P")/2)+(COUNTIF(D31:AG31,"L/KL")/2)</f>
        <v/>
      </c>
      <c r="AL31" s="1377">
        <f>COUNTIF(D31:AH31,"KL")+COUNTIF(D31:AG31,"0,5KL")/2+COUNTIF(D31:AG31,"L/KL")/2+COUNTIF(D31:AG31,"KL/2")/2+COUNTIF(D31:AG31,"P/KL")/2+COUNTIF(D31:AG31,"0.5")/2</f>
        <v/>
      </c>
      <c r="AM31" s="1378">
        <f>SUM(AI31:AL31)</f>
        <v/>
      </c>
      <c r="AN31" s="1378">
        <f>AI31+AJ31+AK31</f>
        <v/>
      </c>
      <c r="AO31" s="1378">
        <f>VLOOKUP(C31,'[7]1. MEDIGO'!$C$4:$BL$100,62,0)</f>
        <v/>
      </c>
      <c r="AP31" s="319" t="n"/>
      <c r="AQ31" s="319" t="n"/>
      <c r="AR31" s="319" t="n"/>
    </row>
    <row r="32" ht="27" customHeight="1" s="1264">
      <c r="A32" s="1376" t="n">
        <v>25</v>
      </c>
      <c r="B32" s="1376" t="n"/>
      <c r="C32" s="1385" t="inlineStr">
        <is>
          <t>Huỳnh Tấn Nhân</t>
        </is>
      </c>
      <c r="D32" s="332" t="n">
        <v>1</v>
      </c>
      <c r="E32" s="333" t="n"/>
      <c r="F32" s="333" t="n">
        <v>1</v>
      </c>
      <c r="G32" s="333" t="n">
        <v>1</v>
      </c>
      <c r="H32" s="333" t="n">
        <v>1</v>
      </c>
      <c r="I32" s="333" t="n">
        <v>1</v>
      </c>
      <c r="J32" s="333" t="n">
        <v>1</v>
      </c>
      <c r="K32" s="332" t="n">
        <v>1</v>
      </c>
      <c r="L32" s="333" t="n"/>
      <c r="M32" s="333" t="n">
        <v>1</v>
      </c>
      <c r="N32" s="333" t="n">
        <v>1</v>
      </c>
      <c r="O32" s="333" t="n">
        <v>1</v>
      </c>
      <c r="P32" s="333" t="n">
        <v>1</v>
      </c>
      <c r="Q32" s="333" t="n">
        <v>1</v>
      </c>
      <c r="R32" s="332" t="n">
        <v>1</v>
      </c>
      <c r="S32" s="333" t="n"/>
      <c r="T32" s="333" t="n">
        <v>1</v>
      </c>
      <c r="U32" s="337" t="inlineStr">
        <is>
          <t>P</t>
        </is>
      </c>
      <c r="V32" s="337" t="inlineStr">
        <is>
          <t>P</t>
        </is>
      </c>
      <c r="W32" s="337" t="inlineStr">
        <is>
          <t>P</t>
        </is>
      </c>
      <c r="X32" s="333" t="n">
        <v>1</v>
      </c>
      <c r="Y32" s="332" t="n">
        <v>1</v>
      </c>
      <c r="Z32" s="333" t="n"/>
      <c r="AA32" s="333" t="n">
        <v>1</v>
      </c>
      <c r="AB32" s="333" t="n">
        <v>1</v>
      </c>
      <c r="AC32" s="333" t="n">
        <v>1</v>
      </c>
      <c r="AD32" s="333" t="n">
        <v>1</v>
      </c>
      <c r="AE32" s="333" t="n">
        <v>1</v>
      </c>
      <c r="AF32" s="332" t="n">
        <v>1</v>
      </c>
      <c r="AG32" s="333" t="n"/>
      <c r="AH32" s="333" t="n">
        <v>1</v>
      </c>
      <c r="AI32" s="1377">
        <f>SUM(D32:AH32)+(COUNTIF(D32:AH32,"0,5KL")/2)+(COUNTIF(D32:AH32,"0,5P")/2)+(COUNTIF(D32:AH32,"0.5L")/2)</f>
        <v/>
      </c>
      <c r="AJ32" s="1377">
        <f>(COUNTIF(D32:AH32,"P"))+(COUNTIF(D32:AG32,"P/2")/2)+(COUNTIF(D32:AG32,"0,5P")/2)+(COUNTIF(D32:AG32,"L/P")/2)+(COUNTIF(D32:AG32,"P/KL")/2)</f>
        <v/>
      </c>
      <c r="AK32" s="1377">
        <f>COUNTIF(D32:AH32,"L")+(COUNTIF(D32:AG32,"L/2")/2)+(COUNTIF(D32:AG32,"L/P")/2)+(COUNTIF(D32:AG32,"L/KL")/2)</f>
        <v/>
      </c>
      <c r="AL32" s="1377">
        <f>COUNTIF(D32:AH32,"KL")+COUNTIF(D32:AG32,"0,5KL")/2+COUNTIF(D32:AG32,"L/KL")/2+COUNTIF(D32:AG32,"KL/2")/2+COUNTIF(D32:AG32,"P/KL")/2+COUNTIF(D32:AG32,"0.5")/2</f>
        <v/>
      </c>
      <c r="AM32" s="1378">
        <f>SUM(AI32:AL32)</f>
        <v/>
      </c>
      <c r="AN32" s="1378">
        <f>AI32+AJ32+AK32</f>
        <v/>
      </c>
      <c r="AO32" s="1378">
        <f>VLOOKUP(C32,'[7]1. MEDIGO'!$C$4:$BL$100,62,0)</f>
        <v/>
      </c>
      <c r="AP32" s="319" t="n"/>
      <c r="AQ32" s="319" t="n"/>
      <c r="AR32" s="319" t="n"/>
    </row>
    <row r="33" ht="27" customHeight="1" s="1264">
      <c r="A33" s="1376" t="n">
        <v>26</v>
      </c>
      <c r="B33" s="1376" t="n"/>
      <c r="C33" s="339" t="inlineStr">
        <is>
          <t>Nguyễn Thị Kim Ngọc</t>
        </is>
      </c>
      <c r="D33" s="332" t="n">
        <v>1</v>
      </c>
      <c r="E33" s="333" t="n"/>
      <c r="F33" s="333" t="n">
        <v>1</v>
      </c>
      <c r="G33" s="333" t="n">
        <v>1</v>
      </c>
      <c r="H33" s="333" t="n">
        <v>1</v>
      </c>
      <c r="I33" s="333" t="n">
        <v>1</v>
      </c>
      <c r="J33" s="333" t="n">
        <v>1</v>
      </c>
      <c r="K33" s="332" t="n">
        <v>1</v>
      </c>
      <c r="L33" s="333" t="n"/>
      <c r="M33" s="333" t="n">
        <v>1</v>
      </c>
      <c r="N33" s="333" t="n">
        <v>1</v>
      </c>
      <c r="O33" s="333" t="n">
        <v>1</v>
      </c>
      <c r="P33" s="333" t="n">
        <v>1</v>
      </c>
      <c r="Q33" s="333" t="n">
        <v>1</v>
      </c>
      <c r="R33" s="332" t="n">
        <v>1</v>
      </c>
      <c r="S33" s="333" t="n"/>
      <c r="T33" s="337" t="inlineStr">
        <is>
          <t>P</t>
        </is>
      </c>
      <c r="U33" s="333" t="n">
        <v>1</v>
      </c>
      <c r="V33" s="333" t="n">
        <v>1</v>
      </c>
      <c r="W33" s="333" t="n">
        <v>1</v>
      </c>
      <c r="X33" s="333" t="n">
        <v>1</v>
      </c>
      <c r="Y33" s="332" t="n">
        <v>1</v>
      </c>
      <c r="Z33" s="333" t="n"/>
      <c r="AA33" s="333" t="n">
        <v>1</v>
      </c>
      <c r="AB33" s="337" t="inlineStr">
        <is>
          <t>P</t>
        </is>
      </c>
      <c r="AC33" s="337" t="inlineStr">
        <is>
          <t>P</t>
        </is>
      </c>
      <c r="AD33" s="333" t="n">
        <v>1</v>
      </c>
      <c r="AE33" s="333" t="n">
        <v>1</v>
      </c>
      <c r="AF33" s="332" t="n">
        <v>1</v>
      </c>
      <c r="AG33" s="333" t="n"/>
      <c r="AH33" s="333" t="n">
        <v>1</v>
      </c>
      <c r="AI33" s="1377">
        <f>SUM(D33:AH33)+(COUNTIF(D33:AH33,"0,5KL")/2)+(COUNTIF(D33:AH33,"0,5P")/2)+(COUNTIF(D33:AH33,"0.5L")/2)</f>
        <v/>
      </c>
      <c r="AJ33" s="1377">
        <f>(COUNTIF(D33:AH33,"P"))+(COUNTIF(D33:AG33,"P/2")/2)+(COUNTIF(D33:AG33,"0,5P")/2)+(COUNTIF(D33:AG33,"L/P")/2)+(COUNTIF(D33:AG33,"P/KL")/2)</f>
        <v/>
      </c>
      <c r="AK33" s="1377">
        <f>COUNTIF(D33:AH33,"L")+(COUNTIF(D33:AG33,"L/2")/2)+(COUNTIF(D33:AG33,"L/P")/2)+(COUNTIF(D33:AG33,"L/KL")/2)</f>
        <v/>
      </c>
      <c r="AL33" s="1377">
        <f>COUNTIF(D33:AH33,"KL")+COUNTIF(D33:AG33,"0,5KL")/2+COUNTIF(D33:AG33,"L/KL")/2+COUNTIF(D33:AG33,"KL/2")/2+COUNTIF(D33:AG33,"P/KL")/2+COUNTIF(D33:AG33,"0.5")/2</f>
        <v/>
      </c>
      <c r="AM33" s="1378">
        <f>SUM(AI33:AL33)</f>
        <v/>
      </c>
      <c r="AN33" s="1378">
        <f>AI33+AJ33+AK33</f>
        <v/>
      </c>
      <c r="AO33" s="1378">
        <f>VLOOKUP(C33,'[7]1. MEDIGO'!$C$4:$BL$100,62,0)</f>
        <v/>
      </c>
      <c r="AP33" s="319" t="n"/>
      <c r="AQ33" s="319" t="n"/>
      <c r="AR33" s="319" t="n"/>
    </row>
    <row r="34" ht="27" customHeight="1" s="1264">
      <c r="A34" s="1376" t="n">
        <v>27</v>
      </c>
      <c r="B34" s="1376" t="n"/>
      <c r="C34" s="339" t="inlineStr">
        <is>
          <t>Lê Thị Phương Anh</t>
        </is>
      </c>
      <c r="D34" s="332" t="n">
        <v>1</v>
      </c>
      <c r="E34" s="333" t="n"/>
      <c r="F34" s="333" t="n">
        <v>1</v>
      </c>
      <c r="G34" s="333" t="n">
        <v>1</v>
      </c>
      <c r="H34" s="333" t="n">
        <v>1</v>
      </c>
      <c r="I34" s="333" t="n">
        <v>1</v>
      </c>
      <c r="J34" s="333" t="n">
        <v>1</v>
      </c>
      <c r="K34" s="332" t="n">
        <v>1</v>
      </c>
      <c r="L34" s="333" t="n"/>
      <c r="M34" s="333" t="n">
        <v>1</v>
      </c>
      <c r="N34" s="333" t="n">
        <v>1</v>
      </c>
      <c r="O34" s="333" t="n">
        <v>1</v>
      </c>
      <c r="P34" s="333" t="n">
        <v>1</v>
      </c>
      <c r="Q34" s="333" t="n">
        <v>1</v>
      </c>
      <c r="R34" s="332" t="n">
        <v>1</v>
      </c>
      <c r="S34" s="333" t="n"/>
      <c r="T34" s="333" t="n">
        <v>1</v>
      </c>
      <c r="U34" s="333" t="n">
        <v>1</v>
      </c>
      <c r="V34" s="333" t="n">
        <v>1</v>
      </c>
      <c r="W34" s="333" t="n">
        <v>1</v>
      </c>
      <c r="X34" s="333" t="n">
        <v>1</v>
      </c>
      <c r="Y34" s="332" t="n">
        <v>1</v>
      </c>
      <c r="Z34" s="333" t="n"/>
      <c r="AA34" s="333" t="n">
        <v>1</v>
      </c>
      <c r="AB34" s="333" t="n">
        <v>1</v>
      </c>
      <c r="AC34" s="333" t="n">
        <v>1</v>
      </c>
      <c r="AD34" s="333" t="n">
        <v>1</v>
      </c>
      <c r="AE34" s="333" t="n">
        <v>1</v>
      </c>
      <c r="AF34" s="332" t="n">
        <v>1</v>
      </c>
      <c r="AG34" s="333" t="n"/>
      <c r="AH34" s="333" t="n">
        <v>1</v>
      </c>
      <c r="AI34" s="1377">
        <f>SUM(D34:AH34)+(COUNTIF(D34:AH34,"0,5KL")/2)+(COUNTIF(D34:AH34,"0,5P")/2)+(COUNTIF(D34:AH34,"0.5L")/2)</f>
        <v/>
      </c>
      <c r="AJ34" s="1377">
        <f>(COUNTIF(D34:AH34,"P"))+(COUNTIF(D34:AG34,"P/2")/2)+(COUNTIF(D34:AG34,"0,5P")/2)+(COUNTIF(D34:AG34,"L/P")/2)+(COUNTIF(D34:AG34,"P/KL")/2)</f>
        <v/>
      </c>
      <c r="AK34" s="1377">
        <f>COUNTIF(D34:AH34,"L")+(COUNTIF(D34:AG34,"L/2")/2)+(COUNTIF(D34:AG34,"L/P")/2)+(COUNTIF(D34:AG34,"L/KL")/2)</f>
        <v/>
      </c>
      <c r="AL34" s="1377">
        <f>COUNTIF(D34:AH34,"KL")+COUNTIF(D34:AG34,"0,5KL")/2+COUNTIF(D34:AG34,"L/KL")/2+COUNTIF(D34:AG34,"KL/2")/2+COUNTIF(D34:AG34,"P/KL")/2+COUNTIF(D34:AG34,"0.5")/2</f>
        <v/>
      </c>
      <c r="AM34" s="1378">
        <f>SUM(AI34:AL34)</f>
        <v/>
      </c>
      <c r="AN34" s="1378">
        <f>AI34+AJ34+AK34</f>
        <v/>
      </c>
      <c r="AO34" s="1378">
        <f>VLOOKUP(C34,'[7]1. MEDIGO'!$C$4:$BL$100,62,0)</f>
        <v/>
      </c>
      <c r="AP34" s="319" t="n"/>
      <c r="AQ34" s="319" t="n"/>
      <c r="AR34" s="319" t="n"/>
    </row>
    <row r="35" ht="27" customHeight="1" s="1264">
      <c r="A35" s="1376" t="n">
        <v>28</v>
      </c>
      <c r="B35" s="1376" t="n"/>
      <c r="C35" s="344" t="inlineStr">
        <is>
          <t>Nguyễn Vũ Khôi</t>
        </is>
      </c>
      <c r="D35" s="332" t="n">
        <v>1</v>
      </c>
      <c r="E35" s="333" t="n"/>
      <c r="F35" s="333" t="n">
        <v>1</v>
      </c>
      <c r="G35" s="333" t="n">
        <v>1</v>
      </c>
      <c r="H35" s="333" t="n">
        <v>1</v>
      </c>
      <c r="I35" s="333" t="n">
        <v>1</v>
      </c>
      <c r="J35" s="333" t="n">
        <v>1</v>
      </c>
      <c r="K35" s="332" t="n">
        <v>1</v>
      </c>
      <c r="L35" s="333" t="n"/>
      <c r="M35" s="333" t="n">
        <v>1</v>
      </c>
      <c r="N35" s="333" t="n">
        <v>1</v>
      </c>
      <c r="O35" s="333" t="n">
        <v>1</v>
      </c>
      <c r="P35" s="333" t="n">
        <v>1</v>
      </c>
      <c r="Q35" s="333" t="n">
        <v>1</v>
      </c>
      <c r="R35" s="332" t="n">
        <v>1</v>
      </c>
      <c r="S35" s="333" t="n"/>
      <c r="T35" s="333" t="n">
        <v>1</v>
      </c>
      <c r="U35" s="333" t="n">
        <v>1</v>
      </c>
      <c r="V35" s="333" t="n">
        <v>1</v>
      </c>
      <c r="W35" s="333" t="n">
        <v>1</v>
      </c>
      <c r="X35" s="333" t="n">
        <v>1</v>
      </c>
      <c r="Y35" s="332" t="n">
        <v>1</v>
      </c>
      <c r="Z35" s="333" t="n"/>
      <c r="AA35" s="333" t="n">
        <v>1</v>
      </c>
      <c r="AB35" s="333" t="n">
        <v>1</v>
      </c>
      <c r="AC35" s="333" t="n">
        <v>1</v>
      </c>
      <c r="AD35" s="333" t="n">
        <v>1</v>
      </c>
      <c r="AE35" s="333" t="n">
        <v>1</v>
      </c>
      <c r="AF35" s="332" t="n">
        <v>1</v>
      </c>
      <c r="AG35" s="333" t="n"/>
      <c r="AH35" s="333" t="n">
        <v>1</v>
      </c>
      <c r="AI35" s="1377">
        <f>SUM(D35:AH35)+(COUNTIF(D35:AH35,"0,5KL")/2)+(COUNTIF(D35:AH35,"0,5P")/2)+(COUNTIF(D35:AH35,"0.5L")/2)</f>
        <v/>
      </c>
      <c r="AJ35" s="1377">
        <f>(COUNTIF(D35:AH35,"P"))+(COUNTIF(D35:AG35,"P/2")/2)+(COUNTIF(D35:AG35,"0,5P")/2)+(COUNTIF(D35:AG35,"L/P")/2)+(COUNTIF(D35:AG35,"P/KL")/2)</f>
        <v/>
      </c>
      <c r="AK35" s="1377">
        <f>COUNTIF(D35:AH35,"L")+(COUNTIF(D35:AG35,"L/2")/2)+(COUNTIF(D35:AG35,"L/P")/2)+(COUNTIF(D35:AG35,"L/KL")/2)</f>
        <v/>
      </c>
      <c r="AL35" s="1377">
        <f>COUNTIF(D35:AH35,"KL")+COUNTIF(D35:AG35,"0,5KL")/2+COUNTIF(D35:AG35,"L/KL")/2+COUNTIF(D35:AG35,"KL/2")/2+COUNTIF(D35:AG35,"P/KL")/2+COUNTIF(D35:AG35,"0.5")/2</f>
        <v/>
      </c>
      <c r="AM35" s="1378">
        <f>SUM(AI35:AL35)</f>
        <v/>
      </c>
      <c r="AN35" s="1378">
        <f>AI35+AJ35+AK35</f>
        <v/>
      </c>
      <c r="AO35" s="1378">
        <f>VLOOKUP(C35,'[7]1. MEDIGO'!$C$4:$BL$100,62,0)</f>
        <v/>
      </c>
      <c r="AP35" s="319" t="n"/>
      <c r="AQ35" s="319" t="n"/>
      <c r="AR35" s="319" t="n"/>
    </row>
    <row r="36" ht="27" customHeight="1" s="1264">
      <c r="A36" s="1376" t="n">
        <v>29</v>
      </c>
      <c r="B36" s="1376" t="n"/>
      <c r="C36" s="344" t="inlineStr">
        <is>
          <t>Lai Thị Bích Châu</t>
        </is>
      </c>
      <c r="D36" s="332" t="n">
        <v>1</v>
      </c>
      <c r="E36" s="333" t="n"/>
      <c r="F36" s="333" t="n">
        <v>1</v>
      </c>
      <c r="G36" s="333" t="n">
        <v>1</v>
      </c>
      <c r="H36" s="333" t="n">
        <v>1</v>
      </c>
      <c r="I36" s="333" t="n">
        <v>1</v>
      </c>
      <c r="J36" s="333" t="n">
        <v>1</v>
      </c>
      <c r="K36" s="332" t="n">
        <v>1</v>
      </c>
      <c r="L36" s="333" t="n"/>
      <c r="M36" s="333" t="n">
        <v>1</v>
      </c>
      <c r="N36" s="333" t="n">
        <v>1</v>
      </c>
      <c r="O36" s="333" t="n">
        <v>1</v>
      </c>
      <c r="P36" s="333" t="n">
        <v>1</v>
      </c>
      <c r="Q36" s="333" t="n">
        <v>1</v>
      </c>
      <c r="R36" s="332" t="n">
        <v>1</v>
      </c>
      <c r="S36" s="333" t="n"/>
      <c r="T36" s="333" t="n">
        <v>1</v>
      </c>
      <c r="U36" s="333" t="n">
        <v>1</v>
      </c>
      <c r="V36" s="333" t="n">
        <v>1</v>
      </c>
      <c r="W36" s="333" t="n">
        <v>1</v>
      </c>
      <c r="X36" s="333" t="n">
        <v>1</v>
      </c>
      <c r="Y36" s="332" t="n">
        <v>1</v>
      </c>
      <c r="Z36" s="333" t="n"/>
      <c r="AA36" s="333" t="n">
        <v>1</v>
      </c>
      <c r="AB36" s="333" t="n">
        <v>1</v>
      </c>
      <c r="AC36" s="333" t="n">
        <v>1</v>
      </c>
      <c r="AD36" s="333" t="n">
        <v>1</v>
      </c>
      <c r="AE36" s="333" t="n">
        <v>1</v>
      </c>
      <c r="AF36" s="332" t="n">
        <v>1</v>
      </c>
      <c r="AG36" s="333" t="n"/>
      <c r="AH36" s="333" t="n">
        <v>1</v>
      </c>
      <c r="AI36" s="1377">
        <f>SUM(D36:AH36)+(COUNTIF(D36:AH36,"0,5KL")/2)+(COUNTIF(D36:AH36,"0,5P")/2)+(COUNTIF(D36:AH36,"0.5L")/2)</f>
        <v/>
      </c>
      <c r="AJ36" s="1377">
        <f>(COUNTIF(D36:AH36,"P"))+(COUNTIF(D36:AG36,"P/2")/2)+(COUNTIF(D36:AG36,"0,5P")/2)+(COUNTIF(D36:AG36,"L/P")/2)+(COUNTIF(D36:AG36,"P/KL")/2)</f>
        <v/>
      </c>
      <c r="AK36" s="1377">
        <f>COUNTIF(D36:AH36,"L")+(COUNTIF(D36:AG36,"L/2")/2)+(COUNTIF(D36:AG36,"L/P")/2)+(COUNTIF(D36:AG36,"L/KL")/2)</f>
        <v/>
      </c>
      <c r="AL36" s="1377">
        <f>COUNTIF(D36:AH36,"KL")+COUNTIF(D36:AG36,"0,5KL")/2+COUNTIF(D36:AG36,"L/KL")/2+COUNTIF(D36:AG36,"KL/2")/2+COUNTIF(D36:AG36,"P/KL")/2+COUNTIF(D36:AG36,"0.5")/2</f>
        <v/>
      </c>
      <c r="AM36" s="1378">
        <f>SUM(AI36:AL36)</f>
        <v/>
      </c>
      <c r="AN36" s="1378">
        <f>AI36+AJ36+AK36</f>
        <v/>
      </c>
      <c r="AO36" s="1378">
        <f>VLOOKUP(C36,'[7]1. MEDIGO'!$C$4:$BL$100,62,0)</f>
        <v/>
      </c>
      <c r="AP36" s="319" t="n"/>
      <c r="AQ36" s="319" t="n"/>
      <c r="AR36" s="319" t="n"/>
    </row>
    <row r="37" ht="26.4" customFormat="1" customHeight="1" s="304">
      <c r="A37" s="1376" t="n"/>
      <c r="B37" s="363" t="inlineStr">
        <is>
          <t>MED</t>
        </is>
      </c>
      <c r="C37" s="363" t="n"/>
      <c r="D37" s="332" t="n">
        <v>1</v>
      </c>
      <c r="E37" s="333" t="n"/>
      <c r="F37" s="333" t="n">
        <v>1</v>
      </c>
      <c r="G37" s="333" t="n">
        <v>1</v>
      </c>
      <c r="H37" s="333" t="n">
        <v>1</v>
      </c>
      <c r="I37" s="333" t="n">
        <v>1</v>
      </c>
      <c r="J37" s="333" t="n">
        <v>1</v>
      </c>
      <c r="K37" s="332" t="n">
        <v>1</v>
      </c>
      <c r="L37" s="333" t="n"/>
      <c r="M37" s="333" t="n">
        <v>1</v>
      </c>
      <c r="N37" s="333" t="n">
        <v>1</v>
      </c>
      <c r="O37" s="333" t="n">
        <v>1</v>
      </c>
      <c r="P37" s="333" t="n">
        <v>1</v>
      </c>
      <c r="Q37" s="333" t="n">
        <v>1</v>
      </c>
      <c r="R37" s="332" t="n">
        <v>1</v>
      </c>
      <c r="S37" s="333" t="n"/>
      <c r="T37" s="333" t="n">
        <v>1</v>
      </c>
      <c r="U37" s="333" t="n">
        <v>1</v>
      </c>
      <c r="V37" s="333" t="n">
        <v>1</v>
      </c>
      <c r="W37" s="333" t="n">
        <v>1</v>
      </c>
      <c r="X37" s="333" t="n">
        <v>1</v>
      </c>
      <c r="Y37" s="332" t="n">
        <v>1</v>
      </c>
      <c r="Z37" s="333" t="n"/>
      <c r="AA37" s="333" t="n">
        <v>1</v>
      </c>
      <c r="AB37" s="333" t="n">
        <v>1</v>
      </c>
      <c r="AC37" s="333" t="n">
        <v>1</v>
      </c>
      <c r="AD37" s="333" t="n">
        <v>1</v>
      </c>
      <c r="AE37" s="333" t="n">
        <v>1</v>
      </c>
      <c r="AF37" s="332" t="n">
        <v>1</v>
      </c>
      <c r="AG37" s="333" t="n"/>
      <c r="AH37" s="333" t="n">
        <v>1</v>
      </c>
      <c r="AI37" s="1377">
        <f>SUM(D37:AH37)+(COUNTIF(D37:AH37,"0,5KL")/2)+(COUNTIF(D37:AH37,"0,5P")/2)+(COUNTIF(D37:AH37,"0.5L")/2)</f>
        <v/>
      </c>
      <c r="AJ37" s="1377">
        <f>(COUNTIF(D37:AH37,"P"))+(COUNTIF(D37:AG37,"P/2")/2)+(COUNTIF(D37:AG37,"0,5P")/2)+(COUNTIF(D37:AG37,"L/P")/2)+(COUNTIF(D37:AG37,"P/KL")/2)</f>
        <v/>
      </c>
      <c r="AK37" s="1377">
        <f>COUNTIF(D37:AH37,"L")+(COUNTIF(D37:AG37,"L/2")/2)+(COUNTIF(D37:AG37,"L/P")/2)+(COUNTIF(D37:AG37,"L/KL")/2)</f>
        <v/>
      </c>
      <c r="AL37" s="1377">
        <f>COUNTIF(D37:AH37,"KL")+COUNTIF(D37:AG37,"0,5KL")/2+COUNTIF(D37:AG37,"L/KL")/2+COUNTIF(D37:AG37,"KL/2")/2+COUNTIF(D37:AG37,"P/KL")/2+COUNTIF(D37:AG37,"0.5")/2</f>
        <v/>
      </c>
      <c r="AM37" s="1378">
        <f>SUM(AI37:AL37)</f>
        <v/>
      </c>
      <c r="AN37" s="1378">
        <f>AI37+AJ37+AK37</f>
        <v/>
      </c>
      <c r="AO37" s="1386" t="n"/>
      <c r="AP37" s="365" t="n"/>
      <c r="AQ37" s="365" t="n"/>
      <c r="AR37" s="365" t="n"/>
    </row>
    <row r="38" ht="25.5" customHeight="1" s="1264">
      <c r="A38" s="1376">
        <f>A36+1</f>
        <v/>
      </c>
      <c r="B38" s="1376" t="n"/>
      <c r="C38" s="343" t="inlineStr">
        <is>
          <t>Le Huu Ha</t>
        </is>
      </c>
      <c r="D38" s="332" t="n">
        <v>1</v>
      </c>
      <c r="E38" s="333" t="n"/>
      <c r="F38" s="333" t="n">
        <v>1</v>
      </c>
      <c r="G38" s="333" t="n">
        <v>1</v>
      </c>
      <c r="H38" s="333" t="n">
        <v>1</v>
      </c>
      <c r="I38" s="333" t="n">
        <v>1</v>
      </c>
      <c r="J38" s="333" t="n">
        <v>1</v>
      </c>
      <c r="K38" s="332" t="n">
        <v>1</v>
      </c>
      <c r="L38" s="333" t="n"/>
      <c r="M38" s="333" t="n">
        <v>1</v>
      </c>
      <c r="N38" s="333" t="n">
        <v>1</v>
      </c>
      <c r="O38" s="333" t="n">
        <v>1</v>
      </c>
      <c r="P38" s="333" t="n">
        <v>1</v>
      </c>
      <c r="Q38" s="333" t="n">
        <v>1</v>
      </c>
      <c r="R38" s="332" t="n">
        <v>1</v>
      </c>
      <c r="S38" s="333" t="n"/>
      <c r="T38" s="333" t="n">
        <v>1</v>
      </c>
      <c r="U38" s="333" t="n">
        <v>1</v>
      </c>
      <c r="V38" s="333" t="n">
        <v>1</v>
      </c>
      <c r="W38" s="333" t="n">
        <v>1</v>
      </c>
      <c r="X38" s="333" t="n">
        <v>1</v>
      </c>
      <c r="Y38" s="332" t="n">
        <v>1</v>
      </c>
      <c r="Z38" s="333" t="n"/>
      <c r="AA38" s="333" t="n">
        <v>1</v>
      </c>
      <c r="AB38" s="333" t="n">
        <v>1</v>
      </c>
      <c r="AC38" s="333" t="n">
        <v>1</v>
      </c>
      <c r="AD38" s="333" t="n">
        <v>1</v>
      </c>
      <c r="AE38" s="333" t="n">
        <v>1</v>
      </c>
      <c r="AF38" s="332" t="n">
        <v>1</v>
      </c>
      <c r="AG38" s="333" t="n"/>
      <c r="AH38" s="333" t="n">
        <v>1</v>
      </c>
      <c r="AI38" s="1377">
        <f>SUM(D38:AH38)+(COUNTIF(D38:AH38,"0,5KL")/2)+(COUNTIF(D38:AH38,"0,5P")/2)+(COUNTIF(D38:AH38,"0.5L")/2)</f>
        <v/>
      </c>
      <c r="AJ38" s="1377">
        <f>(COUNTIF(D38:AH38,"P"))+(COUNTIF(D38:AG38,"P/2")/2)+(COUNTIF(D38:AG38,"0,5P")/2)+(COUNTIF(D38:AG38,"L/P")/2)+(COUNTIF(D38:AG38,"P/KL")/2)</f>
        <v/>
      </c>
      <c r="AK38" s="1377">
        <f>COUNTIF(D38:AH38,"L")+(COUNTIF(D38:AG38,"L/2")/2)+(COUNTIF(D38:AG38,"L/P")/2)+(COUNTIF(D38:AG38,"L/KL")/2)</f>
        <v/>
      </c>
      <c r="AL38" s="1377">
        <f>COUNTIF(D38:AH38,"KL")+COUNTIF(D38:AG38,"0,5KL")/2+COUNTIF(D38:AG38,"L/KL")/2+COUNTIF(D38:AG38,"KL/2")/2+COUNTIF(D38:AG38,"P/KL")/2+COUNTIF(D38:AG38,"0.5")/2</f>
        <v/>
      </c>
      <c r="AM38" s="1378">
        <f>SUM(AI38:AL38)</f>
        <v/>
      </c>
      <c r="AN38" s="1378">
        <f>AI38+AJ38+AK38</f>
        <v/>
      </c>
      <c r="AO38" s="1378" t="inlineStr">
        <is>
          <t>10/8/2021</t>
        </is>
      </c>
      <c r="AP38" s="319" t="n"/>
      <c r="AQ38" s="319" t="n"/>
      <c r="AR38" s="319" t="n"/>
    </row>
    <row r="39" ht="25.5" customHeight="1" s="1264">
      <c r="A39" s="1376" t="n">
        <v>31</v>
      </c>
      <c r="B39" s="1376" t="n"/>
      <c r="C39" s="343" t="inlineStr">
        <is>
          <t>Đoàn Hữu Luận</t>
        </is>
      </c>
      <c r="D39" s="332" t="n">
        <v>1</v>
      </c>
      <c r="E39" s="333" t="n"/>
      <c r="F39" s="333" t="n">
        <v>1</v>
      </c>
      <c r="G39" s="333" t="n">
        <v>1</v>
      </c>
      <c r="H39" s="333" t="n">
        <v>1</v>
      </c>
      <c r="I39" s="333" t="n">
        <v>1</v>
      </c>
      <c r="J39" s="333" t="n">
        <v>1</v>
      </c>
      <c r="K39" s="332" t="n">
        <v>1</v>
      </c>
      <c r="L39" s="333" t="n"/>
      <c r="M39" s="333" t="n">
        <v>1</v>
      </c>
      <c r="N39" s="333" t="n">
        <v>1</v>
      </c>
      <c r="O39" s="333" t="n">
        <v>1</v>
      </c>
      <c r="P39" s="333" t="n">
        <v>1</v>
      </c>
      <c r="Q39" s="333" t="n">
        <v>1</v>
      </c>
      <c r="R39" s="332" t="n">
        <v>1</v>
      </c>
      <c r="S39" s="333" t="n"/>
      <c r="T39" s="333" t="n">
        <v>1</v>
      </c>
      <c r="U39" s="333" t="n">
        <v>1</v>
      </c>
      <c r="V39" s="333" t="n">
        <v>1</v>
      </c>
      <c r="W39" s="333" t="n">
        <v>1</v>
      </c>
      <c r="X39" s="333" t="n">
        <v>1</v>
      </c>
      <c r="Y39" s="332" t="n">
        <v>1</v>
      </c>
      <c r="Z39" s="333" t="n"/>
      <c r="AA39" s="333" t="n">
        <v>1</v>
      </c>
      <c r="AB39" s="333" t="n">
        <v>1</v>
      </c>
      <c r="AC39" s="333" t="n">
        <v>1</v>
      </c>
      <c r="AD39" s="333" t="n">
        <v>1</v>
      </c>
      <c r="AE39" s="333" t="n">
        <v>1</v>
      </c>
      <c r="AF39" s="332" t="n">
        <v>1</v>
      </c>
      <c r="AG39" s="333" t="n"/>
      <c r="AH39" s="333" t="n">
        <v>1</v>
      </c>
      <c r="AI39" s="1377">
        <f>SUM(D39:AH39)+(COUNTIF(D39:AH39,"0,5KL")/2)+(COUNTIF(D39:AH39,"0,5P")/2)+(COUNTIF(D39:AH39,"0.5L")/2)</f>
        <v/>
      </c>
      <c r="AJ39" s="1377">
        <f>(COUNTIF(D39:AH39,"P"))+(COUNTIF(D39:AG39,"P/2")/2)+(COUNTIF(D39:AG39,"0,5P")/2)+(COUNTIF(D39:AG39,"L/P")/2)+(COUNTIF(D39:AG39,"P/KL")/2)</f>
        <v/>
      </c>
      <c r="AK39" s="1377">
        <f>COUNTIF(D39:AH39,"L")+(COUNTIF(D39:AG39,"L/2")/2)+(COUNTIF(D39:AG39,"L/P")/2)+(COUNTIF(D39:AG39,"L/KL")/2)</f>
        <v/>
      </c>
      <c r="AL39" s="1377">
        <f>COUNTIF(D39:AH39,"KL")+COUNTIF(D39:AG39,"0,5KL")/2+COUNTIF(D39:AG39,"L/KL")/2+COUNTIF(D39:AG39,"KL/2")/2+COUNTIF(D39:AG39,"P/KL")/2+COUNTIF(D39:AG39,"0.5")/2</f>
        <v/>
      </c>
      <c r="AM39" s="1378">
        <f>SUM(AI39:AL39)</f>
        <v/>
      </c>
      <c r="AN39" s="1378">
        <f>AI39+AJ39+AK39</f>
        <v/>
      </c>
      <c r="AO39" s="1378" t="inlineStr">
        <is>
          <t>10/8/2022</t>
        </is>
      </c>
      <c r="AP39" s="319" t="n"/>
      <c r="AQ39" s="319" t="n"/>
      <c r="AR39" s="319" t="n"/>
    </row>
    <row r="40" ht="25.5" customHeight="1" s="1264">
      <c r="A40" s="1376" t="n">
        <v>32</v>
      </c>
      <c r="B40" s="1376" t="n"/>
      <c r="C40" s="343" t="inlineStr">
        <is>
          <t>Lê Thị Quý Ngọc</t>
        </is>
      </c>
      <c r="D40" s="332" t="n">
        <v>1</v>
      </c>
      <c r="E40" s="333" t="n"/>
      <c r="F40" s="333" t="n">
        <v>1</v>
      </c>
      <c r="G40" s="333" t="n">
        <v>1</v>
      </c>
      <c r="H40" s="333" t="n">
        <v>1</v>
      </c>
      <c r="I40" s="333" t="n">
        <v>1</v>
      </c>
      <c r="J40" s="333" t="n">
        <v>1</v>
      </c>
      <c r="K40" s="332" t="n">
        <v>1</v>
      </c>
      <c r="L40" s="333" t="n"/>
      <c r="M40" s="333" t="n">
        <v>1</v>
      </c>
      <c r="N40" s="333" t="n">
        <v>1</v>
      </c>
      <c r="O40" s="333" t="n">
        <v>1</v>
      </c>
      <c r="P40" s="333" t="n">
        <v>1</v>
      </c>
      <c r="Q40" s="333" t="n">
        <v>1</v>
      </c>
      <c r="R40" s="332" t="n">
        <v>1</v>
      </c>
      <c r="S40" s="333" t="n"/>
      <c r="T40" s="333" t="n">
        <v>1</v>
      </c>
      <c r="U40" s="333" t="n">
        <v>1</v>
      </c>
      <c r="V40" s="333" t="n">
        <v>1</v>
      </c>
      <c r="W40" s="333" t="n">
        <v>1</v>
      </c>
      <c r="X40" s="333" t="n">
        <v>1</v>
      </c>
      <c r="Y40" s="332" t="n">
        <v>1</v>
      </c>
      <c r="Z40" s="333" t="n"/>
      <c r="AA40" s="333" t="n">
        <v>1</v>
      </c>
      <c r="AB40" s="333" t="n">
        <v>1</v>
      </c>
      <c r="AC40" s="333" t="n">
        <v>1</v>
      </c>
      <c r="AD40" s="333" t="n">
        <v>1</v>
      </c>
      <c r="AE40" s="333" t="n">
        <v>1</v>
      </c>
      <c r="AF40" s="332" t="n">
        <v>1</v>
      </c>
      <c r="AG40" s="333" t="n"/>
      <c r="AH40" s="333" t="n">
        <v>1</v>
      </c>
      <c r="AI40" s="1377">
        <f>SUM(D40:AH40)+(COUNTIF(D40:AH40,"0,5KL")/2)+(COUNTIF(D40:AH40,"0,5P")/2)+(COUNTIF(D40:AH40,"0.5L")/2)</f>
        <v/>
      </c>
      <c r="AJ40" s="1377">
        <f>(COUNTIF(D40:AH40,"P"))+(COUNTIF(D40:AG40,"P/2")/2)+(COUNTIF(D40:AG40,"0,5P")/2)+(COUNTIF(D40:AG40,"L/P")/2)+(COUNTIF(D40:AG40,"P/KL")/2)</f>
        <v/>
      </c>
      <c r="AK40" s="1377">
        <f>COUNTIF(D40:AH40,"L")+(COUNTIF(D40:AG40,"L/2")/2)+(COUNTIF(D40:AG40,"L/P")/2)+(COUNTIF(D40:AG40,"L/KL")/2)</f>
        <v/>
      </c>
      <c r="AL40" s="1377">
        <f>COUNTIF(D40:AH40,"KL")+COUNTIF(D40:AG40,"0,5KL")/2+COUNTIF(D40:AG40,"L/KL")/2+COUNTIF(D40:AG40,"KL/2")/2+COUNTIF(D40:AG40,"P/KL")/2+COUNTIF(D40:AG40,"0.5")/2</f>
        <v/>
      </c>
      <c r="AM40" s="1378">
        <f>SUM(AI40:AL40)</f>
        <v/>
      </c>
      <c r="AN40" s="1378">
        <f>AI40+AJ40+AK40</f>
        <v/>
      </c>
      <c r="AO40" s="1378" t="inlineStr">
        <is>
          <t>24/4/2023</t>
        </is>
      </c>
      <c r="AP40" s="319" t="n"/>
      <c r="AQ40" s="319" t="n"/>
      <c r="AR40" s="319" t="n"/>
    </row>
    <row r="41" ht="25.5" customHeight="1" s="1264">
      <c r="A41" s="1376" t="n">
        <v>33</v>
      </c>
      <c r="B41" s="1376" t="n"/>
      <c r="C41" s="343" t="inlineStr">
        <is>
          <t>Lê Thu Hà</t>
        </is>
      </c>
      <c r="D41" s="332" t="n">
        <v>1</v>
      </c>
      <c r="E41" s="333" t="n"/>
      <c r="F41" s="333" t="n">
        <v>1</v>
      </c>
      <c r="G41" s="333" t="n">
        <v>1</v>
      </c>
      <c r="H41" s="333" t="n">
        <v>1</v>
      </c>
      <c r="I41" s="333" t="n">
        <v>1</v>
      </c>
      <c r="J41" s="333" t="n">
        <v>1</v>
      </c>
      <c r="K41" s="332" t="n">
        <v>1</v>
      </c>
      <c r="L41" s="333" t="n"/>
      <c r="M41" s="333" t="n">
        <v>1</v>
      </c>
      <c r="N41" s="333" t="n">
        <v>1</v>
      </c>
      <c r="O41" s="333" t="n">
        <v>1</v>
      </c>
      <c r="P41" s="333" t="n">
        <v>1</v>
      </c>
      <c r="Q41" s="333" t="n">
        <v>1</v>
      </c>
      <c r="R41" s="332" t="n">
        <v>1</v>
      </c>
      <c r="S41" s="333" t="n"/>
      <c r="T41" s="333" t="n">
        <v>1</v>
      </c>
      <c r="U41" s="333" t="n">
        <v>1</v>
      </c>
      <c r="V41" s="333" t="n">
        <v>1</v>
      </c>
      <c r="W41" s="333" t="n">
        <v>1</v>
      </c>
      <c r="X41" s="333" t="n">
        <v>1</v>
      </c>
      <c r="Y41" s="332" t="n">
        <v>1</v>
      </c>
      <c r="Z41" s="333" t="n"/>
      <c r="AA41" s="333" t="n">
        <v>1</v>
      </c>
      <c r="AB41" s="333" t="n">
        <v>1</v>
      </c>
      <c r="AC41" s="333" t="n">
        <v>1</v>
      </c>
      <c r="AD41" s="333" t="n">
        <v>1</v>
      </c>
      <c r="AE41" s="337" t="inlineStr">
        <is>
          <t>P</t>
        </is>
      </c>
      <c r="AF41" s="332" t="n">
        <v>1</v>
      </c>
      <c r="AG41" s="333" t="n"/>
      <c r="AH41" s="333" t="n">
        <v>1</v>
      </c>
      <c r="AI41" s="1377">
        <f>SUM(D41:AH41)+(COUNTIF(D41:AH41,"0,5KL")/2)+(COUNTIF(D41:AH41,"0,5P")/2)+(COUNTIF(D41:AH41,"0.5L")/2)</f>
        <v/>
      </c>
      <c r="AJ41" s="1377">
        <f>(COUNTIF(D41:AH41,"P"))+(COUNTIF(D41:AG41,"P/2")/2)+(COUNTIF(D41:AG41,"0,5P")/2)+(COUNTIF(D41:AG41,"L/P")/2)+(COUNTIF(D41:AG41,"P/KL")/2)</f>
        <v/>
      </c>
      <c r="AK41" s="1377">
        <f>COUNTIF(D41:AH41,"L")+(COUNTIF(D41:AG41,"L/2")/2)+(COUNTIF(D41:AG41,"L/P")/2)+(COUNTIF(D41:AG41,"L/KL")/2)</f>
        <v/>
      </c>
      <c r="AL41" s="1377">
        <f>COUNTIF(D41:AH41,"KL")+COUNTIF(D41:AG41,"0,5KL")/2+COUNTIF(D41:AG41,"L/KL")/2+COUNTIF(D41:AG41,"KL/2")/2+COUNTIF(D41:AG41,"P/KL")/2+COUNTIF(D41:AG41,"0.5")/2</f>
        <v/>
      </c>
      <c r="AM41" s="1378">
        <f>SUM(AI41:AL41)</f>
        <v/>
      </c>
      <c r="AN41" s="1378">
        <f>AI41+AJ41+AK41</f>
        <v/>
      </c>
      <c r="AO41" s="1378" t="inlineStr">
        <is>
          <t>1/9/2020</t>
        </is>
      </c>
      <c r="AP41" s="319" t="n"/>
      <c r="AQ41" s="319" t="n"/>
      <c r="AR41" s="319" t="n"/>
    </row>
    <row r="42" ht="25.5" customHeight="1" s="1264">
      <c r="A42" s="1376" t="n">
        <v>34</v>
      </c>
      <c r="B42" s="1376" t="n"/>
      <c r="C42" s="343" t="inlineStr">
        <is>
          <t>Nguyễn Thị Kim Huệ</t>
        </is>
      </c>
      <c r="D42" s="332" t="n">
        <v>1</v>
      </c>
      <c r="E42" s="333" t="n"/>
      <c r="F42" s="333" t="n">
        <v>1</v>
      </c>
      <c r="G42" s="333" t="n">
        <v>1</v>
      </c>
      <c r="H42" s="333" t="n">
        <v>1</v>
      </c>
      <c r="I42" s="333" t="n">
        <v>1</v>
      </c>
      <c r="J42" s="333" t="n">
        <v>1</v>
      </c>
      <c r="K42" s="332" t="n">
        <v>1</v>
      </c>
      <c r="L42" s="333" t="n"/>
      <c r="M42" s="333" t="n">
        <v>1</v>
      </c>
      <c r="N42" s="333" t="n">
        <v>1</v>
      </c>
      <c r="O42" s="333" t="n">
        <v>1</v>
      </c>
      <c r="P42" s="333" t="n">
        <v>1</v>
      </c>
      <c r="Q42" s="333" t="n">
        <v>1</v>
      </c>
      <c r="R42" s="332" t="n">
        <v>1</v>
      </c>
      <c r="S42" s="333" t="n"/>
      <c r="T42" s="333" t="n">
        <v>1</v>
      </c>
      <c r="U42" s="333" t="n">
        <v>1</v>
      </c>
      <c r="V42" s="333" t="n">
        <v>1</v>
      </c>
      <c r="W42" s="333" t="n">
        <v>1</v>
      </c>
      <c r="X42" s="333" t="n">
        <v>1</v>
      </c>
      <c r="Y42" s="332" t="n">
        <v>1</v>
      </c>
      <c r="Z42" s="333" t="n"/>
      <c r="AA42" s="333" t="n">
        <v>1</v>
      </c>
      <c r="AB42" s="333" t="n">
        <v>1</v>
      </c>
      <c r="AC42" s="333" t="n">
        <v>1</v>
      </c>
      <c r="AD42" s="333" t="n">
        <v>1</v>
      </c>
      <c r="AE42" s="333" t="n">
        <v>1</v>
      </c>
      <c r="AF42" s="332" t="n">
        <v>1</v>
      </c>
      <c r="AG42" s="333" t="n"/>
      <c r="AH42" s="333" t="n">
        <v>1</v>
      </c>
      <c r="AI42" s="1377">
        <f>SUM(D42:AH42)+(COUNTIF(D42:AH42,"0,5KL")/2)+(COUNTIF(D42:AH42,"0,5P")/2)+(COUNTIF(D42:AH42,"0.5L")/2)</f>
        <v/>
      </c>
      <c r="AJ42" s="1377">
        <f>(COUNTIF(D42:AH42,"P"))+(COUNTIF(D42:AG42,"P/2")/2)+(COUNTIF(D42:AG42,"0,5P")/2)+(COUNTIF(D42:AG42,"L/P")/2)+(COUNTIF(D42:AG42,"P/KL")/2)</f>
        <v/>
      </c>
      <c r="AK42" s="1377">
        <f>COUNTIF(D42:AH42,"L")+(COUNTIF(D42:AG42,"L/2")/2)+(COUNTIF(D42:AG42,"L/P")/2)+(COUNTIF(D42:AG42,"L/KL")/2)</f>
        <v/>
      </c>
      <c r="AL42" s="1377">
        <f>COUNTIF(D42:AH42,"KL")+COUNTIF(D42:AG42,"0,5KL")/2+COUNTIF(D42:AG42,"L/KL")/2+COUNTIF(D42:AG42,"KL/2")/2+COUNTIF(D42:AG42,"P/KL")/2+COUNTIF(D42:AG42,"0.5")/2</f>
        <v/>
      </c>
      <c r="AM42" s="1378">
        <f>SUM(AI42:AL42)</f>
        <v/>
      </c>
      <c r="AN42" s="1378">
        <f>AI42+AJ42+AK42</f>
        <v/>
      </c>
      <c r="AO42" s="1378" t="inlineStr">
        <is>
          <t>1/5/2024</t>
        </is>
      </c>
      <c r="AP42" s="319" t="n"/>
      <c r="AQ42" s="319" t="n"/>
      <c r="AR42" s="319" t="n"/>
    </row>
    <row r="43" ht="25.5" customHeight="1" s="1264">
      <c r="A43" s="1376" t="n">
        <v>35</v>
      </c>
      <c r="B43" s="1376" t="n"/>
      <c r="C43" s="343" t="inlineStr">
        <is>
          <t>Dương Thị Vân Trang</t>
        </is>
      </c>
      <c r="D43" s="338" t="inlineStr">
        <is>
          <t>P</t>
        </is>
      </c>
      <c r="E43" s="333" t="n"/>
      <c r="F43" s="333" t="n">
        <v>1</v>
      </c>
      <c r="G43" s="333" t="n">
        <v>1</v>
      </c>
      <c r="H43" s="333" t="n">
        <v>1</v>
      </c>
      <c r="I43" s="333" t="n">
        <v>1</v>
      </c>
      <c r="J43" s="333" t="n">
        <v>1</v>
      </c>
      <c r="K43" s="332" t="n">
        <v>1</v>
      </c>
      <c r="L43" s="333" t="n"/>
      <c r="M43" s="333" t="n">
        <v>1</v>
      </c>
      <c r="N43" s="333" t="n">
        <v>1</v>
      </c>
      <c r="O43" s="333" t="n">
        <v>1</v>
      </c>
      <c r="P43" s="333" t="n">
        <v>1</v>
      </c>
      <c r="Q43" s="333" t="n">
        <v>1</v>
      </c>
      <c r="R43" s="332" t="n">
        <v>1</v>
      </c>
      <c r="S43" s="333" t="n"/>
      <c r="T43" s="333" t="n">
        <v>1</v>
      </c>
      <c r="U43" s="333" t="n">
        <v>1</v>
      </c>
      <c r="V43" s="333" t="n">
        <v>1</v>
      </c>
      <c r="W43" s="333" t="n">
        <v>1</v>
      </c>
      <c r="X43" s="333" t="n">
        <v>1</v>
      </c>
      <c r="Y43" s="332" t="n">
        <v>1</v>
      </c>
      <c r="Z43" s="333" t="n"/>
      <c r="AA43" s="333" t="n">
        <v>1</v>
      </c>
      <c r="AB43" s="333" t="n">
        <v>1</v>
      </c>
      <c r="AC43" s="333" t="n">
        <v>1</v>
      </c>
      <c r="AD43" s="333" t="n">
        <v>1</v>
      </c>
      <c r="AE43" s="333" t="n">
        <v>1</v>
      </c>
      <c r="AF43" s="332" t="n">
        <v>1</v>
      </c>
      <c r="AG43" s="333" t="n"/>
      <c r="AH43" s="333" t="n">
        <v>1</v>
      </c>
      <c r="AI43" s="1377">
        <f>SUM(D43:AH43)+(COUNTIF(D43:AH43,"0,5KL")/2)+(COUNTIF(D43:AH43,"0,5P")/2)+(COUNTIF(D43:AH43,"0.5L")/2)</f>
        <v/>
      </c>
      <c r="AJ43" s="1377">
        <f>(COUNTIF(D43:AH43,"P"))+(COUNTIF(D43:AG43,"P/2")/2)+(COUNTIF(D43:AG43,"0,5P")/2)+(COUNTIF(D43:AG43,"L/P")/2)+(COUNTIF(D43:AG43,"P/KL")/2)</f>
        <v/>
      </c>
      <c r="AK43" s="1377">
        <f>COUNTIF(D43:AH43,"L")+(COUNTIF(D43:AG43,"L/2")/2)+(COUNTIF(D43:AG43,"L/P")/2)+(COUNTIF(D43:AG43,"L/KL")/2)</f>
        <v/>
      </c>
      <c r="AL43" s="1377">
        <f>COUNTIF(D43:AH43,"KL")+COUNTIF(D43:AG43,"0,5KL")/2+COUNTIF(D43:AG43,"L/KL")/2+COUNTIF(D43:AG43,"KL/2")/2+COUNTIF(D43:AG43,"P/KL")/2+COUNTIF(D43:AG43,"0.5")/2</f>
        <v/>
      </c>
      <c r="AM43" s="1378">
        <f>SUM(AI43:AL43)</f>
        <v/>
      </c>
      <c r="AN43" s="1378">
        <f>AI43+AJ43+AK43</f>
        <v/>
      </c>
      <c r="AO43" s="1378" t="inlineStr">
        <is>
          <t>30/9/2024</t>
        </is>
      </c>
      <c r="AP43" s="319" t="n"/>
      <c r="AQ43" s="319" t="n"/>
      <c r="AR43" s="319" t="n"/>
    </row>
    <row r="44" ht="25.5" customHeight="1" s="1264">
      <c r="A44" s="1376" t="n">
        <v>36</v>
      </c>
      <c r="B44" s="366" t="n"/>
      <c r="C44" s="343" t="inlineStr">
        <is>
          <t>Huỳnh Ngọc Anh</t>
        </is>
      </c>
      <c r="D44" s="340" t="inlineStr">
        <is>
          <t>P</t>
        </is>
      </c>
      <c r="E44" s="333" t="n"/>
      <c r="F44" s="337" t="inlineStr">
        <is>
          <t>P</t>
        </is>
      </c>
      <c r="G44" s="337" t="inlineStr">
        <is>
          <t>P</t>
        </is>
      </c>
      <c r="H44" s="337" t="inlineStr">
        <is>
          <t>P</t>
        </is>
      </c>
      <c r="I44" s="337" t="inlineStr">
        <is>
          <t>P</t>
        </is>
      </c>
      <c r="J44" s="333" t="n">
        <v>1</v>
      </c>
      <c r="K44" s="332" t="n">
        <v>1</v>
      </c>
      <c r="L44" s="333" t="n"/>
      <c r="M44" s="333" t="n">
        <v>1</v>
      </c>
      <c r="N44" s="333" t="n">
        <v>1</v>
      </c>
      <c r="O44" s="333" t="n">
        <v>1</v>
      </c>
      <c r="P44" s="333" t="n">
        <v>1</v>
      </c>
      <c r="Q44" s="333" t="n">
        <v>1</v>
      </c>
      <c r="R44" s="332" t="n">
        <v>1</v>
      </c>
      <c r="S44" s="333" t="n"/>
      <c r="T44" s="333" t="n">
        <v>1</v>
      </c>
      <c r="U44" s="333" t="n">
        <v>1</v>
      </c>
      <c r="V44" s="333" t="n">
        <v>1</v>
      </c>
      <c r="W44" s="333" t="n">
        <v>1</v>
      </c>
      <c r="X44" s="333" t="n">
        <v>1</v>
      </c>
      <c r="Y44" s="332" t="n">
        <v>1</v>
      </c>
      <c r="Z44" s="333" t="n"/>
      <c r="AA44" s="333" t="n">
        <v>1</v>
      </c>
      <c r="AB44" s="333" t="n">
        <v>1</v>
      </c>
      <c r="AC44" s="333" t="n">
        <v>1</v>
      </c>
      <c r="AD44" s="333" t="n">
        <v>1</v>
      </c>
      <c r="AE44" s="333" t="n">
        <v>1</v>
      </c>
      <c r="AF44" s="332" t="n">
        <v>1</v>
      </c>
      <c r="AG44" s="333" t="n"/>
      <c r="AH44" s="333" t="n">
        <v>1</v>
      </c>
      <c r="AI44" s="1377">
        <f>SUM(D44:AH44)+(COUNTIF(D44:AH44,"0,5KL")/2)+(COUNTIF(D44:AH44,"0,5P")/2)+(COUNTIF(D44:AH44,"0.5L")/2)</f>
        <v/>
      </c>
      <c r="AJ44" s="1377">
        <f>(COUNTIF(D44:AH44,"P"))+(COUNTIF(D44:AG44,"P/2")/2)+(COUNTIF(D44:AG44,"0,5P")/2)+(COUNTIF(D44:AG44,"L/P")/2)+(COUNTIF(D44:AG44,"P/KL")/2)</f>
        <v/>
      </c>
      <c r="AK44" s="1377">
        <f>COUNTIF(D44:AH44,"L")+(COUNTIF(D44:AG44,"L/2")/2)+(COUNTIF(D44:AG44,"L/P")/2)+(COUNTIF(D44:AG44,"L/KL")/2)</f>
        <v/>
      </c>
      <c r="AL44" s="1377">
        <f>COUNTIF(D44:AH44,"KL")+COUNTIF(D44:AG44,"0,5KL")/2+COUNTIF(D44:AG44,"L/KL")/2+COUNTIF(D44:AG44,"KL/2")/2+COUNTIF(D44:AG44,"P/KL")/2+COUNTIF(D44:AG44,"0.5")/2</f>
        <v/>
      </c>
      <c r="AM44" s="1378">
        <f>SUM(AI44:AL44)</f>
        <v/>
      </c>
      <c r="AN44" s="1378">
        <f>AI44+AJ44+AK44</f>
        <v/>
      </c>
      <c r="AO44" s="1379" t="inlineStr">
        <is>
          <t>02/6/2025</t>
        </is>
      </c>
      <c r="AP44" s="319" t="n"/>
      <c r="AQ44" s="319" t="n"/>
      <c r="AR44" s="319" t="n"/>
    </row>
    <row r="45" ht="25.5" customHeight="1" s="1264">
      <c r="A45" s="1376" t="n">
        <v>37</v>
      </c>
      <c r="B45" s="366" t="n"/>
      <c r="C45" s="367" t="inlineStr">
        <is>
          <t>Vũ Ngọc Thanh Thảo</t>
        </is>
      </c>
      <c r="D45" s="332" t="n">
        <v>1</v>
      </c>
      <c r="E45" s="333" t="n"/>
      <c r="F45" s="333" t="n">
        <v>1</v>
      </c>
      <c r="G45" s="333" t="n">
        <v>1</v>
      </c>
      <c r="H45" s="333" t="n">
        <v>1</v>
      </c>
      <c r="I45" s="333" t="n">
        <v>1</v>
      </c>
      <c r="J45" s="333" t="n">
        <v>1</v>
      </c>
      <c r="K45" s="332" t="n">
        <v>1</v>
      </c>
      <c r="L45" s="333" t="n"/>
      <c r="M45" s="333" t="n">
        <v>1</v>
      </c>
      <c r="N45" s="333" t="n">
        <v>1</v>
      </c>
      <c r="O45" s="333" t="n">
        <v>1</v>
      </c>
      <c r="P45" s="333" t="n">
        <v>1</v>
      </c>
      <c r="Q45" s="333" t="n">
        <v>1</v>
      </c>
      <c r="R45" s="332" t="n">
        <v>1</v>
      </c>
      <c r="S45" s="333" t="n"/>
      <c r="T45" s="333" t="inlineStr">
        <is>
          <t>P</t>
        </is>
      </c>
      <c r="U45" s="333" t="n">
        <v>1</v>
      </c>
      <c r="V45" s="333" t="n">
        <v>1</v>
      </c>
      <c r="W45" s="333" t="n">
        <v>1</v>
      </c>
      <c r="X45" s="333" t="n">
        <v>1</v>
      </c>
      <c r="Y45" s="332" t="n">
        <v>1</v>
      </c>
      <c r="Z45" s="333" t="n"/>
      <c r="AA45" s="333" t="n">
        <v>1</v>
      </c>
      <c r="AB45" s="333" t="n">
        <v>1</v>
      </c>
      <c r="AC45" s="333" t="n">
        <v>1</v>
      </c>
      <c r="AD45" s="333" t="n">
        <v>1</v>
      </c>
      <c r="AE45" s="333" t="n">
        <v>1</v>
      </c>
      <c r="AF45" s="332" t="n">
        <v>1</v>
      </c>
      <c r="AG45" s="333" t="n"/>
      <c r="AH45" s="333" t="n">
        <v>1</v>
      </c>
      <c r="AI45" s="1377">
        <f>SUM(D45:AH45)+(COUNTIF(D45:AH45,"0,5KL")/2)+(COUNTIF(D45:AH45,"0,5P")/2)+(COUNTIF(D45:AH45,"0.5L")/2)</f>
        <v/>
      </c>
      <c r="AJ45" s="1377">
        <f>(COUNTIF(D45:AH45,"P"))+(COUNTIF(D45:AG45,"P/2")/2)+(COUNTIF(D45:AG45,"0,5P")/2)+(COUNTIF(D45:AG45,"L/P")/2)+(COUNTIF(D45:AG45,"P/KL")/2)</f>
        <v/>
      </c>
      <c r="AK45" s="1377">
        <f>COUNTIF(D45:AH45,"L")+(COUNTIF(D45:AG45,"L/2")/2)+(COUNTIF(D45:AG45,"L/P")/2)+(COUNTIF(D45:AG45,"L/KL")/2)</f>
        <v/>
      </c>
      <c r="AL45" s="1377">
        <f>COUNTIF(D45:AH45,"KL")+COUNTIF(D45:AG45,"0,5KL")/2+COUNTIF(D45:AG45,"L/KL")/2+COUNTIF(D45:AG45,"KL/2")/2+COUNTIF(D45:AG45,"P/KL")/2+COUNTIF(D45:AG45,"0.5")/2</f>
        <v/>
      </c>
      <c r="AM45" s="1378">
        <f>SUM(AI45:AL45)</f>
        <v/>
      </c>
      <c r="AN45" s="1378">
        <f>AI45+AJ45+AK45</f>
        <v/>
      </c>
      <c r="AO45" s="1378" t="inlineStr">
        <is>
          <t>7/7/2025</t>
        </is>
      </c>
      <c r="AP45" s="319" t="n"/>
      <c r="AQ45" s="319" t="n"/>
      <c r="AR45" s="319" t="n"/>
    </row>
    <row r="46" ht="25.5" customHeight="1" s="1264">
      <c r="A46" s="1376" t="n">
        <v>38</v>
      </c>
      <c r="B46" s="366" t="n"/>
      <c r="C46" s="367" t="inlineStr">
        <is>
          <t>Lê Ngọc Anh</t>
        </is>
      </c>
      <c r="D46" s="332" t="n">
        <v>1</v>
      </c>
      <c r="E46" s="333" t="n"/>
      <c r="F46" s="333" t="n">
        <v>1</v>
      </c>
      <c r="G46" s="333" t="n">
        <v>1</v>
      </c>
      <c r="H46" s="333" t="n">
        <v>1</v>
      </c>
      <c r="I46" s="333" t="n">
        <v>1</v>
      </c>
      <c r="J46" s="333" t="n">
        <v>1</v>
      </c>
      <c r="K46" s="332" t="n">
        <v>1</v>
      </c>
      <c r="L46" s="333" t="n"/>
      <c r="M46" s="333" t="n">
        <v>1</v>
      </c>
      <c r="N46" s="333" t="n">
        <v>1</v>
      </c>
      <c r="O46" s="333" t="n">
        <v>1</v>
      </c>
      <c r="P46" s="333" t="n">
        <v>1</v>
      </c>
      <c r="Q46" s="333" t="n">
        <v>1</v>
      </c>
      <c r="R46" s="332" t="n">
        <v>1</v>
      </c>
      <c r="S46" s="333" t="n"/>
      <c r="T46" s="333" t="n">
        <v>1</v>
      </c>
      <c r="U46" s="333" t="n">
        <v>1</v>
      </c>
      <c r="V46" s="333" t="n">
        <v>1</v>
      </c>
      <c r="W46" s="333" t="n">
        <v>1</v>
      </c>
      <c r="X46" s="333" t="n">
        <v>1</v>
      </c>
      <c r="Y46" s="332" t="n">
        <v>1</v>
      </c>
      <c r="Z46" s="333" t="n"/>
      <c r="AA46" s="333" t="n">
        <v>1</v>
      </c>
      <c r="AB46" s="333" t="n">
        <v>1</v>
      </c>
      <c r="AC46" s="333" t="n">
        <v>1</v>
      </c>
      <c r="AD46" s="333" t="n">
        <v>1</v>
      </c>
      <c r="AE46" s="333" t="n">
        <v>1</v>
      </c>
      <c r="AF46" s="332" t="n">
        <v>1</v>
      </c>
      <c r="AG46" s="333" t="n"/>
      <c r="AH46" s="333" t="n">
        <v>1</v>
      </c>
      <c r="AI46" s="1377">
        <f>SUM(D46:AH46)+(COUNTIF(D46:AH46,"0,5KL")/2)+(COUNTIF(D46:AH46,"0,5P")/2)+(COUNTIF(D46:AH46,"0.5L")/2)</f>
        <v/>
      </c>
      <c r="AJ46" s="1377">
        <f>(COUNTIF(D46:AH46,"P"))+(COUNTIF(D46:AG46,"P/2")/2)+(COUNTIF(D46:AG46,"0,5P")/2)+(COUNTIF(D46:AG46,"L/P")/2)+(COUNTIF(D46:AG46,"P/KL")/2)</f>
        <v/>
      </c>
      <c r="AK46" s="1377">
        <f>COUNTIF(D46:AH46,"L")+(COUNTIF(D46:AG46,"L/2")/2)+(COUNTIF(D46:AG46,"L/P")/2)+(COUNTIF(D46:AG46,"L/KL")/2)</f>
        <v/>
      </c>
      <c r="AL46" s="1377">
        <f>COUNTIF(D46:AH46,"KL")+COUNTIF(D46:AG46,"0,5KL")/2+COUNTIF(D46:AG46,"L/KL")/2+COUNTIF(D46:AG46,"KL/2")/2+COUNTIF(D46:AG46,"P/KL")/2+COUNTIF(D46:AG46,"0.5")/2</f>
        <v/>
      </c>
      <c r="AM46" s="1378">
        <f>SUM(AI46:AL46)</f>
        <v/>
      </c>
      <c r="AN46" s="1378">
        <f>AI46+AJ46+AK46</f>
        <v/>
      </c>
      <c r="AO46" s="368" t="inlineStr">
        <is>
          <t>14/07/2025</t>
        </is>
      </c>
      <c r="AP46" s="319" t="n"/>
      <c r="AQ46" s="319" t="n"/>
      <c r="AR46" s="319" t="n"/>
    </row>
    <row r="47" ht="25.5" customHeight="1" s="1264">
      <c r="A47" s="1376" t="n">
        <v>39</v>
      </c>
      <c r="B47" s="367" t="n"/>
      <c r="C47" s="367" t="inlineStr">
        <is>
          <t>Nguyễn Hoàng Yến</t>
        </is>
      </c>
      <c r="D47" s="332" t="n">
        <v>1</v>
      </c>
      <c r="E47" s="333" t="n"/>
      <c r="F47" s="333" t="n">
        <v>1</v>
      </c>
      <c r="G47" s="333" t="n">
        <v>1</v>
      </c>
      <c r="H47" s="333" t="n">
        <v>1</v>
      </c>
      <c r="I47" s="333" t="n">
        <v>1</v>
      </c>
      <c r="J47" s="333" t="n">
        <v>1</v>
      </c>
      <c r="K47" s="332" t="n">
        <v>1</v>
      </c>
      <c r="L47" s="333" t="n"/>
      <c r="M47" s="333" t="n">
        <v>1</v>
      </c>
      <c r="N47" s="333" t="n">
        <v>1</v>
      </c>
      <c r="O47" s="333" t="n">
        <v>1</v>
      </c>
      <c r="P47" s="333" t="n">
        <v>1</v>
      </c>
      <c r="Q47" s="333" t="n">
        <v>1</v>
      </c>
      <c r="R47" s="332" t="n">
        <v>1</v>
      </c>
      <c r="S47" s="333" t="n"/>
      <c r="T47" s="333" t="n">
        <v>1</v>
      </c>
      <c r="U47" s="333" t="n">
        <v>1</v>
      </c>
      <c r="V47" s="333" t="n">
        <v>1</v>
      </c>
      <c r="W47" s="333" t="n">
        <v>1</v>
      </c>
      <c r="X47" s="333" t="n">
        <v>1</v>
      </c>
      <c r="Y47" s="332" t="n">
        <v>1</v>
      </c>
      <c r="Z47" s="333" t="n"/>
      <c r="AA47" s="333" t="n">
        <v>1</v>
      </c>
      <c r="AB47" s="333" t="n">
        <v>1</v>
      </c>
      <c r="AC47" s="333" t="n">
        <v>1</v>
      </c>
      <c r="AD47" s="333" t="n">
        <v>1</v>
      </c>
      <c r="AE47" s="333" t="n">
        <v>1</v>
      </c>
      <c r="AF47" s="332" t="n">
        <v>1</v>
      </c>
      <c r="AG47" s="333" t="n"/>
      <c r="AH47" s="333" t="n">
        <v>1</v>
      </c>
      <c r="AI47" s="1377">
        <f>SUM(D47:AH47)+(COUNTIF(D47:AH47,"0,5KL")/2)+(COUNTIF(D47:AH47,"0,5P")/2)+(COUNTIF(D47:AH47,"0.5L")/2)</f>
        <v/>
      </c>
      <c r="AJ47" s="1377">
        <f>(COUNTIF(D47:AH47,"P"))+(COUNTIF(D47:AG47,"P/2")/2)+(COUNTIF(D47:AG47,"0,5P")/2)+(COUNTIF(D47:AG47,"L/P")/2)+(COUNTIF(D47:AG47,"P/KL")/2)</f>
        <v/>
      </c>
      <c r="AK47" s="1377">
        <f>COUNTIF(D47:AH47,"L")+(COUNTIF(D47:AG47,"L/2")/2)+(COUNTIF(D47:AG47,"L/P")/2)+(COUNTIF(D47:AG47,"L/KL")/2)</f>
        <v/>
      </c>
      <c r="AL47" s="1377">
        <f>COUNTIF(D47:AH47,"KL")+COUNTIF(D47:AG47,"0,5KL")/2+COUNTIF(D47:AG47,"L/KL")/2+COUNTIF(D47:AG47,"KL/2")/2+COUNTIF(D47:AG47,"P/KL")/2+COUNTIF(D47:AG47,"0.5")/2</f>
        <v/>
      </c>
      <c r="AM47" s="1378">
        <f>SUM(AI47:AL47)</f>
        <v/>
      </c>
      <c r="AN47" s="1378">
        <f>AI47+AJ47+AK47</f>
        <v/>
      </c>
      <c r="AO47" s="1378" t="inlineStr">
        <is>
          <t>8/7/2025</t>
        </is>
      </c>
      <c r="AP47" s="319" t="n"/>
      <c r="AQ47" s="319" t="n"/>
      <c r="AR47" s="319" t="n"/>
    </row>
    <row r="48" ht="25.5" customHeight="1" s="1264">
      <c r="A48" s="1376" t="n">
        <v>40</v>
      </c>
      <c r="B48" s="366" t="n"/>
      <c r="C48" s="367" t="inlineStr">
        <is>
          <t>Đặng Thiên Ân</t>
        </is>
      </c>
      <c r="D48" s="332" t="n">
        <v>1</v>
      </c>
      <c r="E48" s="333" t="n"/>
      <c r="F48" s="333" t="n">
        <v>1</v>
      </c>
      <c r="G48" s="333" t="n">
        <v>1</v>
      </c>
      <c r="H48" s="333" t="n">
        <v>1</v>
      </c>
      <c r="I48" s="333" t="n">
        <v>1</v>
      </c>
      <c r="J48" s="333" t="n">
        <v>1</v>
      </c>
      <c r="K48" s="332" t="n">
        <v>1</v>
      </c>
      <c r="L48" s="333" t="n"/>
      <c r="M48" s="333" t="n">
        <v>1</v>
      </c>
      <c r="N48" s="333" t="n">
        <v>1</v>
      </c>
      <c r="O48" s="333" t="n">
        <v>1</v>
      </c>
      <c r="P48" s="333" t="n">
        <v>1</v>
      </c>
      <c r="Q48" s="333" t="n">
        <v>1</v>
      </c>
      <c r="R48" s="332" t="n">
        <v>1</v>
      </c>
      <c r="S48" s="333" t="n"/>
      <c r="T48" s="333" t="n">
        <v>1</v>
      </c>
      <c r="U48" s="333" t="n">
        <v>1</v>
      </c>
      <c r="V48" s="333" t="n">
        <v>1</v>
      </c>
      <c r="W48" s="333" t="n">
        <v>1</v>
      </c>
      <c r="X48" s="369" t="n"/>
      <c r="Y48" s="332" t="n">
        <v>1</v>
      </c>
      <c r="Z48" s="333" t="n"/>
      <c r="AA48" s="333" t="n">
        <v>1</v>
      </c>
      <c r="AB48" s="333" t="n">
        <v>1</v>
      </c>
      <c r="AC48" s="333" t="n">
        <v>1</v>
      </c>
      <c r="AD48" s="333" t="n">
        <v>1</v>
      </c>
      <c r="AE48" s="369" t="n"/>
      <c r="AF48" s="332" t="n"/>
      <c r="AG48" s="333" t="n"/>
      <c r="AH48" s="369" t="n"/>
      <c r="AI48" s="1377">
        <f>SUM(D48:AH48)+(COUNTIF(D48:AH48,"0,5KL")/2)+(COUNTIF(D48:AH48,"0,5P")/2)+(COUNTIF(D48:AH48,"0.5L")/2)</f>
        <v/>
      </c>
      <c r="AJ48" s="1377">
        <f>(COUNTIF(D48:AH48,"P"))+(COUNTIF(D48:AG48,"P/2")/2)+(COUNTIF(D48:AG48,"0,5P")/2)+(COUNTIF(D48:AG48,"L/P")/2)+(COUNTIF(D48:AG48,"P/KL")/2)</f>
        <v/>
      </c>
      <c r="AK48" s="1377">
        <f>COUNTIF(D48:AH48,"L")+(COUNTIF(D48:AG48,"L/2")/2)+(COUNTIF(D48:AG48,"L/P")/2)+(COUNTIF(D48:AG48,"L/KL")/2)</f>
        <v/>
      </c>
      <c r="AL48" s="1377">
        <f>COUNTIF(D48:AH48,"KL")+COUNTIF(D48:AG48,"0,5KL")/2+COUNTIF(D48:AG48,"L/KL")/2+COUNTIF(D48:AG48,"KL/2")/2+COUNTIF(D48:AG48,"P/KL")/2+COUNTIF(D48:AG48,"0.5")/2</f>
        <v/>
      </c>
      <c r="AM48" s="1378">
        <f>SUM(AI48:AL48)</f>
        <v/>
      </c>
      <c r="AN48" s="1378">
        <f>AI48+AJ48+AK48</f>
        <v/>
      </c>
      <c r="AO48" s="1379" t="inlineStr">
        <is>
          <t>26/09/2025</t>
        </is>
      </c>
      <c r="AP48" s="319" t="n"/>
      <c r="AQ48" s="319" t="n"/>
      <c r="AR48" s="319" t="n"/>
    </row>
    <row r="49" ht="25.5" customFormat="1" customHeight="1" s="305">
      <c r="A49" s="1387" t="n">
        <v>41</v>
      </c>
      <c r="B49" s="371" t="n"/>
      <c r="C49" s="372" t="inlineStr">
        <is>
          <t>Lê Thị Bích Ngọc</t>
        </is>
      </c>
      <c r="D49" s="373" t="n">
        <v>1</v>
      </c>
      <c r="E49" s="374" t="n"/>
      <c r="F49" s="374" t="n">
        <v>1</v>
      </c>
      <c r="G49" s="374" t="n">
        <v>1</v>
      </c>
      <c r="H49" s="374" t="n">
        <v>1</v>
      </c>
      <c r="I49" s="375" t="inlineStr">
        <is>
          <t>P</t>
        </is>
      </c>
      <c r="J49" s="375" t="inlineStr">
        <is>
          <t>P</t>
        </is>
      </c>
      <c r="K49" s="338" t="inlineStr">
        <is>
          <t>P</t>
        </is>
      </c>
      <c r="L49" s="374" t="n"/>
      <c r="M49" s="374" t="n">
        <v>1</v>
      </c>
      <c r="N49" s="374" t="n">
        <v>1</v>
      </c>
      <c r="O49" s="374" t="n">
        <v>1</v>
      </c>
      <c r="P49" s="374" t="n">
        <v>1</v>
      </c>
      <c r="Q49" s="374" t="n">
        <v>1</v>
      </c>
      <c r="R49" s="373" t="n">
        <v>1</v>
      </c>
      <c r="S49" s="374" t="n"/>
      <c r="T49" s="374" t="n">
        <v>1</v>
      </c>
      <c r="U49" s="374" t="n">
        <v>1</v>
      </c>
      <c r="V49" s="374" t="n">
        <v>1</v>
      </c>
      <c r="W49" s="374" t="n">
        <v>1</v>
      </c>
      <c r="X49" s="374" t="n">
        <v>1</v>
      </c>
      <c r="Y49" s="373" t="n">
        <v>1</v>
      </c>
      <c r="Z49" s="374" t="n"/>
      <c r="AA49" s="374" t="n">
        <v>1</v>
      </c>
      <c r="AB49" s="374" t="n">
        <v>1</v>
      </c>
      <c r="AC49" s="374" t="n">
        <v>1</v>
      </c>
      <c r="AD49" s="374" t="n">
        <v>1</v>
      </c>
      <c r="AE49" s="374" t="n">
        <v>1</v>
      </c>
      <c r="AF49" s="338" t="inlineStr">
        <is>
          <t>P</t>
        </is>
      </c>
      <c r="AG49" s="374" t="n"/>
      <c r="AH49" s="374" t="n">
        <v>1</v>
      </c>
      <c r="AI49" s="1388">
        <f>SUM(D49:AH49)+(COUNTIF(D49:AH49,"0,5KL")/2)+(COUNTIF(D49:AH49,"0,5P")/2)+(COUNTIF(D49:AH49,"0.5L")/2)</f>
        <v/>
      </c>
      <c r="AJ49" s="1388">
        <f>(COUNTIF(D49:AH49,"P"))+(COUNTIF(D49:AG49,"P/2")/2)+(COUNTIF(D49:AG49,"0,5P")/2)+(COUNTIF(D49:AG49,"L/P")/2)+(COUNTIF(D49:AG49,"P/KL")/2)</f>
        <v/>
      </c>
      <c r="AK49" s="1388">
        <f>COUNTIF(D49:AH49,"L")+(COUNTIF(D49:AG49,"L/2")/2)+(COUNTIF(D49:AG49,"L/P")/2)+(COUNTIF(D49:AG49,"L/KL")/2)</f>
        <v/>
      </c>
      <c r="AL49" s="1388">
        <f>COUNTIF(D49:AH49,"KL")+COUNTIF(D49:AG49,"0,5KL")/2+COUNTIF(D49:AG49,"L/KL")/2+COUNTIF(D49:AG49,"KL/2")/2+COUNTIF(D49:AG49,"P/KL")/2+COUNTIF(D49:AG49,"0.5")/2</f>
        <v/>
      </c>
      <c r="AM49" s="1389">
        <f>SUM(AI49:AL49)</f>
        <v/>
      </c>
      <c r="AN49" s="1389">
        <f>AI49+AJ49+AK49</f>
        <v/>
      </c>
      <c r="AO49" s="1390" t="inlineStr">
        <is>
          <t>02/07/2026</t>
        </is>
      </c>
      <c r="AP49" s="378" t="n"/>
      <c r="AQ49" s="378" t="n"/>
      <c r="AR49" s="378" t="n"/>
    </row>
    <row r="50" ht="25.5" customFormat="1" customHeight="1" s="306">
      <c r="A50" s="1376" t="n">
        <v>42</v>
      </c>
      <c r="B50" s="379" t="n"/>
      <c r="C50" s="380" t="inlineStr">
        <is>
          <t>Từ Thái Tường</t>
        </is>
      </c>
      <c r="D50" s="332" t="n">
        <v>1</v>
      </c>
      <c r="E50" s="333" t="n"/>
      <c r="F50" s="333" t="n">
        <v>1</v>
      </c>
      <c r="G50" s="333" t="n">
        <v>1</v>
      </c>
      <c r="H50" s="333" t="n">
        <v>1</v>
      </c>
      <c r="I50" s="333" t="n">
        <v>1</v>
      </c>
      <c r="J50" s="333" t="n">
        <v>1</v>
      </c>
      <c r="K50" s="332" t="n">
        <v>1</v>
      </c>
      <c r="L50" s="333" t="n"/>
      <c r="M50" s="333" t="n">
        <v>1</v>
      </c>
      <c r="N50" s="333" t="n">
        <v>1</v>
      </c>
      <c r="O50" s="333" t="n">
        <v>1</v>
      </c>
      <c r="P50" s="333" t="n">
        <v>1</v>
      </c>
      <c r="Q50" s="333" t="n">
        <v>1</v>
      </c>
      <c r="R50" s="332" t="n">
        <v>1</v>
      </c>
      <c r="S50" s="333" t="n"/>
      <c r="T50" s="333" t="n">
        <v>1</v>
      </c>
      <c r="U50" s="333" t="n">
        <v>1</v>
      </c>
      <c r="V50" s="333" t="n">
        <v>1</v>
      </c>
      <c r="W50" s="333" t="n">
        <v>1</v>
      </c>
      <c r="X50" s="333" t="n">
        <v>1</v>
      </c>
      <c r="Y50" s="332" t="n">
        <v>1</v>
      </c>
      <c r="Z50" s="333" t="n"/>
      <c r="AA50" s="333" t="n">
        <v>1</v>
      </c>
      <c r="AB50" s="333" t="n">
        <v>1</v>
      </c>
      <c r="AC50" s="333" t="n">
        <v>1</v>
      </c>
      <c r="AD50" s="333" t="n">
        <v>1</v>
      </c>
      <c r="AE50" s="333" t="n">
        <v>1</v>
      </c>
      <c r="AF50" s="332" t="n">
        <v>1</v>
      </c>
      <c r="AG50" s="333" t="n"/>
      <c r="AH50" s="333" t="n">
        <v>1</v>
      </c>
      <c r="AI50" s="1377">
        <f>SUM(D50:AH50)+(COUNTIF(D50:AH50,"0,5KL")/2)+(COUNTIF(D50:AH50,"0,5P")/2)+(COUNTIF(D50:AH50,"0.5L")/2)</f>
        <v/>
      </c>
      <c r="AJ50" s="1377">
        <f>(COUNTIF(D50:AH50,"P"))+(COUNTIF(D50:AG50,"P/2")/2)+(COUNTIF(D50:AG50,"0,5P")/2)+(COUNTIF(D50:AG50,"L/P")/2)+(COUNTIF(D50:AG50,"P/KL")/2)</f>
        <v/>
      </c>
      <c r="AK50" s="1377">
        <f>COUNTIF(D50:AH50,"L")+(COUNTIF(D50:AG50,"L/2")/2)+(COUNTIF(D50:AG50,"L/P")/2)+(COUNTIF(D50:AG50,"L/KL")/2)</f>
        <v/>
      </c>
      <c r="AL50" s="1377">
        <f>COUNTIF(D50:AH50,"KL")+COUNTIF(D50:AG50,"0,5KL")/2+COUNTIF(D50:AG50,"L/KL")/2+COUNTIF(D50:AG50,"KL/2")/2+COUNTIF(D50:AG50,"P/KL")/2+COUNTIF(D50:AG50,"0.5")/2</f>
        <v/>
      </c>
      <c r="AM50" s="1378">
        <f>SUM(AI50:AL50)</f>
        <v/>
      </c>
      <c r="AN50" s="1378">
        <f>AI50+AJ50+AK50</f>
        <v/>
      </c>
      <c r="AO50" s="1391" t="inlineStr">
        <is>
          <t>02/07/2026</t>
        </is>
      </c>
      <c r="AP50" s="381" t="n"/>
      <c r="AQ50" s="381" t="n"/>
      <c r="AR50" s="381" t="n"/>
    </row>
    <row r="51" ht="25.5" customFormat="1" customHeight="1" s="306">
      <c r="A51" s="1376" t="n">
        <v>43</v>
      </c>
      <c r="B51" s="379" t="n"/>
      <c r="C51" s="380" t="inlineStr">
        <is>
          <t>Đào Thanh Sơn</t>
        </is>
      </c>
      <c r="D51" s="332" t="n">
        <v>1</v>
      </c>
      <c r="E51" s="333" t="n"/>
      <c r="F51" s="333" t="n">
        <v>1</v>
      </c>
      <c r="G51" s="333" t="n">
        <v>1</v>
      </c>
      <c r="H51" s="333" t="n">
        <v>1</v>
      </c>
      <c r="I51" s="333" t="n">
        <v>1</v>
      </c>
      <c r="J51" s="333" t="n">
        <v>1</v>
      </c>
      <c r="K51" s="332" t="n">
        <v>1</v>
      </c>
      <c r="L51" s="333" t="n"/>
      <c r="M51" s="333" t="n">
        <v>1</v>
      </c>
      <c r="N51" s="333" t="n">
        <v>1</v>
      </c>
      <c r="O51" s="333" t="n">
        <v>1</v>
      </c>
      <c r="P51" s="333" t="n">
        <v>1</v>
      </c>
      <c r="Q51" s="333" t="n">
        <v>1</v>
      </c>
      <c r="R51" s="332" t="n">
        <v>1</v>
      </c>
      <c r="S51" s="333" t="n"/>
      <c r="T51" s="333" t="n">
        <v>1</v>
      </c>
      <c r="U51" s="333" t="n">
        <v>1</v>
      </c>
      <c r="V51" s="333" t="n">
        <v>1</v>
      </c>
      <c r="W51" s="333" t="n">
        <v>1</v>
      </c>
      <c r="X51" s="333" t="n">
        <v>1</v>
      </c>
      <c r="Y51" s="332" t="n">
        <v>1</v>
      </c>
      <c r="Z51" s="333" t="n"/>
      <c r="AA51" s="333" t="n">
        <v>1</v>
      </c>
      <c r="AB51" s="333" t="n">
        <v>1</v>
      </c>
      <c r="AC51" s="333" t="n">
        <v>1</v>
      </c>
      <c r="AD51" s="333" t="n">
        <v>1</v>
      </c>
      <c r="AE51" s="333" t="n">
        <v>1</v>
      </c>
      <c r="AF51" s="332" t="n">
        <v>1</v>
      </c>
      <c r="AG51" s="333" t="n"/>
      <c r="AH51" s="333" t="n">
        <v>1</v>
      </c>
      <c r="AI51" s="1377">
        <f>SUM(D51:AH51)+(COUNTIF(D51:AH51,"0,5KL")/2)+(COUNTIF(D51:AH51,"0,5P")/2)+(COUNTIF(D51:AH51,"0.5L")/2)</f>
        <v/>
      </c>
      <c r="AJ51" s="1377">
        <f>(COUNTIF(D51:AH51,"P"))+(COUNTIF(D51:AG51,"P/2")/2)+(COUNTIF(D51:AG51,"0,5P")/2)+(COUNTIF(D51:AG51,"L/P")/2)+(COUNTIF(D51:AG51,"P/KL")/2)</f>
        <v/>
      </c>
      <c r="AK51" s="1377">
        <f>COUNTIF(D51:AH51,"L")+(COUNTIF(D51:AG51,"L/2")/2)+(COUNTIF(D51:AG51,"L/P")/2)+(COUNTIF(D51:AG51,"L/KL")/2)</f>
        <v/>
      </c>
      <c r="AL51" s="1377">
        <f>COUNTIF(D51:AH51,"KL")+COUNTIF(D51:AG51,"0,5KL")/2+COUNTIF(D51:AG51,"L/KL")/2+COUNTIF(D51:AG51,"KL/2")/2+COUNTIF(D51:AG51,"P/KL")/2+COUNTIF(D51:AG51,"0.5")/2</f>
        <v/>
      </c>
      <c r="AM51" s="1378">
        <f>SUM(AI51:AL51)</f>
        <v/>
      </c>
      <c r="AN51" s="1378">
        <f>AI51+AJ51+AK51</f>
        <v/>
      </c>
      <c r="AO51" s="1391" t="inlineStr">
        <is>
          <t>13/07/2026</t>
        </is>
      </c>
      <c r="AP51" s="381" t="n"/>
      <c r="AQ51" s="381" t="n"/>
      <c r="AR51" s="381" t="n"/>
    </row>
    <row r="52" ht="25.5" customFormat="1" customHeight="1" s="306">
      <c r="A52" s="1376" t="n">
        <v>44</v>
      </c>
      <c r="B52" s="379" t="n"/>
      <c r="C52" s="380" t="inlineStr">
        <is>
          <t>Trần Anh Tuấn</t>
        </is>
      </c>
      <c r="D52" s="332" t="n">
        <v>1</v>
      </c>
      <c r="E52" s="333" t="n"/>
      <c r="F52" s="333" t="n">
        <v>1</v>
      </c>
      <c r="G52" s="333" t="n">
        <v>1</v>
      </c>
      <c r="H52" s="333" t="n">
        <v>1</v>
      </c>
      <c r="I52" s="333" t="n">
        <v>1</v>
      </c>
      <c r="J52" s="333" t="n">
        <v>1</v>
      </c>
      <c r="K52" s="332" t="n">
        <v>1</v>
      </c>
      <c r="L52" s="333" t="n"/>
      <c r="M52" s="333" t="n">
        <v>1</v>
      </c>
      <c r="N52" s="333" t="n">
        <v>1</v>
      </c>
      <c r="O52" s="333" t="n">
        <v>1</v>
      </c>
      <c r="P52" s="333" t="n">
        <v>1</v>
      </c>
      <c r="Q52" s="333" t="n">
        <v>1</v>
      </c>
      <c r="R52" s="332" t="n">
        <v>1</v>
      </c>
      <c r="S52" s="333" t="n"/>
      <c r="T52" s="333" t="n">
        <v>1</v>
      </c>
      <c r="U52" s="333" t="n">
        <v>1</v>
      </c>
      <c r="V52" s="333" t="n">
        <v>1</v>
      </c>
      <c r="W52" s="333" t="n">
        <v>1</v>
      </c>
      <c r="X52" s="333" t="n">
        <v>1</v>
      </c>
      <c r="Y52" s="332" t="n">
        <v>1</v>
      </c>
      <c r="Z52" s="333" t="n"/>
      <c r="AA52" s="333" t="n">
        <v>1</v>
      </c>
      <c r="AB52" s="333" t="n">
        <v>1</v>
      </c>
      <c r="AC52" s="333" t="n">
        <v>1</v>
      </c>
      <c r="AD52" s="333" t="n">
        <v>1</v>
      </c>
      <c r="AE52" s="333" t="n">
        <v>1</v>
      </c>
      <c r="AF52" s="332" t="n">
        <v>1</v>
      </c>
      <c r="AG52" s="333" t="n"/>
      <c r="AH52" s="333" t="n">
        <v>1</v>
      </c>
      <c r="AI52" s="1377">
        <f>SUM(D52:AH52)+(COUNTIF(D52:AH52,"0,5KL")/2)+(COUNTIF(D52:AH52,"0,5P")/2)+(COUNTIF(D52:AH52,"0.5L")/2)</f>
        <v/>
      </c>
      <c r="AJ52" s="1377">
        <f>(COUNTIF(D52:AH52,"P"))+(COUNTIF(D52:AG52,"P/2")/2)+(COUNTIF(D52:AG52,"0,5P")/2)+(COUNTIF(D52:AG52,"L/P")/2)+(COUNTIF(D52:AG52,"P/KL")/2)</f>
        <v/>
      </c>
      <c r="AK52" s="1377">
        <f>COUNTIF(D52:AH52,"L")+(COUNTIF(D52:AG52,"L/2")/2)+(COUNTIF(D52:AG52,"L/P")/2)+(COUNTIF(D52:AG52,"L/KL")/2)</f>
        <v/>
      </c>
      <c r="AL52" s="1377">
        <f>COUNTIF(D52:AH52,"KL")+COUNTIF(D52:AG52,"0,5KL")/2+COUNTIF(D52:AG52,"L/KL")/2+COUNTIF(D52:AG52,"KL/2")/2+COUNTIF(D52:AG52,"P/KL")/2+COUNTIF(D52:AG52,"0.5")/2</f>
        <v/>
      </c>
      <c r="AM52" s="1378">
        <f>SUM(AI52:AL52)</f>
        <v/>
      </c>
      <c r="AN52" s="1378">
        <f>AI52+AJ52+AK52</f>
        <v/>
      </c>
      <c r="AO52" s="1391" t="inlineStr">
        <is>
          <t>20/07/2026</t>
        </is>
      </c>
      <c r="AP52" s="381" t="n"/>
      <c r="AQ52" s="381" t="n"/>
      <c r="AR52" s="381" t="n"/>
    </row>
    <row r="53" ht="25.5" customFormat="1" customHeight="1" s="306">
      <c r="A53" s="1376" t="n">
        <v>45</v>
      </c>
      <c r="B53" s="379" t="n"/>
      <c r="C53" s="380" t="inlineStr">
        <is>
          <t>Nguyễn Thanh Nhân</t>
        </is>
      </c>
      <c r="D53" s="332" t="n">
        <v>1</v>
      </c>
      <c r="E53" s="333" t="n"/>
      <c r="F53" s="333" t="n">
        <v>1</v>
      </c>
      <c r="G53" s="333" t="n">
        <v>1</v>
      </c>
      <c r="H53" s="333" t="n">
        <v>1</v>
      </c>
      <c r="I53" s="333" t="n">
        <v>1</v>
      </c>
      <c r="J53" s="333" t="n">
        <v>1</v>
      </c>
      <c r="K53" s="332" t="n">
        <v>1</v>
      </c>
      <c r="L53" s="333" t="n"/>
      <c r="M53" s="333" t="n">
        <v>1</v>
      </c>
      <c r="N53" s="333" t="n">
        <v>1</v>
      </c>
      <c r="O53" s="333" t="n">
        <v>1</v>
      </c>
      <c r="P53" s="333" t="n">
        <v>1</v>
      </c>
      <c r="Q53" s="333" t="n">
        <v>1</v>
      </c>
      <c r="R53" s="332" t="n">
        <v>1</v>
      </c>
      <c r="S53" s="333" t="n"/>
      <c r="T53" s="333" t="n">
        <v>1</v>
      </c>
      <c r="U53" s="333" t="n">
        <v>1</v>
      </c>
      <c r="V53" s="333" t="n">
        <v>1</v>
      </c>
      <c r="W53" s="333" t="n">
        <v>1</v>
      </c>
      <c r="X53" s="333" t="n">
        <v>1</v>
      </c>
      <c r="Y53" s="332" t="n">
        <v>1</v>
      </c>
      <c r="Z53" s="333" t="n"/>
      <c r="AA53" s="333" t="n">
        <v>1</v>
      </c>
      <c r="AB53" s="333" t="n">
        <v>1</v>
      </c>
      <c r="AC53" s="333" t="n">
        <v>1</v>
      </c>
      <c r="AD53" s="333" t="n">
        <v>1</v>
      </c>
      <c r="AE53" s="333" t="n">
        <v>1</v>
      </c>
      <c r="AF53" s="332" t="n">
        <v>1</v>
      </c>
      <c r="AG53" s="333" t="n"/>
      <c r="AH53" s="333" t="n">
        <v>1</v>
      </c>
      <c r="AI53" s="1377">
        <f>SUM(D53:AH53)+(COUNTIF(D53:AH53,"0,5KL")/2)+(COUNTIF(D53:AH53,"0,5P")/2)+(COUNTIF(D53:AH53,"0.5L")/2)</f>
        <v/>
      </c>
      <c r="AJ53" s="1377">
        <f>(COUNTIF(D53:AH53,"P"))+(COUNTIF(D53:AG53,"P/2")/2)+(COUNTIF(D53:AG53,"0,5P")/2)+(COUNTIF(D53:AG53,"L/P")/2)+(COUNTIF(D53:AG53,"P/KL")/2)</f>
        <v/>
      </c>
      <c r="AK53" s="1377">
        <f>COUNTIF(D53:AH53,"L")+(COUNTIF(D53:AG53,"L/2")/2)+(COUNTIF(D53:AG53,"L/P")/2)+(COUNTIF(D53:AG53,"L/KL")/2)</f>
        <v/>
      </c>
      <c r="AL53" s="1377">
        <f>COUNTIF(D53:AH53,"KL")+COUNTIF(D53:AG53,"0,5KL")/2+COUNTIF(D53:AG53,"L/KL")/2+COUNTIF(D53:AG53,"KL/2")/2+COUNTIF(D53:AG53,"P/KL")/2+COUNTIF(D53:AG53,"0.5")/2</f>
        <v/>
      </c>
      <c r="AM53" s="1378">
        <f>SUM(AI53:AL53)</f>
        <v/>
      </c>
      <c r="AN53" s="1378">
        <f>AI53+AJ53+AK53</f>
        <v/>
      </c>
      <c r="AO53" s="1391" t="inlineStr">
        <is>
          <t>11/06/2026</t>
        </is>
      </c>
      <c r="AP53" s="381" t="n"/>
      <c r="AQ53" s="381" t="n"/>
      <c r="AR53" s="381" t="n"/>
    </row>
    <row r="54" ht="25.5" customFormat="1" customHeight="1" s="306">
      <c r="A54" s="1376" t="n">
        <v>46</v>
      </c>
      <c r="B54" s="379" t="n"/>
      <c r="C54" s="380" t="inlineStr">
        <is>
          <t>Nguyễn Dạ Minh Châu</t>
        </is>
      </c>
      <c r="D54" s="332" t="n">
        <v>1</v>
      </c>
      <c r="E54" s="333" t="n"/>
      <c r="F54" s="333" t="n">
        <v>1</v>
      </c>
      <c r="G54" s="333" t="n">
        <v>1</v>
      </c>
      <c r="H54" s="333" t="n">
        <v>1</v>
      </c>
      <c r="I54" s="333" t="n">
        <v>1</v>
      </c>
      <c r="J54" s="333" t="n">
        <v>1</v>
      </c>
      <c r="K54" s="332" t="n">
        <v>1</v>
      </c>
      <c r="L54" s="333" t="n"/>
      <c r="M54" s="333" t="n">
        <v>1</v>
      </c>
      <c r="N54" s="333" t="n">
        <v>1</v>
      </c>
      <c r="O54" s="333" t="n">
        <v>1</v>
      </c>
      <c r="P54" s="333" t="n">
        <v>1</v>
      </c>
      <c r="Q54" s="333" t="n">
        <v>1</v>
      </c>
      <c r="R54" s="332" t="n">
        <v>1</v>
      </c>
      <c r="S54" s="333" t="n"/>
      <c r="T54" s="333" t="n">
        <v>1</v>
      </c>
      <c r="U54" s="333" t="n">
        <v>1</v>
      </c>
      <c r="V54" s="333" t="n">
        <v>1</v>
      </c>
      <c r="W54" s="333" t="n">
        <v>1</v>
      </c>
      <c r="X54" s="333" t="n">
        <v>1</v>
      </c>
      <c r="Y54" s="332" t="n">
        <v>1</v>
      </c>
      <c r="Z54" s="333" t="n"/>
      <c r="AA54" s="333" t="n">
        <v>1</v>
      </c>
      <c r="AB54" s="333" t="n">
        <v>1</v>
      </c>
      <c r="AC54" s="333" t="n">
        <v>1</v>
      </c>
      <c r="AD54" s="333" t="n">
        <v>1</v>
      </c>
      <c r="AE54" s="333" t="n">
        <v>1</v>
      </c>
      <c r="AF54" s="332" t="n">
        <v>1</v>
      </c>
      <c r="AG54" s="333" t="n"/>
      <c r="AH54" s="333" t="n">
        <v>1</v>
      </c>
      <c r="AI54" s="1377">
        <f>SUM(D54:AH54)+(COUNTIF(D54:AH54,"0,5KL")/2)+(COUNTIF(D54:AH54,"0,5P")/2)+(COUNTIF(D54:AH54,"0.5L")/2)</f>
        <v/>
      </c>
      <c r="AJ54" s="1377">
        <f>(COUNTIF(D54:AH54,"P"))+(COUNTIF(D54:AG54,"P/2")/2)+(COUNTIF(D54:AG54,"0,5P")/2)+(COUNTIF(D54:AG54,"L/P")/2)+(COUNTIF(D54:AG54,"P/KL")/2)</f>
        <v/>
      </c>
      <c r="AK54" s="1377">
        <f>COUNTIF(D54:AH54,"L")+(COUNTIF(D54:AG54,"L/2")/2)+(COUNTIF(D54:AG54,"L/P")/2)+(COUNTIF(D54:AG54,"L/KL")/2)</f>
        <v/>
      </c>
      <c r="AL54" s="1377">
        <f>COUNTIF(D54:AH54,"KL")+COUNTIF(D54:AG54,"0,5KL")/2+COUNTIF(D54:AG54,"L/KL")/2+COUNTIF(D54:AG54,"KL/2")/2+COUNTIF(D54:AG54,"P/KL")/2+COUNTIF(D54:AG54,"0.5")/2</f>
        <v/>
      </c>
      <c r="AM54" s="1378">
        <f>SUM(AI54:AL54)</f>
        <v/>
      </c>
      <c r="AN54" s="1378">
        <f>AI54+AJ54+AK54</f>
        <v/>
      </c>
      <c r="AO54" s="1391" t="inlineStr">
        <is>
          <t>28/07/2026</t>
        </is>
      </c>
      <c r="AP54" s="381" t="n"/>
      <c r="AQ54" s="381" t="n"/>
      <c r="AR54" s="381" t="n"/>
    </row>
    <row r="55" ht="27" customFormat="1" customHeight="1" s="306">
      <c r="A55" s="1376" t="n">
        <v>47</v>
      </c>
      <c r="B55" s="1392" t="n"/>
      <c r="C55" s="383" t="inlineStr">
        <is>
          <t>Đặng Ngọc Trúc Quỳnh</t>
        </is>
      </c>
      <c r="D55" s="332" t="n">
        <v>1</v>
      </c>
      <c r="E55" s="333" t="n"/>
      <c r="F55" s="333" t="n">
        <v>1</v>
      </c>
      <c r="G55" s="333" t="n">
        <v>1</v>
      </c>
      <c r="H55" s="333" t="n">
        <v>1</v>
      </c>
      <c r="I55" s="333" t="n">
        <v>1</v>
      </c>
      <c r="J55" s="333" t="n">
        <v>1</v>
      </c>
      <c r="K55" s="332" t="n">
        <v>1</v>
      </c>
      <c r="L55" s="333" t="n"/>
      <c r="M55" s="333" t="n">
        <v>1</v>
      </c>
      <c r="N55" s="333" t="n">
        <v>1</v>
      </c>
      <c r="O55" s="333" t="n">
        <v>1</v>
      </c>
      <c r="P55" s="333" t="n">
        <v>1</v>
      </c>
      <c r="Q55" s="333" t="n">
        <v>1</v>
      </c>
      <c r="R55" s="332" t="n">
        <v>1</v>
      </c>
      <c r="S55" s="333" t="n"/>
      <c r="T55" s="333" t="n">
        <v>1</v>
      </c>
      <c r="U55" s="333" t="n">
        <v>1</v>
      </c>
      <c r="V55" s="333" t="n">
        <v>1</v>
      </c>
      <c r="W55" s="333" t="n">
        <v>1</v>
      </c>
      <c r="X55" s="333" t="n">
        <v>1</v>
      </c>
      <c r="Y55" s="332" t="n">
        <v>1</v>
      </c>
      <c r="Z55" s="333" t="n"/>
      <c r="AA55" s="333" t="n">
        <v>1</v>
      </c>
      <c r="AB55" s="333" t="n">
        <v>1</v>
      </c>
      <c r="AC55" s="333" t="n">
        <v>1</v>
      </c>
      <c r="AD55" s="333" t="n">
        <v>1</v>
      </c>
      <c r="AE55" s="333" t="n">
        <v>1</v>
      </c>
      <c r="AF55" s="332" t="n">
        <v>1</v>
      </c>
      <c r="AG55" s="333" t="n"/>
      <c r="AH55" s="333" t="n">
        <v>1</v>
      </c>
      <c r="AI55" s="1377">
        <f>SUM(D55:AH55)+(COUNTIF(D55:AH55,"0,5KL")/2)+(COUNTIF(D55:AH55,"0,5P")/2)+(COUNTIF(D55:AH55,"0.5L")/2)</f>
        <v/>
      </c>
      <c r="AJ55" s="1377">
        <f>(COUNTIF(D55:AH55,"P"))+(COUNTIF(D55:AG55,"P/2")/2)+(COUNTIF(D55:AG55,"0,5P")/2)+(COUNTIF(D55:AG55,"L/P")/2)+(COUNTIF(D55:AG55,"P/KL")/2)</f>
        <v/>
      </c>
      <c r="AK55" s="1377">
        <f>COUNTIF(D55:AH55,"L")+(COUNTIF(D55:AG55,"L/2")/2)+(COUNTIF(D55:AG55,"L/P")/2)+(COUNTIF(D55:AG55,"L/KL")/2)</f>
        <v/>
      </c>
      <c r="AL55" s="1377">
        <f>COUNTIF(D55:AH55,"KL")+COUNTIF(D55:AG55,"0,5KL")/2+COUNTIF(D55:AG55,"L/KL")/2+COUNTIF(D55:AG55,"KL/2")/2+COUNTIF(D55:AG55,"P/KL")/2+COUNTIF(D55:AG55,"0.5")/2</f>
        <v/>
      </c>
      <c r="AM55" s="1378">
        <f>SUM(AI55:AL55)</f>
        <v/>
      </c>
      <c r="AN55" s="1378">
        <f>AI55+AJ55+AK55</f>
        <v/>
      </c>
      <c r="AO55" s="1391" t="inlineStr">
        <is>
          <t>12/05/2026</t>
        </is>
      </c>
      <c r="AP55" s="384" t="n"/>
      <c r="AQ55" s="384" t="n"/>
      <c r="AR55" s="384" t="n"/>
    </row>
    <row r="56" ht="27" customFormat="1" customHeight="1" s="306">
      <c r="A56" s="1376" t="n">
        <v>48</v>
      </c>
      <c r="B56" s="1392" t="n"/>
      <c r="C56" s="380" t="inlineStr">
        <is>
          <t>Trần Như Quỳnh</t>
        </is>
      </c>
      <c r="D56" s="332" t="n">
        <v>1</v>
      </c>
      <c r="E56" s="333" t="n"/>
      <c r="F56" s="333" t="n">
        <v>1</v>
      </c>
      <c r="G56" s="333" t="n">
        <v>1</v>
      </c>
      <c r="H56" s="333" t="n">
        <v>1</v>
      </c>
      <c r="I56" s="333" t="n">
        <v>1</v>
      </c>
      <c r="J56" s="333" t="n">
        <v>1</v>
      </c>
      <c r="K56" s="332" t="n">
        <v>1</v>
      </c>
      <c r="L56" s="333" t="n"/>
      <c r="M56" s="333" t="n">
        <v>1</v>
      </c>
      <c r="N56" s="333" t="n">
        <v>1</v>
      </c>
      <c r="O56" s="333" t="n">
        <v>1</v>
      </c>
      <c r="P56" s="333" t="n">
        <v>1</v>
      </c>
      <c r="Q56" s="333" t="n">
        <v>1</v>
      </c>
      <c r="R56" s="332" t="n">
        <v>1</v>
      </c>
      <c r="S56" s="333" t="n"/>
      <c r="T56" s="333" t="n">
        <v>1</v>
      </c>
      <c r="U56" s="333" t="n">
        <v>1</v>
      </c>
      <c r="V56" s="333" t="n">
        <v>1</v>
      </c>
      <c r="W56" s="333" t="n">
        <v>1</v>
      </c>
      <c r="X56" s="333" t="n">
        <v>1</v>
      </c>
      <c r="Y56" s="332" t="n">
        <v>1</v>
      </c>
      <c r="Z56" s="333" t="n"/>
      <c r="AA56" s="333" t="n">
        <v>1</v>
      </c>
      <c r="AB56" s="333" t="n">
        <v>1</v>
      </c>
      <c r="AC56" s="333" t="n">
        <v>1</v>
      </c>
      <c r="AD56" s="333" t="n">
        <v>1</v>
      </c>
      <c r="AE56" s="333" t="n">
        <v>1</v>
      </c>
      <c r="AF56" s="332" t="n">
        <v>1</v>
      </c>
      <c r="AG56" s="333" t="n"/>
      <c r="AH56" s="333" t="n">
        <v>1</v>
      </c>
      <c r="AI56" s="1377">
        <f>SUM(D56:AH56)+(COUNTIF(D56:AH56,"0,5KL")/2)+(COUNTIF(D56:AH56,"0,5P")/2)+(COUNTIF(D56:AH56,"0.5L")/2)</f>
        <v/>
      </c>
      <c r="AJ56" s="1377">
        <f>(COUNTIF(D56:AH56,"P"))+(COUNTIF(D56:AG56,"P/2")/2)+(COUNTIF(D56:AG56,"0,5P")/2)+(COUNTIF(D56:AG56,"L/P")/2)+(COUNTIF(D56:AG56,"P/KL")/2)</f>
        <v/>
      </c>
      <c r="AK56" s="1377">
        <f>COUNTIF(D56:AH56,"L")+(COUNTIF(D56:AG56,"L/2")/2)+(COUNTIF(D56:AG56,"L/P")/2)+(COUNTIF(D56:AG56,"L/KL")/2)</f>
        <v/>
      </c>
      <c r="AL56" s="1377">
        <f>COUNTIF(D56:AH56,"KL")+COUNTIF(D56:AG56,"0,5KL")/2+COUNTIF(D56:AG56,"L/KL")/2+COUNTIF(D56:AG56,"KL/2")/2+COUNTIF(D56:AG56,"P/KL")/2+COUNTIF(D56:AG56,"0.5")/2</f>
        <v/>
      </c>
      <c r="AM56" s="1378">
        <f>SUM(AI56:AL56)</f>
        <v/>
      </c>
      <c r="AN56" s="1378">
        <f>AI56+AJ56+AK56</f>
        <v/>
      </c>
      <c r="AO56" s="1391" t="inlineStr">
        <is>
          <t>12/05/2026</t>
        </is>
      </c>
      <c r="AP56" s="384" t="n"/>
      <c r="AQ56" s="384" t="n"/>
      <c r="AR56" s="384" t="n"/>
    </row>
    <row r="57" ht="27" customFormat="1" customHeight="1" s="306">
      <c r="A57" s="1376" t="n">
        <v>49</v>
      </c>
      <c r="B57" s="379" t="n"/>
      <c r="C57" s="380" t="inlineStr">
        <is>
          <t>Lê Thị Ngọc Cầm</t>
        </is>
      </c>
      <c r="D57" s="332" t="n">
        <v>1</v>
      </c>
      <c r="E57" s="333" t="n"/>
      <c r="F57" s="333" t="n">
        <v>1</v>
      </c>
      <c r="G57" s="333" t="n">
        <v>1</v>
      </c>
      <c r="H57" s="333" t="n">
        <v>1</v>
      </c>
      <c r="I57" s="333" t="n">
        <v>1</v>
      </c>
      <c r="J57" s="333" t="n">
        <v>1</v>
      </c>
      <c r="K57" s="332" t="n">
        <v>1</v>
      </c>
      <c r="L57" s="333" t="n"/>
      <c r="M57" s="333" t="n">
        <v>1</v>
      </c>
      <c r="N57" s="333" t="n">
        <v>1</v>
      </c>
      <c r="O57" s="333" t="n">
        <v>1</v>
      </c>
      <c r="P57" s="333" t="n">
        <v>1</v>
      </c>
      <c r="Q57" s="333" t="n">
        <v>1</v>
      </c>
      <c r="R57" s="332" t="n">
        <v>1</v>
      </c>
      <c r="S57" s="333" t="n"/>
      <c r="T57" s="333" t="n">
        <v>1</v>
      </c>
      <c r="U57" s="333" t="n">
        <v>1</v>
      </c>
      <c r="V57" s="333" t="n">
        <v>1</v>
      </c>
      <c r="W57" s="333" t="n">
        <v>1</v>
      </c>
      <c r="X57" s="333" t="n">
        <v>1</v>
      </c>
      <c r="Y57" s="332" t="n">
        <v>1</v>
      </c>
      <c r="Z57" s="333" t="n"/>
      <c r="AA57" s="333" t="n">
        <v>1</v>
      </c>
      <c r="AB57" s="333" t="n">
        <v>1</v>
      </c>
      <c r="AC57" s="333" t="n">
        <v>1</v>
      </c>
      <c r="AD57" s="333" t="n">
        <v>1</v>
      </c>
      <c r="AE57" s="333" t="n">
        <v>1</v>
      </c>
      <c r="AF57" s="332" t="n">
        <v>1</v>
      </c>
      <c r="AG57" s="333" t="n"/>
      <c r="AH57" s="333" t="n">
        <v>1</v>
      </c>
      <c r="AI57" s="1377">
        <f>SUM(D57:AH57)+(COUNTIF(D57:AH57,"0,5KL")/2)+(COUNTIF(D57:AH57,"0,5P")/2)+(COUNTIF(D57:AH57,"0.5L")/2)</f>
        <v/>
      </c>
      <c r="AJ57" s="1377">
        <f>(COUNTIF(D57:AH57,"P"))+(COUNTIF(D57:AG57,"P/2")/2)+(COUNTIF(D57:AG57,"0,5P")/2)+(COUNTIF(D57:AG57,"L/P")/2)+(COUNTIF(D57:AG57,"P/KL")/2)</f>
        <v/>
      </c>
      <c r="AK57" s="1377">
        <f>COUNTIF(D57:AH57,"L")+(COUNTIF(D57:AG57,"L/2")/2)+(COUNTIF(D57:AG57,"L/P")/2)+(COUNTIF(D57:AG57,"L/KL")/2)</f>
        <v/>
      </c>
      <c r="AL57" s="1377">
        <f>COUNTIF(D57:AH57,"KL")+COUNTIF(D57:AG57,"0,5KL")/2+COUNTIF(D57:AG57,"L/KL")/2+COUNTIF(D57:AG57,"KL/2")/2+COUNTIF(D57:AG57,"P/KL")/2+COUNTIF(D57:AG57,"0.5")/2</f>
        <v/>
      </c>
      <c r="AM57" s="1378">
        <f>SUM(AI57:AL57)</f>
        <v/>
      </c>
      <c r="AN57" s="1378">
        <f>AI57+AJ57+AK57</f>
        <v/>
      </c>
      <c r="AO57" s="1391" t="inlineStr">
        <is>
          <t>24/07/2026</t>
        </is>
      </c>
      <c r="AP57" s="384" t="n"/>
      <c r="AQ57" s="384" t="n"/>
      <c r="AR57" s="384" t="n"/>
    </row>
    <row r="58" ht="27" customFormat="1" customHeight="1" s="306">
      <c r="A58" s="1376" t="n">
        <v>50</v>
      </c>
      <c r="B58" s="1392" t="n"/>
      <c r="C58" s="383" t="inlineStr">
        <is>
          <t>Hồ Phạm Minh Tiến</t>
        </is>
      </c>
      <c r="D58" s="332" t="n">
        <v>1</v>
      </c>
      <c r="E58" s="333" t="n"/>
      <c r="F58" s="333" t="n">
        <v>1</v>
      </c>
      <c r="G58" s="333" t="n">
        <v>1</v>
      </c>
      <c r="H58" s="333" t="n">
        <v>1</v>
      </c>
      <c r="I58" s="333" t="n">
        <v>1</v>
      </c>
      <c r="J58" s="333" t="n">
        <v>1</v>
      </c>
      <c r="K58" s="332" t="n">
        <v>1</v>
      </c>
      <c r="L58" s="333" t="n"/>
      <c r="M58" s="333" t="n">
        <v>1</v>
      </c>
      <c r="N58" s="333" t="n">
        <v>1</v>
      </c>
      <c r="O58" s="333" t="n">
        <v>1</v>
      </c>
      <c r="P58" s="333" t="n">
        <v>1</v>
      </c>
      <c r="Q58" s="333" t="n">
        <v>1</v>
      </c>
      <c r="R58" s="332" t="n">
        <v>1</v>
      </c>
      <c r="S58" s="333" t="n"/>
      <c r="T58" s="333" t="n">
        <v>1</v>
      </c>
      <c r="U58" s="333" t="n">
        <v>1</v>
      </c>
      <c r="V58" s="333" t="n">
        <v>1</v>
      </c>
      <c r="W58" s="333" t="n">
        <v>1</v>
      </c>
      <c r="X58" s="333" t="n">
        <v>1</v>
      </c>
      <c r="Y58" s="332" t="n">
        <v>1</v>
      </c>
      <c r="Z58" s="333" t="n"/>
      <c r="AA58" s="333" t="n">
        <v>1</v>
      </c>
      <c r="AB58" s="333" t="n">
        <v>1</v>
      </c>
      <c r="AC58" s="333" t="n">
        <v>1</v>
      </c>
      <c r="AD58" s="333" t="n">
        <v>1</v>
      </c>
      <c r="AE58" s="333" t="n">
        <v>1</v>
      </c>
      <c r="AF58" s="332" t="n">
        <v>1</v>
      </c>
      <c r="AG58" s="333" t="n"/>
      <c r="AH58" s="333" t="n">
        <v>1</v>
      </c>
      <c r="AI58" s="1377">
        <f>SUM(D58:AH58)+(COUNTIF(D58:AH58,"0,5KL")/2)+(COUNTIF(D58:AH58,"0,5P")/2)+(COUNTIF(D58:AH58,"0.5L")/2)</f>
        <v/>
      </c>
      <c r="AJ58" s="1377">
        <f>(COUNTIF(D58:AH58,"P"))+(COUNTIF(D58:AG58,"P/2")/2)+(COUNTIF(D58:AG58,"0,5P")/2)+(COUNTIF(D58:AG58,"L/P")/2)+(COUNTIF(D58:AG58,"P/KL")/2)</f>
        <v/>
      </c>
      <c r="AK58" s="1377">
        <f>COUNTIF(D58:AH58,"L")+(COUNTIF(D58:AG58,"L/2")/2)+(COUNTIF(D58:AG58,"L/P")/2)+(COUNTIF(D58:AG58,"L/KL")/2)</f>
        <v/>
      </c>
      <c r="AL58" s="1377">
        <f>COUNTIF(D58:AH58,"KL")+COUNTIF(D58:AG58,"0,5KL")/2+COUNTIF(D58:AG58,"L/KL")/2+COUNTIF(D58:AG58,"KL/2")/2+COUNTIF(D58:AG58,"P/KL")/2+COUNTIF(D58:AG58,"0.5")/2</f>
        <v/>
      </c>
      <c r="AM58" s="1378">
        <f>SUM(AI58:AL58)</f>
        <v/>
      </c>
      <c r="AN58" s="1378">
        <f>AI58+AJ58+AK58</f>
        <v/>
      </c>
      <c r="AO58" s="1391" t="inlineStr">
        <is>
          <t>23/04/2026</t>
        </is>
      </c>
      <c r="AP58" s="384" t="n"/>
      <c r="AQ58" s="384" t="n"/>
      <c r="AR58" s="384" t="n"/>
    </row>
    <row r="59" ht="27" customFormat="1" customHeight="1" s="306">
      <c r="A59" s="1376" t="n">
        <v>51</v>
      </c>
      <c r="B59" s="1392" t="n"/>
      <c r="C59" s="385" t="inlineStr">
        <is>
          <t>Vũ Thị Thùy Ngân</t>
        </is>
      </c>
      <c r="D59" s="332" t="n"/>
      <c r="E59" s="333" t="n"/>
      <c r="F59" s="333" t="n"/>
      <c r="G59" s="333" t="n"/>
      <c r="H59" s="333" t="n">
        <v>1</v>
      </c>
      <c r="I59" s="333" t="n">
        <v>1</v>
      </c>
      <c r="J59" s="333" t="n">
        <v>1</v>
      </c>
      <c r="K59" s="332" t="n">
        <v>1</v>
      </c>
      <c r="L59" s="333" t="n"/>
      <c r="M59" s="333" t="n">
        <v>1</v>
      </c>
      <c r="N59" s="333" t="n">
        <v>1</v>
      </c>
      <c r="O59" s="333" t="n">
        <v>1</v>
      </c>
      <c r="P59" s="333" t="n">
        <v>1</v>
      </c>
      <c r="Q59" s="333" t="n">
        <v>1</v>
      </c>
      <c r="R59" s="332" t="n">
        <v>1</v>
      </c>
      <c r="S59" s="333" t="n"/>
      <c r="T59" s="333" t="n">
        <v>1</v>
      </c>
      <c r="U59" s="333" t="n">
        <v>1</v>
      </c>
      <c r="V59" s="333" t="n">
        <v>1</v>
      </c>
      <c r="W59" s="333" t="n">
        <v>1</v>
      </c>
      <c r="X59" s="333" t="n">
        <v>1</v>
      </c>
      <c r="Y59" s="332" t="n">
        <v>1</v>
      </c>
      <c r="Z59" s="333" t="n"/>
      <c r="AA59" s="333" t="n">
        <v>1</v>
      </c>
      <c r="AB59" s="333" t="n">
        <v>1</v>
      </c>
      <c r="AC59" s="333" t="n">
        <v>1</v>
      </c>
      <c r="AD59" s="333" t="n">
        <v>1</v>
      </c>
      <c r="AE59" s="333" t="n">
        <v>1</v>
      </c>
      <c r="AF59" s="332" t="n">
        <v>1</v>
      </c>
      <c r="AG59" s="333" t="n"/>
      <c r="AH59" s="333" t="n">
        <v>1</v>
      </c>
      <c r="AI59" s="1377">
        <f>SUM(D59:AH59)+(COUNTIF(D59:AH59,"0,5KL")/2)+(COUNTIF(D59:AH59,"0,5P")/2)+(COUNTIF(D59:AH59,"0.5L")/2)</f>
        <v/>
      </c>
      <c r="AJ59" s="1377">
        <f>(COUNTIF(D59:AH59,"P"))+(COUNTIF(D59:AG59,"P/2")/2)+(COUNTIF(D59:AG59,"0,5P")/2)+(COUNTIF(D59:AG59,"L/P")/2)+(COUNTIF(D59:AG59,"P/KL")/2)</f>
        <v/>
      </c>
      <c r="AK59" s="1377">
        <f>COUNTIF(D59:AH59,"L")+(COUNTIF(D59:AG59,"L/2")/2)+(COUNTIF(D59:AG59,"L/P")/2)+(COUNTIF(D59:AG59,"L/KL")/2)</f>
        <v/>
      </c>
      <c r="AL59" s="1377">
        <f>COUNTIF(D59:AH59,"KL")+COUNTIF(D59:AG59,"0,5KL")/2+COUNTIF(D59:AG59,"L/KL")/2+COUNTIF(D59:AG59,"KL/2")/2+COUNTIF(D59:AG59,"P/KL")/2+COUNTIF(D59:AG59,"0.5")/2</f>
        <v/>
      </c>
      <c r="AM59" s="1378">
        <f>SUM(AI59:AL59)</f>
        <v/>
      </c>
      <c r="AN59" s="1378">
        <f>AI59+AJ59+AK59</f>
        <v/>
      </c>
      <c r="AO59" s="1191" t="inlineStr">
        <is>
          <t>05/08/2026</t>
        </is>
      </c>
      <c r="AP59" s="384" t="n"/>
      <c r="AQ59" s="384" t="n"/>
      <c r="AR59" s="384" t="n"/>
    </row>
    <row r="60" ht="27" customFormat="1" customHeight="1" s="306">
      <c r="A60" s="1376" t="n">
        <v>52</v>
      </c>
      <c r="B60" s="1392" t="n"/>
      <c r="C60" s="385" t="inlineStr">
        <is>
          <t>Hứa Thị Tuyết Trang</t>
        </is>
      </c>
      <c r="D60" s="332" t="n"/>
      <c r="E60" s="333" t="n"/>
      <c r="F60" s="333" t="n"/>
      <c r="G60" s="333" t="n"/>
      <c r="H60" s="333" t="n">
        <v>1</v>
      </c>
      <c r="I60" s="333" t="n">
        <v>1</v>
      </c>
      <c r="J60" s="333" t="n">
        <v>1</v>
      </c>
      <c r="K60" s="332" t="n">
        <v>1</v>
      </c>
      <c r="L60" s="333" t="n"/>
      <c r="M60" s="333" t="n">
        <v>1</v>
      </c>
      <c r="N60" s="333" t="n">
        <v>1</v>
      </c>
      <c r="O60" s="333" t="n">
        <v>1</v>
      </c>
      <c r="P60" s="333" t="n">
        <v>1</v>
      </c>
      <c r="Q60" s="333" t="n">
        <v>1</v>
      </c>
      <c r="R60" s="332" t="n">
        <v>1</v>
      </c>
      <c r="S60" s="333" t="n"/>
      <c r="T60" s="333" t="n">
        <v>1</v>
      </c>
      <c r="U60" s="333" t="n">
        <v>1</v>
      </c>
      <c r="V60" s="333" t="n">
        <v>1</v>
      </c>
      <c r="W60" s="333" t="n">
        <v>1</v>
      </c>
      <c r="X60" s="333" t="n">
        <v>1</v>
      </c>
      <c r="Y60" s="332" t="n">
        <v>1</v>
      </c>
      <c r="Z60" s="333" t="n"/>
      <c r="AA60" s="333" t="n">
        <v>1</v>
      </c>
      <c r="AB60" s="333" t="n">
        <v>1</v>
      </c>
      <c r="AC60" s="333" t="n">
        <v>1</v>
      </c>
      <c r="AD60" s="333" t="n">
        <v>1</v>
      </c>
      <c r="AE60" s="333" t="n">
        <v>1</v>
      </c>
      <c r="AF60" s="332" t="n">
        <v>1</v>
      </c>
      <c r="AG60" s="333" t="n"/>
      <c r="AH60" s="333" t="n">
        <v>1</v>
      </c>
      <c r="AI60" s="1377">
        <f>SUM(D60:AH60)+(COUNTIF(D60:AH60,"0,5KL")/2)+(COUNTIF(D60:AH60,"0,5P")/2)+(COUNTIF(D60:AH60,"0.5L")/2)</f>
        <v/>
      </c>
      <c r="AJ60" s="1377">
        <f>(COUNTIF(D60:AH60,"P"))+(COUNTIF(D60:AG60,"P/2")/2)+(COUNTIF(D60:AG60,"0,5P")/2)+(COUNTIF(D60:AG60,"L/P")/2)+(COUNTIF(D60:AG60,"P/KL")/2)</f>
        <v/>
      </c>
      <c r="AK60" s="1377">
        <f>COUNTIF(D60:AH60,"L")+(COUNTIF(D60:AG60,"L/2")/2)+(COUNTIF(D60:AG60,"L/P")/2)+(COUNTIF(D60:AG60,"L/KL")/2)</f>
        <v/>
      </c>
      <c r="AL60" s="1377">
        <f>COUNTIF(D60:AH60,"KL")+COUNTIF(D60:AG60,"0,5KL")/2+COUNTIF(D60:AG60,"L/KL")/2+COUNTIF(D60:AG60,"KL/2")/2+COUNTIF(D60:AG60,"P/KL")/2+COUNTIF(D60:AG60,"0.5")/2</f>
        <v/>
      </c>
      <c r="AM60" s="1378">
        <f>SUM(AI60:AL60)</f>
        <v/>
      </c>
      <c r="AN60" s="1378">
        <f>AI60+AJ60+AK60</f>
        <v/>
      </c>
      <c r="AO60" s="1191" t="inlineStr">
        <is>
          <t>05/08/2027</t>
        </is>
      </c>
      <c r="AP60" s="384" t="n"/>
      <c r="AQ60" s="384" t="n"/>
      <c r="AR60" s="384" t="n"/>
    </row>
    <row r="61" ht="27" customFormat="1" customHeight="1" s="306">
      <c r="A61" s="1376" t="n">
        <v>53</v>
      </c>
      <c r="B61" s="1392" t="n"/>
      <c r="C61" s="385" t="inlineStr">
        <is>
          <t>Phạm Thị Hoàng Anh</t>
        </is>
      </c>
      <c r="D61" s="332" t="n"/>
      <c r="E61" s="333" t="n"/>
      <c r="F61" s="333" t="n"/>
      <c r="G61" s="333" t="n"/>
      <c r="H61" s="333" t="n">
        <v>1</v>
      </c>
      <c r="I61" s="333" t="n">
        <v>1</v>
      </c>
      <c r="J61" s="333" t="n">
        <v>1</v>
      </c>
      <c r="K61" s="332" t="n">
        <v>1</v>
      </c>
      <c r="L61" s="333" t="n"/>
      <c r="M61" s="333" t="n">
        <v>1</v>
      </c>
      <c r="N61" s="333" t="n">
        <v>1</v>
      </c>
      <c r="O61" s="333" t="n">
        <v>1</v>
      </c>
      <c r="P61" s="333" t="n">
        <v>1</v>
      </c>
      <c r="Q61" s="333" t="n">
        <v>1</v>
      </c>
      <c r="R61" s="332" t="n">
        <v>1</v>
      </c>
      <c r="S61" s="333" t="n"/>
      <c r="T61" s="333" t="n">
        <v>1</v>
      </c>
      <c r="U61" s="333" t="n">
        <v>1</v>
      </c>
      <c r="V61" s="333" t="n">
        <v>1</v>
      </c>
      <c r="W61" s="333" t="n">
        <v>1</v>
      </c>
      <c r="X61" s="333" t="n">
        <v>1</v>
      </c>
      <c r="Y61" s="332" t="n">
        <v>1</v>
      </c>
      <c r="Z61" s="333" t="n"/>
      <c r="AA61" s="333" t="n">
        <v>1</v>
      </c>
      <c r="AB61" s="333" t="n">
        <v>1</v>
      </c>
      <c r="AC61" s="333" t="n">
        <v>1</v>
      </c>
      <c r="AD61" s="333" t="n">
        <v>1</v>
      </c>
      <c r="AE61" s="333" t="n">
        <v>1</v>
      </c>
      <c r="AF61" s="332" t="n">
        <v>1</v>
      </c>
      <c r="AG61" s="333" t="n"/>
      <c r="AH61" s="333" t="n">
        <v>1</v>
      </c>
      <c r="AI61" s="1377">
        <f>SUM(D61:AH61)+(COUNTIF(D61:AH61,"0,5KL")/2)+(COUNTIF(D61:AH61,"0,5P")/2)+(COUNTIF(D61:AH61,"0.5L")/2)</f>
        <v/>
      </c>
      <c r="AJ61" s="1377">
        <f>(COUNTIF(D61:AH61,"P"))+(COUNTIF(D61:AG61,"P/2")/2)+(COUNTIF(D61:AG61,"0,5P")/2)+(COUNTIF(D61:AG61,"L/P")/2)+(COUNTIF(D61:AG61,"P/KL")/2)</f>
        <v/>
      </c>
      <c r="AK61" s="1377">
        <f>COUNTIF(D61:AH61,"L")+(COUNTIF(D61:AG61,"L/2")/2)+(COUNTIF(D61:AG61,"L/P")/2)+(COUNTIF(D61:AG61,"L/KL")/2)</f>
        <v/>
      </c>
      <c r="AL61" s="1377">
        <f>COUNTIF(D61:AH61,"KL")+COUNTIF(D61:AG61,"0,5KL")/2+COUNTIF(D61:AG61,"L/KL")/2+COUNTIF(D61:AG61,"KL/2")/2+COUNTIF(D61:AG61,"P/KL")/2+COUNTIF(D61:AG61,"0.5")/2</f>
        <v/>
      </c>
      <c r="AM61" s="1378">
        <f>SUM(AI61:AL61)</f>
        <v/>
      </c>
      <c r="AN61" s="1378">
        <f>AI61+AJ61+AK61</f>
        <v/>
      </c>
      <c r="AO61" s="1191" t="inlineStr">
        <is>
          <t>05/08/2028</t>
        </is>
      </c>
      <c r="AP61" s="384" t="n"/>
      <c r="AQ61" s="384" t="n"/>
      <c r="AR61" s="384" t="n"/>
    </row>
    <row r="62" ht="27" customFormat="1" customHeight="1" s="306">
      <c r="A62" s="1376" t="n">
        <v>54</v>
      </c>
      <c r="B62" s="1392" t="n"/>
      <c r="C62" s="385" t="inlineStr">
        <is>
          <t>Lê Quốc Thắng</t>
        </is>
      </c>
      <c r="D62" s="332" t="n"/>
      <c r="E62" s="333" t="n"/>
      <c r="F62" s="333" t="n"/>
      <c r="G62" s="333" t="n"/>
      <c r="H62" s="333" t="n"/>
      <c r="I62" s="333" t="n"/>
      <c r="J62" s="333" t="n"/>
      <c r="K62" s="332" t="n"/>
      <c r="L62" s="333" t="n"/>
      <c r="M62" s="333" t="n"/>
      <c r="N62" s="333" t="n"/>
      <c r="O62" s="333" t="n"/>
      <c r="P62" s="333" t="n"/>
      <c r="Q62" s="333" t="n"/>
      <c r="R62" s="332" t="n"/>
      <c r="S62" s="333" t="n"/>
      <c r="T62" s="333" t="n">
        <v>1</v>
      </c>
      <c r="U62" s="333" t="n">
        <v>1</v>
      </c>
      <c r="V62" s="333" t="n">
        <v>1</v>
      </c>
      <c r="W62" s="333" t="n">
        <v>1</v>
      </c>
      <c r="X62" s="333" t="n">
        <v>1</v>
      </c>
      <c r="Y62" s="332" t="n">
        <v>1</v>
      </c>
      <c r="Z62" s="333" t="n"/>
      <c r="AA62" s="333" t="n">
        <v>1</v>
      </c>
      <c r="AB62" s="333" t="n">
        <v>1</v>
      </c>
      <c r="AC62" s="333" t="n">
        <v>1</v>
      </c>
      <c r="AD62" s="333" t="n">
        <v>1</v>
      </c>
      <c r="AE62" s="333" t="n">
        <v>1</v>
      </c>
      <c r="AF62" s="332" t="n">
        <v>1</v>
      </c>
      <c r="AG62" s="333" t="n"/>
      <c r="AH62" s="333" t="n">
        <v>1</v>
      </c>
      <c r="AI62" s="1377">
        <f>SUM(D62:AH62)+(COUNTIF(D62:AH62,"0,5KL")/2)+(COUNTIF(D62:AH62,"0,5P")/2)+(COUNTIF(D62:AH62,"0.5L")/2)</f>
        <v/>
      </c>
      <c r="AJ62" s="1377">
        <f>(COUNTIF(D62:AH62,"P"))+(COUNTIF(D62:AG62,"P/2")/2)+(COUNTIF(D62:AG62,"0,5P")/2)+(COUNTIF(D62:AG62,"L/P")/2)+(COUNTIF(D62:AG62,"P/KL")/2)</f>
        <v/>
      </c>
      <c r="AK62" s="1377">
        <f>COUNTIF(D62:AH62,"L")+(COUNTIF(D62:AG62,"L/2")/2)+(COUNTIF(D62:AG62,"L/P")/2)+(COUNTIF(D62:AG62,"L/KL")/2)</f>
        <v/>
      </c>
      <c r="AL62" s="1377">
        <f>COUNTIF(D62:AH62,"KL")+COUNTIF(D62:AG62,"0,5KL")/2+COUNTIF(D62:AG62,"L/KL")/2+COUNTIF(D62:AG62,"KL/2")/2+COUNTIF(D62:AG62,"P/KL")/2+COUNTIF(D62:AG62,"0.5")/2</f>
        <v/>
      </c>
      <c r="AM62" s="1378">
        <f>SUM(AI62:AL62)</f>
        <v/>
      </c>
      <c r="AN62" s="1378">
        <f>AI62+AJ62+AK62</f>
        <v/>
      </c>
      <c r="AO62" s="1191" t="inlineStr">
        <is>
          <t>17/08/2026</t>
        </is>
      </c>
      <c r="AP62" s="384" t="n"/>
      <c r="AQ62" s="384" t="n"/>
      <c r="AR62" s="384" t="n"/>
    </row>
    <row r="63" ht="27" customFormat="1" customHeight="1" s="306">
      <c r="A63" s="1376" t="n"/>
      <c r="B63" s="1392" t="n"/>
      <c r="C63" s="385" t="inlineStr">
        <is>
          <t>Lê Thị Hồng Nhung</t>
        </is>
      </c>
      <c r="D63" s="332" t="n"/>
      <c r="E63" s="333" t="n"/>
      <c r="F63" s="333" t="n"/>
      <c r="G63" s="333" t="n"/>
      <c r="H63" s="333" t="n">
        <v>1</v>
      </c>
      <c r="I63" s="333" t="n">
        <v>1</v>
      </c>
      <c r="J63" s="333" t="n">
        <v>1</v>
      </c>
      <c r="K63" s="332" t="n">
        <v>1</v>
      </c>
      <c r="L63" s="333" t="n"/>
      <c r="M63" s="333" t="n">
        <v>1</v>
      </c>
      <c r="N63" s="333" t="n">
        <v>1</v>
      </c>
      <c r="O63" s="333" t="n">
        <v>1</v>
      </c>
      <c r="P63" s="333" t="n">
        <v>1</v>
      </c>
      <c r="Q63" s="333" t="n"/>
      <c r="R63" s="332" t="n"/>
      <c r="S63" s="333" t="n"/>
      <c r="T63" s="333" t="n"/>
      <c r="U63" s="333" t="n"/>
      <c r="V63" s="333" t="n"/>
      <c r="W63" s="333" t="n"/>
      <c r="X63" s="333" t="n"/>
      <c r="Y63" s="332" t="n"/>
      <c r="Z63" s="333" t="n"/>
      <c r="AA63" s="333" t="n"/>
      <c r="AB63" s="333" t="n"/>
      <c r="AC63" s="333" t="n"/>
      <c r="AD63" s="333" t="n"/>
      <c r="AE63" s="333" t="n"/>
      <c r="AF63" s="332" t="n"/>
      <c r="AG63" s="333" t="n"/>
      <c r="AH63" s="333" t="n"/>
      <c r="AI63" s="1377">
        <f>SUM(D63:AH63)+(COUNTIF(D63:AH63,"0,5KL")/2)+(COUNTIF(D63:AH63,"0,5P")/2)+(COUNTIF(D63:AH63,"0.5L")/2)</f>
        <v/>
      </c>
      <c r="AJ63" s="1377">
        <f>(COUNTIF(D63:AH63,"P"))+(COUNTIF(D63:AG63,"P/2")/2)+(COUNTIF(D63:AG63,"0,5P")/2)+(COUNTIF(D63:AG63,"L/P")/2)+(COUNTIF(D63:AG63,"P/KL")/2)</f>
        <v/>
      </c>
      <c r="AK63" s="1377">
        <f>COUNTIF(D63:AH63,"L")+(COUNTIF(D63:AG63,"L/2")/2)+(COUNTIF(D63:AG63,"L/P")/2)+(COUNTIF(D63:AG63,"L/KL")/2)</f>
        <v/>
      </c>
      <c r="AL63" s="1377">
        <f>COUNTIF(D63:AH63,"KL")+COUNTIF(D63:AG63,"0,5KL")/2+COUNTIF(D63:AG63,"L/KL")/2+COUNTIF(D63:AG63,"KL/2")/2+COUNTIF(D63:AG63,"P/KL")/2+COUNTIF(D63:AG63,"0.5")/2</f>
        <v/>
      </c>
      <c r="AM63" s="1378">
        <f>SUM(AI63:AL63)</f>
        <v/>
      </c>
      <c r="AN63" s="1378">
        <f>AI63+AJ63+AK63</f>
        <v/>
      </c>
      <c r="AO63" s="1191" t="inlineStr">
        <is>
          <t>05/08/2026</t>
        </is>
      </c>
      <c r="AP63" s="384" t="n"/>
      <c r="AQ63" s="384" t="n"/>
      <c r="AR63" s="384" t="n"/>
    </row>
    <row r="64" ht="27" customFormat="1" customHeight="1" s="306">
      <c r="A64" s="1376" t="n">
        <v>55</v>
      </c>
      <c r="B64" s="1392" t="n"/>
      <c r="C64" s="380" t="inlineStr">
        <is>
          <t>Vũ Mạnh Hùng</t>
        </is>
      </c>
      <c r="D64" s="332" t="n"/>
      <c r="E64" s="333" t="n"/>
      <c r="F64" s="333" t="n"/>
      <c r="G64" s="333" t="n">
        <v>1</v>
      </c>
      <c r="H64" s="333" t="n">
        <v>1</v>
      </c>
      <c r="I64" s="333" t="n">
        <v>1</v>
      </c>
      <c r="J64" s="333" t="n">
        <v>1</v>
      </c>
      <c r="K64" s="332" t="n">
        <v>1</v>
      </c>
      <c r="L64" s="333" t="n"/>
      <c r="M64" s="333" t="n">
        <v>1</v>
      </c>
      <c r="N64" s="333" t="n">
        <v>1</v>
      </c>
      <c r="O64" s="333" t="n">
        <v>1</v>
      </c>
      <c r="P64" s="333" t="n">
        <v>1</v>
      </c>
      <c r="Q64" s="333" t="n">
        <v>1</v>
      </c>
      <c r="R64" s="332" t="n">
        <v>1</v>
      </c>
      <c r="S64" s="333" t="n"/>
      <c r="T64" s="333" t="n">
        <v>1</v>
      </c>
      <c r="U64" s="333" t="n">
        <v>1</v>
      </c>
      <c r="V64" s="333" t="n">
        <v>1</v>
      </c>
      <c r="W64" s="333" t="n">
        <v>1</v>
      </c>
      <c r="X64" s="333" t="n">
        <v>1</v>
      </c>
      <c r="Y64" s="332" t="n">
        <v>1</v>
      </c>
      <c r="Z64" s="333" t="n"/>
      <c r="AA64" s="333" t="n">
        <v>1</v>
      </c>
      <c r="AB64" s="333" t="n">
        <v>1</v>
      </c>
      <c r="AC64" s="333" t="n">
        <v>1</v>
      </c>
      <c r="AD64" s="333" t="n">
        <v>1</v>
      </c>
      <c r="AE64" s="333" t="n">
        <v>1</v>
      </c>
      <c r="AF64" s="332" t="n">
        <v>1</v>
      </c>
      <c r="AG64" s="333" t="n"/>
      <c r="AH64" s="333" t="n">
        <v>1</v>
      </c>
      <c r="AI64" s="1377">
        <f>SUM(D64:AH64)+(COUNTIF(D64:AH64,"0,5KL")/2)+(COUNTIF(D64:AH64,"0,5P")/2)+(COUNTIF(D64:AH64,"0.5L")/2)</f>
        <v/>
      </c>
      <c r="AJ64" s="1377">
        <f>(COUNTIF(D64:AH64,"P"))+(COUNTIF(D64:AG64,"P/2")/2)+(COUNTIF(D64:AG64,"0,5P")/2)+(COUNTIF(D64:AG64,"L/P")/2)+(COUNTIF(D64:AG64,"P/KL")/2)</f>
        <v/>
      </c>
      <c r="AK64" s="1377">
        <f>COUNTIF(D64:AH64,"L")+(COUNTIF(D64:AG64,"L/2")/2)+(COUNTIF(D64:AG64,"L/P")/2)+(COUNTIF(D64:AG64,"L/KL")/2)</f>
        <v/>
      </c>
      <c r="AL64" s="1377">
        <f>COUNTIF(D64:AH64,"KL")+COUNTIF(D64:AG64,"0,5KL")/2+COUNTIF(D64:AG64,"L/KL")/2+COUNTIF(D64:AG64,"KL/2")/2+COUNTIF(D64:AG64,"P/KL")/2+COUNTIF(D64:AG64,"0.5")/2</f>
        <v/>
      </c>
      <c r="AM64" s="1378">
        <f>SUM(AI64:AL64)</f>
        <v/>
      </c>
      <c r="AN64" s="1378">
        <f>AI64+AJ64+AK64</f>
        <v/>
      </c>
      <c r="AO64" s="1191" t="inlineStr">
        <is>
          <t>04/08/2026</t>
        </is>
      </c>
      <c r="AP64" s="384" t="n"/>
      <c r="AQ64" s="384" t="n"/>
      <c r="AR64" s="384" t="n"/>
    </row>
    <row r="65" ht="27" customFormat="1" customHeight="1" s="306">
      <c r="A65" s="1376" t="n">
        <v>56</v>
      </c>
      <c r="B65" s="1392" t="n"/>
      <c r="C65" s="380" t="inlineStr">
        <is>
          <t>Huỳnh Hoàng Nhân</t>
        </is>
      </c>
      <c r="D65" s="332" t="n"/>
      <c r="E65" s="333" t="n"/>
      <c r="F65" s="333" t="n"/>
      <c r="G65" s="333" t="n"/>
      <c r="H65" s="333" t="n"/>
      <c r="I65" s="333" t="n"/>
      <c r="J65" s="333" t="n"/>
      <c r="K65" s="332" t="n"/>
      <c r="L65" s="333" t="n"/>
      <c r="M65" s="333" t="n"/>
      <c r="N65" s="333" t="n"/>
      <c r="O65" s="333" t="n"/>
      <c r="P65" s="333" t="n"/>
      <c r="Q65" s="333" t="n"/>
      <c r="R65" s="332" t="n">
        <v>1</v>
      </c>
      <c r="S65" s="333" t="n"/>
      <c r="T65" s="333" t="n">
        <v>1</v>
      </c>
      <c r="U65" s="333" t="n">
        <v>1</v>
      </c>
      <c r="V65" s="333" t="n">
        <v>1</v>
      </c>
      <c r="W65" s="333" t="n">
        <v>1</v>
      </c>
      <c r="X65" s="333" t="n">
        <v>1</v>
      </c>
      <c r="Y65" s="332" t="n">
        <v>1</v>
      </c>
      <c r="Z65" s="333" t="n"/>
      <c r="AA65" s="333" t="n">
        <v>1</v>
      </c>
      <c r="AB65" s="333" t="n">
        <v>1</v>
      </c>
      <c r="AC65" s="333" t="n">
        <v>1</v>
      </c>
      <c r="AD65" s="333" t="n">
        <v>1</v>
      </c>
      <c r="AE65" s="333" t="n">
        <v>1</v>
      </c>
      <c r="AF65" s="332" t="n">
        <v>1</v>
      </c>
      <c r="AG65" s="333" t="n"/>
      <c r="AH65" s="333" t="n">
        <v>1</v>
      </c>
      <c r="AI65" s="1377">
        <f>SUM(D65:AH65)+(COUNTIF(D65:AH65,"0,5KL")/2)+(COUNTIF(D65:AH65,"0,5P")/2)+(COUNTIF(D65:AH65,"0.5L")/2)</f>
        <v/>
      </c>
      <c r="AJ65" s="1377">
        <f>(COUNTIF(D65:AH65,"P"))+(COUNTIF(D65:AG65,"P/2")/2)+(COUNTIF(D65:AG65,"0,5P")/2)+(COUNTIF(D65:AG65,"L/P")/2)+(COUNTIF(D65:AG65,"P/KL")/2)</f>
        <v/>
      </c>
      <c r="AK65" s="1377">
        <f>COUNTIF(D65:AH65,"L")+(COUNTIF(D65:AG65,"L/2")/2)+(COUNTIF(D65:AG65,"L/P")/2)+(COUNTIF(D65:AG65,"L/KL")/2)</f>
        <v/>
      </c>
      <c r="AL65" s="1377">
        <f>COUNTIF(D65:AH65,"KL")+COUNTIF(D65:AG65,"0,5KL")/2+COUNTIF(D65:AG65,"L/KL")/2+COUNTIF(D65:AG65,"KL/2")/2+COUNTIF(D65:AG65,"P/KL")/2+COUNTIF(D65:AG65,"0.5")/2</f>
        <v/>
      </c>
      <c r="AM65" s="1378">
        <f>SUM(AI65:AL65)</f>
        <v/>
      </c>
      <c r="AN65" s="1378">
        <f>AI65+AJ65+AK65</f>
        <v/>
      </c>
      <c r="AO65" s="1191" t="inlineStr">
        <is>
          <t>15/08/2026</t>
        </is>
      </c>
      <c r="AP65" s="384" t="n"/>
      <c r="AQ65" s="384" t="n"/>
      <c r="AR65" s="384" t="n"/>
    </row>
    <row r="66" ht="27" customFormat="1" customHeight="1" s="306">
      <c r="A66" s="1376" t="n">
        <v>57</v>
      </c>
      <c r="B66" s="1392" t="n"/>
      <c r="C66" s="380" t="inlineStr">
        <is>
          <t>Đinh Ngọc Minh</t>
        </is>
      </c>
      <c r="D66" s="332" t="n"/>
      <c r="E66" s="333" t="n"/>
      <c r="F66" s="333" t="n"/>
      <c r="G66" s="333" t="n"/>
      <c r="H66" s="333" t="n"/>
      <c r="I66" s="333" t="n"/>
      <c r="J66" s="333" t="n"/>
      <c r="K66" s="332" t="n"/>
      <c r="L66" s="333" t="n"/>
      <c r="M66" s="333" t="n"/>
      <c r="N66" s="333" t="n"/>
      <c r="O66" s="333" t="n"/>
      <c r="P66" s="333" t="n"/>
      <c r="Q66" s="333" t="n"/>
      <c r="R66" s="332" t="n"/>
      <c r="S66" s="333" t="n"/>
      <c r="T66" s="333" t="n"/>
      <c r="U66" s="333" t="n"/>
      <c r="V66" s="333" t="n"/>
      <c r="W66" s="333" t="n"/>
      <c r="X66" s="333" t="n"/>
      <c r="Y66" s="332" t="n"/>
      <c r="Z66" s="333" t="n"/>
      <c r="AA66" s="333" t="n">
        <v>1</v>
      </c>
      <c r="AB66" s="333" t="n">
        <v>1</v>
      </c>
      <c r="AC66" s="333" t="n">
        <v>1</v>
      </c>
      <c r="AD66" s="333" t="n">
        <v>1</v>
      </c>
      <c r="AE66" s="333" t="n">
        <v>1</v>
      </c>
      <c r="AF66" s="332" t="n">
        <v>1</v>
      </c>
      <c r="AG66" s="333" t="n"/>
      <c r="AH66" s="333" t="n">
        <v>1</v>
      </c>
      <c r="AI66" s="1377">
        <f>SUM(D66:AH66)+(COUNTIF(D66:AH66,"0,5KL")/2)+(COUNTIF(D66:AH66,"0,5P")/2)+(COUNTIF(D66:AH66,"0.5L")/2)</f>
        <v/>
      </c>
      <c r="AJ66" s="1377">
        <f>(COUNTIF(D66:AH66,"P"))+(COUNTIF(D66:AG66,"P/2")/2)+(COUNTIF(D66:AG66,"0,5P")/2)+(COUNTIF(D66:AG66,"L/P")/2)+(COUNTIF(D66:AG66,"P/KL")/2)</f>
        <v/>
      </c>
      <c r="AK66" s="1377">
        <f>COUNTIF(D66:AH66,"L")+(COUNTIF(D66:AG66,"L/2")/2)+(COUNTIF(D66:AG66,"L/P")/2)+(COUNTIF(D66:AG66,"L/KL")/2)</f>
        <v/>
      </c>
      <c r="AL66" s="1377">
        <f>COUNTIF(D66:AH66,"KL")+COUNTIF(D66:AG66,"0,5KL")/2+COUNTIF(D66:AG66,"L/KL")/2+COUNTIF(D66:AG66,"KL/2")/2+COUNTIF(D66:AG66,"P/KL")/2+COUNTIF(D66:AG66,"0.5")/2</f>
        <v/>
      </c>
      <c r="AM66" s="1378">
        <f>SUM(AI66:AL66)</f>
        <v/>
      </c>
      <c r="AN66" s="1378">
        <f>AI66+AJ66+AK66</f>
        <v/>
      </c>
      <c r="AO66" s="1191" t="inlineStr">
        <is>
          <t>24/08/2026</t>
        </is>
      </c>
      <c r="AP66" s="384" t="n"/>
      <c r="AQ66" s="384" t="n"/>
      <c r="AR66" s="384" t="n"/>
    </row>
    <row r="67" ht="27" customFormat="1" customHeight="1" s="306">
      <c r="A67" s="1376" t="n">
        <v>58</v>
      </c>
      <c r="B67" s="1392" t="n"/>
      <c r="C67" s="380" t="inlineStr">
        <is>
          <t>Lê Hồng Thụy Khanh</t>
        </is>
      </c>
      <c r="D67" s="332" t="n"/>
      <c r="E67" s="333" t="n"/>
      <c r="F67" s="333" t="n"/>
      <c r="G67" s="333" t="n"/>
      <c r="H67" s="333" t="n"/>
      <c r="I67" s="333" t="n"/>
      <c r="J67" s="333" t="n"/>
      <c r="K67" s="332" t="n"/>
      <c r="L67" s="333" t="n"/>
      <c r="M67" s="333" t="n"/>
      <c r="N67" s="333" t="n"/>
      <c r="O67" s="333" t="n"/>
      <c r="P67" s="333" t="n"/>
      <c r="Q67" s="333" t="n"/>
      <c r="R67" s="332" t="n"/>
      <c r="S67" s="333" t="n"/>
      <c r="T67" s="333" t="n"/>
      <c r="U67" s="333" t="n"/>
      <c r="V67" s="333" t="n"/>
      <c r="W67" s="333" t="n"/>
      <c r="X67" s="333" t="n"/>
      <c r="Y67" s="332" t="n"/>
      <c r="Z67" s="333" t="n"/>
      <c r="AA67" s="333" t="n"/>
      <c r="AB67" s="333" t="n">
        <v>1</v>
      </c>
      <c r="AC67" s="333" t="n">
        <v>1</v>
      </c>
      <c r="AD67" s="333" t="n">
        <v>1</v>
      </c>
      <c r="AE67" s="333" t="n">
        <v>1</v>
      </c>
      <c r="AF67" s="332" t="n">
        <v>1</v>
      </c>
      <c r="AG67" s="333" t="n"/>
      <c r="AH67" s="333" t="n">
        <v>1</v>
      </c>
      <c r="AI67" s="1377">
        <f>SUM(D67:AH67)+(COUNTIF(D67:AH67,"0,5KL")/2)+(COUNTIF(D67:AH67,"0,5P")/2)+(COUNTIF(D67:AH67,"0.5L")/2)</f>
        <v/>
      </c>
      <c r="AJ67" s="1377">
        <f>(COUNTIF(D67:AH67,"P"))+(COUNTIF(D67:AG67,"P/2")/2)+(COUNTIF(D67:AG67,"0,5P")/2)+(COUNTIF(D67:AG67,"L/P")/2)+(COUNTIF(D67:AG67,"P/KL")/2)</f>
        <v/>
      </c>
      <c r="AK67" s="1377">
        <f>COUNTIF(D67:AH67,"L")+(COUNTIF(D67:AG67,"L/2")/2)+(COUNTIF(D67:AG67,"L/P")/2)+(COUNTIF(D67:AG67,"L/KL")/2)</f>
        <v/>
      </c>
      <c r="AL67" s="1377">
        <f>COUNTIF(D67:AH67,"KL")+COUNTIF(D67:AG67,"0,5KL")/2+COUNTIF(D67:AG67,"L/KL")/2+COUNTIF(D67:AG67,"KL/2")/2+COUNTIF(D67:AG67,"P/KL")/2+COUNTIF(D67:AG67,"0.5")/2</f>
        <v/>
      </c>
      <c r="AM67" s="1378">
        <f>SUM(AI67:AL67)</f>
        <v/>
      </c>
      <c r="AN67" s="1378">
        <f>AI67+AJ67+AK67</f>
        <v/>
      </c>
      <c r="AO67" s="1191" t="inlineStr">
        <is>
          <t>25/08/2026</t>
        </is>
      </c>
      <c r="AP67" s="384" t="n"/>
      <c r="AQ67" s="384" t="n"/>
      <c r="AR67" s="384" t="n"/>
    </row>
    <row r="68" ht="27" customFormat="1" customHeight="1" s="306">
      <c r="A68" s="1376" t="n">
        <v>59</v>
      </c>
      <c r="B68" s="1392" t="n"/>
      <c r="C68" s="380" t="inlineStr">
        <is>
          <t>Trần Thị Ánh Dương</t>
        </is>
      </c>
      <c r="D68" s="332" t="n"/>
      <c r="E68" s="333" t="n"/>
      <c r="F68" s="333" t="n"/>
      <c r="G68" s="333" t="n"/>
      <c r="H68" s="333" t="n"/>
      <c r="I68" s="333" t="n"/>
      <c r="J68" s="333" t="n"/>
      <c r="K68" s="332" t="n"/>
      <c r="L68" s="333" t="n"/>
      <c r="M68" s="333" t="n"/>
      <c r="N68" s="333" t="n"/>
      <c r="O68" s="333" t="n"/>
      <c r="P68" s="333" t="n"/>
      <c r="Q68" s="333" t="n"/>
      <c r="R68" s="332" t="n"/>
      <c r="S68" s="333" t="n"/>
      <c r="T68" s="333" t="n"/>
      <c r="U68" s="333" t="n"/>
      <c r="V68" s="333" t="n"/>
      <c r="W68" s="333" t="n"/>
      <c r="X68" s="333" t="n"/>
      <c r="Y68" s="332" t="n"/>
      <c r="Z68" s="333" t="n"/>
      <c r="AA68" s="333" t="n"/>
      <c r="AB68" s="333" t="n"/>
      <c r="AC68" s="333" t="n"/>
      <c r="AD68" s="333" t="n">
        <v>1</v>
      </c>
      <c r="AE68" s="333" t="n">
        <v>1</v>
      </c>
      <c r="AF68" s="332" t="n">
        <v>1</v>
      </c>
      <c r="AG68" s="333" t="n"/>
      <c r="AH68" s="333" t="n">
        <v>1</v>
      </c>
      <c r="AI68" s="1377">
        <f>SUM(D68:AH68)+(COUNTIF(D68:AH68,"0,5KL")/2)+(COUNTIF(D68:AH68,"0,5P")/2)+(COUNTIF(D68:AH68,"0.5L")/2)</f>
        <v/>
      </c>
      <c r="AJ68" s="1377">
        <f>(COUNTIF(D68:AH68,"P"))+(COUNTIF(D68:AG68,"P/2")/2)+(COUNTIF(D68:AG68,"0,5P")/2)+(COUNTIF(D68:AG68,"L/P")/2)+(COUNTIF(D68:AG68,"P/KL")/2)</f>
        <v/>
      </c>
      <c r="AK68" s="1377">
        <f>COUNTIF(D68:AH68,"L")+(COUNTIF(D68:AG68,"L/2")/2)+(COUNTIF(D68:AG68,"L/P")/2)+(COUNTIF(D68:AG68,"L/KL")/2)</f>
        <v/>
      </c>
      <c r="AL68" s="1377">
        <f>COUNTIF(D68:AH68,"KL")+COUNTIF(D68:AG68,"0,5KL")/2+COUNTIF(D68:AG68,"L/KL")/2+COUNTIF(D68:AG68,"KL/2")/2+COUNTIF(D68:AG68,"P/KL")/2+COUNTIF(D68:AG68,"0.5")/2</f>
        <v/>
      </c>
      <c r="AM68" s="1378">
        <f>SUM(AI68:AL68)</f>
        <v/>
      </c>
      <c r="AN68" s="1378">
        <f>AI68+AJ68+AK68</f>
        <v/>
      </c>
      <c r="AO68" s="1191" t="inlineStr">
        <is>
          <t>27/08/2026</t>
        </is>
      </c>
      <c r="AP68" s="384" t="n"/>
      <c r="AQ68" s="384" t="n"/>
      <c r="AR68" s="384" t="n"/>
    </row>
    <row r="69" ht="27" customFormat="1" customHeight="1" s="306">
      <c r="A69" s="1376" t="n">
        <v>60</v>
      </c>
      <c r="B69" s="1392" t="n"/>
      <c r="C69" s="380" t="inlineStr">
        <is>
          <t xml:space="preserve">Nguyễn Thị Tuyết Trinh </t>
        </is>
      </c>
      <c r="D69" s="332" t="n"/>
      <c r="E69" s="333" t="n"/>
      <c r="F69" s="333" t="n"/>
      <c r="G69" s="333" t="n"/>
      <c r="H69" s="333" t="n"/>
      <c r="I69" s="333" t="n"/>
      <c r="J69" s="333" t="n"/>
      <c r="K69" s="332" t="n"/>
      <c r="L69" s="333" t="n"/>
      <c r="M69" s="333" t="n"/>
      <c r="N69" s="333" t="n"/>
      <c r="O69" s="333" t="n"/>
      <c r="P69" s="333" t="n"/>
      <c r="Q69" s="333" t="n"/>
      <c r="R69" s="332" t="n"/>
      <c r="S69" s="333" t="n"/>
      <c r="T69" s="333" t="n"/>
      <c r="U69" s="333" t="n"/>
      <c r="V69" s="333" t="n"/>
      <c r="W69" s="333" t="n"/>
      <c r="X69" s="333" t="n"/>
      <c r="Y69" s="332" t="n"/>
      <c r="Z69" s="333" t="n"/>
      <c r="AA69" s="333" t="n"/>
      <c r="AB69" s="333" t="n"/>
      <c r="AC69" s="333" t="n"/>
      <c r="AD69" s="333" t="n"/>
      <c r="AE69" s="333" t="n">
        <v>1</v>
      </c>
      <c r="AF69" s="332" t="n">
        <v>1</v>
      </c>
      <c r="AG69" s="333" t="n"/>
      <c r="AH69" s="333" t="n">
        <v>1</v>
      </c>
      <c r="AI69" s="1377">
        <f>SUM(D69:AH69)+(COUNTIF(D69:AH69,"0,5KL")/2)+(COUNTIF(D69:AH69,"0,5P")/2)+(COUNTIF(D69:AH69,"0.5L")/2)</f>
        <v/>
      </c>
      <c r="AJ69" s="1377">
        <f>(COUNTIF(D69:AH69,"P"))+(COUNTIF(D69:AG69,"P/2")/2)+(COUNTIF(D69:AG69,"0,5P")/2)+(COUNTIF(D69:AG69,"L/P")/2)+(COUNTIF(D69:AG69,"P/KL")/2)</f>
        <v/>
      </c>
      <c r="AK69" s="1377">
        <f>COUNTIF(D69:AH69,"L")+(COUNTIF(D69:AG69,"L/2")/2)+(COUNTIF(D69:AG69,"L/P")/2)+(COUNTIF(D69:AG69,"L/KL")/2)</f>
        <v/>
      </c>
      <c r="AL69" s="1377">
        <f>COUNTIF(D69:AH69,"KL")+COUNTIF(D69:AG69,"0,5KL")/2+COUNTIF(D69:AG69,"L/KL")/2+COUNTIF(D69:AG69,"KL/2")/2+COUNTIF(D69:AG69,"P/KL")/2+COUNTIF(D69:AG69,"0.5")/2</f>
        <v/>
      </c>
      <c r="AM69" s="1378">
        <f>SUM(AI69:AL69)</f>
        <v/>
      </c>
      <c r="AN69" s="1378">
        <f>AI69+AJ69+AK69</f>
        <v/>
      </c>
      <c r="AO69" s="1191" t="inlineStr">
        <is>
          <t>28/08/2026</t>
        </is>
      </c>
      <c r="AP69" s="384" t="n"/>
      <c r="AQ69" s="384" t="n"/>
      <c r="AR69" s="384" t="n"/>
    </row>
    <row r="70" ht="27" customFormat="1" customHeight="1" s="306">
      <c r="A70" s="1376" t="n">
        <v>61</v>
      </c>
      <c r="B70" s="1392" t="n"/>
      <c r="C70" s="380" t="inlineStr">
        <is>
          <t>Nguyễn Triệu Hoàng</t>
        </is>
      </c>
      <c r="D70" s="332" t="n"/>
      <c r="E70" s="333" t="n"/>
      <c r="F70" s="333" t="n"/>
      <c r="G70" s="333" t="n"/>
      <c r="H70" s="333" t="n"/>
      <c r="I70" s="333" t="n"/>
      <c r="J70" s="333" t="n"/>
      <c r="K70" s="332" t="n"/>
      <c r="L70" s="333" t="n"/>
      <c r="M70" s="333" t="n"/>
      <c r="N70" s="333" t="n"/>
      <c r="O70" s="333" t="n"/>
      <c r="P70" s="333" t="n"/>
      <c r="Q70" s="333" t="n"/>
      <c r="R70" s="332" t="n"/>
      <c r="S70" s="333" t="n"/>
      <c r="T70" s="333" t="n"/>
      <c r="U70" s="333" t="n"/>
      <c r="V70" s="333" t="n"/>
      <c r="W70" s="333" t="n"/>
      <c r="X70" s="333" t="n"/>
      <c r="Y70" s="332" t="n"/>
      <c r="Z70" s="333" t="n"/>
      <c r="AA70" s="333" t="n"/>
      <c r="AB70" s="333" t="n"/>
      <c r="AC70" s="333" t="n"/>
      <c r="AD70" s="333" t="n"/>
      <c r="AE70" s="333" t="n"/>
      <c r="AF70" s="332" t="n"/>
      <c r="AG70" s="333" t="n"/>
      <c r="AH70" s="333" t="n">
        <v>1</v>
      </c>
      <c r="AI70" s="1377">
        <f>SUM(D70:AH70)+(COUNTIF(D70:AH70,"0,5KL")/2)+(COUNTIF(D70:AH70,"0,5P")/2)+(COUNTIF(D70:AH70,"0.5L")/2)</f>
        <v/>
      </c>
      <c r="AJ70" s="1377">
        <f>(COUNTIF(D70:AH70,"P"))+(COUNTIF(D70:AG70,"P/2")/2)+(COUNTIF(D70:AG70,"0,5P")/2)+(COUNTIF(D70:AG70,"L/P")/2)+(COUNTIF(D70:AG70,"P/KL")/2)</f>
        <v/>
      </c>
      <c r="AK70" s="1377">
        <f>COUNTIF(D70:AH70,"L")+(COUNTIF(D70:AG70,"L/2")/2)+(COUNTIF(D70:AG70,"L/P")/2)+(COUNTIF(D70:AG70,"L/KL")/2)</f>
        <v/>
      </c>
      <c r="AL70" s="1377">
        <f>COUNTIF(D70:AH70,"KL")+COUNTIF(D70:AG70,"0,5KL")/2+COUNTIF(D70:AG70,"L/KL")/2+COUNTIF(D70:AG70,"KL/2")/2+COUNTIF(D70:AG70,"P/KL")/2+COUNTIF(D70:AG70,"0.5")/2</f>
        <v/>
      </c>
      <c r="AM70" s="1378">
        <f>SUM(AI70:AL70)</f>
        <v/>
      </c>
      <c r="AN70" s="1378">
        <f>AI70+AJ70+AK70</f>
        <v/>
      </c>
      <c r="AO70" s="1191" t="inlineStr">
        <is>
          <t>31/8/2026</t>
        </is>
      </c>
      <c r="AP70" s="384" t="n"/>
      <c r="AQ70" s="384" t="n"/>
      <c r="AR70" s="384" t="n"/>
    </row>
    <row r="71" ht="27" customFormat="1" customHeight="1" s="306">
      <c r="A71" s="1376" t="n">
        <v>62</v>
      </c>
      <c r="B71" s="1393" t="n"/>
      <c r="C71" s="388" t="inlineStr">
        <is>
          <t>Trần Hoàng Khánh</t>
        </is>
      </c>
      <c r="D71" s="332" t="n">
        <v>1</v>
      </c>
      <c r="E71" s="333" t="n"/>
      <c r="F71" s="333" t="n">
        <v>1</v>
      </c>
      <c r="G71" s="333" t="n">
        <v>1</v>
      </c>
      <c r="H71" s="333" t="n">
        <v>1</v>
      </c>
      <c r="I71" s="333" t="n">
        <v>1</v>
      </c>
      <c r="J71" s="333" t="n">
        <v>1</v>
      </c>
      <c r="K71" s="332" t="n">
        <v>1</v>
      </c>
      <c r="L71" s="333" t="n"/>
      <c r="M71" s="333" t="n">
        <v>1</v>
      </c>
      <c r="N71" s="333" t="n">
        <v>1</v>
      </c>
      <c r="O71" s="333" t="n">
        <v>1</v>
      </c>
      <c r="P71" s="333" t="n">
        <v>1</v>
      </c>
      <c r="Q71" s="333" t="n">
        <v>1</v>
      </c>
      <c r="R71" s="332" t="n">
        <v>1</v>
      </c>
      <c r="S71" s="333" t="n"/>
      <c r="T71" s="333" t="n">
        <v>1</v>
      </c>
      <c r="U71" s="333" t="n">
        <v>1</v>
      </c>
      <c r="V71" s="333" t="n">
        <v>1</v>
      </c>
      <c r="W71" s="333" t="n">
        <v>1</v>
      </c>
      <c r="X71" s="333" t="n">
        <v>1</v>
      </c>
      <c r="Y71" s="332" t="n">
        <v>1</v>
      </c>
      <c r="Z71" s="333" t="n"/>
      <c r="AA71" s="333" t="n">
        <v>1</v>
      </c>
      <c r="AB71" s="333" t="n">
        <v>1</v>
      </c>
      <c r="AC71" s="333" t="n">
        <v>1</v>
      </c>
      <c r="AD71" s="333" t="n">
        <v>1</v>
      </c>
      <c r="AE71" s="333" t="n">
        <v>1</v>
      </c>
      <c r="AF71" s="340" t="inlineStr">
        <is>
          <t>P</t>
        </is>
      </c>
      <c r="AG71" s="333" t="n"/>
      <c r="AH71" s="333" t="n">
        <v>1</v>
      </c>
      <c r="AI71" s="1377">
        <f>SUM(D71:AH71)+(COUNTIF(D71:AH71,"0,5KL")/2)+(COUNTIF(D71:AH71,"0,5P")/2)+(COUNTIF(D71:AH71,"0.5L")/2)</f>
        <v/>
      </c>
      <c r="AJ71" s="1377">
        <f>(COUNTIF(D71:AH71,"P"))+(COUNTIF(D71:AG71,"P/2")/2)+(COUNTIF(D71:AG71,"0,5P")/2)+(COUNTIF(D71:AG71,"L/P")/2)+(COUNTIF(D71:AG71,"P/KL")/2)</f>
        <v/>
      </c>
      <c r="AK71" s="1377">
        <f>COUNTIF(D71:AH71,"L")+(COUNTIF(D71:AG71,"L/2")/2)+(COUNTIF(D71:AG71,"L/P")/2)+(COUNTIF(D71:AG71,"L/KL")/2)</f>
        <v/>
      </c>
      <c r="AL71" s="1377">
        <f>COUNTIF(D71:AH71,"KL")+COUNTIF(D71:AG71,"0,5KL")/2+COUNTIF(D71:AG71,"L/KL")/2+COUNTIF(D71:AG71,"KL/2")/2+COUNTIF(D71:AG71,"P/KL")/2+COUNTIF(D71:AG71,"0.5")/2</f>
        <v/>
      </c>
      <c r="AM71" s="1378">
        <f>SUM(AI71:AL71)</f>
        <v/>
      </c>
      <c r="AN71" s="1378">
        <f>AI71+AJ71+AK71</f>
        <v/>
      </c>
      <c r="AO71" s="386" t="n"/>
      <c r="AP71" s="384" t="n"/>
      <c r="AQ71" s="384" t="n"/>
      <c r="AR71" s="384" t="n"/>
    </row>
    <row r="72" ht="27" customFormat="1" customHeight="1" s="306">
      <c r="A72" s="1376" t="n">
        <v>63</v>
      </c>
      <c r="B72" s="1393" t="n"/>
      <c r="C72" s="388" t="inlineStr">
        <is>
          <t>Thái Thùy Linh</t>
        </is>
      </c>
      <c r="D72" s="332" t="n">
        <v>1</v>
      </c>
      <c r="E72" s="333" t="n"/>
      <c r="F72" s="333" t="n">
        <v>1</v>
      </c>
      <c r="G72" s="333" t="n">
        <v>1</v>
      </c>
      <c r="H72" s="333" t="n">
        <v>1</v>
      </c>
      <c r="I72" s="337" t="inlineStr">
        <is>
          <t>P</t>
        </is>
      </c>
      <c r="J72" s="337" t="inlineStr">
        <is>
          <t>P</t>
        </is>
      </c>
      <c r="K72" s="332" t="n">
        <v>1</v>
      </c>
      <c r="L72" s="333" t="n"/>
      <c r="M72" s="333" t="n">
        <v>1</v>
      </c>
      <c r="N72" s="333" t="n">
        <v>1</v>
      </c>
      <c r="O72" s="333" t="n">
        <v>1</v>
      </c>
      <c r="P72" s="333" t="n">
        <v>1</v>
      </c>
      <c r="Q72" s="333" t="n">
        <v>1</v>
      </c>
      <c r="R72" s="332" t="n">
        <v>1</v>
      </c>
      <c r="S72" s="333" t="n"/>
      <c r="T72" s="333" t="n">
        <v>1</v>
      </c>
      <c r="U72" s="333" t="n">
        <v>1</v>
      </c>
      <c r="V72" s="333" t="n">
        <v>1</v>
      </c>
      <c r="W72" s="333" t="n">
        <v>1</v>
      </c>
      <c r="X72" s="333" t="n">
        <v>1</v>
      </c>
      <c r="Y72" s="332" t="n">
        <v>1</v>
      </c>
      <c r="Z72" s="333" t="n"/>
      <c r="AA72" s="333" t="n">
        <v>1</v>
      </c>
      <c r="AB72" s="333" t="n">
        <v>1</v>
      </c>
      <c r="AC72" s="333" t="n">
        <v>1</v>
      </c>
      <c r="AD72" s="333" t="n">
        <v>1</v>
      </c>
      <c r="AE72" s="333" t="n">
        <v>1</v>
      </c>
      <c r="AF72" s="332" t="n">
        <v>1</v>
      </c>
      <c r="AG72" s="333" t="n"/>
      <c r="AH72" s="333" t="n">
        <v>1</v>
      </c>
      <c r="AI72" s="1377">
        <f>SUM(D72:AH72)+(COUNTIF(D72:AH72,"0,5KL")/2)+(COUNTIF(D72:AH72,"0,5P")/2)+(COUNTIF(D72:AH72,"0.5L")/2)</f>
        <v/>
      </c>
      <c r="AJ72" s="1377">
        <f>(COUNTIF(D72:AH72,"P"))+(COUNTIF(D72:AG72,"P/2")/2)+(COUNTIF(D72:AG72,"0,5P")/2)+(COUNTIF(D72:AG72,"L/P")/2)+(COUNTIF(D72:AG72,"P/KL")/2)</f>
        <v/>
      </c>
      <c r="AK72" s="1377">
        <f>COUNTIF(D72:AH72,"L")+(COUNTIF(D72:AG72,"L/2")/2)+(COUNTIF(D72:AG72,"L/P")/2)+(COUNTIF(D72:AG72,"L/KL")/2)</f>
        <v/>
      </c>
      <c r="AL72" s="1377">
        <f>COUNTIF(D72:AH72,"KL")+COUNTIF(D72:AG72,"0,5KL")/2+COUNTIF(D72:AG72,"L/KL")/2+COUNTIF(D72:AG72,"KL/2")/2+COUNTIF(D72:AG72,"P/KL")/2+COUNTIF(D72:AG72,"0.5")/2</f>
        <v/>
      </c>
      <c r="AM72" s="1378">
        <f>SUM(AI72:AL72)</f>
        <v/>
      </c>
      <c r="AN72" s="1378">
        <f>AI72+AJ72+AK72</f>
        <v/>
      </c>
      <c r="AO72" s="386" t="n"/>
      <c r="AP72" s="384" t="n"/>
      <c r="AQ72" s="384" t="n"/>
      <c r="AR72" s="384" t="n"/>
    </row>
    <row r="73" ht="27" customFormat="1" customHeight="1" s="306">
      <c r="A73" s="1376" t="n">
        <v>64</v>
      </c>
      <c r="B73" s="1393" t="n"/>
      <c r="C73" s="388" t="inlineStr">
        <is>
          <t>Phạm Nguyễn Ngọc Quý</t>
        </is>
      </c>
      <c r="D73" s="332" t="n">
        <v>1</v>
      </c>
      <c r="E73" s="333" t="n"/>
      <c r="F73" s="333" t="n">
        <v>1</v>
      </c>
      <c r="G73" s="333" t="n">
        <v>1</v>
      </c>
      <c r="H73" s="333" t="n">
        <v>1</v>
      </c>
      <c r="I73" s="333" t="n">
        <v>1</v>
      </c>
      <c r="J73" s="337" t="inlineStr">
        <is>
          <t>P</t>
        </is>
      </c>
      <c r="K73" s="340" t="inlineStr">
        <is>
          <t>P/2</t>
        </is>
      </c>
      <c r="L73" s="333" t="n"/>
      <c r="M73" s="337" t="inlineStr">
        <is>
          <t>P</t>
        </is>
      </c>
      <c r="N73" s="337" t="inlineStr">
        <is>
          <t>P</t>
        </is>
      </c>
      <c r="O73" s="337" t="inlineStr">
        <is>
          <t>P</t>
        </is>
      </c>
      <c r="P73" s="333" t="n">
        <v>1</v>
      </c>
      <c r="Q73" s="333" t="n">
        <v>1</v>
      </c>
      <c r="R73" s="332" t="n">
        <v>1</v>
      </c>
      <c r="S73" s="333" t="n"/>
      <c r="T73" s="333" t="n">
        <v>1</v>
      </c>
      <c r="U73" s="333" t="n">
        <v>1</v>
      </c>
      <c r="V73" s="333" t="n">
        <v>1</v>
      </c>
      <c r="W73" s="333" t="n">
        <v>1</v>
      </c>
      <c r="X73" s="333" t="n">
        <v>1</v>
      </c>
      <c r="Y73" s="332" t="n">
        <v>1</v>
      </c>
      <c r="Z73" s="333" t="n"/>
      <c r="AA73" s="333" t="n">
        <v>1</v>
      </c>
      <c r="AB73" s="333" t="n">
        <v>1</v>
      </c>
      <c r="AC73" s="333" t="n">
        <v>1</v>
      </c>
      <c r="AD73" s="333" t="n">
        <v>1</v>
      </c>
      <c r="AE73" s="333" t="n">
        <v>1</v>
      </c>
      <c r="AF73" s="332" t="n">
        <v>1</v>
      </c>
      <c r="AG73" s="333" t="n"/>
      <c r="AH73" s="333" t="n">
        <v>1</v>
      </c>
      <c r="AI73" s="1377">
        <f>SUM(D73:AH73)+(COUNTIF(D73:AH73,"0,5KL")/2)+(COUNTIF(D73:AH73,"0,5P")/2)+(COUNTIF(D73:AH73,"0.5L")/2)</f>
        <v/>
      </c>
      <c r="AJ73" s="1377">
        <f>(COUNTIF(D73:AH73,"P"))+(COUNTIF(D73:AG73,"P/2")/2)+(COUNTIF(D73:AG73,"0,5P")/2)+(COUNTIF(D73:AG73,"L/P")/2)+(COUNTIF(D73:AG73,"P/KL")/2)</f>
        <v/>
      </c>
      <c r="AK73" s="1377">
        <f>COUNTIF(D73:AH73,"L")+(COUNTIF(D73:AG73,"L/2")/2)+(COUNTIF(D73:AG73,"L/P")/2)+(COUNTIF(D73:AG73,"L/KL")/2)</f>
        <v/>
      </c>
      <c r="AL73" s="1377">
        <f>COUNTIF(D73:AH73,"KL")+COUNTIF(D73:AG73,"0,5KL")/2+COUNTIF(D73:AG73,"L/KL")/2+COUNTIF(D73:AG73,"KL/2")/2+COUNTIF(D73:AG73,"P/KL")/2+COUNTIF(D73:AG73,"0.5")/2</f>
        <v/>
      </c>
      <c r="AM73" s="1378">
        <f>SUM(AI73:AL73)</f>
        <v/>
      </c>
      <c r="AN73" s="1378">
        <f>AI73+AJ73+AK73</f>
        <v/>
      </c>
      <c r="AO73" s="386" t="n"/>
      <c r="AP73" s="384" t="n"/>
      <c r="AQ73" s="384" t="n"/>
      <c r="AR73" s="384" t="n"/>
    </row>
    <row r="74" ht="27" customFormat="1" customHeight="1" s="306">
      <c r="A74" s="1376" t="n">
        <v>65</v>
      </c>
      <c r="B74" s="1393" t="n"/>
      <c r="C74" s="388" t="inlineStr">
        <is>
          <t>Ngô Trần Tuyết Vy</t>
        </is>
      </c>
      <c r="D74" s="332" t="n">
        <v>1</v>
      </c>
      <c r="E74" s="333" t="n"/>
      <c r="F74" s="333" t="n">
        <v>1</v>
      </c>
      <c r="G74" s="333" t="n">
        <v>1</v>
      </c>
      <c r="H74" s="333" t="n">
        <v>1</v>
      </c>
      <c r="I74" s="333" t="n">
        <v>1</v>
      </c>
      <c r="J74" s="333" t="n">
        <v>1</v>
      </c>
      <c r="K74" s="332" t="n">
        <v>1</v>
      </c>
      <c r="L74" s="333" t="n"/>
      <c r="M74" s="333" t="n">
        <v>1</v>
      </c>
      <c r="N74" s="333" t="n">
        <v>1</v>
      </c>
      <c r="O74" s="333" t="n">
        <v>1</v>
      </c>
      <c r="P74" s="333" t="n">
        <v>1</v>
      </c>
      <c r="Q74" s="333" t="n">
        <v>1</v>
      </c>
      <c r="R74" s="340" t="inlineStr">
        <is>
          <t>P/2</t>
        </is>
      </c>
      <c r="S74" s="333" t="n"/>
      <c r="T74" s="337" t="inlineStr">
        <is>
          <t>P</t>
        </is>
      </c>
      <c r="U74" s="337" t="inlineStr">
        <is>
          <t>P</t>
        </is>
      </c>
      <c r="V74" s="337" t="inlineStr">
        <is>
          <t>P</t>
        </is>
      </c>
      <c r="W74" s="333" t="n">
        <v>1</v>
      </c>
      <c r="X74" s="333" t="n">
        <v>1</v>
      </c>
      <c r="Y74" s="332" t="n">
        <v>1</v>
      </c>
      <c r="Z74" s="333" t="n"/>
      <c r="AA74" s="333" t="n">
        <v>1</v>
      </c>
      <c r="AB74" s="333" t="n">
        <v>1</v>
      </c>
      <c r="AC74" s="333" t="n">
        <v>1</v>
      </c>
      <c r="AD74" s="333" t="n">
        <v>1</v>
      </c>
      <c r="AE74" s="333" t="n">
        <v>1</v>
      </c>
      <c r="AF74" s="332" t="n">
        <v>1</v>
      </c>
      <c r="AG74" s="333" t="n"/>
      <c r="AH74" s="333" t="n">
        <v>1</v>
      </c>
      <c r="AI74" s="1377">
        <f>SUM(D74:AH74)+(COUNTIF(D74:AH74,"0,5KL")/2)+(COUNTIF(D74:AH74,"0,5P")/2)+(COUNTIF(D74:AH74,"0.5L")/2)</f>
        <v/>
      </c>
      <c r="AJ74" s="1377">
        <f>(COUNTIF(D74:AH74,"P"))+(COUNTIF(D74:AG74,"P/2")/2)+(COUNTIF(D74:AG74,"0,5P")/2)+(COUNTIF(D74:AG74,"L/P")/2)+(COUNTIF(D74:AG74,"P/KL")/2)</f>
        <v/>
      </c>
      <c r="AK74" s="1377">
        <f>COUNTIF(D74:AH74,"L")+(COUNTIF(D74:AG74,"L/2")/2)+(COUNTIF(D74:AG74,"L/P")/2)+(COUNTIF(D74:AG74,"L/KL")/2)</f>
        <v/>
      </c>
      <c r="AL74" s="1377">
        <f>COUNTIF(D74:AH74,"KL")+COUNTIF(D74:AG74,"0,5KL")/2+COUNTIF(D74:AG74,"L/KL")/2+COUNTIF(D74:AG74,"KL/2")/2+COUNTIF(D74:AG74,"P/KL")/2+COUNTIF(D74:AG74,"0.5")/2</f>
        <v/>
      </c>
      <c r="AM74" s="1378">
        <f>SUM(AI74:AL74)</f>
        <v/>
      </c>
      <c r="AN74" s="1378">
        <f>AI74+AJ74+AK74</f>
        <v/>
      </c>
      <c r="AO74" s="386" t="n"/>
      <c r="AP74" s="384" t="n"/>
      <c r="AQ74" s="384" t="n"/>
      <c r="AR74" s="384" t="n"/>
    </row>
    <row r="75" ht="27" customFormat="1" customHeight="1" s="306">
      <c r="A75" s="1376" t="n">
        <v>66</v>
      </c>
      <c r="B75" s="1393" t="n"/>
      <c r="C75" s="388" t="inlineStr">
        <is>
          <t>Nguyễn Trí Nghĩa</t>
        </is>
      </c>
      <c r="D75" s="332" t="n">
        <v>1</v>
      </c>
      <c r="E75" s="333" t="n"/>
      <c r="F75" s="333" t="n">
        <v>1</v>
      </c>
      <c r="G75" s="333" t="n">
        <v>1</v>
      </c>
      <c r="H75" s="333" t="n">
        <v>1</v>
      </c>
      <c r="I75" s="333" t="n">
        <v>1</v>
      </c>
      <c r="J75" s="333" t="n">
        <v>1</v>
      </c>
      <c r="K75" s="332" t="n">
        <v>1</v>
      </c>
      <c r="L75" s="333" t="n"/>
      <c r="M75" s="333" t="n">
        <v>1</v>
      </c>
      <c r="N75" s="333" t="n">
        <v>1</v>
      </c>
      <c r="O75" s="333" t="n">
        <v>1</v>
      </c>
      <c r="P75" s="333" t="n">
        <v>1</v>
      </c>
      <c r="Q75" s="333" t="n">
        <v>1</v>
      </c>
      <c r="R75" s="332" t="n">
        <v>1</v>
      </c>
      <c r="S75" s="333" t="n"/>
      <c r="T75" s="337" t="inlineStr">
        <is>
          <t>P</t>
        </is>
      </c>
      <c r="U75" s="337" t="inlineStr">
        <is>
          <t>P</t>
        </is>
      </c>
      <c r="V75" s="337" t="inlineStr">
        <is>
          <t>P</t>
        </is>
      </c>
      <c r="W75" s="337" t="inlineStr">
        <is>
          <t>P</t>
        </is>
      </c>
      <c r="X75" s="333" t="n">
        <v>1</v>
      </c>
      <c r="Y75" s="332" t="n">
        <v>1</v>
      </c>
      <c r="Z75" s="333" t="n"/>
      <c r="AA75" s="333" t="n">
        <v>1</v>
      </c>
      <c r="AB75" s="333" t="n">
        <v>1</v>
      </c>
      <c r="AC75" s="333" t="n">
        <v>1</v>
      </c>
      <c r="AD75" s="333" t="n">
        <v>1</v>
      </c>
      <c r="AE75" s="333" t="n">
        <v>1</v>
      </c>
      <c r="AF75" s="332" t="n">
        <v>1</v>
      </c>
      <c r="AG75" s="333" t="n"/>
      <c r="AH75" s="333" t="n">
        <v>1</v>
      </c>
      <c r="AI75" s="1377">
        <f>SUM(D75:AH75)+(COUNTIF(D75:AH75,"0,5KL")/2)+(COUNTIF(D75:AH75,"0,5P")/2)+(COUNTIF(D75:AH75,"0.5L")/2)</f>
        <v/>
      </c>
      <c r="AJ75" s="1377">
        <f>(COUNTIF(D75:AH75,"P"))+(COUNTIF(D75:AG75,"P/2")/2)+(COUNTIF(D75:AG75,"0,5P")/2)+(COUNTIF(D75:AG75,"L/P")/2)+(COUNTIF(D75:AG75,"P/KL")/2)</f>
        <v/>
      </c>
      <c r="AK75" s="1377">
        <f>COUNTIF(D75:AH75,"L")+(COUNTIF(D75:AG75,"L/2")/2)+(COUNTIF(D75:AG75,"L/P")/2)+(COUNTIF(D75:AG75,"L/KL")/2)</f>
        <v/>
      </c>
      <c r="AL75" s="1377">
        <f>COUNTIF(D75:AH75,"KL")+COUNTIF(D75:AG75,"0,5KL")/2+COUNTIF(D75:AG75,"L/KL")/2+COUNTIF(D75:AG75,"KL/2")/2+COUNTIF(D75:AG75,"P/KL")/2+COUNTIF(D75:AG75,"0.5")/2</f>
        <v/>
      </c>
      <c r="AM75" s="1378">
        <f>SUM(AI75:AL75)</f>
        <v/>
      </c>
      <c r="AN75" s="1378">
        <f>AI75+AJ75+AK75</f>
        <v/>
      </c>
      <c r="AO75" s="386" t="n"/>
      <c r="AP75" s="384" t="n"/>
      <c r="AQ75" s="384" t="n"/>
      <c r="AR75" s="384" t="n"/>
    </row>
    <row r="76" ht="27" customFormat="1" customHeight="1" s="306">
      <c r="A76" s="1376" t="n">
        <v>67</v>
      </c>
      <c r="B76" s="1393" t="n"/>
      <c r="C76" s="388" t="inlineStr">
        <is>
          <t>Nguyễn Thị Mai Duyên</t>
        </is>
      </c>
      <c r="D76" s="332" t="n">
        <v>1</v>
      </c>
      <c r="E76" s="333" t="n"/>
      <c r="F76" s="333" t="n">
        <v>1</v>
      </c>
      <c r="G76" s="333" t="n">
        <v>1</v>
      </c>
      <c r="H76" s="333" t="n">
        <v>1</v>
      </c>
      <c r="I76" s="333" t="n">
        <v>1</v>
      </c>
      <c r="J76" s="333" t="n">
        <v>1</v>
      </c>
      <c r="K76" s="340" t="inlineStr">
        <is>
          <t>P/2</t>
        </is>
      </c>
      <c r="L76" s="333" t="n"/>
      <c r="M76" s="333" t="n">
        <v>1</v>
      </c>
      <c r="N76" s="333" t="n">
        <v>1</v>
      </c>
      <c r="O76" s="333" t="n">
        <v>1</v>
      </c>
      <c r="P76" s="333" t="n">
        <v>1</v>
      </c>
      <c r="Q76" s="333" t="n">
        <v>1</v>
      </c>
      <c r="R76" s="332" t="n">
        <v>1</v>
      </c>
      <c r="S76" s="333" t="n"/>
      <c r="T76" s="333" t="n">
        <v>1</v>
      </c>
      <c r="U76" s="333" t="n">
        <v>1</v>
      </c>
      <c r="V76" s="333" t="n">
        <v>1</v>
      </c>
      <c r="W76" s="333" t="n">
        <v>1</v>
      </c>
      <c r="X76" s="333" t="n">
        <v>1</v>
      </c>
      <c r="Y76" s="332" t="n">
        <v>1</v>
      </c>
      <c r="Z76" s="333" t="n"/>
      <c r="AA76" s="333" t="n">
        <v>1</v>
      </c>
      <c r="AB76" s="333" t="n">
        <v>1</v>
      </c>
      <c r="AC76" s="333" t="n">
        <v>1</v>
      </c>
      <c r="AD76" s="333" t="n">
        <v>1</v>
      </c>
      <c r="AE76" s="333" t="n">
        <v>1</v>
      </c>
      <c r="AF76" s="338" t="inlineStr">
        <is>
          <t>P/2</t>
        </is>
      </c>
      <c r="AG76" s="333" t="n"/>
      <c r="AH76" s="333" t="n">
        <v>1</v>
      </c>
      <c r="AI76" s="1377">
        <f>SUM(D76:AH76)+(COUNTIF(D76:AH76,"0,5KL")/2)+(COUNTIF(D76:AH76,"0,5P")/2)+(COUNTIF(D76:AH76,"0.5L")/2)</f>
        <v/>
      </c>
      <c r="AJ76" s="1377">
        <f>(COUNTIF(D76:AH76,"P"))+(COUNTIF(D76:AG76,"P/2")/2)+(COUNTIF(D76:AG76,"0,5P")/2)+(COUNTIF(D76:AG76,"L/P")/2)+(COUNTIF(D76:AG76,"P/KL")/2)</f>
        <v/>
      </c>
      <c r="AK76" s="1377">
        <f>COUNTIF(D76:AH76,"L")+(COUNTIF(D76:AG76,"L/2")/2)+(COUNTIF(D76:AG76,"L/P")/2)+(COUNTIF(D76:AG76,"L/KL")/2)</f>
        <v/>
      </c>
      <c r="AL76" s="1377">
        <f>COUNTIF(D76:AH76,"KL")+COUNTIF(D76:AG76,"0,5KL")/2+COUNTIF(D76:AG76,"L/KL")/2+COUNTIF(D76:AG76,"KL/2")/2+COUNTIF(D76:AG76,"P/KL")/2+COUNTIF(D76:AG76,"0.5")/2</f>
        <v/>
      </c>
      <c r="AM76" s="1378">
        <f>SUM(AI76:AL76)</f>
        <v/>
      </c>
      <c r="AN76" s="1378">
        <f>AI76+AJ76+AK76</f>
        <v/>
      </c>
      <c r="AO76" s="386" t="n"/>
      <c r="AP76" s="384" t="n"/>
      <c r="AQ76" s="384" t="n"/>
      <c r="AR76" s="384" t="n"/>
    </row>
    <row r="77" ht="27" customFormat="1" customHeight="1" s="306">
      <c r="A77" s="1376" t="n">
        <v>68</v>
      </c>
      <c r="B77" s="1393" t="n"/>
      <c r="C77" s="388" t="inlineStr">
        <is>
          <t>Ngô Thị Thanh Thắm</t>
        </is>
      </c>
      <c r="D77" s="332" t="n">
        <v>1</v>
      </c>
      <c r="E77" s="333" t="n"/>
      <c r="F77" s="333" t="n">
        <v>1</v>
      </c>
      <c r="G77" s="333" t="n">
        <v>1</v>
      </c>
      <c r="H77" s="333" t="n">
        <v>1</v>
      </c>
      <c r="I77" s="333" t="n">
        <v>1</v>
      </c>
      <c r="J77" s="333" t="n">
        <v>1</v>
      </c>
      <c r="K77" s="332" t="n">
        <v>1</v>
      </c>
      <c r="L77" s="333" t="n"/>
      <c r="M77" s="333" t="n">
        <v>1</v>
      </c>
      <c r="N77" s="333" t="n">
        <v>1</v>
      </c>
      <c r="O77" s="333" t="n">
        <v>1</v>
      </c>
      <c r="P77" s="337" t="inlineStr">
        <is>
          <t>P</t>
        </is>
      </c>
      <c r="Q77" s="337" t="inlineStr">
        <is>
          <t>P</t>
        </is>
      </c>
      <c r="R77" s="340" t="inlineStr">
        <is>
          <t>P</t>
        </is>
      </c>
      <c r="S77" s="333" t="n"/>
      <c r="T77" s="333" t="n">
        <v>1</v>
      </c>
      <c r="U77" s="333" t="n">
        <v>1</v>
      </c>
      <c r="V77" s="333" t="n">
        <v>1</v>
      </c>
      <c r="W77" s="333" t="n">
        <v>1</v>
      </c>
      <c r="X77" s="333" t="n">
        <v>1</v>
      </c>
      <c r="Y77" s="332" t="n">
        <v>1</v>
      </c>
      <c r="Z77" s="333" t="n"/>
      <c r="AA77" s="333" t="n">
        <v>1</v>
      </c>
      <c r="AB77" s="333" t="n">
        <v>1</v>
      </c>
      <c r="AC77" s="333" t="n">
        <v>1</v>
      </c>
      <c r="AD77" s="333" t="n">
        <v>1</v>
      </c>
      <c r="AE77" s="333" t="n">
        <v>1</v>
      </c>
      <c r="AF77" s="338" t="inlineStr">
        <is>
          <t>P/2</t>
        </is>
      </c>
      <c r="AG77" s="333" t="n"/>
      <c r="AH77" s="333" t="n">
        <v>1</v>
      </c>
      <c r="AI77" s="1377">
        <f>SUM(D77:AH77)+(COUNTIF(D77:AH77,"0,5KL")/2)+(COUNTIF(D77:AH77,"0,5P")/2)+(COUNTIF(D77:AH77,"0.5L")/2)</f>
        <v/>
      </c>
      <c r="AJ77" s="1377">
        <f>(COUNTIF(D77:AH77,"P"))+(COUNTIF(D77:AG77,"P/2")/2)+(COUNTIF(D77:AG77,"0,5P")/2)+(COUNTIF(D77:AG77,"L/P")/2)+(COUNTIF(D77:AG77,"P/KL")/2)</f>
        <v/>
      </c>
      <c r="AK77" s="1377">
        <f>COUNTIF(D77:AH77,"L")+(COUNTIF(D77:AG77,"L/2")/2)+(COUNTIF(D77:AG77,"L/P")/2)+(COUNTIF(D77:AG77,"L/KL")/2)</f>
        <v/>
      </c>
      <c r="AL77" s="1377">
        <f>COUNTIF(D77:AH77,"KL")+COUNTIF(D77:AG77,"0,5KL")/2+COUNTIF(D77:AG77,"L/KL")/2+COUNTIF(D77:AG77,"KL/2")/2+COUNTIF(D77:AG77,"P/KL")/2+COUNTIF(D77:AG77,"0.5")/2</f>
        <v/>
      </c>
      <c r="AM77" s="1378">
        <f>SUM(AI77:AL77)</f>
        <v/>
      </c>
      <c r="AN77" s="1378">
        <f>AI77+AJ77+AK77</f>
        <v/>
      </c>
      <c r="AO77" s="386" t="n"/>
      <c r="AP77" s="384" t="n"/>
      <c r="AQ77" s="384" t="n"/>
      <c r="AR77" s="384" t="n"/>
    </row>
    <row r="78" ht="27" customFormat="1" customHeight="1" s="306">
      <c r="A78" s="1376" t="n">
        <v>69</v>
      </c>
      <c r="B78" s="1393" t="n"/>
      <c r="C78" s="388" t="inlineStr">
        <is>
          <t>Lưu Thanh Tuyền</t>
        </is>
      </c>
      <c r="D78" s="332" t="n">
        <v>1</v>
      </c>
      <c r="E78" s="333" t="n"/>
      <c r="F78" s="333" t="n">
        <v>1</v>
      </c>
      <c r="G78" s="333" t="n">
        <v>1</v>
      </c>
      <c r="H78" s="333" t="n">
        <v>1</v>
      </c>
      <c r="I78" s="333" t="n">
        <v>1</v>
      </c>
      <c r="J78" s="333" t="n">
        <v>1</v>
      </c>
      <c r="K78" s="332" t="n">
        <v>1</v>
      </c>
      <c r="L78" s="333" t="n"/>
      <c r="M78" s="333" t="n">
        <v>1</v>
      </c>
      <c r="N78" s="333" t="n">
        <v>1</v>
      </c>
      <c r="O78" s="333" t="n">
        <v>1</v>
      </c>
      <c r="P78" s="333" t="n">
        <v>1</v>
      </c>
      <c r="Q78" s="333" t="n">
        <v>1</v>
      </c>
      <c r="R78" s="332" t="n">
        <v>1</v>
      </c>
      <c r="S78" s="333" t="n"/>
      <c r="T78" s="333" t="n">
        <v>1</v>
      </c>
      <c r="U78" s="333" t="n">
        <v>1</v>
      </c>
      <c r="V78" s="333" t="n">
        <v>1</v>
      </c>
      <c r="W78" s="333" t="n">
        <v>1</v>
      </c>
      <c r="X78" s="333" t="n">
        <v>1</v>
      </c>
      <c r="Y78" s="332" t="n">
        <v>1</v>
      </c>
      <c r="Z78" s="333" t="n"/>
      <c r="AA78" s="333" t="n">
        <v>1</v>
      </c>
      <c r="AB78" s="333" t="n">
        <v>1</v>
      </c>
      <c r="AC78" s="337" t="inlineStr">
        <is>
          <t>P</t>
        </is>
      </c>
      <c r="AD78" s="333" t="n">
        <v>1</v>
      </c>
      <c r="AE78" s="333" t="n">
        <v>1</v>
      </c>
      <c r="AF78" s="332" t="n">
        <v>1</v>
      </c>
      <c r="AG78" s="333" t="n"/>
      <c r="AH78" s="333" t="n">
        <v>1</v>
      </c>
      <c r="AI78" s="1377">
        <f>SUM(D78:AH78)+(COUNTIF(D78:AH78,"0,5KL")/2)+(COUNTIF(D78:AH78,"0,5P")/2)+(COUNTIF(D78:AH78,"0.5L")/2)</f>
        <v/>
      </c>
      <c r="AJ78" s="1377">
        <f>(COUNTIF(D78:AH78,"P"))+(COUNTIF(D78:AG78,"P/2")/2)+(COUNTIF(D78:AG78,"0,5P")/2)+(COUNTIF(D78:AG78,"L/P")/2)+(COUNTIF(D78:AG78,"P/KL")/2)</f>
        <v/>
      </c>
      <c r="AK78" s="1377">
        <f>COUNTIF(D78:AH78,"L")+(COUNTIF(D78:AG78,"L/2")/2)+(COUNTIF(D78:AG78,"L/P")/2)+(COUNTIF(D78:AG78,"L/KL")/2)</f>
        <v/>
      </c>
      <c r="AL78" s="1377">
        <f>COUNTIF(D78:AH78,"KL")+COUNTIF(D78:AG78,"0,5KL")/2+COUNTIF(D78:AG78,"L/KL")/2+COUNTIF(D78:AG78,"KL/2")/2+COUNTIF(D78:AG78,"P/KL")/2+COUNTIF(D78:AG78,"0.5")/2</f>
        <v/>
      </c>
      <c r="AM78" s="1378">
        <f>SUM(AI78:AL78)</f>
        <v/>
      </c>
      <c r="AN78" s="1378">
        <f>AI78+AJ78+AK78</f>
        <v/>
      </c>
      <c r="AO78" s="386" t="n"/>
      <c r="AP78" s="384" t="n"/>
      <c r="AQ78" s="384" t="n"/>
      <c r="AR78" s="384" t="n"/>
    </row>
    <row r="79" ht="27" customFormat="1" customHeight="1" s="306">
      <c r="A79" s="1376" t="n">
        <v>70</v>
      </c>
      <c r="B79" s="1393" t="n"/>
      <c r="C79" s="388" t="inlineStr">
        <is>
          <t>Huỳnh Thị Huệ Hiền</t>
        </is>
      </c>
      <c r="D79" s="332" t="n">
        <v>1</v>
      </c>
      <c r="E79" s="333" t="n"/>
      <c r="F79" s="333" t="n">
        <v>1</v>
      </c>
      <c r="G79" s="337" t="inlineStr">
        <is>
          <t>P</t>
        </is>
      </c>
      <c r="H79" s="337" t="inlineStr">
        <is>
          <t>P</t>
        </is>
      </c>
      <c r="I79" s="337" t="inlineStr">
        <is>
          <t>P</t>
        </is>
      </c>
      <c r="J79" s="337" t="inlineStr">
        <is>
          <t>P</t>
        </is>
      </c>
      <c r="K79" s="340" t="inlineStr">
        <is>
          <t>P/2</t>
        </is>
      </c>
      <c r="L79" s="333" t="n"/>
      <c r="M79" s="333" t="n">
        <v>1</v>
      </c>
      <c r="N79" s="333" t="n">
        <v>1</v>
      </c>
      <c r="O79" s="333" t="n">
        <v>1</v>
      </c>
      <c r="P79" s="333" t="n">
        <v>1</v>
      </c>
      <c r="Q79" s="333" t="n">
        <v>1</v>
      </c>
      <c r="R79" s="332" t="n">
        <v>1</v>
      </c>
      <c r="S79" s="333" t="n"/>
      <c r="T79" s="333" t="n">
        <v>1</v>
      </c>
      <c r="U79" s="333" t="n">
        <v>1</v>
      </c>
      <c r="V79" s="333" t="n">
        <v>1</v>
      </c>
      <c r="W79" s="333" t="n">
        <v>1</v>
      </c>
      <c r="X79" s="333" t="n">
        <v>1</v>
      </c>
      <c r="Y79" s="332" t="n">
        <v>1</v>
      </c>
      <c r="Z79" s="333" t="n"/>
      <c r="AA79" s="333" t="n">
        <v>1</v>
      </c>
      <c r="AB79" s="333" t="n">
        <v>1</v>
      </c>
      <c r="AC79" s="333" t="n">
        <v>1</v>
      </c>
      <c r="AD79" s="333" t="n">
        <v>1</v>
      </c>
      <c r="AE79" s="333" t="n">
        <v>1</v>
      </c>
      <c r="AF79" s="332" t="n">
        <v>1</v>
      </c>
      <c r="AG79" s="333" t="n"/>
      <c r="AH79" s="333" t="n">
        <v>1</v>
      </c>
      <c r="AI79" s="1377">
        <f>SUM(D79:AH79)+(COUNTIF(D79:AH79,"0,5KL")/2)+(COUNTIF(D79:AH79,"0,5P")/2)+(COUNTIF(D79:AH79,"0.5L")/2)</f>
        <v/>
      </c>
      <c r="AJ79" s="1377">
        <f>(COUNTIF(D79:AH79,"P"))+(COUNTIF(D79:AG79,"P/2")/2)+(COUNTIF(D79:AG79,"0,5P")/2)+(COUNTIF(D79:AG79,"L/P")/2)+(COUNTIF(D79:AG79,"P/KL")/2)</f>
        <v/>
      </c>
      <c r="AK79" s="1377">
        <f>COUNTIF(D79:AH79,"L")+(COUNTIF(D79:AG79,"L/2")/2)+(COUNTIF(D79:AG79,"L/P")/2)+(COUNTIF(D79:AG79,"L/KL")/2)</f>
        <v/>
      </c>
      <c r="AL79" s="1377">
        <f>COUNTIF(D79:AH79,"KL")+COUNTIF(D79:AG79,"0,5KL")/2+COUNTIF(D79:AG79,"L/KL")/2+COUNTIF(D79:AG79,"KL/2")/2+COUNTIF(D79:AG79,"P/KL")/2+COUNTIF(D79:AG79,"0.5")/2</f>
        <v/>
      </c>
      <c r="AM79" s="1378">
        <f>SUM(AI79:AL79)</f>
        <v/>
      </c>
      <c r="AN79" s="1378">
        <f>AI79+AJ79+AK79</f>
        <v/>
      </c>
      <c r="AO79" s="386" t="n"/>
      <c r="AP79" s="384" t="n"/>
      <c r="AQ79" s="384" t="n"/>
      <c r="AR79" s="384" t="n"/>
    </row>
    <row r="80" ht="27" customFormat="1" customHeight="1" s="306">
      <c r="A80" s="1376" t="n">
        <v>71</v>
      </c>
      <c r="B80" s="1393" t="n"/>
      <c r="C80" s="388" t="inlineStr">
        <is>
          <t>Hứa Thị Kim Thoa</t>
        </is>
      </c>
      <c r="D80" s="332" t="n">
        <v>1</v>
      </c>
      <c r="E80" s="333" t="n"/>
      <c r="F80" s="333" t="n">
        <v>1</v>
      </c>
      <c r="G80" s="333" t="n">
        <v>1</v>
      </c>
      <c r="H80" s="333" t="n">
        <v>1</v>
      </c>
      <c r="I80" s="333" t="n">
        <v>1</v>
      </c>
      <c r="J80" s="333" t="n">
        <v>1</v>
      </c>
      <c r="K80" s="332" t="n">
        <v>1</v>
      </c>
      <c r="L80" s="333" t="n"/>
      <c r="M80" s="333" t="n">
        <v>1</v>
      </c>
      <c r="N80" s="333" t="n">
        <v>1</v>
      </c>
      <c r="O80" s="333" t="n">
        <v>1</v>
      </c>
      <c r="P80" s="333" t="n">
        <v>1</v>
      </c>
      <c r="Q80" s="333" t="n">
        <v>1</v>
      </c>
      <c r="R80" s="340" t="inlineStr">
        <is>
          <t>P/2</t>
        </is>
      </c>
      <c r="S80" s="333" t="n"/>
      <c r="T80" s="333" t="n">
        <v>1</v>
      </c>
      <c r="U80" s="333" t="n">
        <v>1</v>
      </c>
      <c r="V80" s="333" t="n">
        <v>1</v>
      </c>
      <c r="W80" s="333" t="n">
        <v>1</v>
      </c>
      <c r="X80" s="333" t="n">
        <v>1</v>
      </c>
      <c r="Y80" s="332" t="n">
        <v>1</v>
      </c>
      <c r="Z80" s="333" t="n"/>
      <c r="AA80" s="333" t="n">
        <v>1</v>
      </c>
      <c r="AB80" s="333" t="n">
        <v>1</v>
      </c>
      <c r="AC80" s="333" t="n">
        <v>1</v>
      </c>
      <c r="AD80" s="333" t="n">
        <v>1</v>
      </c>
      <c r="AE80" s="333" t="n">
        <v>1</v>
      </c>
      <c r="AF80" s="332" t="n">
        <v>1</v>
      </c>
      <c r="AG80" s="333" t="n"/>
      <c r="AH80" s="333" t="n">
        <v>1</v>
      </c>
      <c r="AI80" s="1377">
        <f>SUM(D80:AH80)+(COUNTIF(D80:AH80,"0,5KL")/2)+(COUNTIF(D80:AH80,"0,5P")/2)+(COUNTIF(D80:AH80,"0.5L")/2)</f>
        <v/>
      </c>
      <c r="AJ80" s="1377">
        <f>(COUNTIF(D80:AH80,"P"))+(COUNTIF(D80:AG80,"P/2")/2)+(COUNTIF(D80:AG80,"0,5P")/2)+(COUNTIF(D80:AG80,"L/P")/2)+(COUNTIF(D80:AG80,"P/KL")/2)</f>
        <v/>
      </c>
      <c r="AK80" s="1377">
        <f>COUNTIF(D80:AH80,"L")+(COUNTIF(D80:AG80,"L/2")/2)+(COUNTIF(D80:AG80,"L/P")/2)+(COUNTIF(D80:AG80,"L/KL")/2)</f>
        <v/>
      </c>
      <c r="AL80" s="1377">
        <f>COUNTIF(D80:AH80,"KL")+COUNTIF(D80:AG80,"0,5KL")/2+COUNTIF(D80:AG80,"L/KL")/2+COUNTIF(D80:AG80,"KL/2")/2+COUNTIF(D80:AG80,"P/KL")/2+COUNTIF(D80:AG80,"0.5")/2</f>
        <v/>
      </c>
      <c r="AM80" s="1378">
        <f>SUM(AI80:AL80)</f>
        <v/>
      </c>
      <c r="AN80" s="1378">
        <f>AI80+AJ80+AK80</f>
        <v/>
      </c>
      <c r="AO80" s="386" t="n"/>
      <c r="AP80" s="384" t="n"/>
      <c r="AQ80" s="384" t="n"/>
      <c r="AR80" s="384" t="n"/>
    </row>
    <row r="81" ht="27" customFormat="1" customHeight="1" s="306">
      <c r="A81" s="1376" t="n">
        <v>72</v>
      </c>
      <c r="B81" s="1393" t="n"/>
      <c r="C81" s="388" t="inlineStr">
        <is>
          <t>Hồ Ngọc Lý</t>
        </is>
      </c>
      <c r="D81" s="332" t="n">
        <v>1</v>
      </c>
      <c r="E81" s="333" t="n"/>
      <c r="F81" s="337" t="inlineStr">
        <is>
          <t>P</t>
        </is>
      </c>
      <c r="G81" s="333" t="n">
        <v>1</v>
      </c>
      <c r="H81" s="333" t="n">
        <v>1</v>
      </c>
      <c r="I81" s="333" t="n">
        <v>1</v>
      </c>
      <c r="J81" s="333" t="n">
        <v>1</v>
      </c>
      <c r="K81" s="332" t="n">
        <v>1</v>
      </c>
      <c r="L81" s="333" t="n"/>
      <c r="M81" s="333" t="n">
        <v>1</v>
      </c>
      <c r="N81" s="333" t="n">
        <v>1</v>
      </c>
      <c r="O81" s="333" t="n">
        <v>1</v>
      </c>
      <c r="P81" s="333" t="n">
        <v>1</v>
      </c>
      <c r="Q81" s="333" t="n">
        <v>1</v>
      </c>
      <c r="R81" s="332" t="n">
        <v>1</v>
      </c>
      <c r="S81" s="333" t="n"/>
      <c r="T81" s="333" t="n">
        <v>1</v>
      </c>
      <c r="U81" s="333" t="n">
        <v>1</v>
      </c>
      <c r="V81" s="333" t="n">
        <v>1</v>
      </c>
      <c r="W81" s="333" t="n">
        <v>1</v>
      </c>
      <c r="X81" s="333" t="n">
        <v>1</v>
      </c>
      <c r="Y81" s="332" t="n">
        <v>1</v>
      </c>
      <c r="Z81" s="333" t="n"/>
      <c r="AA81" s="333" t="n">
        <v>1</v>
      </c>
      <c r="AB81" s="333" t="n">
        <v>1</v>
      </c>
      <c r="AC81" s="333" t="n">
        <v>1</v>
      </c>
      <c r="AD81" s="333" t="n">
        <v>1</v>
      </c>
      <c r="AE81" s="333" t="n">
        <v>1</v>
      </c>
      <c r="AF81" s="332" t="n">
        <v>1</v>
      </c>
      <c r="AG81" s="333" t="n"/>
      <c r="AH81" s="333" t="n">
        <v>1</v>
      </c>
      <c r="AI81" s="1377">
        <f>SUM(D81:AH81)+(COUNTIF(D81:AH81,"0,5KL")/2)+(COUNTIF(D81:AH81,"0,5P")/2)+(COUNTIF(D81:AH81,"0.5L")/2)</f>
        <v/>
      </c>
      <c r="AJ81" s="1377">
        <f>(COUNTIF(D81:AH81,"P"))+(COUNTIF(D81:AG81,"P/2")/2)+(COUNTIF(D81:AG81,"0,5P")/2)+(COUNTIF(D81:AG81,"L/P")/2)+(COUNTIF(D81:AG81,"P/KL")/2)</f>
        <v/>
      </c>
      <c r="AK81" s="1377">
        <f>COUNTIF(D81:AH81,"L")+(COUNTIF(D81:AG81,"L/2")/2)+(COUNTIF(D81:AG81,"L/P")/2)+(COUNTIF(D81:AG81,"L/KL")/2)</f>
        <v/>
      </c>
      <c r="AL81" s="1377">
        <f>COUNTIF(D81:AH81,"KL")+COUNTIF(D81:AG81,"0,5KL")/2+COUNTIF(D81:AG81,"L/KL")/2+COUNTIF(D81:AG81,"KL/2")/2+COUNTIF(D81:AG81,"P/KL")/2+COUNTIF(D81:AG81,"0.5")/2</f>
        <v/>
      </c>
      <c r="AM81" s="1378">
        <f>SUM(AI81:AL81)</f>
        <v/>
      </c>
      <c r="AN81" s="1378">
        <f>AI81+AJ81+AK81</f>
        <v/>
      </c>
      <c r="AO81" s="386" t="n"/>
      <c r="AP81" s="384" t="n"/>
      <c r="AQ81" s="384" t="n"/>
      <c r="AR81" s="384" t="n"/>
    </row>
    <row r="82" ht="27" customFormat="1" customHeight="1" s="306">
      <c r="A82" s="1376" t="n">
        <v>73</v>
      </c>
      <c r="B82" s="1393" t="n"/>
      <c r="C82" s="388" t="inlineStr">
        <is>
          <t>Đinh Thị Khánh Ly</t>
        </is>
      </c>
      <c r="D82" s="332" t="n">
        <v>1</v>
      </c>
      <c r="E82" s="333" t="n"/>
      <c r="F82" s="333" t="n">
        <v>1</v>
      </c>
      <c r="G82" s="333" t="n">
        <v>1</v>
      </c>
      <c r="H82" s="333" t="n">
        <v>1</v>
      </c>
      <c r="I82" s="333" t="n">
        <v>1</v>
      </c>
      <c r="J82" s="333" t="n">
        <v>1</v>
      </c>
      <c r="K82" s="332" t="n">
        <v>1</v>
      </c>
      <c r="L82" s="333" t="n"/>
      <c r="M82" s="333" t="n">
        <v>1</v>
      </c>
      <c r="N82" s="333" t="n">
        <v>1</v>
      </c>
      <c r="O82" s="333" t="n">
        <v>1</v>
      </c>
      <c r="P82" s="333" t="n">
        <v>1</v>
      </c>
      <c r="Q82" s="333" t="n">
        <v>1</v>
      </c>
      <c r="R82" s="332" t="n">
        <v>1</v>
      </c>
      <c r="S82" s="333" t="n"/>
      <c r="T82" s="333" t="n">
        <v>1</v>
      </c>
      <c r="U82" s="333" t="n">
        <v>1</v>
      </c>
      <c r="V82" s="333" t="n">
        <v>1</v>
      </c>
      <c r="W82" s="333" t="n">
        <v>1</v>
      </c>
      <c r="X82" s="333" t="n">
        <v>1</v>
      </c>
      <c r="Y82" s="332" t="n">
        <v>1</v>
      </c>
      <c r="Z82" s="333" t="n"/>
      <c r="AA82" s="333" t="n">
        <v>1</v>
      </c>
      <c r="AB82" s="333" t="n">
        <v>1</v>
      </c>
      <c r="AC82" s="333" t="n">
        <v>1</v>
      </c>
      <c r="AD82" s="333" t="n">
        <v>1</v>
      </c>
      <c r="AE82" s="333" t="n">
        <v>1</v>
      </c>
      <c r="AF82" s="332" t="n">
        <v>1</v>
      </c>
      <c r="AG82" s="333" t="n"/>
      <c r="AH82" s="333" t="n">
        <v>1</v>
      </c>
      <c r="AI82" s="1377">
        <f>SUM(D82:AH82)+(COUNTIF(D82:AH82,"0,5KL")/2)+(COUNTIF(D82:AH82,"0,5P")/2)+(COUNTIF(D82:AH82,"0.5L")/2)</f>
        <v/>
      </c>
      <c r="AJ82" s="1377">
        <f>(COUNTIF(D82:AH82,"P"))+(COUNTIF(D82:AG82,"P/2")/2)+(COUNTIF(D82:AG82,"0,5P")/2)+(COUNTIF(D82:AG82,"L/P")/2)+(COUNTIF(D82:AG82,"P/KL")/2)</f>
        <v/>
      </c>
      <c r="AK82" s="1377">
        <f>COUNTIF(D82:AH82,"L")+(COUNTIF(D82:AG82,"L/2")/2)+(COUNTIF(D82:AG82,"L/P")/2)+(COUNTIF(D82:AG82,"L/KL")/2)</f>
        <v/>
      </c>
      <c r="AL82" s="1377">
        <f>COUNTIF(D82:AH82,"KL")+COUNTIF(D82:AG82,"0,5KL")/2+COUNTIF(D82:AG82,"L/KL")/2+COUNTIF(D82:AG82,"KL/2")/2+COUNTIF(D82:AG82,"P/KL")/2+COUNTIF(D82:AG82,"0.5")/2</f>
        <v/>
      </c>
      <c r="AM82" s="1378">
        <f>SUM(AI82:AL82)</f>
        <v/>
      </c>
      <c r="AN82" s="1378">
        <f>AI82+AJ82+AK82</f>
        <v/>
      </c>
      <c r="AO82" s="386" t="n"/>
      <c r="AP82" s="389" t="n">
        <v>46250</v>
      </c>
      <c r="AQ82" s="384" t="n"/>
      <c r="AR82" s="384" t="n"/>
    </row>
    <row r="83" ht="27" customFormat="1" customHeight="1" s="306">
      <c r="A83" s="1376" t="n">
        <v>74</v>
      </c>
      <c r="B83" s="1393" t="n"/>
      <c r="C83" s="388" t="n"/>
      <c r="D83" s="332" t="n">
        <v>1</v>
      </c>
      <c r="E83" s="333" t="n"/>
      <c r="F83" s="333" t="n">
        <v>1</v>
      </c>
      <c r="G83" s="333" t="n">
        <v>1</v>
      </c>
      <c r="H83" s="333" t="n">
        <v>1</v>
      </c>
      <c r="I83" s="333" t="n">
        <v>1</v>
      </c>
      <c r="J83" s="333" t="n">
        <v>1</v>
      </c>
      <c r="K83" s="332" t="n">
        <v>1</v>
      </c>
      <c r="L83" s="333" t="n"/>
      <c r="M83" s="333" t="n">
        <v>1</v>
      </c>
      <c r="N83" s="333" t="n">
        <v>1</v>
      </c>
      <c r="O83" s="333" t="n">
        <v>1</v>
      </c>
      <c r="P83" s="333" t="n">
        <v>1</v>
      </c>
      <c r="Q83" s="333" t="n">
        <v>1</v>
      </c>
      <c r="R83" s="332" t="n">
        <v>1</v>
      </c>
      <c r="S83" s="333" t="n"/>
      <c r="T83" s="333" t="n">
        <v>1</v>
      </c>
      <c r="U83" s="333" t="n">
        <v>1</v>
      </c>
      <c r="V83" s="333" t="n">
        <v>1</v>
      </c>
      <c r="W83" s="333" t="n">
        <v>1</v>
      </c>
      <c r="X83" s="333" t="n">
        <v>1</v>
      </c>
      <c r="Y83" s="332" t="n">
        <v>1</v>
      </c>
      <c r="Z83" s="333" t="n"/>
      <c r="AA83" s="333" t="n">
        <v>1</v>
      </c>
      <c r="AB83" s="333" t="n">
        <v>1</v>
      </c>
      <c r="AC83" s="333" t="n">
        <v>1</v>
      </c>
      <c r="AD83" s="333" t="n">
        <v>1</v>
      </c>
      <c r="AE83" s="333" t="n">
        <v>1</v>
      </c>
      <c r="AF83" s="332" t="n">
        <v>1</v>
      </c>
      <c r="AG83" s="333" t="n"/>
      <c r="AH83" s="333" t="n">
        <v>1</v>
      </c>
      <c r="AI83" s="1377" t="n"/>
      <c r="AJ83" s="1377" t="n"/>
      <c r="AK83" s="1377" t="n"/>
      <c r="AL83" s="1377" t="n"/>
      <c r="AM83" s="1378" t="n"/>
      <c r="AN83" s="1378" t="n"/>
      <c r="AO83" s="386" t="n"/>
      <c r="AP83" s="384" t="n"/>
      <c r="AQ83" s="384" t="n"/>
      <c r="AR83" s="384" t="n"/>
    </row>
    <row r="84" ht="27" customFormat="1" customHeight="1" s="306">
      <c r="A84" s="1376" t="n">
        <v>75</v>
      </c>
      <c r="B84" s="1392" t="n"/>
      <c r="C84" s="380" t="inlineStr">
        <is>
          <t>Bùi Thị Cẩm Ngoan</t>
        </is>
      </c>
      <c r="D84" s="332" t="n"/>
      <c r="E84" s="333" t="n"/>
      <c r="F84" s="333" t="n"/>
      <c r="G84" s="333" t="n"/>
      <c r="H84" s="333" t="n"/>
      <c r="I84" s="333" t="n"/>
      <c r="J84" s="333" t="n"/>
      <c r="K84" s="332" t="n"/>
      <c r="L84" s="333" t="n"/>
      <c r="M84" s="333" t="n"/>
      <c r="N84" s="333" t="n"/>
      <c r="O84" s="333" t="n"/>
      <c r="P84" s="333" t="n"/>
      <c r="Q84" s="333" t="n"/>
      <c r="R84" s="332" t="n"/>
      <c r="S84" s="333" t="n"/>
      <c r="T84" s="333" t="n"/>
      <c r="U84" s="333" t="n"/>
      <c r="V84" s="333" t="n"/>
      <c r="W84" s="333" t="n"/>
      <c r="X84" s="333" t="n"/>
      <c r="Y84" s="332" t="n"/>
      <c r="Z84" s="333" t="n"/>
      <c r="AA84" s="333" t="n">
        <v>1</v>
      </c>
      <c r="AB84" s="333" t="n">
        <v>1</v>
      </c>
      <c r="AC84" s="333" t="n">
        <v>1</v>
      </c>
      <c r="AD84" s="333" t="n">
        <v>1</v>
      </c>
      <c r="AE84" s="333" t="n">
        <v>1</v>
      </c>
      <c r="AF84" s="332" t="n">
        <v>1</v>
      </c>
      <c r="AG84" s="333" t="n"/>
      <c r="AH84" s="333" t="n">
        <v>1</v>
      </c>
      <c r="AI84" s="1377">
        <f>SUM(D84:AH84)+(COUNTIF(D84:AH84,"0,5KL")/2)+(COUNTIF(D84:AH84,"0,5P")/2)+(COUNTIF(D84:AH84,"0.5L")/2)</f>
        <v/>
      </c>
      <c r="AJ84" s="1377">
        <f>(COUNTIF(D84:AH84,"P"))+(COUNTIF(D84:AG84,"P/2")/2)+(COUNTIF(D84:AG84,"0,5P")/2)+(COUNTIF(D84:AG84,"L/P")/2)+(COUNTIF(D84:AG84,"P/KL")/2)</f>
        <v/>
      </c>
      <c r="AK84" s="1377">
        <f>COUNTIF(D84:AH84,"L")+(COUNTIF(D84:AG84,"L/2")/2)+(COUNTIF(D84:AG84,"L/P")/2)+(COUNTIF(D84:AG84,"L/KL")/2)</f>
        <v/>
      </c>
      <c r="AL84" s="1377">
        <f>COUNTIF(D84:AH84,"KL")+COUNTIF(D84:AG84,"0,5KL")/2+COUNTIF(D84:AG84,"L/KL")/2+COUNTIF(D84:AG84,"KL/2")/2+COUNTIF(D84:AG84,"P/KL")/2+COUNTIF(D84:AG84,"0.5")/2</f>
        <v/>
      </c>
      <c r="AM84" s="1378">
        <f>SUM(AI84:AL84)</f>
        <v/>
      </c>
      <c r="AN84" s="1378">
        <f>AI84+AJ84+AK84</f>
        <v/>
      </c>
      <c r="AO84" s="1191" t="inlineStr">
        <is>
          <t>24/08/2026</t>
        </is>
      </c>
      <c r="AP84" s="384" t="n"/>
      <c r="AQ84" s="384" t="n"/>
      <c r="AR84" s="384" t="n"/>
    </row>
    <row r="86" ht="15.75" customHeight="1" s="1264">
      <c r="A86" s="390" t="inlineStr">
        <is>
          <t> </t>
        </is>
      </c>
      <c r="B86" s="390" t="n"/>
      <c r="C86" s="33" t="n">
        <v>1</v>
      </c>
      <c r="D86" s="38" t="n">
        <v>2</v>
      </c>
      <c r="E86" s="33" t="n"/>
      <c r="F86" s="391" t="n">
        <v>4</v>
      </c>
      <c r="G86" s="33" t="n">
        <v>5</v>
      </c>
      <c r="H86" s="391" t="n">
        <v>6</v>
      </c>
      <c r="I86" s="33" t="n">
        <v>7</v>
      </c>
      <c r="J86" s="391" t="n">
        <v>8</v>
      </c>
      <c r="K86" s="38" t="n">
        <v>9</v>
      </c>
      <c r="L86" s="391" t="n"/>
      <c r="M86" s="33" t="n">
        <v>11</v>
      </c>
      <c r="N86" s="391" t="n">
        <v>12</v>
      </c>
      <c r="O86" s="33" t="n">
        <v>13</v>
      </c>
      <c r="P86" s="391" t="n">
        <v>14</v>
      </c>
      <c r="Q86" s="33" t="n">
        <v>15</v>
      </c>
      <c r="R86" s="38" t="n">
        <v>16</v>
      </c>
      <c r="S86" s="33" t="n"/>
      <c r="T86" s="391" t="n">
        <v>18</v>
      </c>
      <c r="U86" s="33" t="n">
        <v>19</v>
      </c>
      <c r="V86" s="391" t="n">
        <v>20</v>
      </c>
      <c r="W86" s="33" t="n">
        <v>21</v>
      </c>
      <c r="X86" s="391" t="n">
        <v>22</v>
      </c>
      <c r="Y86" s="38" t="n">
        <v>23</v>
      </c>
      <c r="Z86" s="391" t="n"/>
      <c r="AA86" s="33" t="n">
        <v>25</v>
      </c>
      <c r="AB86" s="391" t="n">
        <v>26</v>
      </c>
      <c r="AC86" s="33" t="n">
        <v>27</v>
      </c>
      <c r="AD86" s="391" t="n">
        <v>28</v>
      </c>
      <c r="AE86" s="33" t="n">
        <v>29</v>
      </c>
      <c r="AF86" s="38" t="n">
        <v>30</v>
      </c>
      <c r="AG86" s="33" t="n"/>
      <c r="AH86" s="33" t="n">
        <v>32</v>
      </c>
      <c r="AI86" s="33" t="n">
        <v>33</v>
      </c>
      <c r="AJ86" s="391" t="n">
        <v>34</v>
      </c>
      <c r="AK86" s="33" t="n">
        <v>35</v>
      </c>
      <c r="AL86" s="391" t="n">
        <v>36</v>
      </c>
      <c r="AM86" s="33" t="n">
        <v>37</v>
      </c>
      <c r="AN86" s="391" t="n">
        <v>38</v>
      </c>
      <c r="AO86" s="33" t="n">
        <v>39</v>
      </c>
      <c r="AP86" s="319" t="n"/>
      <c r="AQ86" s="319" t="n"/>
      <c r="AR86" s="319" t="n"/>
    </row>
    <row r="87" ht="15.75" customHeight="1" s="1264">
      <c r="A87" s="390" t="inlineStr">
        <is>
          <t> </t>
        </is>
      </c>
      <c r="B87" s="390" t="n"/>
      <c r="C87" s="390" t="inlineStr">
        <is>
          <t> </t>
        </is>
      </c>
      <c r="D87" s="38" t="n"/>
      <c r="E87" s="391" t="n"/>
      <c r="F87" s="391" t="n"/>
      <c r="G87" s="391" t="n"/>
      <c r="H87" s="391" t="n"/>
      <c r="I87" s="391" t="n"/>
      <c r="J87" s="391" t="n"/>
      <c r="K87" s="38" t="n"/>
      <c r="L87" s="391" t="n"/>
      <c r="M87" s="391" t="n"/>
      <c r="N87" s="391" t="n"/>
      <c r="O87" s="391" t="n"/>
      <c r="P87" s="391" t="n"/>
      <c r="Q87" s="391" t="n"/>
      <c r="R87" s="38" t="n"/>
      <c r="S87" s="391" t="n"/>
      <c r="T87" s="391" t="n"/>
      <c r="U87" s="391" t="n"/>
      <c r="V87" s="391" t="n"/>
      <c r="W87" s="391" t="n"/>
      <c r="X87" s="391" t="n"/>
      <c r="Y87" s="392" t="n"/>
      <c r="Z87" s="391" t="n"/>
      <c r="AA87" s="391" t="n"/>
      <c r="AB87" s="391" t="n"/>
      <c r="AC87" s="391" t="n"/>
      <c r="AD87" s="391" t="n"/>
      <c r="AE87" s="391" t="n"/>
      <c r="AF87" s="38" t="n"/>
      <c r="AG87" s="391" t="n"/>
      <c r="AH87" s="391" t="n"/>
      <c r="AI87" s="391" t="inlineStr">
        <is>
          <t> </t>
        </is>
      </c>
      <c r="AJ87" s="391" t="inlineStr">
        <is>
          <t> </t>
        </is>
      </c>
      <c r="AK87" s="391" t="inlineStr">
        <is>
          <t> </t>
        </is>
      </c>
      <c r="AL87" s="391" t="inlineStr">
        <is>
          <t> </t>
        </is>
      </c>
      <c r="AM87" s="391" t="inlineStr">
        <is>
          <t> </t>
        </is>
      </c>
      <c r="AN87" s="391" t="inlineStr">
        <is>
          <t> </t>
        </is>
      </c>
      <c r="AO87" s="391" t="n"/>
      <c r="AP87" s="319" t="n"/>
      <c r="AQ87" s="319" t="n"/>
      <c r="AR87" s="319" t="n"/>
    </row>
    <row r="88" ht="15.75" customHeight="1" s="1264">
      <c r="A88" s="390" t="inlineStr">
        <is>
          <t> </t>
        </is>
      </c>
      <c r="B88" s="390" t="n"/>
      <c r="C88" s="393" t="inlineStr">
        <is>
          <t>Ngày công chuẩn</t>
        </is>
      </c>
      <c r="D88" s="394" t="n"/>
      <c r="E88" s="395" t="n">
        <v>1</v>
      </c>
      <c r="F88" s="391" t="n"/>
      <c r="G88" s="391" t="n"/>
      <c r="H88" s="391" t="n"/>
      <c r="I88" s="391" t="n"/>
      <c r="J88" s="391" t="n"/>
      <c r="K88" s="38" t="n"/>
      <c r="L88" s="391" t="n"/>
      <c r="M88" s="391" t="n"/>
      <c r="N88" s="391" t="n"/>
      <c r="O88" s="391" t="n"/>
      <c r="P88" s="391" t="n"/>
      <c r="Q88" s="391" t="n"/>
      <c r="R88" s="38" t="n"/>
      <c r="S88" s="391" t="n"/>
      <c r="T88" s="391" t="n"/>
      <c r="U88" s="391" t="n"/>
      <c r="V88" s="391" t="n"/>
      <c r="W88" s="391" t="n"/>
      <c r="X88" s="391" t="n"/>
      <c r="Y88" s="392" t="n"/>
      <c r="Z88" s="391" t="n"/>
      <c r="AA88" s="391" t="n"/>
      <c r="AB88" s="391" t="n"/>
      <c r="AC88" s="391" t="n"/>
      <c r="AD88" s="391" t="n"/>
      <c r="AE88" s="391" t="n"/>
      <c r="AF88" s="38" t="n"/>
      <c r="AG88" s="391" t="n"/>
      <c r="AH88" s="391" t="n"/>
      <c r="AI88" s="391" t="inlineStr">
        <is>
          <t> </t>
        </is>
      </c>
      <c r="AJ88" s="391" t="inlineStr">
        <is>
          <t> </t>
        </is>
      </c>
      <c r="AK88" s="391" t="inlineStr">
        <is>
          <t> </t>
        </is>
      </c>
      <c r="AL88" s="391" t="inlineStr">
        <is>
          <t> </t>
        </is>
      </c>
      <c r="AM88" s="391" t="inlineStr">
        <is>
          <t> </t>
        </is>
      </c>
      <c r="AN88" s="391" t="inlineStr">
        <is>
          <t> </t>
        </is>
      </c>
      <c r="AO88" s="391" t="n"/>
      <c r="AP88" s="319" t="n"/>
      <c r="AQ88" s="319" t="n"/>
      <c r="AR88" s="319" t="n"/>
    </row>
    <row r="89" ht="15.75" customHeight="1" s="1264">
      <c r="A89" s="390" t="inlineStr">
        <is>
          <t> </t>
        </is>
      </c>
      <c r="B89" s="390" t="n"/>
      <c r="C89" s="393" t="inlineStr">
        <is>
          <t>Làm 1/2 ngày</t>
        </is>
      </c>
      <c r="D89" s="394" t="n"/>
      <c r="E89" s="395" t="n">
        <v>0.5</v>
      </c>
      <c r="F89" s="391" t="n"/>
      <c r="G89" s="391" t="n"/>
      <c r="H89" s="391" t="n"/>
      <c r="I89" s="391" t="n"/>
      <c r="J89" s="391" t="n"/>
      <c r="K89" s="38" t="n"/>
      <c r="L89" s="391" t="n"/>
      <c r="M89" s="391" t="n"/>
      <c r="N89" s="391" t="n"/>
      <c r="O89" s="391" t="n"/>
      <c r="P89" s="391" t="n"/>
      <c r="Q89" s="391" t="n"/>
      <c r="R89" s="38" t="n"/>
      <c r="S89" s="391" t="n"/>
      <c r="T89" s="391" t="n"/>
      <c r="U89" s="391" t="n"/>
      <c r="V89" s="391" t="n"/>
      <c r="W89" s="391" t="n"/>
      <c r="X89" s="391" t="n"/>
      <c r="Y89" s="392" t="n"/>
      <c r="Z89" s="391" t="n"/>
      <c r="AA89" s="391" t="n"/>
      <c r="AB89" s="391" t="n"/>
      <c r="AC89" s="391" t="n"/>
      <c r="AD89" s="391" t="n"/>
      <c r="AE89" s="391" t="n"/>
      <c r="AF89" s="38" t="n"/>
      <c r="AG89" s="391" t="n"/>
      <c r="AH89" s="391" t="n"/>
      <c r="AI89" s="391" t="inlineStr">
        <is>
          <t> </t>
        </is>
      </c>
      <c r="AJ89" s="391" t="inlineStr">
        <is>
          <t> </t>
        </is>
      </c>
      <c r="AK89" s="391" t="inlineStr">
        <is>
          <t> </t>
        </is>
      </c>
      <c r="AL89" s="391" t="inlineStr">
        <is>
          <t> </t>
        </is>
      </c>
      <c r="AM89" s="391" t="inlineStr">
        <is>
          <t> </t>
        </is>
      </c>
      <c r="AN89" s="391" t="inlineStr">
        <is>
          <t> </t>
        </is>
      </c>
      <c r="AO89" s="391" t="n"/>
      <c r="AP89" s="319" t="n"/>
      <c r="AQ89" s="319" t="n"/>
      <c r="AR89" s="319" t="n"/>
    </row>
    <row r="90" ht="15.75" customHeight="1" s="1264">
      <c r="A90" s="390" t="inlineStr">
        <is>
          <t> </t>
        </is>
      </c>
      <c r="B90" s="390" t="n"/>
      <c r="C90" s="393" t="inlineStr">
        <is>
          <t>Nghỉ phép</t>
        </is>
      </c>
      <c r="D90" s="394" t="n"/>
      <c r="E90" s="396" t="inlineStr">
        <is>
          <t>P</t>
        </is>
      </c>
      <c r="F90" s="391" t="n"/>
      <c r="G90" s="391" t="n"/>
      <c r="H90" s="391" t="n"/>
      <c r="I90" s="391" t="n"/>
      <c r="J90" s="391" t="n"/>
      <c r="K90" s="38" t="n"/>
      <c r="L90" s="391" t="n"/>
      <c r="M90" s="391" t="n"/>
      <c r="N90" s="391" t="n"/>
      <c r="O90" s="391" t="n"/>
      <c r="U90" s="391" t="n"/>
      <c r="V90" s="391" t="n"/>
      <c r="W90" s="391" t="n"/>
      <c r="X90" s="391" t="n"/>
      <c r="Y90" s="392" t="n"/>
      <c r="Z90" s="391" t="n"/>
      <c r="AA90" s="391" t="n"/>
      <c r="AB90" s="391" t="n"/>
      <c r="AC90" s="391" t="n"/>
      <c r="AD90" s="391" t="n"/>
      <c r="AE90" s="391" t="n"/>
      <c r="AF90" s="38" t="n"/>
      <c r="AG90" s="391" t="n"/>
      <c r="AH90" s="391" t="n"/>
      <c r="AI90" s="391" t="inlineStr">
        <is>
          <t> </t>
        </is>
      </c>
      <c r="AJ90" s="391" t="inlineStr">
        <is>
          <t> </t>
        </is>
      </c>
      <c r="AK90" s="391" t="inlineStr">
        <is>
          <t> </t>
        </is>
      </c>
      <c r="AL90" s="391" t="inlineStr">
        <is>
          <t> </t>
        </is>
      </c>
      <c r="AM90" s="391" t="inlineStr">
        <is>
          <t> </t>
        </is>
      </c>
      <c r="AN90" s="391" t="inlineStr">
        <is>
          <t> </t>
        </is>
      </c>
      <c r="AO90" s="391" t="n"/>
      <c r="AP90" s="319" t="n"/>
      <c r="AQ90" s="319" t="n"/>
      <c r="AR90" s="319" t="n"/>
    </row>
    <row r="91" ht="15.75" customHeight="1" s="1264">
      <c r="A91" s="390" t="inlineStr">
        <is>
          <t> </t>
        </is>
      </c>
      <c r="B91" s="390" t="n"/>
      <c r="C91" s="393" t="inlineStr">
        <is>
          <t>Nghỉ phép 1/2, Lễ 1/2</t>
        </is>
      </c>
      <c r="D91" s="394" t="n"/>
      <c r="E91" s="397" t="inlineStr">
        <is>
          <t>L/P</t>
        </is>
      </c>
      <c r="F91" s="391" t="n"/>
      <c r="G91" s="391" t="n"/>
      <c r="H91" s="391" t="n"/>
      <c r="I91" s="391" t="n"/>
      <c r="J91" s="391" t="n"/>
      <c r="K91" s="38" t="n"/>
      <c r="L91" s="391" t="n"/>
      <c r="M91" s="391" t="n"/>
      <c r="N91" s="391" t="n"/>
      <c r="O91" s="391" t="n"/>
      <c r="P91" s="398" t="n"/>
      <c r="Q91" s="212" t="n"/>
      <c r="U91" s="391" t="n"/>
      <c r="V91" s="391" t="n"/>
      <c r="W91" s="391" t="n"/>
      <c r="X91" s="391" t="n"/>
      <c r="Y91" s="392" t="n"/>
      <c r="Z91" s="391" t="n"/>
      <c r="AA91" s="391" t="n"/>
      <c r="AB91" s="391" t="n"/>
      <c r="AC91" s="391" t="n"/>
      <c r="AD91" s="391" t="n"/>
      <c r="AE91" s="391" t="n"/>
      <c r="AF91" s="38" t="n"/>
      <c r="AG91" s="391" t="n"/>
      <c r="AH91" s="391" t="n"/>
      <c r="AI91" s="391" t="inlineStr">
        <is>
          <t> </t>
        </is>
      </c>
      <c r="AJ91" s="391" t="inlineStr">
        <is>
          <t> </t>
        </is>
      </c>
      <c r="AK91" s="391" t="inlineStr">
        <is>
          <t> </t>
        </is>
      </c>
      <c r="AL91" s="391" t="inlineStr">
        <is>
          <t> </t>
        </is>
      </c>
      <c r="AM91" s="391" t="inlineStr">
        <is>
          <t> </t>
        </is>
      </c>
      <c r="AN91" s="391" t="inlineStr">
        <is>
          <t> </t>
        </is>
      </c>
      <c r="AO91" s="391" t="n"/>
      <c r="AP91" s="319" t="n"/>
      <c r="AQ91" s="319" t="n"/>
      <c r="AR91" s="319" t="n"/>
    </row>
    <row r="92" ht="15.75" customHeight="1" s="1264">
      <c r="A92" s="390" t="inlineStr">
        <is>
          <t> </t>
        </is>
      </c>
      <c r="B92" s="390" t="n"/>
      <c r="C92" s="393" t="n"/>
      <c r="D92" s="394" t="n"/>
      <c r="E92" s="397" t="n"/>
      <c r="F92" s="391" t="n"/>
      <c r="G92" s="391" t="n"/>
      <c r="H92" s="391" t="n"/>
      <c r="I92" s="391" t="n"/>
      <c r="J92" s="391" t="n"/>
      <c r="K92" s="38" t="n"/>
      <c r="L92" s="391" t="n"/>
      <c r="M92" s="391" t="n"/>
      <c r="N92" s="391" t="n"/>
      <c r="O92" s="391" t="n"/>
      <c r="P92" s="399" t="n"/>
      <c r="Q92" s="399" t="n"/>
      <c r="R92" s="400" t="n"/>
      <c r="S92" s="399" t="n"/>
      <c r="T92" s="399" t="n"/>
      <c r="U92" s="391" t="n"/>
      <c r="V92" s="391" t="n"/>
      <c r="W92" s="391" t="n"/>
      <c r="X92" s="391" t="n"/>
      <c r="Y92" s="392" t="n"/>
      <c r="Z92" s="391" t="n"/>
      <c r="AA92" s="391" t="n"/>
      <c r="AB92" s="391" t="n"/>
      <c r="AC92" s="391" t="n"/>
      <c r="AD92" s="391" t="n"/>
      <c r="AE92" s="391" t="n"/>
      <c r="AF92" s="38" t="n"/>
      <c r="AG92" s="391" t="n"/>
      <c r="AH92" s="391" t="n"/>
      <c r="AI92" s="391" t="inlineStr">
        <is>
          <t> </t>
        </is>
      </c>
      <c r="AJ92" s="391" t="inlineStr">
        <is>
          <t> </t>
        </is>
      </c>
      <c r="AK92" s="391" t="inlineStr">
        <is>
          <t> </t>
        </is>
      </c>
      <c r="AL92" s="391" t="inlineStr">
        <is>
          <t> </t>
        </is>
      </c>
      <c r="AM92" s="391" t="inlineStr">
        <is>
          <t> </t>
        </is>
      </c>
      <c r="AN92" s="391" t="inlineStr">
        <is>
          <t> </t>
        </is>
      </c>
      <c r="AO92" s="391" t="n"/>
      <c r="AP92" s="319" t="n"/>
      <c r="AQ92" s="319" t="n"/>
      <c r="AR92" s="319" t="n"/>
    </row>
    <row r="93" ht="15.75" customHeight="1" s="1264">
      <c r="A93" s="390" t="inlineStr">
        <is>
          <t> </t>
        </is>
      </c>
      <c r="B93" s="390" t="n"/>
      <c r="C93" s="393" t="inlineStr">
        <is>
          <t>Nghỉ Không Lương</t>
        </is>
      </c>
      <c r="D93" s="394" t="n"/>
      <c r="E93" s="401" t="inlineStr">
        <is>
          <t>KL</t>
        </is>
      </c>
      <c r="F93" s="391" t="n"/>
      <c r="G93" s="391" t="n"/>
      <c r="H93" s="391" t="n"/>
      <c r="I93" s="391" t="n"/>
      <c r="J93" s="391" t="n"/>
      <c r="K93" s="38" t="n"/>
      <c r="L93" s="391" t="n"/>
      <c r="M93" s="391" t="n"/>
      <c r="N93" s="391" t="n"/>
      <c r="O93" s="391" t="n"/>
      <c r="P93" s="402" t="n"/>
      <c r="U93" s="391" t="n"/>
      <c r="V93" s="391" t="n"/>
      <c r="W93" s="391" t="n"/>
      <c r="X93" s="391" t="n"/>
      <c r="Y93" s="392" t="n"/>
      <c r="Z93" s="391" t="n"/>
      <c r="AA93" s="391" t="n"/>
      <c r="AB93" s="391" t="n"/>
      <c r="AC93" s="391" t="n"/>
      <c r="AD93" s="391" t="n"/>
      <c r="AE93" s="391" t="n"/>
      <c r="AF93" s="38" t="n"/>
      <c r="AG93" s="391" t="n"/>
      <c r="AH93" s="391" t="n"/>
      <c r="AI93" s="391" t="n"/>
      <c r="AJ93" s="391" t="inlineStr">
        <is>
          <t> </t>
        </is>
      </c>
      <c r="AK93" s="391" t="inlineStr">
        <is>
          <t> </t>
        </is>
      </c>
      <c r="AL93" s="391" t="inlineStr">
        <is>
          <t> </t>
        </is>
      </c>
      <c r="AM93" s="391" t="inlineStr">
        <is>
          <t> </t>
        </is>
      </c>
      <c r="AN93" s="391" t="inlineStr">
        <is>
          <t> </t>
        </is>
      </c>
      <c r="AO93" s="391" t="n"/>
      <c r="AP93" s="319" t="n"/>
      <c r="AQ93" s="319" t="n"/>
      <c r="AR93" s="319" t="n"/>
    </row>
    <row r="94" ht="15.75" customHeight="1" s="1264">
      <c r="A94" s="390" t="inlineStr">
        <is>
          <t> </t>
        </is>
      </c>
      <c r="B94" s="390" t="n"/>
      <c r="C94" s="393" t="inlineStr">
        <is>
          <t>Nghỉ chế độ: ốm đau, thai sản,..</t>
        </is>
      </c>
      <c r="D94" s="394" t="n"/>
      <c r="E94" s="403" t="inlineStr">
        <is>
          <t>OD</t>
        </is>
      </c>
      <c r="F94" s="391" t="n"/>
      <c r="G94" s="391" t="n"/>
      <c r="H94" s="391" t="n"/>
      <c r="I94" s="391" t="n"/>
      <c r="J94" s="391" t="n"/>
      <c r="K94" s="38" t="n"/>
      <c r="L94" s="391" t="n"/>
      <c r="M94" s="391" t="n"/>
      <c r="N94" s="391" t="n"/>
      <c r="O94" s="391" t="n"/>
      <c r="P94" s="391" t="n"/>
      <c r="Q94" s="391" t="n"/>
      <c r="R94" s="38" t="n"/>
      <c r="S94" s="391" t="n"/>
      <c r="T94" s="391" t="n"/>
      <c r="U94" s="391" t="n"/>
      <c r="V94" s="391" t="n"/>
      <c r="W94" s="391" t="n"/>
      <c r="X94" s="391" t="n"/>
      <c r="Y94" s="392" t="n"/>
      <c r="Z94" s="391" t="n"/>
      <c r="AA94" s="391" t="n"/>
      <c r="AB94" s="391" t="n"/>
      <c r="AC94" s="391" t="n"/>
      <c r="AD94" s="391" t="n"/>
      <c r="AE94" s="391" t="n"/>
      <c r="AF94" s="38" t="n"/>
      <c r="AG94" s="391" t="n"/>
      <c r="AH94" s="391" t="n"/>
      <c r="AI94" s="391" t="inlineStr">
        <is>
          <t> </t>
        </is>
      </c>
      <c r="AJ94" s="391" t="inlineStr">
        <is>
          <t> </t>
        </is>
      </c>
      <c r="AK94" s="391" t="inlineStr">
        <is>
          <t> </t>
        </is>
      </c>
      <c r="AL94" s="391" t="inlineStr">
        <is>
          <t> </t>
        </is>
      </c>
      <c r="AM94" s="391" t="inlineStr">
        <is>
          <t> </t>
        </is>
      </c>
      <c r="AN94" s="391" t="inlineStr">
        <is>
          <t> </t>
        </is>
      </c>
      <c r="AO94" s="391" t="n"/>
      <c r="AP94" s="319" t="n"/>
      <c r="AQ94" s="319" t="n"/>
      <c r="AR94" s="319" t="n"/>
    </row>
    <row r="95" ht="15.75" customHeight="1" s="1264">
      <c r="A95" s="390" t="inlineStr">
        <is>
          <t> </t>
        </is>
      </c>
      <c r="B95" s="390" t="n"/>
      <c r="C95" s="393" t="inlineStr">
        <is>
          <t>Làm 1/2, P 1/2</t>
        </is>
      </c>
      <c r="D95" s="394" t="n"/>
      <c r="E95" s="404" t="inlineStr">
        <is>
          <t>0,5P</t>
        </is>
      </c>
      <c r="F95" s="391" t="n"/>
      <c r="G95" s="391" t="n"/>
      <c r="H95" s="391" t="n"/>
      <c r="I95" s="391" t="n"/>
      <c r="J95" s="391" t="n"/>
      <c r="K95" s="38" t="n"/>
      <c r="L95" s="391" t="n"/>
      <c r="M95" s="391" t="n"/>
      <c r="N95" s="391" t="n"/>
      <c r="O95" s="391" t="n"/>
      <c r="P95" s="391" t="n"/>
      <c r="Q95" s="391" t="n"/>
      <c r="R95" s="38" t="n"/>
      <c r="S95" s="391" t="n"/>
      <c r="T95" s="391" t="n"/>
      <c r="U95" s="391" t="n"/>
      <c r="V95" s="391" t="n"/>
      <c r="W95" s="391" t="n"/>
      <c r="X95" s="391" t="n"/>
      <c r="Y95" s="392" t="n"/>
      <c r="Z95" s="391" t="n"/>
      <c r="AA95" s="391" t="n"/>
      <c r="AB95" s="391" t="n"/>
      <c r="AC95" s="391" t="n"/>
      <c r="AD95" s="391" t="n"/>
      <c r="AE95" s="391" t="n"/>
      <c r="AF95" s="38" t="n"/>
      <c r="AG95" s="391" t="n"/>
      <c r="AH95" s="391" t="n"/>
      <c r="AI95" s="391" t="inlineStr">
        <is>
          <t> </t>
        </is>
      </c>
      <c r="AJ95" s="391" t="inlineStr">
        <is>
          <t> </t>
        </is>
      </c>
      <c r="AK95" s="391" t="inlineStr">
        <is>
          <t> </t>
        </is>
      </c>
      <c r="AL95" s="391" t="inlineStr">
        <is>
          <t> </t>
        </is>
      </c>
      <c r="AM95" s="391" t="inlineStr">
        <is>
          <t> </t>
        </is>
      </c>
      <c r="AN95" s="391" t="inlineStr">
        <is>
          <t> </t>
        </is>
      </c>
      <c r="AO95" s="391" t="n"/>
      <c r="AP95" s="319" t="n"/>
      <c r="AQ95" s="319" t="n"/>
      <c r="AR95" s="319" t="n"/>
    </row>
    <row r="96" ht="15.75" customHeight="1" s="1264">
      <c r="A96" s="390" t="inlineStr">
        <is>
          <t> </t>
        </is>
      </c>
      <c r="B96" s="390" t="n"/>
      <c r="C96" s="390" t="inlineStr">
        <is>
          <t> </t>
        </is>
      </c>
      <c r="D96" s="38" t="n"/>
      <c r="E96" s="391" t="n"/>
      <c r="F96" s="391" t="n"/>
      <c r="G96" s="391" t="n"/>
      <c r="H96" s="391" t="n"/>
      <c r="I96" s="391" t="n"/>
      <c r="J96" s="391" t="n"/>
      <c r="K96" s="38" t="n"/>
      <c r="L96" s="391" t="n"/>
      <c r="M96" s="391" t="n"/>
      <c r="N96" s="391" t="n"/>
      <c r="O96" s="391" t="n"/>
      <c r="P96" s="391" t="n"/>
      <c r="Q96" s="391" t="n"/>
      <c r="R96" s="38" t="n"/>
      <c r="S96" s="391" t="n"/>
      <c r="T96" s="391" t="n"/>
      <c r="U96" s="391" t="n"/>
      <c r="V96" s="391" t="n"/>
      <c r="W96" s="391" t="n"/>
      <c r="X96" s="391" t="n"/>
      <c r="Y96" s="392" t="n"/>
      <c r="Z96" s="391" t="n"/>
      <c r="AA96" s="391" t="n"/>
      <c r="AB96" s="391" t="n"/>
      <c r="AC96" s="391" t="n"/>
      <c r="AD96" s="391" t="n"/>
      <c r="AE96" s="391" t="n"/>
      <c r="AF96" s="38" t="n"/>
      <c r="AG96" s="391" t="n"/>
      <c r="AH96" s="391" t="n"/>
      <c r="AI96" s="391" t="inlineStr">
        <is>
          <t> </t>
        </is>
      </c>
      <c r="AJ96" s="391" t="inlineStr">
        <is>
          <t> </t>
        </is>
      </c>
      <c r="AK96" s="391" t="inlineStr">
        <is>
          <t> </t>
        </is>
      </c>
      <c r="AL96" s="391" t="inlineStr">
        <is>
          <t> </t>
        </is>
      </c>
      <c r="AM96" s="391" t="inlineStr">
        <is>
          <t> </t>
        </is>
      </c>
      <c r="AN96" s="391" t="inlineStr">
        <is>
          <t> </t>
        </is>
      </c>
      <c r="AO96" s="391" t="n"/>
      <c r="AP96" s="319" t="n"/>
      <c r="AQ96" s="319" t="n"/>
      <c r="AR96" s="319" t="n"/>
    </row>
    <row r="97" ht="15.75" customHeight="1" s="1264">
      <c r="A97" s="390" t="inlineStr">
        <is>
          <t> </t>
        </is>
      </c>
      <c r="B97" s="390" t="n"/>
      <c r="C97" s="390" t="inlineStr">
        <is>
          <t> </t>
        </is>
      </c>
      <c r="D97" s="38" t="n"/>
      <c r="E97" s="391" t="n"/>
      <c r="F97" s="391" t="n"/>
      <c r="G97" s="391" t="n"/>
      <c r="H97" s="391" t="n"/>
      <c r="I97" s="391" t="n"/>
      <c r="J97" s="391" t="n"/>
      <c r="K97" s="38" t="n"/>
      <c r="L97" s="391" t="n"/>
      <c r="M97" s="391" t="n"/>
      <c r="N97" s="391" t="n"/>
      <c r="O97" s="391" t="n"/>
      <c r="P97" s="391" t="n"/>
      <c r="Q97" s="391" t="n"/>
      <c r="R97" s="38" t="n"/>
      <c r="S97" s="391" t="n"/>
      <c r="T97" s="391" t="n"/>
      <c r="U97" s="391" t="n"/>
      <c r="V97" s="391" t="n"/>
      <c r="W97" s="391" t="n"/>
      <c r="X97" s="391" t="n"/>
      <c r="Y97" s="392" t="n"/>
      <c r="Z97" s="391" t="n"/>
      <c r="AA97" s="391" t="n"/>
      <c r="AB97" s="391" t="n"/>
      <c r="AC97" s="391" t="n"/>
      <c r="AD97" s="391" t="n"/>
      <c r="AE97" s="391" t="n"/>
      <c r="AF97" s="38" t="n"/>
      <c r="AG97" s="391" t="n"/>
      <c r="AH97" s="391" t="n"/>
      <c r="AI97" s="391" t="inlineStr">
        <is>
          <t> </t>
        </is>
      </c>
      <c r="AJ97" s="391" t="inlineStr">
        <is>
          <t> </t>
        </is>
      </c>
      <c r="AK97" s="391" t="inlineStr">
        <is>
          <t> </t>
        </is>
      </c>
      <c r="AL97" s="391" t="inlineStr">
        <is>
          <t> </t>
        </is>
      </c>
      <c r="AM97" s="391" t="inlineStr">
        <is>
          <t> </t>
        </is>
      </c>
      <c r="AN97" s="391" t="inlineStr">
        <is>
          <t> </t>
        </is>
      </c>
      <c r="AO97" s="391" t="n"/>
      <c r="AP97" s="319" t="n"/>
      <c r="AQ97" s="319" t="n"/>
      <c r="AR97" s="319" t="n"/>
    </row>
    <row r="98" ht="15.75" customHeight="1" s="1264">
      <c r="A98" s="390" t="inlineStr">
        <is>
          <t> </t>
        </is>
      </c>
      <c r="B98" s="390" t="n"/>
      <c r="C98" s="390" t="inlineStr">
        <is>
          <t> </t>
        </is>
      </c>
      <c r="D98" s="38" t="n"/>
      <c r="E98" s="391" t="n"/>
      <c r="F98" s="391" t="n"/>
      <c r="G98" s="391" t="n"/>
      <c r="H98" s="391" t="n"/>
      <c r="I98" s="391" t="n"/>
      <c r="J98" s="391" t="n"/>
      <c r="K98" s="38" t="n"/>
      <c r="L98" s="391" t="n"/>
      <c r="M98" s="391" t="n"/>
      <c r="N98" s="391" t="n"/>
      <c r="O98" s="391" t="n"/>
      <c r="P98" s="391" t="n"/>
      <c r="Q98" s="391" t="n"/>
      <c r="R98" s="38" t="n"/>
      <c r="S98" s="391" t="n"/>
      <c r="T98" s="391" t="n"/>
      <c r="U98" s="391" t="n"/>
      <c r="V98" s="391" t="n"/>
      <c r="W98" s="391" t="n"/>
      <c r="X98" s="391" t="n"/>
      <c r="Y98" s="392" t="n"/>
      <c r="Z98" s="391" t="n"/>
      <c r="AA98" s="391" t="n"/>
      <c r="AB98" s="391" t="n"/>
      <c r="AC98" s="391" t="n"/>
      <c r="AD98" s="391" t="n"/>
      <c r="AE98" s="391" t="n"/>
      <c r="AF98" s="38" t="n"/>
      <c r="AG98" s="391" t="n"/>
      <c r="AH98" s="391" t="n"/>
      <c r="AI98" s="391" t="inlineStr">
        <is>
          <t> </t>
        </is>
      </c>
      <c r="AJ98" s="391" t="inlineStr">
        <is>
          <t> </t>
        </is>
      </c>
      <c r="AK98" s="391" t="inlineStr">
        <is>
          <t> </t>
        </is>
      </c>
      <c r="AL98" s="391" t="inlineStr">
        <is>
          <t> </t>
        </is>
      </c>
      <c r="AM98" s="391" t="inlineStr">
        <is>
          <t> </t>
        </is>
      </c>
      <c r="AN98" s="391" t="inlineStr">
        <is>
          <t> </t>
        </is>
      </c>
      <c r="AO98" s="391" t="n"/>
      <c r="AP98" s="319" t="n"/>
      <c r="AQ98" s="319" t="n"/>
      <c r="AR98" s="319" t="n"/>
    </row>
    <row r="99" ht="15.75" customHeight="1" s="1264">
      <c r="A99" s="319" t="inlineStr">
        <is>
          <t> </t>
        </is>
      </c>
      <c r="B99" s="319" t="inlineStr">
        <is>
          <t> </t>
        </is>
      </c>
      <c r="C99" s="319" t="inlineStr">
        <is>
          <t> </t>
        </is>
      </c>
      <c r="D99" s="38" t="inlineStr">
        <is>
          <t> </t>
        </is>
      </c>
      <c r="E99" s="391" t="inlineStr">
        <is>
          <t> </t>
        </is>
      </c>
      <c r="F99" s="391" t="inlineStr">
        <is>
          <t> </t>
        </is>
      </c>
      <c r="G99" s="391" t="inlineStr">
        <is>
          <t> </t>
        </is>
      </c>
      <c r="H99" s="391" t="inlineStr">
        <is>
          <t> </t>
        </is>
      </c>
      <c r="I99" s="391" t="inlineStr">
        <is>
          <t> </t>
        </is>
      </c>
      <c r="J99" s="391" t="inlineStr">
        <is>
          <t> </t>
        </is>
      </c>
      <c r="K99" s="38" t="inlineStr">
        <is>
          <t> </t>
        </is>
      </c>
      <c r="L99" s="391" t="inlineStr">
        <is>
          <t> </t>
        </is>
      </c>
      <c r="M99" s="391" t="inlineStr">
        <is>
          <t> </t>
        </is>
      </c>
      <c r="N99" s="391" t="inlineStr">
        <is>
          <t> </t>
        </is>
      </c>
      <c r="O99" s="391" t="inlineStr">
        <is>
          <t> </t>
        </is>
      </c>
      <c r="P99" s="391" t="inlineStr">
        <is>
          <t> </t>
        </is>
      </c>
      <c r="Q99" s="391" t="inlineStr">
        <is>
          <t> </t>
        </is>
      </c>
      <c r="R99" s="38" t="inlineStr">
        <is>
          <t> </t>
        </is>
      </c>
      <c r="S99" s="391" t="inlineStr">
        <is>
          <t> </t>
        </is>
      </c>
      <c r="T99" s="391" t="inlineStr">
        <is>
          <t> </t>
        </is>
      </c>
      <c r="U99" s="391" t="inlineStr">
        <is>
          <t> </t>
        </is>
      </c>
      <c r="V99" s="391" t="inlineStr">
        <is>
          <t> </t>
        </is>
      </c>
      <c r="W99" s="391" t="inlineStr">
        <is>
          <t> </t>
        </is>
      </c>
      <c r="X99" s="391" t="inlineStr">
        <is>
          <t> </t>
        </is>
      </c>
      <c r="Y99" s="392" t="inlineStr">
        <is>
          <t> </t>
        </is>
      </c>
      <c r="Z99" s="391" t="inlineStr">
        <is>
          <t> </t>
        </is>
      </c>
      <c r="AA99" s="391" t="inlineStr">
        <is>
          <t> </t>
        </is>
      </c>
      <c r="AB99" s="391" t="inlineStr">
        <is>
          <t> </t>
        </is>
      </c>
      <c r="AC99" s="391" t="inlineStr">
        <is>
          <t> </t>
        </is>
      </c>
      <c r="AD99" s="391" t="inlineStr">
        <is>
          <t> </t>
        </is>
      </c>
      <c r="AE99" s="391" t="inlineStr">
        <is>
          <t> </t>
        </is>
      </c>
      <c r="AF99" s="38" t="inlineStr">
        <is>
          <t> </t>
        </is>
      </c>
      <c r="AG99" s="391" t="inlineStr">
        <is>
          <t> </t>
        </is>
      </c>
      <c r="AH99" s="391" t="n"/>
      <c r="AI99" s="391" t="inlineStr">
        <is>
          <t> </t>
        </is>
      </c>
      <c r="AJ99" s="391" t="inlineStr">
        <is>
          <t> </t>
        </is>
      </c>
      <c r="AK99" s="391" t="inlineStr">
        <is>
          <t> </t>
        </is>
      </c>
      <c r="AL99" s="391" t="inlineStr">
        <is>
          <t> </t>
        </is>
      </c>
      <c r="AM99" s="391" t="inlineStr">
        <is>
          <t> </t>
        </is>
      </c>
      <c r="AN99" s="391" t="inlineStr">
        <is>
          <t> </t>
        </is>
      </c>
      <c r="AO99" s="391" t="n"/>
      <c r="AP99" s="319" t="n"/>
      <c r="AQ99" s="319" t="n"/>
      <c r="AR99" s="319" t="n"/>
    </row>
    <row r="100" ht="15.75" customHeight="1" s="1264">
      <c r="A100" s="319" t="inlineStr">
        <is>
          <t> </t>
        </is>
      </c>
      <c r="B100" s="319" t="inlineStr">
        <is>
          <t> </t>
        </is>
      </c>
      <c r="C100" s="319" t="inlineStr">
        <is>
          <t> </t>
        </is>
      </c>
      <c r="D100" s="38" t="inlineStr">
        <is>
          <t> </t>
        </is>
      </c>
      <c r="E100" s="391" t="inlineStr">
        <is>
          <t> </t>
        </is>
      </c>
      <c r="F100" s="391" t="inlineStr">
        <is>
          <t> </t>
        </is>
      </c>
      <c r="G100" s="391" t="inlineStr">
        <is>
          <t> </t>
        </is>
      </c>
      <c r="H100" s="391" t="inlineStr">
        <is>
          <t> </t>
        </is>
      </c>
      <c r="I100" s="391" t="inlineStr">
        <is>
          <t> </t>
        </is>
      </c>
      <c r="J100" s="391" t="inlineStr">
        <is>
          <t> </t>
        </is>
      </c>
      <c r="K100" s="38" t="inlineStr">
        <is>
          <t> </t>
        </is>
      </c>
      <c r="L100" s="391" t="inlineStr">
        <is>
          <t> </t>
        </is>
      </c>
      <c r="M100" s="391" t="inlineStr">
        <is>
          <t> </t>
        </is>
      </c>
      <c r="N100" s="391" t="inlineStr">
        <is>
          <t> </t>
        </is>
      </c>
      <c r="O100" s="391" t="inlineStr">
        <is>
          <t> </t>
        </is>
      </c>
      <c r="P100" s="391" t="inlineStr">
        <is>
          <t> </t>
        </is>
      </c>
      <c r="Q100" s="391" t="inlineStr">
        <is>
          <t> </t>
        </is>
      </c>
      <c r="R100" s="38" t="inlineStr">
        <is>
          <t> </t>
        </is>
      </c>
      <c r="S100" s="391" t="inlineStr">
        <is>
          <t> </t>
        </is>
      </c>
      <c r="T100" s="391" t="inlineStr">
        <is>
          <t> </t>
        </is>
      </c>
      <c r="U100" s="391" t="inlineStr">
        <is>
          <t> </t>
        </is>
      </c>
      <c r="V100" s="391" t="inlineStr">
        <is>
          <t> </t>
        </is>
      </c>
      <c r="W100" s="391" t="inlineStr">
        <is>
          <t> </t>
        </is>
      </c>
      <c r="X100" s="391" t="inlineStr">
        <is>
          <t> </t>
        </is>
      </c>
      <c r="Y100" s="392" t="inlineStr">
        <is>
          <t> </t>
        </is>
      </c>
      <c r="Z100" s="391" t="inlineStr">
        <is>
          <t> </t>
        </is>
      </c>
      <c r="AA100" s="391" t="inlineStr">
        <is>
          <t> </t>
        </is>
      </c>
      <c r="AB100" s="391" t="inlineStr">
        <is>
          <t> </t>
        </is>
      </c>
      <c r="AC100" s="391" t="inlineStr">
        <is>
          <t> </t>
        </is>
      </c>
      <c r="AD100" s="391" t="inlineStr">
        <is>
          <t> </t>
        </is>
      </c>
      <c r="AE100" s="391" t="inlineStr">
        <is>
          <t> </t>
        </is>
      </c>
      <c r="AF100" s="38" t="inlineStr">
        <is>
          <t> </t>
        </is>
      </c>
      <c r="AG100" s="391" t="inlineStr">
        <is>
          <t> </t>
        </is>
      </c>
      <c r="AH100" s="391" t="n"/>
      <c r="AI100" s="391" t="inlineStr">
        <is>
          <t> </t>
        </is>
      </c>
      <c r="AJ100" s="391" t="inlineStr">
        <is>
          <t> </t>
        </is>
      </c>
      <c r="AK100" s="391" t="inlineStr">
        <is>
          <t> </t>
        </is>
      </c>
      <c r="AL100" s="391" t="inlineStr">
        <is>
          <t> </t>
        </is>
      </c>
      <c r="AM100" s="391" t="inlineStr">
        <is>
          <t> </t>
        </is>
      </c>
      <c r="AN100" s="391" t="inlineStr">
        <is>
          <t> </t>
        </is>
      </c>
      <c r="AO100" s="391" t="n"/>
      <c r="AP100" s="319" t="n"/>
      <c r="AQ100" s="319" t="n"/>
      <c r="AR100" s="319" t="n"/>
    </row>
    <row r="101" ht="15.75" customHeight="1" s="1264">
      <c r="A101" s="319" t="inlineStr">
        <is>
          <t> </t>
        </is>
      </c>
      <c r="B101" s="319" t="inlineStr">
        <is>
          <t> </t>
        </is>
      </c>
      <c r="C101" s="319" t="inlineStr">
        <is>
          <t> </t>
        </is>
      </c>
      <c r="D101" s="38" t="inlineStr">
        <is>
          <t> </t>
        </is>
      </c>
      <c r="E101" s="391" t="inlineStr">
        <is>
          <t> </t>
        </is>
      </c>
      <c r="F101" s="391" t="inlineStr">
        <is>
          <t> </t>
        </is>
      </c>
      <c r="G101" s="391" t="inlineStr">
        <is>
          <t> </t>
        </is>
      </c>
      <c r="H101" s="391" t="inlineStr">
        <is>
          <t> </t>
        </is>
      </c>
      <c r="I101" s="391" t="inlineStr">
        <is>
          <t> </t>
        </is>
      </c>
      <c r="J101" s="391" t="inlineStr">
        <is>
          <t> </t>
        </is>
      </c>
      <c r="K101" s="38" t="inlineStr">
        <is>
          <t> </t>
        </is>
      </c>
      <c r="L101" s="391" t="inlineStr">
        <is>
          <t> </t>
        </is>
      </c>
      <c r="M101" s="391" t="inlineStr">
        <is>
          <t> </t>
        </is>
      </c>
      <c r="N101" s="391" t="inlineStr">
        <is>
          <t> </t>
        </is>
      </c>
      <c r="O101" s="391" t="inlineStr">
        <is>
          <t> </t>
        </is>
      </c>
      <c r="P101" s="391" t="inlineStr">
        <is>
          <t> </t>
        </is>
      </c>
      <c r="Q101" s="391" t="inlineStr">
        <is>
          <t> </t>
        </is>
      </c>
      <c r="R101" s="38" t="inlineStr">
        <is>
          <t> </t>
        </is>
      </c>
      <c r="S101" s="391" t="inlineStr">
        <is>
          <t> </t>
        </is>
      </c>
      <c r="T101" s="391" t="inlineStr">
        <is>
          <t> </t>
        </is>
      </c>
      <c r="U101" s="391" t="inlineStr">
        <is>
          <t> </t>
        </is>
      </c>
      <c r="V101" s="391" t="inlineStr">
        <is>
          <t> </t>
        </is>
      </c>
      <c r="W101" s="391" t="inlineStr">
        <is>
          <t> </t>
        </is>
      </c>
      <c r="X101" s="391" t="inlineStr">
        <is>
          <t> </t>
        </is>
      </c>
      <c r="Y101" s="392" t="inlineStr">
        <is>
          <t> </t>
        </is>
      </c>
      <c r="Z101" s="391" t="inlineStr">
        <is>
          <t> </t>
        </is>
      </c>
      <c r="AA101" s="391" t="inlineStr">
        <is>
          <t> </t>
        </is>
      </c>
      <c r="AB101" s="391" t="inlineStr">
        <is>
          <t> </t>
        </is>
      </c>
      <c r="AC101" s="391" t="inlineStr">
        <is>
          <t> </t>
        </is>
      </c>
      <c r="AD101" s="391" t="inlineStr">
        <is>
          <t> </t>
        </is>
      </c>
      <c r="AE101" s="391" t="inlineStr">
        <is>
          <t> </t>
        </is>
      </c>
      <c r="AF101" s="38" t="inlineStr">
        <is>
          <t> </t>
        </is>
      </c>
      <c r="AG101" s="391" t="inlineStr">
        <is>
          <t> </t>
        </is>
      </c>
      <c r="AH101" s="391" t="n"/>
      <c r="AI101" s="391" t="inlineStr">
        <is>
          <t> </t>
        </is>
      </c>
      <c r="AJ101" s="391" t="inlineStr">
        <is>
          <t> </t>
        </is>
      </c>
      <c r="AK101" s="391" t="inlineStr">
        <is>
          <t> </t>
        </is>
      </c>
      <c r="AL101" s="391" t="inlineStr">
        <is>
          <t> </t>
        </is>
      </c>
      <c r="AM101" s="391" t="inlineStr">
        <is>
          <t> </t>
        </is>
      </c>
      <c r="AN101" s="391" t="inlineStr">
        <is>
          <t> </t>
        </is>
      </c>
      <c r="AO101" s="391" t="n"/>
      <c r="AP101" s="319" t="n"/>
      <c r="AQ101" s="319" t="n"/>
      <c r="AR101" s="319" t="n"/>
    </row>
    <row r="102" ht="15.75" customHeight="1" s="1264">
      <c r="A102" s="319" t="inlineStr">
        <is>
          <t> </t>
        </is>
      </c>
      <c r="B102" s="319" t="inlineStr">
        <is>
          <t> </t>
        </is>
      </c>
      <c r="C102" s="319" t="inlineStr">
        <is>
          <t> </t>
        </is>
      </c>
      <c r="D102" s="38" t="inlineStr">
        <is>
          <t> </t>
        </is>
      </c>
      <c r="E102" s="391" t="inlineStr">
        <is>
          <t> </t>
        </is>
      </c>
      <c r="F102" s="391" t="inlineStr">
        <is>
          <t> </t>
        </is>
      </c>
      <c r="G102" s="391" t="inlineStr">
        <is>
          <t> </t>
        </is>
      </c>
      <c r="H102" s="391" t="inlineStr">
        <is>
          <t> </t>
        </is>
      </c>
      <c r="I102" s="391" t="inlineStr">
        <is>
          <t> </t>
        </is>
      </c>
      <c r="J102" s="391" t="inlineStr">
        <is>
          <t> </t>
        </is>
      </c>
      <c r="K102" s="38" t="inlineStr">
        <is>
          <t> </t>
        </is>
      </c>
      <c r="L102" s="391" t="inlineStr">
        <is>
          <t> </t>
        </is>
      </c>
      <c r="M102" s="391" t="inlineStr">
        <is>
          <t> </t>
        </is>
      </c>
      <c r="N102" s="391" t="inlineStr">
        <is>
          <t> </t>
        </is>
      </c>
      <c r="O102" s="391" t="inlineStr">
        <is>
          <t> </t>
        </is>
      </c>
      <c r="P102" s="391" t="inlineStr">
        <is>
          <t> </t>
        </is>
      </c>
      <c r="Q102" s="391" t="inlineStr">
        <is>
          <t> </t>
        </is>
      </c>
      <c r="R102" s="38" t="inlineStr">
        <is>
          <t> </t>
        </is>
      </c>
      <c r="S102" s="391" t="inlineStr">
        <is>
          <t> </t>
        </is>
      </c>
      <c r="T102" s="391" t="inlineStr">
        <is>
          <t> </t>
        </is>
      </c>
      <c r="U102" s="391" t="inlineStr">
        <is>
          <t> </t>
        </is>
      </c>
      <c r="V102" s="391" t="inlineStr">
        <is>
          <t> </t>
        </is>
      </c>
      <c r="W102" s="391" t="inlineStr">
        <is>
          <t> </t>
        </is>
      </c>
      <c r="X102" s="391" t="inlineStr">
        <is>
          <t> </t>
        </is>
      </c>
      <c r="Y102" s="392" t="inlineStr">
        <is>
          <t> </t>
        </is>
      </c>
      <c r="Z102" s="391" t="inlineStr">
        <is>
          <t> </t>
        </is>
      </c>
      <c r="AA102" s="391" t="inlineStr">
        <is>
          <t> </t>
        </is>
      </c>
      <c r="AB102" s="391" t="inlineStr">
        <is>
          <t> </t>
        </is>
      </c>
      <c r="AC102" s="391" t="inlineStr">
        <is>
          <t> </t>
        </is>
      </c>
      <c r="AD102" s="391" t="inlineStr">
        <is>
          <t> </t>
        </is>
      </c>
      <c r="AE102" s="391" t="inlineStr">
        <is>
          <t> </t>
        </is>
      </c>
      <c r="AF102" s="38" t="inlineStr">
        <is>
          <t> </t>
        </is>
      </c>
      <c r="AG102" s="391" t="inlineStr">
        <is>
          <t> </t>
        </is>
      </c>
      <c r="AH102" s="391" t="n"/>
      <c r="AI102" s="391" t="inlineStr">
        <is>
          <t> </t>
        </is>
      </c>
      <c r="AJ102" s="391" t="inlineStr">
        <is>
          <t> </t>
        </is>
      </c>
      <c r="AK102" s="391" t="inlineStr">
        <is>
          <t> </t>
        </is>
      </c>
      <c r="AL102" s="391" t="inlineStr">
        <is>
          <t> </t>
        </is>
      </c>
      <c r="AM102" s="391" t="inlineStr">
        <is>
          <t> </t>
        </is>
      </c>
      <c r="AN102" s="391" t="inlineStr">
        <is>
          <t> </t>
        </is>
      </c>
      <c r="AO102" s="391" t="n"/>
      <c r="AP102" s="319" t="n"/>
      <c r="AQ102" s="319" t="n"/>
      <c r="AR102" s="319" t="n"/>
    </row>
    <row r="103" ht="15.75" customHeight="1" s="1264">
      <c r="A103" s="319" t="inlineStr">
        <is>
          <t> </t>
        </is>
      </c>
      <c r="B103" s="319" t="inlineStr">
        <is>
          <t> </t>
        </is>
      </c>
      <c r="C103" s="319" t="inlineStr">
        <is>
          <t> </t>
        </is>
      </c>
      <c r="D103" s="38" t="inlineStr">
        <is>
          <t> </t>
        </is>
      </c>
      <c r="E103" s="391" t="inlineStr">
        <is>
          <t> </t>
        </is>
      </c>
      <c r="F103" s="391" t="inlineStr">
        <is>
          <t> </t>
        </is>
      </c>
      <c r="G103" s="391" t="inlineStr">
        <is>
          <t> </t>
        </is>
      </c>
      <c r="H103" s="391" t="inlineStr">
        <is>
          <t> </t>
        </is>
      </c>
      <c r="I103" s="391" t="inlineStr">
        <is>
          <t> </t>
        </is>
      </c>
      <c r="J103" s="391" t="inlineStr">
        <is>
          <t> </t>
        </is>
      </c>
      <c r="K103" s="38" t="inlineStr">
        <is>
          <t> </t>
        </is>
      </c>
      <c r="L103" s="391" t="inlineStr">
        <is>
          <t> </t>
        </is>
      </c>
      <c r="M103" s="391" t="inlineStr">
        <is>
          <t> </t>
        </is>
      </c>
      <c r="N103" s="391" t="inlineStr">
        <is>
          <t> </t>
        </is>
      </c>
      <c r="O103" s="391" t="inlineStr">
        <is>
          <t> </t>
        </is>
      </c>
      <c r="P103" s="391" t="inlineStr">
        <is>
          <t> </t>
        </is>
      </c>
      <c r="Q103" s="391" t="inlineStr">
        <is>
          <t> </t>
        </is>
      </c>
      <c r="R103" s="38" t="inlineStr">
        <is>
          <t> </t>
        </is>
      </c>
      <c r="S103" s="391" t="inlineStr">
        <is>
          <t> </t>
        </is>
      </c>
      <c r="T103" s="391" t="inlineStr">
        <is>
          <t> </t>
        </is>
      </c>
      <c r="U103" s="391" t="inlineStr">
        <is>
          <t> </t>
        </is>
      </c>
      <c r="V103" s="391" t="inlineStr">
        <is>
          <t> </t>
        </is>
      </c>
      <c r="W103" s="391" t="inlineStr">
        <is>
          <t> </t>
        </is>
      </c>
      <c r="X103" s="391" t="inlineStr">
        <is>
          <t> </t>
        </is>
      </c>
      <c r="Y103" s="392" t="inlineStr">
        <is>
          <t> </t>
        </is>
      </c>
      <c r="Z103" s="391" t="inlineStr">
        <is>
          <t> </t>
        </is>
      </c>
      <c r="AA103" s="391" t="inlineStr">
        <is>
          <t> </t>
        </is>
      </c>
      <c r="AB103" s="391" t="inlineStr">
        <is>
          <t> </t>
        </is>
      </c>
      <c r="AC103" s="391" t="inlineStr">
        <is>
          <t> </t>
        </is>
      </c>
      <c r="AD103" s="391" t="inlineStr">
        <is>
          <t> </t>
        </is>
      </c>
      <c r="AE103" s="391" t="inlineStr">
        <is>
          <t> </t>
        </is>
      </c>
      <c r="AF103" s="38" t="inlineStr">
        <is>
          <t> </t>
        </is>
      </c>
      <c r="AG103" s="391" t="inlineStr">
        <is>
          <t> </t>
        </is>
      </c>
      <c r="AH103" s="391" t="n"/>
      <c r="AI103" s="391" t="inlineStr">
        <is>
          <t> </t>
        </is>
      </c>
      <c r="AJ103" s="391" t="inlineStr">
        <is>
          <t> </t>
        </is>
      </c>
      <c r="AK103" s="391" t="inlineStr">
        <is>
          <t> </t>
        </is>
      </c>
      <c r="AL103" s="391" t="inlineStr">
        <is>
          <t> </t>
        </is>
      </c>
      <c r="AM103" s="391" t="inlineStr">
        <is>
          <t> </t>
        </is>
      </c>
      <c r="AN103" s="391" t="inlineStr">
        <is>
          <t> </t>
        </is>
      </c>
      <c r="AO103" s="391" t="n"/>
      <c r="AP103" s="319" t="n"/>
      <c r="AQ103" s="319" t="n"/>
      <c r="AR103" s="319" t="n"/>
    </row>
    <row r="104" ht="15.75" customHeight="1" s="1264">
      <c r="A104" s="319" t="inlineStr">
        <is>
          <t> </t>
        </is>
      </c>
      <c r="B104" s="319" t="inlineStr">
        <is>
          <t> </t>
        </is>
      </c>
      <c r="C104" s="319" t="inlineStr">
        <is>
          <t> </t>
        </is>
      </c>
      <c r="D104" s="38" t="inlineStr">
        <is>
          <t> </t>
        </is>
      </c>
      <c r="E104" s="391" t="inlineStr">
        <is>
          <t> </t>
        </is>
      </c>
      <c r="F104" s="391" t="inlineStr">
        <is>
          <t> </t>
        </is>
      </c>
      <c r="G104" s="391" t="inlineStr">
        <is>
          <t> </t>
        </is>
      </c>
      <c r="H104" s="391" t="inlineStr">
        <is>
          <t> </t>
        </is>
      </c>
      <c r="I104" s="391" t="inlineStr">
        <is>
          <t> </t>
        </is>
      </c>
      <c r="J104" s="391" t="inlineStr">
        <is>
          <t> </t>
        </is>
      </c>
      <c r="K104" s="38" t="inlineStr">
        <is>
          <t> </t>
        </is>
      </c>
      <c r="L104" s="391" t="inlineStr">
        <is>
          <t> </t>
        </is>
      </c>
      <c r="M104" s="391" t="inlineStr">
        <is>
          <t> </t>
        </is>
      </c>
      <c r="N104" s="391" t="inlineStr">
        <is>
          <t> </t>
        </is>
      </c>
      <c r="O104" s="391" t="inlineStr">
        <is>
          <t> </t>
        </is>
      </c>
      <c r="P104" s="391" t="inlineStr">
        <is>
          <t> </t>
        </is>
      </c>
      <c r="Q104" s="391" t="inlineStr">
        <is>
          <t> </t>
        </is>
      </c>
      <c r="R104" s="38" t="inlineStr">
        <is>
          <t> </t>
        </is>
      </c>
      <c r="S104" s="391" t="inlineStr">
        <is>
          <t> </t>
        </is>
      </c>
      <c r="T104" s="391" t="inlineStr">
        <is>
          <t> </t>
        </is>
      </c>
      <c r="U104" s="391" t="inlineStr">
        <is>
          <t> </t>
        </is>
      </c>
      <c r="V104" s="391" t="inlineStr">
        <is>
          <t> </t>
        </is>
      </c>
      <c r="W104" s="391" t="inlineStr">
        <is>
          <t> </t>
        </is>
      </c>
      <c r="X104" s="391" t="inlineStr">
        <is>
          <t> </t>
        </is>
      </c>
      <c r="Y104" s="392" t="inlineStr">
        <is>
          <t> </t>
        </is>
      </c>
      <c r="Z104" s="391" t="inlineStr">
        <is>
          <t> </t>
        </is>
      </c>
      <c r="AA104" s="391" t="inlineStr">
        <is>
          <t> </t>
        </is>
      </c>
      <c r="AB104" s="391" t="inlineStr">
        <is>
          <t> </t>
        </is>
      </c>
      <c r="AC104" s="391" t="inlineStr">
        <is>
          <t> </t>
        </is>
      </c>
      <c r="AD104" s="391" t="inlineStr">
        <is>
          <t> </t>
        </is>
      </c>
      <c r="AE104" s="391" t="inlineStr">
        <is>
          <t> </t>
        </is>
      </c>
      <c r="AF104" s="38" t="inlineStr">
        <is>
          <t> </t>
        </is>
      </c>
      <c r="AG104" s="391" t="inlineStr">
        <is>
          <t> </t>
        </is>
      </c>
      <c r="AH104" s="391" t="n"/>
      <c r="AI104" s="391" t="inlineStr">
        <is>
          <t> </t>
        </is>
      </c>
      <c r="AJ104" s="391" t="inlineStr">
        <is>
          <t> </t>
        </is>
      </c>
      <c r="AK104" s="391" t="inlineStr">
        <is>
          <t> </t>
        </is>
      </c>
      <c r="AL104" s="391" t="inlineStr">
        <is>
          <t> </t>
        </is>
      </c>
      <c r="AM104" s="391" t="inlineStr">
        <is>
          <t> </t>
        </is>
      </c>
      <c r="AN104" s="391" t="inlineStr">
        <is>
          <t> </t>
        </is>
      </c>
      <c r="AO104" s="391" t="n"/>
      <c r="AP104" s="319" t="n"/>
      <c r="AQ104" s="319" t="n"/>
      <c r="AR104" s="319" t="n"/>
    </row>
    <row r="105" ht="15.75" customHeight="1" s="1264">
      <c r="A105" s="319" t="inlineStr">
        <is>
          <t> </t>
        </is>
      </c>
      <c r="B105" s="319" t="inlineStr">
        <is>
          <t> </t>
        </is>
      </c>
      <c r="C105" s="319" t="inlineStr">
        <is>
          <t> </t>
        </is>
      </c>
      <c r="D105" s="38" t="inlineStr">
        <is>
          <t> </t>
        </is>
      </c>
      <c r="E105" s="391" t="inlineStr">
        <is>
          <t> </t>
        </is>
      </c>
      <c r="F105" s="391" t="inlineStr">
        <is>
          <t> </t>
        </is>
      </c>
      <c r="G105" s="391" t="inlineStr">
        <is>
          <t> </t>
        </is>
      </c>
      <c r="H105" s="391" t="inlineStr">
        <is>
          <t> </t>
        </is>
      </c>
      <c r="I105" s="391" t="inlineStr">
        <is>
          <t> </t>
        </is>
      </c>
      <c r="J105" s="391" t="inlineStr">
        <is>
          <t> </t>
        </is>
      </c>
      <c r="K105" s="38" t="inlineStr">
        <is>
          <t> </t>
        </is>
      </c>
      <c r="L105" s="391" t="inlineStr">
        <is>
          <t> </t>
        </is>
      </c>
      <c r="M105" s="391" t="inlineStr">
        <is>
          <t> </t>
        </is>
      </c>
      <c r="N105" s="391" t="inlineStr">
        <is>
          <t> </t>
        </is>
      </c>
      <c r="O105" s="391" t="inlineStr">
        <is>
          <t> </t>
        </is>
      </c>
      <c r="P105" s="391" t="inlineStr">
        <is>
          <t> </t>
        </is>
      </c>
      <c r="Q105" s="391" t="inlineStr">
        <is>
          <t> </t>
        </is>
      </c>
      <c r="R105" s="38" t="inlineStr">
        <is>
          <t> </t>
        </is>
      </c>
      <c r="S105" s="391" t="inlineStr">
        <is>
          <t> </t>
        </is>
      </c>
      <c r="T105" s="391" t="inlineStr">
        <is>
          <t> </t>
        </is>
      </c>
      <c r="U105" s="391" t="inlineStr">
        <is>
          <t> </t>
        </is>
      </c>
      <c r="V105" s="391" t="inlineStr">
        <is>
          <t> </t>
        </is>
      </c>
      <c r="W105" s="391" t="inlineStr">
        <is>
          <t> </t>
        </is>
      </c>
      <c r="X105" s="391" t="inlineStr">
        <is>
          <t> </t>
        </is>
      </c>
      <c r="Y105" s="392" t="inlineStr">
        <is>
          <t> </t>
        </is>
      </c>
      <c r="Z105" s="391" t="inlineStr">
        <is>
          <t> </t>
        </is>
      </c>
      <c r="AA105" s="391" t="inlineStr">
        <is>
          <t> </t>
        </is>
      </c>
      <c r="AB105" s="391" t="inlineStr">
        <is>
          <t> </t>
        </is>
      </c>
      <c r="AC105" s="391" t="inlineStr">
        <is>
          <t> </t>
        </is>
      </c>
      <c r="AD105" s="391" t="inlineStr">
        <is>
          <t> </t>
        </is>
      </c>
      <c r="AE105" s="391" t="inlineStr">
        <is>
          <t> </t>
        </is>
      </c>
      <c r="AF105" s="38" t="inlineStr">
        <is>
          <t> </t>
        </is>
      </c>
      <c r="AG105" s="391" t="inlineStr">
        <is>
          <t> </t>
        </is>
      </c>
      <c r="AH105" s="391" t="n"/>
      <c r="AI105" s="391" t="inlineStr">
        <is>
          <t> </t>
        </is>
      </c>
      <c r="AJ105" s="391" t="inlineStr">
        <is>
          <t> </t>
        </is>
      </c>
      <c r="AK105" s="391" t="inlineStr">
        <is>
          <t> </t>
        </is>
      </c>
      <c r="AL105" s="391" t="inlineStr">
        <is>
          <t> </t>
        </is>
      </c>
      <c r="AM105" s="391" t="inlineStr">
        <is>
          <t> </t>
        </is>
      </c>
      <c r="AN105" s="391" t="inlineStr">
        <is>
          <t> </t>
        </is>
      </c>
      <c r="AO105" s="391" t="n"/>
      <c r="AP105" s="319" t="n"/>
      <c r="AQ105" s="319" t="n"/>
      <c r="AR105" s="319" t="n"/>
    </row>
    <row r="106" ht="15.75" customHeight="1" s="1264">
      <c r="A106" s="319" t="inlineStr">
        <is>
          <t> </t>
        </is>
      </c>
      <c r="B106" s="319" t="inlineStr">
        <is>
          <t> </t>
        </is>
      </c>
      <c r="C106" s="319" t="inlineStr">
        <is>
          <t> </t>
        </is>
      </c>
      <c r="D106" s="38" t="inlineStr">
        <is>
          <t> </t>
        </is>
      </c>
      <c r="E106" s="391" t="inlineStr">
        <is>
          <t> </t>
        </is>
      </c>
      <c r="F106" s="391" t="inlineStr">
        <is>
          <t> </t>
        </is>
      </c>
      <c r="G106" s="391" t="inlineStr">
        <is>
          <t> </t>
        </is>
      </c>
      <c r="H106" s="391" t="inlineStr">
        <is>
          <t> </t>
        </is>
      </c>
      <c r="I106" s="391" t="inlineStr">
        <is>
          <t> </t>
        </is>
      </c>
      <c r="J106" s="391" t="inlineStr">
        <is>
          <t> </t>
        </is>
      </c>
      <c r="K106" s="38" t="inlineStr">
        <is>
          <t> </t>
        </is>
      </c>
      <c r="L106" s="391" t="inlineStr">
        <is>
          <t> </t>
        </is>
      </c>
      <c r="M106" s="391" t="inlineStr">
        <is>
          <t> </t>
        </is>
      </c>
      <c r="N106" s="391" t="inlineStr">
        <is>
          <t> </t>
        </is>
      </c>
      <c r="O106" s="391" t="inlineStr">
        <is>
          <t> </t>
        </is>
      </c>
      <c r="P106" s="391" t="inlineStr">
        <is>
          <t> </t>
        </is>
      </c>
      <c r="Q106" s="391" t="inlineStr">
        <is>
          <t> </t>
        </is>
      </c>
      <c r="R106" s="38" t="inlineStr">
        <is>
          <t> </t>
        </is>
      </c>
      <c r="S106" s="391" t="inlineStr">
        <is>
          <t> </t>
        </is>
      </c>
      <c r="T106" s="391" t="inlineStr">
        <is>
          <t> </t>
        </is>
      </c>
      <c r="U106" s="391" t="inlineStr">
        <is>
          <t> </t>
        </is>
      </c>
      <c r="V106" s="391" t="inlineStr">
        <is>
          <t> </t>
        </is>
      </c>
      <c r="W106" s="391" t="inlineStr">
        <is>
          <t> </t>
        </is>
      </c>
      <c r="X106" s="391" t="inlineStr">
        <is>
          <t> </t>
        </is>
      </c>
      <c r="Y106" s="392" t="inlineStr">
        <is>
          <t> </t>
        </is>
      </c>
      <c r="Z106" s="391" t="inlineStr">
        <is>
          <t> </t>
        </is>
      </c>
      <c r="AA106" s="391" t="inlineStr">
        <is>
          <t> </t>
        </is>
      </c>
      <c r="AB106" s="391" t="inlineStr">
        <is>
          <t> </t>
        </is>
      </c>
      <c r="AC106" s="391" t="inlineStr">
        <is>
          <t> </t>
        </is>
      </c>
      <c r="AD106" s="391" t="inlineStr">
        <is>
          <t> </t>
        </is>
      </c>
      <c r="AE106" s="391" t="inlineStr">
        <is>
          <t> </t>
        </is>
      </c>
      <c r="AF106" s="38" t="inlineStr">
        <is>
          <t> </t>
        </is>
      </c>
      <c r="AG106" s="391" t="inlineStr">
        <is>
          <t> </t>
        </is>
      </c>
      <c r="AH106" s="391" t="n"/>
      <c r="AI106" s="391" t="inlineStr">
        <is>
          <t> </t>
        </is>
      </c>
      <c r="AJ106" s="391" t="inlineStr">
        <is>
          <t> </t>
        </is>
      </c>
      <c r="AK106" s="391" t="inlineStr">
        <is>
          <t> </t>
        </is>
      </c>
      <c r="AL106" s="391" t="inlineStr">
        <is>
          <t> </t>
        </is>
      </c>
      <c r="AM106" s="391" t="inlineStr">
        <is>
          <t> </t>
        </is>
      </c>
      <c r="AN106" s="391" t="inlineStr">
        <is>
          <t> </t>
        </is>
      </c>
      <c r="AO106" s="391" t="n"/>
      <c r="AP106" s="319" t="n"/>
      <c r="AQ106" s="319" t="n"/>
      <c r="AR106" s="319" t="n"/>
    </row>
    <row r="107" ht="15.75" customHeight="1" s="1264">
      <c r="A107" s="319" t="inlineStr">
        <is>
          <t> </t>
        </is>
      </c>
      <c r="B107" s="319" t="inlineStr">
        <is>
          <t> </t>
        </is>
      </c>
      <c r="C107" s="319" t="inlineStr">
        <is>
          <t> </t>
        </is>
      </c>
      <c r="D107" s="38" t="inlineStr">
        <is>
          <t> </t>
        </is>
      </c>
      <c r="E107" s="391" t="inlineStr">
        <is>
          <t> </t>
        </is>
      </c>
      <c r="F107" s="391" t="inlineStr">
        <is>
          <t> </t>
        </is>
      </c>
      <c r="G107" s="391" t="inlineStr">
        <is>
          <t> </t>
        </is>
      </c>
      <c r="H107" s="391" t="inlineStr">
        <is>
          <t> </t>
        </is>
      </c>
      <c r="I107" s="391" t="inlineStr">
        <is>
          <t> </t>
        </is>
      </c>
      <c r="J107" s="391" t="inlineStr">
        <is>
          <t> </t>
        </is>
      </c>
      <c r="K107" s="38" t="inlineStr">
        <is>
          <t> </t>
        </is>
      </c>
      <c r="L107" s="391" t="inlineStr">
        <is>
          <t> </t>
        </is>
      </c>
      <c r="M107" s="391" t="inlineStr">
        <is>
          <t> </t>
        </is>
      </c>
      <c r="N107" s="391" t="inlineStr">
        <is>
          <t> </t>
        </is>
      </c>
      <c r="O107" s="391" t="inlineStr">
        <is>
          <t> </t>
        </is>
      </c>
      <c r="P107" s="391" t="inlineStr">
        <is>
          <t> </t>
        </is>
      </c>
      <c r="Q107" s="391" t="inlineStr">
        <is>
          <t> </t>
        </is>
      </c>
      <c r="R107" s="38" t="inlineStr">
        <is>
          <t> </t>
        </is>
      </c>
      <c r="S107" s="391" t="inlineStr">
        <is>
          <t> </t>
        </is>
      </c>
      <c r="T107" s="391" t="inlineStr">
        <is>
          <t> </t>
        </is>
      </c>
      <c r="U107" s="391" t="inlineStr">
        <is>
          <t> </t>
        </is>
      </c>
      <c r="V107" s="391" t="inlineStr">
        <is>
          <t> </t>
        </is>
      </c>
      <c r="W107" s="391" t="inlineStr">
        <is>
          <t> </t>
        </is>
      </c>
      <c r="X107" s="391" t="inlineStr">
        <is>
          <t> </t>
        </is>
      </c>
      <c r="Y107" s="392" t="inlineStr">
        <is>
          <t> </t>
        </is>
      </c>
      <c r="Z107" s="391" t="inlineStr">
        <is>
          <t> </t>
        </is>
      </c>
      <c r="AA107" s="391" t="inlineStr">
        <is>
          <t> </t>
        </is>
      </c>
      <c r="AB107" s="391" t="inlineStr">
        <is>
          <t> </t>
        </is>
      </c>
      <c r="AC107" s="391" t="inlineStr">
        <is>
          <t> </t>
        </is>
      </c>
      <c r="AD107" s="391" t="inlineStr">
        <is>
          <t> </t>
        </is>
      </c>
      <c r="AE107" s="391" t="inlineStr">
        <is>
          <t> </t>
        </is>
      </c>
      <c r="AF107" s="38" t="inlineStr">
        <is>
          <t> </t>
        </is>
      </c>
      <c r="AG107" s="391" t="inlineStr">
        <is>
          <t> </t>
        </is>
      </c>
      <c r="AH107" s="391" t="n"/>
      <c r="AI107" s="391" t="inlineStr">
        <is>
          <t> </t>
        </is>
      </c>
      <c r="AJ107" s="391" t="inlineStr">
        <is>
          <t> </t>
        </is>
      </c>
      <c r="AK107" s="391" t="inlineStr">
        <is>
          <t> </t>
        </is>
      </c>
      <c r="AL107" s="391" t="inlineStr">
        <is>
          <t> </t>
        </is>
      </c>
      <c r="AM107" s="391" t="inlineStr">
        <is>
          <t> </t>
        </is>
      </c>
      <c r="AN107" s="391" t="inlineStr">
        <is>
          <t> </t>
        </is>
      </c>
      <c r="AO107" s="391" t="n"/>
      <c r="AP107" s="319" t="n"/>
      <c r="AQ107" s="319" t="n"/>
      <c r="AR107" s="319" t="n"/>
    </row>
    <row r="108" ht="15.75" customHeight="1" s="1264">
      <c r="A108" s="319" t="inlineStr">
        <is>
          <t> </t>
        </is>
      </c>
      <c r="B108" s="319" t="inlineStr">
        <is>
          <t> </t>
        </is>
      </c>
      <c r="C108" s="319" t="inlineStr">
        <is>
          <t> </t>
        </is>
      </c>
      <c r="D108" s="38" t="inlineStr">
        <is>
          <t> </t>
        </is>
      </c>
      <c r="E108" s="391" t="inlineStr">
        <is>
          <t> </t>
        </is>
      </c>
      <c r="F108" s="391" t="inlineStr">
        <is>
          <t> </t>
        </is>
      </c>
      <c r="G108" s="391" t="inlineStr">
        <is>
          <t> </t>
        </is>
      </c>
      <c r="H108" s="391" t="inlineStr">
        <is>
          <t> </t>
        </is>
      </c>
      <c r="I108" s="391" t="inlineStr">
        <is>
          <t> </t>
        </is>
      </c>
      <c r="J108" s="391" t="inlineStr">
        <is>
          <t> </t>
        </is>
      </c>
      <c r="K108" s="38" t="inlineStr">
        <is>
          <t> </t>
        </is>
      </c>
      <c r="L108" s="391" t="inlineStr">
        <is>
          <t> </t>
        </is>
      </c>
      <c r="M108" s="391" t="inlineStr">
        <is>
          <t> </t>
        </is>
      </c>
      <c r="N108" s="391" t="inlineStr">
        <is>
          <t> </t>
        </is>
      </c>
      <c r="O108" s="391" t="inlineStr">
        <is>
          <t> </t>
        </is>
      </c>
      <c r="P108" s="391" t="inlineStr">
        <is>
          <t> </t>
        </is>
      </c>
      <c r="Q108" s="391" t="inlineStr">
        <is>
          <t> </t>
        </is>
      </c>
      <c r="R108" s="38" t="inlineStr">
        <is>
          <t> </t>
        </is>
      </c>
      <c r="S108" s="391" t="inlineStr">
        <is>
          <t> </t>
        </is>
      </c>
      <c r="T108" s="391" t="inlineStr">
        <is>
          <t> </t>
        </is>
      </c>
      <c r="U108" s="391" t="inlineStr">
        <is>
          <t> </t>
        </is>
      </c>
      <c r="V108" s="391" t="inlineStr">
        <is>
          <t> </t>
        </is>
      </c>
      <c r="W108" s="391" t="inlineStr">
        <is>
          <t> </t>
        </is>
      </c>
      <c r="X108" s="391" t="inlineStr">
        <is>
          <t> </t>
        </is>
      </c>
      <c r="Y108" s="392" t="inlineStr">
        <is>
          <t> </t>
        </is>
      </c>
      <c r="Z108" s="391" t="inlineStr">
        <is>
          <t> </t>
        </is>
      </c>
      <c r="AA108" s="391" t="inlineStr">
        <is>
          <t> </t>
        </is>
      </c>
      <c r="AB108" s="391" t="inlineStr">
        <is>
          <t> </t>
        </is>
      </c>
      <c r="AC108" s="391" t="inlineStr">
        <is>
          <t> </t>
        </is>
      </c>
      <c r="AD108" s="391" t="inlineStr">
        <is>
          <t> </t>
        </is>
      </c>
      <c r="AE108" s="391" t="inlineStr">
        <is>
          <t> </t>
        </is>
      </c>
      <c r="AF108" s="38" t="inlineStr">
        <is>
          <t> </t>
        </is>
      </c>
      <c r="AG108" s="391" t="inlineStr">
        <is>
          <t> </t>
        </is>
      </c>
      <c r="AH108" s="391" t="n"/>
      <c r="AI108" s="391" t="inlineStr">
        <is>
          <t> </t>
        </is>
      </c>
      <c r="AJ108" s="391" t="inlineStr">
        <is>
          <t> </t>
        </is>
      </c>
      <c r="AK108" s="391" t="inlineStr">
        <is>
          <t> </t>
        </is>
      </c>
      <c r="AL108" s="391" t="inlineStr">
        <is>
          <t> </t>
        </is>
      </c>
      <c r="AM108" s="391" t="inlineStr">
        <is>
          <t> </t>
        </is>
      </c>
      <c r="AN108" s="391" t="inlineStr">
        <is>
          <t> </t>
        </is>
      </c>
      <c r="AO108" s="391" t="n"/>
      <c r="AP108" s="319" t="n"/>
      <c r="AQ108" s="319" t="n"/>
      <c r="AR108" s="319" t="n"/>
    </row>
    <row r="109" ht="15.75" customHeight="1" s="1264">
      <c r="A109" s="319" t="inlineStr">
        <is>
          <t> </t>
        </is>
      </c>
      <c r="B109" s="319" t="inlineStr">
        <is>
          <t> </t>
        </is>
      </c>
      <c r="C109" s="319" t="inlineStr">
        <is>
          <t> </t>
        </is>
      </c>
      <c r="D109" s="38" t="inlineStr">
        <is>
          <t> </t>
        </is>
      </c>
      <c r="E109" s="391" t="inlineStr">
        <is>
          <t> </t>
        </is>
      </c>
      <c r="F109" s="391" t="inlineStr">
        <is>
          <t> </t>
        </is>
      </c>
      <c r="G109" s="391" t="inlineStr">
        <is>
          <t> </t>
        </is>
      </c>
      <c r="H109" s="391" t="inlineStr">
        <is>
          <t> </t>
        </is>
      </c>
      <c r="I109" s="391" t="inlineStr">
        <is>
          <t> </t>
        </is>
      </c>
      <c r="J109" s="391" t="inlineStr">
        <is>
          <t> </t>
        </is>
      </c>
      <c r="K109" s="38" t="inlineStr">
        <is>
          <t> </t>
        </is>
      </c>
      <c r="L109" s="391" t="inlineStr">
        <is>
          <t> </t>
        </is>
      </c>
      <c r="M109" s="391" t="inlineStr">
        <is>
          <t> </t>
        </is>
      </c>
      <c r="N109" s="391" t="inlineStr">
        <is>
          <t> </t>
        </is>
      </c>
      <c r="O109" s="391" t="inlineStr">
        <is>
          <t> </t>
        </is>
      </c>
      <c r="P109" s="391" t="inlineStr">
        <is>
          <t> </t>
        </is>
      </c>
      <c r="Q109" s="391" t="inlineStr">
        <is>
          <t> </t>
        </is>
      </c>
      <c r="R109" s="38" t="inlineStr">
        <is>
          <t> </t>
        </is>
      </c>
      <c r="S109" s="391" t="inlineStr">
        <is>
          <t> </t>
        </is>
      </c>
      <c r="T109" s="391" t="inlineStr">
        <is>
          <t> </t>
        </is>
      </c>
      <c r="U109" s="391" t="inlineStr">
        <is>
          <t> </t>
        </is>
      </c>
      <c r="V109" s="391" t="inlineStr">
        <is>
          <t> </t>
        </is>
      </c>
      <c r="W109" s="391" t="inlineStr">
        <is>
          <t> </t>
        </is>
      </c>
      <c r="X109" s="391" t="inlineStr">
        <is>
          <t> </t>
        </is>
      </c>
      <c r="Y109" s="392" t="inlineStr">
        <is>
          <t> </t>
        </is>
      </c>
      <c r="Z109" s="391" t="inlineStr">
        <is>
          <t> </t>
        </is>
      </c>
      <c r="AA109" s="391" t="inlineStr">
        <is>
          <t> </t>
        </is>
      </c>
      <c r="AB109" s="391" t="inlineStr">
        <is>
          <t> </t>
        </is>
      </c>
      <c r="AC109" s="391" t="inlineStr">
        <is>
          <t> </t>
        </is>
      </c>
      <c r="AD109" s="391" t="inlineStr">
        <is>
          <t> </t>
        </is>
      </c>
      <c r="AE109" s="391" t="inlineStr">
        <is>
          <t> </t>
        </is>
      </c>
      <c r="AF109" s="38" t="inlineStr">
        <is>
          <t> </t>
        </is>
      </c>
      <c r="AG109" s="391" t="inlineStr">
        <is>
          <t> </t>
        </is>
      </c>
      <c r="AH109" s="391" t="n"/>
      <c r="AI109" s="391" t="inlineStr">
        <is>
          <t> </t>
        </is>
      </c>
      <c r="AJ109" s="391" t="inlineStr">
        <is>
          <t> </t>
        </is>
      </c>
      <c r="AK109" s="391" t="inlineStr">
        <is>
          <t> </t>
        </is>
      </c>
      <c r="AL109" s="391" t="inlineStr">
        <is>
          <t> </t>
        </is>
      </c>
      <c r="AM109" s="391" t="inlineStr">
        <is>
          <t> </t>
        </is>
      </c>
      <c r="AN109" s="391" t="inlineStr">
        <is>
          <t> </t>
        </is>
      </c>
      <c r="AO109" s="391" t="n"/>
      <c r="AP109" s="319" t="n"/>
      <c r="AQ109" s="319" t="n"/>
      <c r="AR109" s="319" t="n"/>
    </row>
    <row r="110" ht="15.75" customHeight="1" s="1264">
      <c r="A110" s="319" t="inlineStr">
        <is>
          <t> </t>
        </is>
      </c>
      <c r="B110" s="319" t="inlineStr">
        <is>
          <t> </t>
        </is>
      </c>
      <c r="C110" s="319" t="inlineStr">
        <is>
          <t> </t>
        </is>
      </c>
      <c r="D110" s="38" t="inlineStr">
        <is>
          <t> </t>
        </is>
      </c>
      <c r="E110" s="391" t="inlineStr">
        <is>
          <t> </t>
        </is>
      </c>
      <c r="F110" s="391" t="inlineStr">
        <is>
          <t> </t>
        </is>
      </c>
      <c r="G110" s="391" t="inlineStr">
        <is>
          <t> </t>
        </is>
      </c>
      <c r="H110" s="391" t="inlineStr">
        <is>
          <t> </t>
        </is>
      </c>
      <c r="I110" s="391" t="inlineStr">
        <is>
          <t> </t>
        </is>
      </c>
      <c r="J110" s="391" t="inlineStr">
        <is>
          <t> </t>
        </is>
      </c>
      <c r="K110" s="38" t="inlineStr">
        <is>
          <t> </t>
        </is>
      </c>
      <c r="L110" s="391" t="inlineStr">
        <is>
          <t> </t>
        </is>
      </c>
      <c r="M110" s="391" t="inlineStr">
        <is>
          <t> </t>
        </is>
      </c>
      <c r="N110" s="391" t="inlineStr">
        <is>
          <t> </t>
        </is>
      </c>
      <c r="O110" s="391" t="inlineStr">
        <is>
          <t> </t>
        </is>
      </c>
      <c r="P110" s="391" t="inlineStr">
        <is>
          <t> </t>
        </is>
      </c>
      <c r="Q110" s="391" t="inlineStr">
        <is>
          <t> </t>
        </is>
      </c>
      <c r="R110" s="38" t="inlineStr">
        <is>
          <t> </t>
        </is>
      </c>
      <c r="S110" s="391" t="inlineStr">
        <is>
          <t> </t>
        </is>
      </c>
      <c r="T110" s="391" t="inlineStr">
        <is>
          <t> </t>
        </is>
      </c>
      <c r="U110" s="391" t="inlineStr">
        <is>
          <t> </t>
        </is>
      </c>
      <c r="V110" s="391" t="inlineStr">
        <is>
          <t> </t>
        </is>
      </c>
      <c r="W110" s="391" t="inlineStr">
        <is>
          <t> </t>
        </is>
      </c>
      <c r="X110" s="391" t="inlineStr">
        <is>
          <t> </t>
        </is>
      </c>
      <c r="Y110" s="392" t="inlineStr">
        <is>
          <t> </t>
        </is>
      </c>
      <c r="Z110" s="391" t="inlineStr">
        <is>
          <t> </t>
        </is>
      </c>
      <c r="AA110" s="391" t="inlineStr">
        <is>
          <t> </t>
        </is>
      </c>
      <c r="AB110" s="391" t="inlineStr">
        <is>
          <t> </t>
        </is>
      </c>
      <c r="AC110" s="391" t="inlineStr">
        <is>
          <t> </t>
        </is>
      </c>
      <c r="AD110" s="391" t="inlineStr">
        <is>
          <t> </t>
        </is>
      </c>
      <c r="AE110" s="391" t="inlineStr">
        <is>
          <t> </t>
        </is>
      </c>
      <c r="AF110" s="38" t="inlineStr">
        <is>
          <t> </t>
        </is>
      </c>
      <c r="AG110" s="391" t="inlineStr">
        <is>
          <t> </t>
        </is>
      </c>
      <c r="AH110" s="391" t="n"/>
      <c r="AI110" s="391" t="inlineStr">
        <is>
          <t> </t>
        </is>
      </c>
      <c r="AJ110" s="391" t="inlineStr">
        <is>
          <t> </t>
        </is>
      </c>
      <c r="AK110" s="391" t="inlineStr">
        <is>
          <t> </t>
        </is>
      </c>
      <c r="AL110" s="391" t="inlineStr">
        <is>
          <t> </t>
        </is>
      </c>
      <c r="AM110" s="391" t="inlineStr">
        <is>
          <t> </t>
        </is>
      </c>
      <c r="AN110" s="391" t="inlineStr">
        <is>
          <t> </t>
        </is>
      </c>
      <c r="AO110" s="391" t="n"/>
      <c r="AP110" s="319" t="n"/>
      <c r="AQ110" s="319" t="n"/>
      <c r="AR110" s="319" t="n"/>
    </row>
    <row r="111" ht="15.75" customHeight="1" s="1264">
      <c r="A111" s="319" t="inlineStr">
        <is>
          <t> </t>
        </is>
      </c>
      <c r="B111" s="319" t="inlineStr">
        <is>
          <t> </t>
        </is>
      </c>
      <c r="C111" s="319" t="inlineStr">
        <is>
          <t> </t>
        </is>
      </c>
      <c r="D111" s="38" t="inlineStr">
        <is>
          <t> </t>
        </is>
      </c>
      <c r="E111" s="391" t="inlineStr">
        <is>
          <t> </t>
        </is>
      </c>
      <c r="F111" s="391" t="inlineStr">
        <is>
          <t> </t>
        </is>
      </c>
      <c r="G111" s="391" t="inlineStr">
        <is>
          <t> </t>
        </is>
      </c>
      <c r="H111" s="391" t="inlineStr">
        <is>
          <t> </t>
        </is>
      </c>
      <c r="I111" s="391" t="inlineStr">
        <is>
          <t> </t>
        </is>
      </c>
      <c r="J111" s="391" t="inlineStr">
        <is>
          <t> </t>
        </is>
      </c>
      <c r="K111" s="38" t="inlineStr">
        <is>
          <t> </t>
        </is>
      </c>
      <c r="L111" s="391" t="inlineStr">
        <is>
          <t> </t>
        </is>
      </c>
      <c r="M111" s="391" t="inlineStr">
        <is>
          <t> </t>
        </is>
      </c>
      <c r="N111" s="391" t="inlineStr">
        <is>
          <t> </t>
        </is>
      </c>
      <c r="O111" s="391" t="inlineStr">
        <is>
          <t> </t>
        </is>
      </c>
      <c r="P111" s="391" t="inlineStr">
        <is>
          <t> </t>
        </is>
      </c>
      <c r="Q111" s="391" t="inlineStr">
        <is>
          <t> </t>
        </is>
      </c>
      <c r="R111" s="38" t="inlineStr">
        <is>
          <t> </t>
        </is>
      </c>
      <c r="S111" s="391" t="inlineStr">
        <is>
          <t> </t>
        </is>
      </c>
      <c r="T111" s="391" t="inlineStr">
        <is>
          <t> </t>
        </is>
      </c>
      <c r="U111" s="391" t="inlineStr">
        <is>
          <t> </t>
        </is>
      </c>
      <c r="V111" s="391" t="inlineStr">
        <is>
          <t> </t>
        </is>
      </c>
      <c r="W111" s="391" t="inlineStr">
        <is>
          <t> </t>
        </is>
      </c>
      <c r="X111" s="391" t="inlineStr">
        <is>
          <t> </t>
        </is>
      </c>
      <c r="Y111" s="392" t="inlineStr">
        <is>
          <t> </t>
        </is>
      </c>
      <c r="Z111" s="391" t="inlineStr">
        <is>
          <t> </t>
        </is>
      </c>
      <c r="AA111" s="391" t="inlineStr">
        <is>
          <t> </t>
        </is>
      </c>
      <c r="AB111" s="391" t="inlineStr">
        <is>
          <t> </t>
        </is>
      </c>
      <c r="AC111" s="391" t="inlineStr">
        <is>
          <t> </t>
        </is>
      </c>
      <c r="AD111" s="391" t="inlineStr">
        <is>
          <t> </t>
        </is>
      </c>
      <c r="AE111" s="391" t="inlineStr">
        <is>
          <t> </t>
        </is>
      </c>
      <c r="AF111" s="38" t="inlineStr">
        <is>
          <t> </t>
        </is>
      </c>
      <c r="AG111" s="391" t="inlineStr">
        <is>
          <t> </t>
        </is>
      </c>
      <c r="AH111" s="391" t="n"/>
      <c r="AI111" s="391" t="inlineStr">
        <is>
          <t> </t>
        </is>
      </c>
      <c r="AJ111" s="391" t="inlineStr">
        <is>
          <t> </t>
        </is>
      </c>
      <c r="AK111" s="391" t="inlineStr">
        <is>
          <t> </t>
        </is>
      </c>
      <c r="AL111" s="391" t="inlineStr">
        <is>
          <t> </t>
        </is>
      </c>
      <c r="AM111" s="391" t="inlineStr">
        <is>
          <t> </t>
        </is>
      </c>
      <c r="AN111" s="391" t="inlineStr">
        <is>
          <t> </t>
        </is>
      </c>
      <c r="AO111" s="391" t="n"/>
      <c r="AP111" s="319" t="n"/>
      <c r="AQ111" s="319" t="n"/>
      <c r="AR111" s="319" t="n"/>
    </row>
    <row r="112" ht="15.75" customHeight="1" s="1264">
      <c r="A112" s="319" t="inlineStr">
        <is>
          <t> </t>
        </is>
      </c>
      <c r="B112" s="319" t="inlineStr">
        <is>
          <t> </t>
        </is>
      </c>
      <c r="C112" s="319" t="inlineStr">
        <is>
          <t> </t>
        </is>
      </c>
      <c r="D112" s="38" t="inlineStr">
        <is>
          <t> </t>
        </is>
      </c>
      <c r="E112" s="391" t="inlineStr">
        <is>
          <t> </t>
        </is>
      </c>
      <c r="F112" s="391" t="inlineStr">
        <is>
          <t> </t>
        </is>
      </c>
      <c r="G112" s="391" t="inlineStr">
        <is>
          <t> </t>
        </is>
      </c>
      <c r="H112" s="391" t="inlineStr">
        <is>
          <t> </t>
        </is>
      </c>
      <c r="I112" s="391" t="inlineStr">
        <is>
          <t> </t>
        </is>
      </c>
      <c r="J112" s="391" t="inlineStr">
        <is>
          <t> </t>
        </is>
      </c>
      <c r="K112" s="38" t="inlineStr">
        <is>
          <t> </t>
        </is>
      </c>
      <c r="L112" s="391" t="inlineStr">
        <is>
          <t> </t>
        </is>
      </c>
      <c r="M112" s="391" t="inlineStr">
        <is>
          <t> </t>
        </is>
      </c>
      <c r="N112" s="391" t="inlineStr">
        <is>
          <t> </t>
        </is>
      </c>
      <c r="O112" s="391" t="inlineStr">
        <is>
          <t> </t>
        </is>
      </c>
      <c r="P112" s="391" t="inlineStr">
        <is>
          <t> </t>
        </is>
      </c>
      <c r="Q112" s="391" t="inlineStr">
        <is>
          <t> </t>
        </is>
      </c>
      <c r="R112" s="38" t="inlineStr">
        <is>
          <t> </t>
        </is>
      </c>
      <c r="S112" s="391" t="inlineStr">
        <is>
          <t> </t>
        </is>
      </c>
      <c r="T112" s="391" t="inlineStr">
        <is>
          <t> </t>
        </is>
      </c>
      <c r="U112" s="391" t="inlineStr">
        <is>
          <t> </t>
        </is>
      </c>
      <c r="V112" s="391" t="inlineStr">
        <is>
          <t> </t>
        </is>
      </c>
      <c r="W112" s="391" t="inlineStr">
        <is>
          <t> </t>
        </is>
      </c>
      <c r="X112" s="391" t="inlineStr">
        <is>
          <t> </t>
        </is>
      </c>
      <c r="Y112" s="392" t="inlineStr">
        <is>
          <t> </t>
        </is>
      </c>
      <c r="Z112" s="391" t="inlineStr">
        <is>
          <t> </t>
        </is>
      </c>
      <c r="AA112" s="391" t="inlineStr">
        <is>
          <t> </t>
        </is>
      </c>
      <c r="AB112" s="391" t="inlineStr">
        <is>
          <t> </t>
        </is>
      </c>
      <c r="AC112" s="391" t="inlineStr">
        <is>
          <t> </t>
        </is>
      </c>
      <c r="AD112" s="391" t="inlineStr">
        <is>
          <t> </t>
        </is>
      </c>
      <c r="AE112" s="391" t="inlineStr">
        <is>
          <t> </t>
        </is>
      </c>
      <c r="AF112" s="38" t="inlineStr">
        <is>
          <t> </t>
        </is>
      </c>
      <c r="AG112" s="391" t="inlineStr">
        <is>
          <t> </t>
        </is>
      </c>
      <c r="AH112" s="391" t="n"/>
      <c r="AI112" s="391" t="inlineStr">
        <is>
          <t> </t>
        </is>
      </c>
      <c r="AJ112" s="391" t="inlineStr">
        <is>
          <t> </t>
        </is>
      </c>
      <c r="AK112" s="391" t="inlineStr">
        <is>
          <t> </t>
        </is>
      </c>
      <c r="AL112" s="391" t="inlineStr">
        <is>
          <t> </t>
        </is>
      </c>
      <c r="AM112" s="391" t="inlineStr">
        <is>
          <t> </t>
        </is>
      </c>
      <c r="AN112" s="391" t="inlineStr">
        <is>
          <t> </t>
        </is>
      </c>
      <c r="AO112" s="391" t="n"/>
      <c r="AP112" s="319" t="n"/>
      <c r="AQ112" s="319" t="n"/>
      <c r="AR112" s="319" t="n"/>
    </row>
    <row r="113" ht="15.75" customHeight="1" s="1264">
      <c r="A113" s="319" t="inlineStr">
        <is>
          <t> </t>
        </is>
      </c>
      <c r="B113" s="319" t="inlineStr">
        <is>
          <t> </t>
        </is>
      </c>
      <c r="C113" s="319" t="inlineStr">
        <is>
          <t> </t>
        </is>
      </c>
      <c r="D113" s="38" t="inlineStr">
        <is>
          <t> </t>
        </is>
      </c>
      <c r="E113" s="391" t="inlineStr">
        <is>
          <t> </t>
        </is>
      </c>
      <c r="F113" s="391" t="inlineStr">
        <is>
          <t> </t>
        </is>
      </c>
      <c r="G113" s="391" t="inlineStr">
        <is>
          <t> </t>
        </is>
      </c>
      <c r="H113" s="391" t="inlineStr">
        <is>
          <t> </t>
        </is>
      </c>
      <c r="I113" s="391" t="inlineStr">
        <is>
          <t> </t>
        </is>
      </c>
      <c r="J113" s="391" t="inlineStr">
        <is>
          <t> </t>
        </is>
      </c>
      <c r="K113" s="38" t="inlineStr">
        <is>
          <t> </t>
        </is>
      </c>
      <c r="L113" s="391" t="inlineStr">
        <is>
          <t> </t>
        </is>
      </c>
      <c r="M113" s="391" t="inlineStr">
        <is>
          <t> </t>
        </is>
      </c>
      <c r="N113" s="391" t="inlineStr">
        <is>
          <t> </t>
        </is>
      </c>
      <c r="O113" s="391" t="inlineStr">
        <is>
          <t> </t>
        </is>
      </c>
      <c r="P113" s="391" t="inlineStr">
        <is>
          <t> </t>
        </is>
      </c>
      <c r="Q113" s="391" t="inlineStr">
        <is>
          <t> </t>
        </is>
      </c>
      <c r="R113" s="38" t="inlineStr">
        <is>
          <t> </t>
        </is>
      </c>
      <c r="S113" s="391" t="inlineStr">
        <is>
          <t> </t>
        </is>
      </c>
      <c r="T113" s="391" t="inlineStr">
        <is>
          <t> </t>
        </is>
      </c>
      <c r="U113" s="391" t="inlineStr">
        <is>
          <t> </t>
        </is>
      </c>
      <c r="V113" s="391" t="inlineStr">
        <is>
          <t> </t>
        </is>
      </c>
      <c r="W113" s="391" t="inlineStr">
        <is>
          <t> </t>
        </is>
      </c>
      <c r="X113" s="391" t="inlineStr">
        <is>
          <t> </t>
        </is>
      </c>
      <c r="Y113" s="392" t="inlineStr">
        <is>
          <t> </t>
        </is>
      </c>
      <c r="Z113" s="391" t="inlineStr">
        <is>
          <t> </t>
        </is>
      </c>
      <c r="AA113" s="391" t="inlineStr">
        <is>
          <t> </t>
        </is>
      </c>
      <c r="AB113" s="391" t="inlineStr">
        <is>
          <t> </t>
        </is>
      </c>
      <c r="AC113" s="391" t="inlineStr">
        <is>
          <t> </t>
        </is>
      </c>
      <c r="AD113" s="391" t="inlineStr">
        <is>
          <t> </t>
        </is>
      </c>
      <c r="AE113" s="391" t="inlineStr">
        <is>
          <t> </t>
        </is>
      </c>
      <c r="AF113" s="38" t="inlineStr">
        <is>
          <t> </t>
        </is>
      </c>
      <c r="AG113" s="391" t="inlineStr">
        <is>
          <t> </t>
        </is>
      </c>
      <c r="AH113" s="391" t="n"/>
      <c r="AI113" s="391" t="inlineStr">
        <is>
          <t> </t>
        </is>
      </c>
      <c r="AJ113" s="391" t="inlineStr">
        <is>
          <t> </t>
        </is>
      </c>
      <c r="AK113" s="391" t="inlineStr">
        <is>
          <t> </t>
        </is>
      </c>
      <c r="AL113" s="391" t="inlineStr">
        <is>
          <t> </t>
        </is>
      </c>
      <c r="AM113" s="391" t="inlineStr">
        <is>
          <t> </t>
        </is>
      </c>
      <c r="AN113" s="391" t="inlineStr">
        <is>
          <t> </t>
        </is>
      </c>
      <c r="AO113" s="391" t="n"/>
      <c r="AP113" s="319" t="n"/>
      <c r="AQ113" s="319" t="n"/>
      <c r="AR113" s="319" t="n"/>
    </row>
    <row r="114" ht="15.75" customHeight="1" s="1264">
      <c r="A114" s="319" t="inlineStr">
        <is>
          <t> </t>
        </is>
      </c>
      <c r="B114" s="319" t="inlineStr">
        <is>
          <t> </t>
        </is>
      </c>
      <c r="C114" s="319" t="inlineStr">
        <is>
          <t> </t>
        </is>
      </c>
      <c r="D114" s="38" t="inlineStr">
        <is>
          <t> </t>
        </is>
      </c>
      <c r="E114" s="391" t="inlineStr">
        <is>
          <t> </t>
        </is>
      </c>
      <c r="F114" s="391" t="inlineStr">
        <is>
          <t> </t>
        </is>
      </c>
      <c r="G114" s="391" t="inlineStr">
        <is>
          <t> </t>
        </is>
      </c>
      <c r="H114" s="391" t="inlineStr">
        <is>
          <t> </t>
        </is>
      </c>
      <c r="I114" s="391" t="inlineStr">
        <is>
          <t> </t>
        </is>
      </c>
      <c r="J114" s="391" t="inlineStr">
        <is>
          <t> </t>
        </is>
      </c>
      <c r="K114" s="38" t="inlineStr">
        <is>
          <t> </t>
        </is>
      </c>
      <c r="L114" s="391" t="inlineStr">
        <is>
          <t> </t>
        </is>
      </c>
      <c r="M114" s="391" t="inlineStr">
        <is>
          <t> </t>
        </is>
      </c>
      <c r="N114" s="391" t="inlineStr">
        <is>
          <t> </t>
        </is>
      </c>
      <c r="O114" s="391" t="inlineStr">
        <is>
          <t> </t>
        </is>
      </c>
      <c r="P114" s="391" t="inlineStr">
        <is>
          <t> </t>
        </is>
      </c>
      <c r="Q114" s="391" t="inlineStr">
        <is>
          <t> </t>
        </is>
      </c>
      <c r="R114" s="38" t="inlineStr">
        <is>
          <t> </t>
        </is>
      </c>
      <c r="S114" s="391" t="inlineStr">
        <is>
          <t> </t>
        </is>
      </c>
      <c r="T114" s="391" t="inlineStr">
        <is>
          <t> </t>
        </is>
      </c>
      <c r="U114" s="391" t="inlineStr">
        <is>
          <t> </t>
        </is>
      </c>
      <c r="V114" s="391" t="inlineStr">
        <is>
          <t> </t>
        </is>
      </c>
      <c r="W114" s="391" t="inlineStr">
        <is>
          <t> </t>
        </is>
      </c>
      <c r="X114" s="391" t="inlineStr">
        <is>
          <t> </t>
        </is>
      </c>
      <c r="Y114" s="392" t="inlineStr">
        <is>
          <t> </t>
        </is>
      </c>
      <c r="Z114" s="391" t="inlineStr">
        <is>
          <t> </t>
        </is>
      </c>
      <c r="AA114" s="391" t="inlineStr">
        <is>
          <t> </t>
        </is>
      </c>
      <c r="AB114" s="391" t="inlineStr">
        <is>
          <t> </t>
        </is>
      </c>
      <c r="AC114" s="391" t="inlineStr">
        <is>
          <t> </t>
        </is>
      </c>
      <c r="AD114" s="391" t="inlineStr">
        <is>
          <t> </t>
        </is>
      </c>
      <c r="AE114" s="391" t="inlineStr">
        <is>
          <t> </t>
        </is>
      </c>
      <c r="AF114" s="38" t="inlineStr">
        <is>
          <t> </t>
        </is>
      </c>
      <c r="AG114" s="391" t="inlineStr">
        <is>
          <t> </t>
        </is>
      </c>
      <c r="AH114" s="391" t="n"/>
      <c r="AI114" s="391" t="inlineStr">
        <is>
          <t> </t>
        </is>
      </c>
      <c r="AJ114" s="391" t="inlineStr">
        <is>
          <t> </t>
        </is>
      </c>
      <c r="AK114" s="391" t="inlineStr">
        <is>
          <t> </t>
        </is>
      </c>
      <c r="AL114" s="391" t="inlineStr">
        <is>
          <t> </t>
        </is>
      </c>
      <c r="AM114" s="391" t="inlineStr">
        <is>
          <t> </t>
        </is>
      </c>
      <c r="AN114" s="391" t="inlineStr">
        <is>
          <t> </t>
        </is>
      </c>
      <c r="AO114" s="391" t="n"/>
      <c r="AP114" s="319" t="n"/>
      <c r="AQ114" s="319" t="n"/>
      <c r="AR114" s="319" t="n"/>
    </row>
    <row r="115" ht="15.75" customHeight="1" s="1264">
      <c r="A115" s="319" t="inlineStr">
        <is>
          <t> </t>
        </is>
      </c>
      <c r="B115" s="319" t="inlineStr">
        <is>
          <t> </t>
        </is>
      </c>
      <c r="C115" s="319" t="inlineStr">
        <is>
          <t> </t>
        </is>
      </c>
      <c r="D115" s="38" t="inlineStr">
        <is>
          <t> </t>
        </is>
      </c>
      <c r="E115" s="391" t="inlineStr">
        <is>
          <t> </t>
        </is>
      </c>
      <c r="F115" s="391" t="inlineStr">
        <is>
          <t> </t>
        </is>
      </c>
      <c r="G115" s="391" t="inlineStr">
        <is>
          <t> </t>
        </is>
      </c>
      <c r="H115" s="391" t="inlineStr">
        <is>
          <t> </t>
        </is>
      </c>
      <c r="I115" s="391" t="inlineStr">
        <is>
          <t> </t>
        </is>
      </c>
      <c r="J115" s="391" t="inlineStr">
        <is>
          <t> </t>
        </is>
      </c>
      <c r="K115" s="38" t="inlineStr">
        <is>
          <t> </t>
        </is>
      </c>
      <c r="L115" s="391" t="inlineStr">
        <is>
          <t> </t>
        </is>
      </c>
      <c r="M115" s="391" t="inlineStr">
        <is>
          <t> </t>
        </is>
      </c>
      <c r="N115" s="391" t="inlineStr">
        <is>
          <t> </t>
        </is>
      </c>
      <c r="O115" s="391" t="inlineStr">
        <is>
          <t> </t>
        </is>
      </c>
      <c r="P115" s="391" t="inlineStr">
        <is>
          <t> </t>
        </is>
      </c>
      <c r="Q115" s="391" t="inlineStr">
        <is>
          <t> </t>
        </is>
      </c>
      <c r="R115" s="38" t="inlineStr">
        <is>
          <t> </t>
        </is>
      </c>
      <c r="S115" s="391" t="inlineStr">
        <is>
          <t> </t>
        </is>
      </c>
      <c r="T115" s="391" t="inlineStr">
        <is>
          <t> </t>
        </is>
      </c>
      <c r="U115" s="391" t="inlineStr">
        <is>
          <t> </t>
        </is>
      </c>
      <c r="V115" s="391" t="inlineStr">
        <is>
          <t> </t>
        </is>
      </c>
      <c r="W115" s="391" t="inlineStr">
        <is>
          <t> </t>
        </is>
      </c>
      <c r="X115" s="391" t="inlineStr">
        <is>
          <t> </t>
        </is>
      </c>
      <c r="Y115" s="392" t="inlineStr">
        <is>
          <t> </t>
        </is>
      </c>
      <c r="Z115" s="391" t="inlineStr">
        <is>
          <t> </t>
        </is>
      </c>
      <c r="AA115" s="391" t="inlineStr">
        <is>
          <t> </t>
        </is>
      </c>
      <c r="AB115" s="391" t="inlineStr">
        <is>
          <t> </t>
        </is>
      </c>
      <c r="AC115" s="391" t="inlineStr">
        <is>
          <t> </t>
        </is>
      </c>
      <c r="AD115" s="391" t="inlineStr">
        <is>
          <t> </t>
        </is>
      </c>
      <c r="AE115" s="391" t="inlineStr">
        <is>
          <t> </t>
        </is>
      </c>
      <c r="AF115" s="38" t="inlineStr">
        <is>
          <t> </t>
        </is>
      </c>
      <c r="AG115" s="391" t="inlineStr">
        <is>
          <t> </t>
        </is>
      </c>
      <c r="AH115" s="391" t="n"/>
      <c r="AI115" s="391" t="inlineStr">
        <is>
          <t> </t>
        </is>
      </c>
      <c r="AJ115" s="391" t="inlineStr">
        <is>
          <t> </t>
        </is>
      </c>
      <c r="AK115" s="391" t="inlineStr">
        <is>
          <t> </t>
        </is>
      </c>
      <c r="AL115" s="391" t="inlineStr">
        <is>
          <t> </t>
        </is>
      </c>
      <c r="AM115" s="391" t="inlineStr">
        <is>
          <t> </t>
        </is>
      </c>
      <c r="AN115" s="391" t="inlineStr">
        <is>
          <t> </t>
        </is>
      </c>
      <c r="AO115" s="391" t="n"/>
      <c r="AP115" s="319" t="n"/>
      <c r="AQ115" s="319" t="n"/>
      <c r="AR115" s="319" t="n"/>
    </row>
    <row r="116" ht="15.75" customHeight="1" s="1264">
      <c r="A116" s="319" t="inlineStr">
        <is>
          <t> </t>
        </is>
      </c>
      <c r="B116" s="319" t="inlineStr">
        <is>
          <t> </t>
        </is>
      </c>
      <c r="C116" s="319" t="inlineStr">
        <is>
          <t> </t>
        </is>
      </c>
      <c r="D116" s="38" t="inlineStr">
        <is>
          <t> </t>
        </is>
      </c>
      <c r="E116" s="391" t="inlineStr">
        <is>
          <t> </t>
        </is>
      </c>
      <c r="F116" s="391" t="inlineStr">
        <is>
          <t> </t>
        </is>
      </c>
      <c r="G116" s="391" t="inlineStr">
        <is>
          <t> </t>
        </is>
      </c>
      <c r="H116" s="391" t="inlineStr">
        <is>
          <t> </t>
        </is>
      </c>
      <c r="I116" s="391" t="inlineStr">
        <is>
          <t> </t>
        </is>
      </c>
      <c r="J116" s="391" t="inlineStr">
        <is>
          <t> </t>
        </is>
      </c>
      <c r="K116" s="38" t="inlineStr">
        <is>
          <t> </t>
        </is>
      </c>
      <c r="L116" s="391" t="inlineStr">
        <is>
          <t> </t>
        </is>
      </c>
      <c r="M116" s="391" t="inlineStr">
        <is>
          <t> </t>
        </is>
      </c>
      <c r="N116" s="391" t="inlineStr">
        <is>
          <t> </t>
        </is>
      </c>
      <c r="O116" s="391" t="inlineStr">
        <is>
          <t> </t>
        </is>
      </c>
      <c r="P116" s="391" t="inlineStr">
        <is>
          <t> </t>
        </is>
      </c>
      <c r="Q116" s="391" t="inlineStr">
        <is>
          <t> </t>
        </is>
      </c>
      <c r="R116" s="38" t="inlineStr">
        <is>
          <t> </t>
        </is>
      </c>
      <c r="S116" s="391" t="inlineStr">
        <is>
          <t> </t>
        </is>
      </c>
      <c r="T116" s="391" t="inlineStr">
        <is>
          <t> </t>
        </is>
      </c>
      <c r="U116" s="391" t="inlineStr">
        <is>
          <t> </t>
        </is>
      </c>
      <c r="V116" s="391" t="inlineStr">
        <is>
          <t> </t>
        </is>
      </c>
      <c r="W116" s="391" t="inlineStr">
        <is>
          <t> </t>
        </is>
      </c>
      <c r="X116" s="391" t="inlineStr">
        <is>
          <t> </t>
        </is>
      </c>
      <c r="Y116" s="392" t="inlineStr">
        <is>
          <t> </t>
        </is>
      </c>
      <c r="Z116" s="391" t="inlineStr">
        <is>
          <t> </t>
        </is>
      </c>
      <c r="AA116" s="391" t="inlineStr">
        <is>
          <t> </t>
        </is>
      </c>
      <c r="AB116" s="391" t="inlineStr">
        <is>
          <t> </t>
        </is>
      </c>
      <c r="AC116" s="391" t="inlineStr">
        <is>
          <t> </t>
        </is>
      </c>
      <c r="AD116" s="391" t="inlineStr">
        <is>
          <t> </t>
        </is>
      </c>
      <c r="AE116" s="391" t="inlineStr">
        <is>
          <t> </t>
        </is>
      </c>
      <c r="AF116" s="38" t="inlineStr">
        <is>
          <t> </t>
        </is>
      </c>
      <c r="AG116" s="391" t="inlineStr">
        <is>
          <t> </t>
        </is>
      </c>
      <c r="AH116" s="391" t="n"/>
      <c r="AI116" s="391" t="inlineStr">
        <is>
          <t> </t>
        </is>
      </c>
      <c r="AJ116" s="391" t="inlineStr">
        <is>
          <t> </t>
        </is>
      </c>
      <c r="AK116" s="391" t="inlineStr">
        <is>
          <t> </t>
        </is>
      </c>
      <c r="AL116" s="391" t="inlineStr">
        <is>
          <t> </t>
        </is>
      </c>
      <c r="AM116" s="391" t="inlineStr">
        <is>
          <t> </t>
        </is>
      </c>
      <c r="AN116" s="391" t="inlineStr">
        <is>
          <t> </t>
        </is>
      </c>
      <c r="AO116" s="391" t="n"/>
      <c r="AP116" s="319" t="n"/>
      <c r="AQ116" s="319" t="n"/>
      <c r="AR116" s="319" t="n"/>
    </row>
    <row r="117" ht="15.75" customHeight="1" s="1264">
      <c r="A117" s="319" t="inlineStr">
        <is>
          <t> </t>
        </is>
      </c>
      <c r="B117" s="319" t="inlineStr">
        <is>
          <t> </t>
        </is>
      </c>
      <c r="C117" s="319" t="inlineStr">
        <is>
          <t> </t>
        </is>
      </c>
      <c r="D117" s="38" t="inlineStr">
        <is>
          <t> </t>
        </is>
      </c>
      <c r="E117" s="391" t="inlineStr">
        <is>
          <t> </t>
        </is>
      </c>
      <c r="F117" s="391" t="inlineStr">
        <is>
          <t> </t>
        </is>
      </c>
      <c r="G117" s="391" t="inlineStr">
        <is>
          <t> </t>
        </is>
      </c>
      <c r="H117" s="391" t="inlineStr">
        <is>
          <t> </t>
        </is>
      </c>
      <c r="I117" s="391" t="inlineStr">
        <is>
          <t> </t>
        </is>
      </c>
      <c r="J117" s="391" t="inlineStr">
        <is>
          <t> </t>
        </is>
      </c>
      <c r="K117" s="38" t="inlineStr">
        <is>
          <t> </t>
        </is>
      </c>
      <c r="L117" s="391" t="inlineStr">
        <is>
          <t> </t>
        </is>
      </c>
      <c r="M117" s="391" t="inlineStr">
        <is>
          <t> </t>
        </is>
      </c>
      <c r="N117" s="391" t="inlineStr">
        <is>
          <t> </t>
        </is>
      </c>
      <c r="O117" s="391" t="inlineStr">
        <is>
          <t> </t>
        </is>
      </c>
      <c r="P117" s="391" t="inlineStr">
        <is>
          <t> </t>
        </is>
      </c>
      <c r="Q117" s="391" t="inlineStr">
        <is>
          <t> </t>
        </is>
      </c>
      <c r="R117" s="38" t="inlineStr">
        <is>
          <t> </t>
        </is>
      </c>
      <c r="S117" s="391" t="inlineStr">
        <is>
          <t> </t>
        </is>
      </c>
      <c r="T117" s="391" t="inlineStr">
        <is>
          <t> </t>
        </is>
      </c>
      <c r="U117" s="391" t="inlineStr">
        <is>
          <t> </t>
        </is>
      </c>
      <c r="V117" s="391" t="inlineStr">
        <is>
          <t> </t>
        </is>
      </c>
      <c r="W117" s="391" t="inlineStr">
        <is>
          <t> </t>
        </is>
      </c>
      <c r="X117" s="391" t="inlineStr">
        <is>
          <t> </t>
        </is>
      </c>
      <c r="Y117" s="392" t="inlineStr">
        <is>
          <t> </t>
        </is>
      </c>
      <c r="Z117" s="391" t="inlineStr">
        <is>
          <t> </t>
        </is>
      </c>
      <c r="AA117" s="391" t="inlineStr">
        <is>
          <t> </t>
        </is>
      </c>
      <c r="AB117" s="391" t="inlineStr">
        <is>
          <t> </t>
        </is>
      </c>
      <c r="AC117" s="391" t="inlineStr">
        <is>
          <t> </t>
        </is>
      </c>
      <c r="AD117" s="391" t="inlineStr">
        <is>
          <t> </t>
        </is>
      </c>
      <c r="AE117" s="391" t="inlineStr">
        <is>
          <t> </t>
        </is>
      </c>
      <c r="AF117" s="38" t="inlineStr">
        <is>
          <t> </t>
        </is>
      </c>
      <c r="AG117" s="391" t="inlineStr">
        <is>
          <t> </t>
        </is>
      </c>
      <c r="AH117" s="391" t="n"/>
      <c r="AI117" s="391" t="inlineStr">
        <is>
          <t> </t>
        </is>
      </c>
      <c r="AJ117" s="391" t="inlineStr">
        <is>
          <t> </t>
        </is>
      </c>
      <c r="AK117" s="391" t="inlineStr">
        <is>
          <t> </t>
        </is>
      </c>
      <c r="AL117" s="391" t="inlineStr">
        <is>
          <t> </t>
        </is>
      </c>
      <c r="AM117" s="391" t="inlineStr">
        <is>
          <t> </t>
        </is>
      </c>
      <c r="AN117" s="391" t="inlineStr">
        <is>
          <t> </t>
        </is>
      </c>
      <c r="AO117" s="391" t="n"/>
      <c r="AP117" s="319" t="n"/>
      <c r="AQ117" s="319" t="n"/>
      <c r="AR117" s="319" t="n"/>
    </row>
    <row r="118" ht="15.75" customHeight="1" s="1264">
      <c r="A118" s="319" t="inlineStr">
        <is>
          <t> </t>
        </is>
      </c>
      <c r="B118" s="319" t="inlineStr">
        <is>
          <t> </t>
        </is>
      </c>
      <c r="C118" s="319" t="inlineStr">
        <is>
          <t> </t>
        </is>
      </c>
      <c r="D118" s="38" t="inlineStr">
        <is>
          <t> </t>
        </is>
      </c>
      <c r="E118" s="391" t="inlineStr">
        <is>
          <t> </t>
        </is>
      </c>
      <c r="F118" s="391" t="inlineStr">
        <is>
          <t> </t>
        </is>
      </c>
      <c r="G118" s="391" t="inlineStr">
        <is>
          <t> </t>
        </is>
      </c>
      <c r="H118" s="391" t="inlineStr">
        <is>
          <t> </t>
        </is>
      </c>
      <c r="I118" s="391" t="inlineStr">
        <is>
          <t> </t>
        </is>
      </c>
      <c r="J118" s="391" t="inlineStr">
        <is>
          <t> </t>
        </is>
      </c>
      <c r="K118" s="38" t="inlineStr">
        <is>
          <t> </t>
        </is>
      </c>
      <c r="L118" s="391" t="inlineStr">
        <is>
          <t> </t>
        </is>
      </c>
      <c r="M118" s="391" t="inlineStr">
        <is>
          <t> </t>
        </is>
      </c>
      <c r="N118" s="391" t="inlineStr">
        <is>
          <t> </t>
        </is>
      </c>
      <c r="O118" s="391" t="inlineStr">
        <is>
          <t> </t>
        </is>
      </c>
      <c r="P118" s="391" t="inlineStr">
        <is>
          <t> </t>
        </is>
      </c>
      <c r="Q118" s="391" t="inlineStr">
        <is>
          <t> </t>
        </is>
      </c>
      <c r="R118" s="38" t="inlineStr">
        <is>
          <t> </t>
        </is>
      </c>
      <c r="S118" s="391" t="inlineStr">
        <is>
          <t> </t>
        </is>
      </c>
      <c r="T118" s="391" t="inlineStr">
        <is>
          <t> </t>
        </is>
      </c>
      <c r="U118" s="391" t="inlineStr">
        <is>
          <t> </t>
        </is>
      </c>
      <c r="V118" s="391" t="inlineStr">
        <is>
          <t> </t>
        </is>
      </c>
      <c r="W118" s="391" t="inlineStr">
        <is>
          <t> </t>
        </is>
      </c>
      <c r="X118" s="391" t="inlineStr">
        <is>
          <t> </t>
        </is>
      </c>
      <c r="Y118" s="392" t="inlineStr">
        <is>
          <t> </t>
        </is>
      </c>
      <c r="Z118" s="391" t="inlineStr">
        <is>
          <t> </t>
        </is>
      </c>
      <c r="AA118" s="391" t="inlineStr">
        <is>
          <t> </t>
        </is>
      </c>
      <c r="AB118" s="391" t="inlineStr">
        <is>
          <t> </t>
        </is>
      </c>
      <c r="AC118" s="391" t="inlineStr">
        <is>
          <t> </t>
        </is>
      </c>
      <c r="AD118" s="391" t="inlineStr">
        <is>
          <t> </t>
        </is>
      </c>
      <c r="AE118" s="391" t="inlineStr">
        <is>
          <t> </t>
        </is>
      </c>
      <c r="AF118" s="38" t="inlineStr">
        <is>
          <t> </t>
        </is>
      </c>
      <c r="AG118" s="391" t="inlineStr">
        <is>
          <t> </t>
        </is>
      </c>
      <c r="AH118" s="391" t="n"/>
      <c r="AI118" s="391" t="inlineStr">
        <is>
          <t> </t>
        </is>
      </c>
      <c r="AJ118" s="391" t="inlineStr">
        <is>
          <t> </t>
        </is>
      </c>
      <c r="AK118" s="391" t="inlineStr">
        <is>
          <t> </t>
        </is>
      </c>
      <c r="AL118" s="391" t="inlineStr">
        <is>
          <t> </t>
        </is>
      </c>
      <c r="AM118" s="391" t="inlineStr">
        <is>
          <t> </t>
        </is>
      </c>
      <c r="AN118" s="391" t="inlineStr">
        <is>
          <t> </t>
        </is>
      </c>
      <c r="AO118" s="391" t="n"/>
      <c r="AP118" s="319" t="n"/>
      <c r="AQ118" s="319" t="n"/>
      <c r="AR118" s="319" t="n"/>
    </row>
    <row r="119" ht="15.75" customHeight="1" s="1264">
      <c r="A119" s="319" t="inlineStr">
        <is>
          <t> </t>
        </is>
      </c>
      <c r="B119" s="319" t="inlineStr">
        <is>
          <t> </t>
        </is>
      </c>
      <c r="C119" s="319" t="inlineStr">
        <is>
          <t> </t>
        </is>
      </c>
      <c r="D119" s="38" t="inlineStr">
        <is>
          <t> </t>
        </is>
      </c>
      <c r="E119" s="391" t="inlineStr">
        <is>
          <t> </t>
        </is>
      </c>
      <c r="F119" s="391" t="inlineStr">
        <is>
          <t> </t>
        </is>
      </c>
      <c r="G119" s="391" t="inlineStr">
        <is>
          <t> </t>
        </is>
      </c>
      <c r="H119" s="391" t="inlineStr">
        <is>
          <t> </t>
        </is>
      </c>
      <c r="I119" s="391" t="inlineStr">
        <is>
          <t> </t>
        </is>
      </c>
      <c r="J119" s="391" t="inlineStr">
        <is>
          <t> </t>
        </is>
      </c>
      <c r="K119" s="38" t="inlineStr">
        <is>
          <t> </t>
        </is>
      </c>
      <c r="L119" s="391" t="inlineStr">
        <is>
          <t> </t>
        </is>
      </c>
      <c r="M119" s="391" t="inlineStr">
        <is>
          <t> </t>
        </is>
      </c>
      <c r="N119" s="391" t="inlineStr">
        <is>
          <t> </t>
        </is>
      </c>
      <c r="O119" s="391" t="inlineStr">
        <is>
          <t> </t>
        </is>
      </c>
      <c r="P119" s="391" t="inlineStr">
        <is>
          <t> </t>
        </is>
      </c>
      <c r="Q119" s="391" t="inlineStr">
        <is>
          <t> </t>
        </is>
      </c>
      <c r="R119" s="38" t="inlineStr">
        <is>
          <t> </t>
        </is>
      </c>
      <c r="S119" s="391" t="inlineStr">
        <is>
          <t> </t>
        </is>
      </c>
      <c r="T119" s="391" t="inlineStr">
        <is>
          <t> </t>
        </is>
      </c>
      <c r="U119" s="391" t="inlineStr">
        <is>
          <t> </t>
        </is>
      </c>
      <c r="V119" s="391" t="inlineStr">
        <is>
          <t> </t>
        </is>
      </c>
      <c r="W119" s="391" t="inlineStr">
        <is>
          <t> </t>
        </is>
      </c>
      <c r="X119" s="391" t="inlineStr">
        <is>
          <t> </t>
        </is>
      </c>
      <c r="Y119" s="392" t="inlineStr">
        <is>
          <t> </t>
        </is>
      </c>
      <c r="Z119" s="391" t="inlineStr">
        <is>
          <t> </t>
        </is>
      </c>
      <c r="AA119" s="391" t="inlineStr">
        <is>
          <t> </t>
        </is>
      </c>
      <c r="AB119" s="391" t="inlineStr">
        <is>
          <t> </t>
        </is>
      </c>
      <c r="AC119" s="391" t="inlineStr">
        <is>
          <t> </t>
        </is>
      </c>
      <c r="AD119" s="391" t="inlineStr">
        <is>
          <t> </t>
        </is>
      </c>
      <c r="AE119" s="391" t="inlineStr">
        <is>
          <t> </t>
        </is>
      </c>
      <c r="AF119" s="38" t="inlineStr">
        <is>
          <t> </t>
        </is>
      </c>
      <c r="AG119" s="391" t="inlineStr">
        <is>
          <t> </t>
        </is>
      </c>
      <c r="AH119" s="391" t="n"/>
      <c r="AI119" s="391" t="inlineStr">
        <is>
          <t> </t>
        </is>
      </c>
      <c r="AJ119" s="391" t="inlineStr">
        <is>
          <t> </t>
        </is>
      </c>
      <c r="AK119" s="391" t="inlineStr">
        <is>
          <t> </t>
        </is>
      </c>
      <c r="AL119" s="391" t="inlineStr">
        <is>
          <t> </t>
        </is>
      </c>
      <c r="AM119" s="391" t="inlineStr">
        <is>
          <t> </t>
        </is>
      </c>
      <c r="AN119" s="391" t="inlineStr">
        <is>
          <t> </t>
        </is>
      </c>
      <c r="AO119" s="391" t="n"/>
      <c r="AP119" s="319" t="n"/>
      <c r="AQ119" s="319" t="n"/>
      <c r="AR119" s="319" t="n"/>
    </row>
    <row r="120" ht="15.75" customHeight="1" s="1264">
      <c r="A120" s="319" t="inlineStr">
        <is>
          <t> </t>
        </is>
      </c>
      <c r="B120" s="319" t="inlineStr">
        <is>
          <t> </t>
        </is>
      </c>
      <c r="C120" s="319" t="inlineStr">
        <is>
          <t> </t>
        </is>
      </c>
      <c r="D120" s="38" t="inlineStr">
        <is>
          <t> </t>
        </is>
      </c>
      <c r="E120" s="391" t="inlineStr">
        <is>
          <t> </t>
        </is>
      </c>
      <c r="F120" s="391" t="inlineStr">
        <is>
          <t> </t>
        </is>
      </c>
      <c r="G120" s="391" t="inlineStr">
        <is>
          <t> </t>
        </is>
      </c>
      <c r="H120" s="391" t="inlineStr">
        <is>
          <t> </t>
        </is>
      </c>
      <c r="I120" s="391" t="inlineStr">
        <is>
          <t> </t>
        </is>
      </c>
      <c r="J120" s="391" t="inlineStr">
        <is>
          <t> </t>
        </is>
      </c>
      <c r="K120" s="38" t="inlineStr">
        <is>
          <t> </t>
        </is>
      </c>
      <c r="L120" s="391" t="inlineStr">
        <is>
          <t> </t>
        </is>
      </c>
      <c r="M120" s="391" t="inlineStr">
        <is>
          <t> </t>
        </is>
      </c>
      <c r="N120" s="391" t="inlineStr">
        <is>
          <t> </t>
        </is>
      </c>
      <c r="O120" s="391" t="inlineStr">
        <is>
          <t> </t>
        </is>
      </c>
      <c r="P120" s="391" t="inlineStr">
        <is>
          <t> </t>
        </is>
      </c>
      <c r="Q120" s="391" t="inlineStr">
        <is>
          <t> </t>
        </is>
      </c>
      <c r="R120" s="38" t="inlineStr">
        <is>
          <t> </t>
        </is>
      </c>
      <c r="S120" s="391" t="inlineStr">
        <is>
          <t> </t>
        </is>
      </c>
      <c r="T120" s="391" t="inlineStr">
        <is>
          <t> </t>
        </is>
      </c>
      <c r="U120" s="391" t="inlineStr">
        <is>
          <t> </t>
        </is>
      </c>
      <c r="V120" s="391" t="inlineStr">
        <is>
          <t> </t>
        </is>
      </c>
      <c r="W120" s="391" t="inlineStr">
        <is>
          <t> </t>
        </is>
      </c>
      <c r="X120" s="391" t="inlineStr">
        <is>
          <t> </t>
        </is>
      </c>
      <c r="Y120" s="392" t="inlineStr">
        <is>
          <t> </t>
        </is>
      </c>
      <c r="Z120" s="391" t="inlineStr">
        <is>
          <t> </t>
        </is>
      </c>
      <c r="AA120" s="391" t="inlineStr">
        <is>
          <t> </t>
        </is>
      </c>
      <c r="AB120" s="391" t="inlineStr">
        <is>
          <t> </t>
        </is>
      </c>
      <c r="AC120" s="391" t="inlineStr">
        <is>
          <t> </t>
        </is>
      </c>
      <c r="AD120" s="391" t="inlineStr">
        <is>
          <t> </t>
        </is>
      </c>
      <c r="AE120" s="391" t="inlineStr">
        <is>
          <t> </t>
        </is>
      </c>
      <c r="AF120" s="38" t="inlineStr">
        <is>
          <t> </t>
        </is>
      </c>
      <c r="AG120" s="391" t="inlineStr">
        <is>
          <t> </t>
        </is>
      </c>
      <c r="AH120" s="391" t="n"/>
      <c r="AI120" s="391" t="inlineStr">
        <is>
          <t> </t>
        </is>
      </c>
      <c r="AJ120" s="391" t="inlineStr">
        <is>
          <t> </t>
        </is>
      </c>
      <c r="AK120" s="391" t="inlineStr">
        <is>
          <t> </t>
        </is>
      </c>
      <c r="AL120" s="391" t="inlineStr">
        <is>
          <t> </t>
        </is>
      </c>
      <c r="AM120" s="391" t="inlineStr">
        <is>
          <t> </t>
        </is>
      </c>
      <c r="AN120" s="391" t="inlineStr">
        <is>
          <t> </t>
        </is>
      </c>
      <c r="AO120" s="391" t="n"/>
      <c r="AP120" s="319" t="n"/>
      <c r="AQ120" s="319" t="n"/>
      <c r="AR120" s="319" t="n"/>
    </row>
    <row r="121" ht="15.75" customHeight="1" s="1264">
      <c r="A121" s="319" t="inlineStr">
        <is>
          <t> </t>
        </is>
      </c>
      <c r="B121" s="319" t="inlineStr">
        <is>
          <t> </t>
        </is>
      </c>
      <c r="C121" s="319" t="inlineStr">
        <is>
          <t> </t>
        </is>
      </c>
      <c r="D121" s="38" t="inlineStr">
        <is>
          <t> </t>
        </is>
      </c>
      <c r="E121" s="391" t="inlineStr">
        <is>
          <t> </t>
        </is>
      </c>
      <c r="F121" s="391" t="inlineStr">
        <is>
          <t> </t>
        </is>
      </c>
      <c r="G121" s="391" t="inlineStr">
        <is>
          <t> </t>
        </is>
      </c>
      <c r="H121" s="391" t="inlineStr">
        <is>
          <t> </t>
        </is>
      </c>
      <c r="I121" s="391" t="inlineStr">
        <is>
          <t> </t>
        </is>
      </c>
      <c r="J121" s="391" t="inlineStr">
        <is>
          <t> </t>
        </is>
      </c>
      <c r="K121" s="38" t="inlineStr">
        <is>
          <t> </t>
        </is>
      </c>
      <c r="L121" s="391" t="inlineStr">
        <is>
          <t> </t>
        </is>
      </c>
      <c r="M121" s="391" t="inlineStr">
        <is>
          <t> </t>
        </is>
      </c>
      <c r="N121" s="391" t="inlineStr">
        <is>
          <t> </t>
        </is>
      </c>
      <c r="O121" s="391" t="inlineStr">
        <is>
          <t> </t>
        </is>
      </c>
      <c r="P121" s="391" t="inlineStr">
        <is>
          <t> </t>
        </is>
      </c>
      <c r="Q121" s="391" t="inlineStr">
        <is>
          <t> </t>
        </is>
      </c>
      <c r="R121" s="38" t="inlineStr">
        <is>
          <t> </t>
        </is>
      </c>
      <c r="S121" s="391" t="inlineStr">
        <is>
          <t> </t>
        </is>
      </c>
      <c r="T121" s="391" t="inlineStr">
        <is>
          <t> </t>
        </is>
      </c>
      <c r="U121" s="391" t="inlineStr">
        <is>
          <t> </t>
        </is>
      </c>
      <c r="V121" s="391" t="inlineStr">
        <is>
          <t> </t>
        </is>
      </c>
      <c r="W121" s="391" t="inlineStr">
        <is>
          <t> </t>
        </is>
      </c>
      <c r="X121" s="391" t="inlineStr">
        <is>
          <t> </t>
        </is>
      </c>
      <c r="Y121" s="392" t="inlineStr">
        <is>
          <t> </t>
        </is>
      </c>
      <c r="Z121" s="391" t="inlineStr">
        <is>
          <t> </t>
        </is>
      </c>
      <c r="AA121" s="391" t="inlineStr">
        <is>
          <t> </t>
        </is>
      </c>
      <c r="AB121" s="391" t="inlineStr">
        <is>
          <t> </t>
        </is>
      </c>
      <c r="AC121" s="391" t="inlineStr">
        <is>
          <t> </t>
        </is>
      </c>
      <c r="AD121" s="391" t="inlineStr">
        <is>
          <t> </t>
        </is>
      </c>
      <c r="AE121" s="391" t="inlineStr">
        <is>
          <t> </t>
        </is>
      </c>
      <c r="AF121" s="38" t="inlineStr">
        <is>
          <t> </t>
        </is>
      </c>
      <c r="AG121" s="391" t="inlineStr">
        <is>
          <t> </t>
        </is>
      </c>
      <c r="AH121" s="391" t="n"/>
      <c r="AI121" s="391" t="inlineStr">
        <is>
          <t> </t>
        </is>
      </c>
      <c r="AJ121" s="391" t="inlineStr">
        <is>
          <t> </t>
        </is>
      </c>
      <c r="AK121" s="391" t="inlineStr">
        <is>
          <t> </t>
        </is>
      </c>
      <c r="AL121" s="391" t="inlineStr">
        <is>
          <t> </t>
        </is>
      </c>
      <c r="AM121" s="391" t="inlineStr">
        <is>
          <t> </t>
        </is>
      </c>
      <c r="AN121" s="391" t="inlineStr">
        <is>
          <t> </t>
        </is>
      </c>
      <c r="AO121" s="391" t="n"/>
      <c r="AP121" s="319" t="n"/>
      <c r="AQ121" s="319" t="n"/>
      <c r="AR121" s="319" t="n"/>
    </row>
    <row r="122" ht="15.75" customHeight="1" s="1264">
      <c r="A122" s="319" t="inlineStr">
        <is>
          <t> </t>
        </is>
      </c>
      <c r="B122" s="319" t="inlineStr">
        <is>
          <t> </t>
        </is>
      </c>
      <c r="C122" s="319" t="inlineStr">
        <is>
          <t> </t>
        </is>
      </c>
      <c r="D122" s="38" t="inlineStr">
        <is>
          <t> </t>
        </is>
      </c>
      <c r="E122" s="391" t="inlineStr">
        <is>
          <t> </t>
        </is>
      </c>
      <c r="F122" s="391" t="inlineStr">
        <is>
          <t> </t>
        </is>
      </c>
      <c r="G122" s="391" t="inlineStr">
        <is>
          <t> </t>
        </is>
      </c>
      <c r="H122" s="391" t="inlineStr">
        <is>
          <t> </t>
        </is>
      </c>
      <c r="I122" s="391" t="inlineStr">
        <is>
          <t> </t>
        </is>
      </c>
      <c r="J122" s="391" t="inlineStr">
        <is>
          <t> </t>
        </is>
      </c>
      <c r="K122" s="38" t="inlineStr">
        <is>
          <t> </t>
        </is>
      </c>
      <c r="L122" s="391" t="inlineStr">
        <is>
          <t> </t>
        </is>
      </c>
      <c r="M122" s="391" t="inlineStr">
        <is>
          <t> </t>
        </is>
      </c>
      <c r="N122" s="391" t="inlineStr">
        <is>
          <t> </t>
        </is>
      </c>
      <c r="O122" s="391" t="inlineStr">
        <is>
          <t> </t>
        </is>
      </c>
      <c r="P122" s="391" t="inlineStr">
        <is>
          <t> </t>
        </is>
      </c>
      <c r="Q122" s="391" t="inlineStr">
        <is>
          <t> </t>
        </is>
      </c>
      <c r="R122" s="38" t="inlineStr">
        <is>
          <t> </t>
        </is>
      </c>
      <c r="S122" s="391" t="inlineStr">
        <is>
          <t> </t>
        </is>
      </c>
      <c r="T122" s="391" t="inlineStr">
        <is>
          <t> </t>
        </is>
      </c>
      <c r="U122" s="391" t="inlineStr">
        <is>
          <t> </t>
        </is>
      </c>
      <c r="V122" s="391" t="inlineStr">
        <is>
          <t> </t>
        </is>
      </c>
      <c r="W122" s="391" t="inlineStr">
        <is>
          <t> </t>
        </is>
      </c>
      <c r="X122" s="391" t="inlineStr">
        <is>
          <t> </t>
        </is>
      </c>
      <c r="Y122" s="392" t="inlineStr">
        <is>
          <t> </t>
        </is>
      </c>
      <c r="Z122" s="391" t="inlineStr">
        <is>
          <t> </t>
        </is>
      </c>
      <c r="AA122" s="391" t="inlineStr">
        <is>
          <t> </t>
        </is>
      </c>
      <c r="AB122" s="391" t="inlineStr">
        <is>
          <t> </t>
        </is>
      </c>
      <c r="AC122" s="391" t="inlineStr">
        <is>
          <t> </t>
        </is>
      </c>
      <c r="AD122" s="391" t="inlineStr">
        <is>
          <t> </t>
        </is>
      </c>
      <c r="AE122" s="391" t="inlineStr">
        <is>
          <t> </t>
        </is>
      </c>
      <c r="AF122" s="38" t="inlineStr">
        <is>
          <t> </t>
        </is>
      </c>
      <c r="AG122" s="391" t="inlineStr">
        <is>
          <t> </t>
        </is>
      </c>
      <c r="AH122" s="391" t="n"/>
      <c r="AI122" s="391" t="inlineStr">
        <is>
          <t> </t>
        </is>
      </c>
      <c r="AJ122" s="391" t="inlineStr">
        <is>
          <t> </t>
        </is>
      </c>
      <c r="AK122" s="391" t="inlineStr">
        <is>
          <t> </t>
        </is>
      </c>
      <c r="AL122" s="391" t="inlineStr">
        <is>
          <t> </t>
        </is>
      </c>
      <c r="AM122" s="391" t="inlineStr">
        <is>
          <t> </t>
        </is>
      </c>
      <c r="AN122" s="391" t="inlineStr">
        <is>
          <t> </t>
        </is>
      </c>
      <c r="AO122" s="391" t="n"/>
      <c r="AP122" s="319" t="n"/>
      <c r="AQ122" s="319" t="n"/>
      <c r="AR122" s="319" t="n"/>
    </row>
    <row r="123" ht="15.75" customHeight="1" s="1264">
      <c r="A123" s="319" t="inlineStr">
        <is>
          <t> </t>
        </is>
      </c>
      <c r="B123" s="319" t="inlineStr">
        <is>
          <t> </t>
        </is>
      </c>
      <c r="C123" s="319" t="inlineStr">
        <is>
          <t> </t>
        </is>
      </c>
      <c r="D123" s="38" t="inlineStr">
        <is>
          <t> </t>
        </is>
      </c>
      <c r="E123" s="391" t="inlineStr">
        <is>
          <t> </t>
        </is>
      </c>
      <c r="F123" s="391" t="inlineStr">
        <is>
          <t> </t>
        </is>
      </c>
      <c r="G123" s="391" t="inlineStr">
        <is>
          <t> </t>
        </is>
      </c>
      <c r="H123" s="391" t="inlineStr">
        <is>
          <t> </t>
        </is>
      </c>
      <c r="I123" s="391" t="inlineStr">
        <is>
          <t> </t>
        </is>
      </c>
      <c r="J123" s="391" t="inlineStr">
        <is>
          <t> </t>
        </is>
      </c>
      <c r="K123" s="38" t="inlineStr">
        <is>
          <t> </t>
        </is>
      </c>
      <c r="L123" s="391" t="inlineStr">
        <is>
          <t> </t>
        </is>
      </c>
      <c r="M123" s="391" t="inlineStr">
        <is>
          <t> </t>
        </is>
      </c>
      <c r="N123" s="391" t="inlineStr">
        <is>
          <t> </t>
        </is>
      </c>
      <c r="O123" s="391" t="inlineStr">
        <is>
          <t> </t>
        </is>
      </c>
      <c r="P123" s="391" t="inlineStr">
        <is>
          <t> </t>
        </is>
      </c>
      <c r="Q123" s="391" t="inlineStr">
        <is>
          <t> </t>
        </is>
      </c>
      <c r="R123" s="38" t="inlineStr">
        <is>
          <t> </t>
        </is>
      </c>
      <c r="S123" s="391" t="inlineStr">
        <is>
          <t> </t>
        </is>
      </c>
      <c r="T123" s="391" t="inlineStr">
        <is>
          <t> </t>
        </is>
      </c>
      <c r="U123" s="391" t="inlineStr">
        <is>
          <t> </t>
        </is>
      </c>
      <c r="V123" s="391" t="inlineStr">
        <is>
          <t> </t>
        </is>
      </c>
      <c r="W123" s="391" t="inlineStr">
        <is>
          <t> </t>
        </is>
      </c>
      <c r="X123" s="391" t="inlineStr">
        <is>
          <t> </t>
        </is>
      </c>
      <c r="Y123" s="392" t="inlineStr">
        <is>
          <t> </t>
        </is>
      </c>
      <c r="Z123" s="391" t="inlineStr">
        <is>
          <t> </t>
        </is>
      </c>
      <c r="AA123" s="391" t="inlineStr">
        <is>
          <t> </t>
        </is>
      </c>
      <c r="AB123" s="391" t="inlineStr">
        <is>
          <t> </t>
        </is>
      </c>
      <c r="AC123" s="391" t="inlineStr">
        <is>
          <t> </t>
        </is>
      </c>
      <c r="AD123" s="391" t="inlineStr">
        <is>
          <t> </t>
        </is>
      </c>
      <c r="AE123" s="391" t="inlineStr">
        <is>
          <t> </t>
        </is>
      </c>
      <c r="AF123" s="38" t="inlineStr">
        <is>
          <t> </t>
        </is>
      </c>
      <c r="AG123" s="391" t="inlineStr">
        <is>
          <t> </t>
        </is>
      </c>
      <c r="AH123" s="391" t="n"/>
      <c r="AI123" s="391" t="inlineStr">
        <is>
          <t> </t>
        </is>
      </c>
      <c r="AJ123" s="391" t="inlineStr">
        <is>
          <t> </t>
        </is>
      </c>
      <c r="AK123" s="391" t="inlineStr">
        <is>
          <t> </t>
        </is>
      </c>
      <c r="AL123" s="391" t="inlineStr">
        <is>
          <t> </t>
        </is>
      </c>
      <c r="AM123" s="391" t="inlineStr">
        <is>
          <t> </t>
        </is>
      </c>
      <c r="AN123" s="391" t="inlineStr">
        <is>
          <t> </t>
        </is>
      </c>
      <c r="AO123" s="391" t="n"/>
      <c r="AP123" s="319" t="n"/>
      <c r="AQ123" s="319" t="n"/>
      <c r="AR123" s="319" t="n"/>
    </row>
    <row r="124" ht="15.75" customHeight="1" s="1264">
      <c r="A124" s="319" t="inlineStr">
        <is>
          <t> </t>
        </is>
      </c>
      <c r="B124" s="319" t="inlineStr">
        <is>
          <t> </t>
        </is>
      </c>
      <c r="C124" s="319" t="inlineStr">
        <is>
          <t> </t>
        </is>
      </c>
      <c r="D124" s="38" t="inlineStr">
        <is>
          <t> </t>
        </is>
      </c>
      <c r="E124" s="391" t="inlineStr">
        <is>
          <t> </t>
        </is>
      </c>
      <c r="F124" s="391" t="inlineStr">
        <is>
          <t> </t>
        </is>
      </c>
      <c r="G124" s="391" t="inlineStr">
        <is>
          <t> </t>
        </is>
      </c>
      <c r="H124" s="391" t="inlineStr">
        <is>
          <t> </t>
        </is>
      </c>
      <c r="I124" s="391" t="inlineStr">
        <is>
          <t> </t>
        </is>
      </c>
      <c r="J124" s="391" t="inlineStr">
        <is>
          <t> </t>
        </is>
      </c>
      <c r="K124" s="38" t="inlineStr">
        <is>
          <t> </t>
        </is>
      </c>
      <c r="L124" s="391" t="inlineStr">
        <is>
          <t> </t>
        </is>
      </c>
      <c r="M124" s="391" t="inlineStr">
        <is>
          <t> </t>
        </is>
      </c>
      <c r="N124" s="391" t="inlineStr">
        <is>
          <t> </t>
        </is>
      </c>
      <c r="O124" s="391" t="inlineStr">
        <is>
          <t> </t>
        </is>
      </c>
      <c r="P124" s="391" t="inlineStr">
        <is>
          <t> </t>
        </is>
      </c>
      <c r="Q124" s="391" t="inlineStr">
        <is>
          <t> </t>
        </is>
      </c>
      <c r="R124" s="38" t="inlineStr">
        <is>
          <t> </t>
        </is>
      </c>
      <c r="S124" s="391" t="inlineStr">
        <is>
          <t> </t>
        </is>
      </c>
      <c r="T124" s="391" t="inlineStr">
        <is>
          <t> </t>
        </is>
      </c>
      <c r="U124" s="391" t="inlineStr">
        <is>
          <t> </t>
        </is>
      </c>
      <c r="V124" s="391" t="inlineStr">
        <is>
          <t> </t>
        </is>
      </c>
      <c r="W124" s="391" t="inlineStr">
        <is>
          <t> </t>
        </is>
      </c>
      <c r="X124" s="391" t="inlineStr">
        <is>
          <t> </t>
        </is>
      </c>
      <c r="Y124" s="392" t="inlineStr">
        <is>
          <t> </t>
        </is>
      </c>
      <c r="Z124" s="391" t="inlineStr">
        <is>
          <t> </t>
        </is>
      </c>
      <c r="AA124" s="391" t="inlineStr">
        <is>
          <t> </t>
        </is>
      </c>
      <c r="AB124" s="391" t="inlineStr">
        <is>
          <t> </t>
        </is>
      </c>
      <c r="AC124" s="391" t="inlineStr">
        <is>
          <t> </t>
        </is>
      </c>
      <c r="AD124" s="391" t="inlineStr">
        <is>
          <t> </t>
        </is>
      </c>
      <c r="AE124" s="391" t="inlineStr">
        <is>
          <t> </t>
        </is>
      </c>
      <c r="AF124" s="38" t="inlineStr">
        <is>
          <t> </t>
        </is>
      </c>
      <c r="AG124" s="391" t="inlineStr">
        <is>
          <t> </t>
        </is>
      </c>
      <c r="AH124" s="391" t="n"/>
      <c r="AI124" s="391" t="inlineStr">
        <is>
          <t> </t>
        </is>
      </c>
      <c r="AJ124" s="391" t="inlineStr">
        <is>
          <t> </t>
        </is>
      </c>
      <c r="AK124" s="391" t="inlineStr">
        <is>
          <t> </t>
        </is>
      </c>
      <c r="AL124" s="391" t="inlineStr">
        <is>
          <t> </t>
        </is>
      </c>
      <c r="AM124" s="391" t="inlineStr">
        <is>
          <t> </t>
        </is>
      </c>
      <c r="AN124" s="391" t="inlineStr">
        <is>
          <t> </t>
        </is>
      </c>
      <c r="AO124" s="391" t="n"/>
      <c r="AP124" s="319" t="n"/>
      <c r="AQ124" s="319" t="n"/>
      <c r="AR124" s="319" t="n"/>
    </row>
    <row r="125" ht="15.75" customHeight="1" s="1264">
      <c r="A125" s="319" t="inlineStr">
        <is>
          <t> </t>
        </is>
      </c>
      <c r="B125" s="319" t="inlineStr">
        <is>
          <t> </t>
        </is>
      </c>
      <c r="C125" s="319" t="inlineStr">
        <is>
          <t> </t>
        </is>
      </c>
      <c r="D125" s="38" t="inlineStr">
        <is>
          <t> </t>
        </is>
      </c>
      <c r="E125" s="391" t="inlineStr">
        <is>
          <t> </t>
        </is>
      </c>
      <c r="F125" s="391" t="inlineStr">
        <is>
          <t> </t>
        </is>
      </c>
      <c r="G125" s="391" t="inlineStr">
        <is>
          <t> </t>
        </is>
      </c>
      <c r="H125" s="391" t="inlineStr">
        <is>
          <t> </t>
        </is>
      </c>
      <c r="I125" s="391" t="inlineStr">
        <is>
          <t> </t>
        </is>
      </c>
      <c r="J125" s="391" t="inlineStr">
        <is>
          <t> </t>
        </is>
      </c>
      <c r="K125" s="38" t="inlineStr">
        <is>
          <t> </t>
        </is>
      </c>
      <c r="L125" s="391" t="inlineStr">
        <is>
          <t> </t>
        </is>
      </c>
      <c r="M125" s="391" t="inlineStr">
        <is>
          <t> </t>
        </is>
      </c>
      <c r="N125" s="391" t="inlineStr">
        <is>
          <t> </t>
        </is>
      </c>
      <c r="O125" s="391" t="inlineStr">
        <is>
          <t> </t>
        </is>
      </c>
      <c r="P125" s="391" t="inlineStr">
        <is>
          <t> </t>
        </is>
      </c>
      <c r="Q125" s="391" t="inlineStr">
        <is>
          <t> </t>
        </is>
      </c>
      <c r="R125" s="38" t="inlineStr">
        <is>
          <t> </t>
        </is>
      </c>
      <c r="S125" s="391" t="inlineStr">
        <is>
          <t> </t>
        </is>
      </c>
      <c r="T125" s="391" t="inlineStr">
        <is>
          <t> </t>
        </is>
      </c>
      <c r="U125" s="391" t="inlineStr">
        <is>
          <t> </t>
        </is>
      </c>
      <c r="V125" s="391" t="inlineStr">
        <is>
          <t> </t>
        </is>
      </c>
      <c r="W125" s="391" t="inlineStr">
        <is>
          <t> </t>
        </is>
      </c>
      <c r="X125" s="391" t="inlineStr">
        <is>
          <t> </t>
        </is>
      </c>
      <c r="Y125" s="392" t="inlineStr">
        <is>
          <t> </t>
        </is>
      </c>
      <c r="Z125" s="391" t="inlineStr">
        <is>
          <t> </t>
        </is>
      </c>
      <c r="AA125" s="391" t="inlineStr">
        <is>
          <t> </t>
        </is>
      </c>
      <c r="AB125" s="391" t="inlineStr">
        <is>
          <t> </t>
        </is>
      </c>
      <c r="AC125" s="391" t="inlineStr">
        <is>
          <t> </t>
        </is>
      </c>
      <c r="AD125" s="391" t="inlineStr">
        <is>
          <t> </t>
        </is>
      </c>
      <c r="AE125" s="391" t="inlineStr">
        <is>
          <t> </t>
        </is>
      </c>
      <c r="AF125" s="38" t="inlineStr">
        <is>
          <t> </t>
        </is>
      </c>
      <c r="AG125" s="391" t="inlineStr">
        <is>
          <t> </t>
        </is>
      </c>
      <c r="AH125" s="391" t="n"/>
      <c r="AI125" s="391" t="inlineStr">
        <is>
          <t> </t>
        </is>
      </c>
      <c r="AJ125" s="391" t="inlineStr">
        <is>
          <t> </t>
        </is>
      </c>
      <c r="AK125" s="391" t="inlineStr">
        <is>
          <t> </t>
        </is>
      </c>
      <c r="AL125" s="391" t="inlineStr">
        <is>
          <t> </t>
        </is>
      </c>
      <c r="AM125" s="391" t="inlineStr">
        <is>
          <t> </t>
        </is>
      </c>
      <c r="AN125" s="391" t="inlineStr">
        <is>
          <t> </t>
        </is>
      </c>
      <c r="AO125" s="391" t="n"/>
      <c r="AP125" s="319" t="n"/>
      <c r="AQ125" s="319" t="n"/>
      <c r="AR125" s="319" t="n"/>
    </row>
    <row r="126" ht="15.75" customHeight="1" s="1264">
      <c r="A126" s="319" t="inlineStr">
        <is>
          <t> </t>
        </is>
      </c>
      <c r="B126" s="319" t="inlineStr">
        <is>
          <t> </t>
        </is>
      </c>
      <c r="C126" s="319" t="inlineStr">
        <is>
          <t> </t>
        </is>
      </c>
      <c r="D126" s="38" t="inlineStr">
        <is>
          <t> </t>
        </is>
      </c>
      <c r="E126" s="391" t="inlineStr">
        <is>
          <t> </t>
        </is>
      </c>
      <c r="F126" s="391" t="inlineStr">
        <is>
          <t> </t>
        </is>
      </c>
      <c r="G126" s="391" t="inlineStr">
        <is>
          <t> </t>
        </is>
      </c>
      <c r="H126" s="391" t="inlineStr">
        <is>
          <t> </t>
        </is>
      </c>
      <c r="I126" s="391" t="inlineStr">
        <is>
          <t> </t>
        </is>
      </c>
      <c r="J126" s="391" t="inlineStr">
        <is>
          <t> </t>
        </is>
      </c>
      <c r="K126" s="38" t="inlineStr">
        <is>
          <t> </t>
        </is>
      </c>
      <c r="L126" s="391" t="inlineStr">
        <is>
          <t> </t>
        </is>
      </c>
      <c r="M126" s="391" t="inlineStr">
        <is>
          <t> </t>
        </is>
      </c>
      <c r="N126" s="391" t="inlineStr">
        <is>
          <t> </t>
        </is>
      </c>
      <c r="O126" s="391" t="inlineStr">
        <is>
          <t> </t>
        </is>
      </c>
      <c r="P126" s="391" t="inlineStr">
        <is>
          <t> </t>
        </is>
      </c>
      <c r="Q126" s="391" t="inlineStr">
        <is>
          <t> </t>
        </is>
      </c>
      <c r="R126" s="38" t="inlineStr">
        <is>
          <t> </t>
        </is>
      </c>
      <c r="S126" s="391" t="inlineStr">
        <is>
          <t> </t>
        </is>
      </c>
      <c r="T126" s="391" t="inlineStr">
        <is>
          <t> </t>
        </is>
      </c>
      <c r="U126" s="391" t="inlineStr">
        <is>
          <t> </t>
        </is>
      </c>
      <c r="V126" s="391" t="inlineStr">
        <is>
          <t> </t>
        </is>
      </c>
      <c r="W126" s="391" t="inlineStr">
        <is>
          <t> </t>
        </is>
      </c>
      <c r="X126" s="391" t="inlineStr">
        <is>
          <t> </t>
        </is>
      </c>
      <c r="Y126" s="392" t="inlineStr">
        <is>
          <t> </t>
        </is>
      </c>
      <c r="Z126" s="391" t="inlineStr">
        <is>
          <t> </t>
        </is>
      </c>
      <c r="AA126" s="391" t="inlineStr">
        <is>
          <t> </t>
        </is>
      </c>
      <c r="AB126" s="391" t="inlineStr">
        <is>
          <t> </t>
        </is>
      </c>
      <c r="AC126" s="391" t="inlineStr">
        <is>
          <t> </t>
        </is>
      </c>
      <c r="AD126" s="391" t="inlineStr">
        <is>
          <t> </t>
        </is>
      </c>
      <c r="AE126" s="391" t="inlineStr">
        <is>
          <t> </t>
        </is>
      </c>
      <c r="AF126" s="38" t="inlineStr">
        <is>
          <t> </t>
        </is>
      </c>
      <c r="AG126" s="391" t="inlineStr">
        <is>
          <t> </t>
        </is>
      </c>
      <c r="AH126" s="391" t="n"/>
      <c r="AI126" s="391" t="inlineStr">
        <is>
          <t> </t>
        </is>
      </c>
      <c r="AJ126" s="391" t="inlineStr">
        <is>
          <t> </t>
        </is>
      </c>
      <c r="AK126" s="391" t="inlineStr">
        <is>
          <t> </t>
        </is>
      </c>
      <c r="AL126" s="391" t="inlineStr">
        <is>
          <t> </t>
        </is>
      </c>
      <c r="AM126" s="391" t="inlineStr">
        <is>
          <t> </t>
        </is>
      </c>
      <c r="AN126" s="391" t="inlineStr">
        <is>
          <t> </t>
        </is>
      </c>
      <c r="AO126" s="391" t="n"/>
      <c r="AP126" s="319" t="n"/>
      <c r="AQ126" s="319" t="n"/>
      <c r="AR126" s="319" t="n"/>
    </row>
    <row r="127" ht="15.75" customHeight="1" s="1264">
      <c r="A127" s="319" t="inlineStr">
        <is>
          <t> </t>
        </is>
      </c>
      <c r="B127" s="319" t="inlineStr">
        <is>
          <t> </t>
        </is>
      </c>
      <c r="C127" s="319" t="inlineStr">
        <is>
          <t> </t>
        </is>
      </c>
      <c r="D127" s="38" t="inlineStr">
        <is>
          <t> </t>
        </is>
      </c>
      <c r="E127" s="391" t="inlineStr">
        <is>
          <t> </t>
        </is>
      </c>
      <c r="F127" s="391" t="inlineStr">
        <is>
          <t> </t>
        </is>
      </c>
      <c r="G127" s="391" t="inlineStr">
        <is>
          <t> </t>
        </is>
      </c>
      <c r="H127" s="391" t="inlineStr">
        <is>
          <t> </t>
        </is>
      </c>
      <c r="I127" s="391" t="inlineStr">
        <is>
          <t> </t>
        </is>
      </c>
      <c r="J127" s="391" t="inlineStr">
        <is>
          <t> </t>
        </is>
      </c>
      <c r="K127" s="38" t="inlineStr">
        <is>
          <t> </t>
        </is>
      </c>
      <c r="L127" s="391" t="inlineStr">
        <is>
          <t> </t>
        </is>
      </c>
      <c r="M127" s="391" t="inlineStr">
        <is>
          <t> </t>
        </is>
      </c>
      <c r="N127" s="391" t="inlineStr">
        <is>
          <t> </t>
        </is>
      </c>
      <c r="O127" s="391" t="inlineStr">
        <is>
          <t> </t>
        </is>
      </c>
      <c r="P127" s="391" t="inlineStr">
        <is>
          <t> </t>
        </is>
      </c>
      <c r="Q127" s="391" t="inlineStr">
        <is>
          <t> </t>
        </is>
      </c>
      <c r="R127" s="38" t="inlineStr">
        <is>
          <t> </t>
        </is>
      </c>
      <c r="S127" s="391" t="inlineStr">
        <is>
          <t> </t>
        </is>
      </c>
      <c r="T127" s="391" t="inlineStr">
        <is>
          <t> </t>
        </is>
      </c>
      <c r="U127" s="391" t="inlineStr">
        <is>
          <t> </t>
        </is>
      </c>
      <c r="V127" s="391" t="inlineStr">
        <is>
          <t> </t>
        </is>
      </c>
      <c r="W127" s="391" t="inlineStr">
        <is>
          <t> </t>
        </is>
      </c>
      <c r="X127" s="391" t="inlineStr">
        <is>
          <t> </t>
        </is>
      </c>
      <c r="Y127" s="392" t="inlineStr">
        <is>
          <t> </t>
        </is>
      </c>
      <c r="Z127" s="391" t="inlineStr">
        <is>
          <t> </t>
        </is>
      </c>
      <c r="AA127" s="391" t="inlineStr">
        <is>
          <t> </t>
        </is>
      </c>
      <c r="AB127" s="391" t="inlineStr">
        <is>
          <t> </t>
        </is>
      </c>
      <c r="AC127" s="391" t="inlineStr">
        <is>
          <t> </t>
        </is>
      </c>
      <c r="AD127" s="391" t="inlineStr">
        <is>
          <t> </t>
        </is>
      </c>
      <c r="AE127" s="391" t="inlineStr">
        <is>
          <t> </t>
        </is>
      </c>
      <c r="AF127" s="38" t="inlineStr">
        <is>
          <t> </t>
        </is>
      </c>
      <c r="AG127" s="391" t="inlineStr">
        <is>
          <t> </t>
        </is>
      </c>
      <c r="AH127" s="391" t="n"/>
      <c r="AI127" s="391" t="inlineStr">
        <is>
          <t> </t>
        </is>
      </c>
      <c r="AJ127" s="391" t="inlineStr">
        <is>
          <t> </t>
        </is>
      </c>
      <c r="AK127" s="391" t="inlineStr">
        <is>
          <t> </t>
        </is>
      </c>
      <c r="AL127" s="391" t="inlineStr">
        <is>
          <t> </t>
        </is>
      </c>
      <c r="AM127" s="391" t="inlineStr">
        <is>
          <t> </t>
        </is>
      </c>
      <c r="AN127" s="391" t="inlineStr">
        <is>
          <t> </t>
        </is>
      </c>
      <c r="AO127" s="391" t="n"/>
      <c r="AP127" s="319" t="n"/>
      <c r="AQ127" s="319" t="n"/>
      <c r="AR127" s="319" t="n"/>
    </row>
    <row r="128" ht="15.75" customHeight="1" s="1264">
      <c r="A128" s="319" t="inlineStr">
        <is>
          <t> </t>
        </is>
      </c>
      <c r="B128" s="319" t="inlineStr">
        <is>
          <t> </t>
        </is>
      </c>
      <c r="C128" s="319" t="inlineStr">
        <is>
          <t> </t>
        </is>
      </c>
      <c r="D128" s="38" t="inlineStr">
        <is>
          <t> </t>
        </is>
      </c>
      <c r="E128" s="391" t="inlineStr">
        <is>
          <t> </t>
        </is>
      </c>
      <c r="F128" s="391" t="inlineStr">
        <is>
          <t> </t>
        </is>
      </c>
      <c r="G128" s="391" t="inlineStr">
        <is>
          <t> </t>
        </is>
      </c>
      <c r="H128" s="391" t="inlineStr">
        <is>
          <t> </t>
        </is>
      </c>
      <c r="I128" s="391" t="inlineStr">
        <is>
          <t> </t>
        </is>
      </c>
      <c r="J128" s="391" t="inlineStr">
        <is>
          <t> </t>
        </is>
      </c>
      <c r="K128" s="38" t="inlineStr">
        <is>
          <t> </t>
        </is>
      </c>
      <c r="L128" s="391" t="inlineStr">
        <is>
          <t> </t>
        </is>
      </c>
      <c r="M128" s="391" t="inlineStr">
        <is>
          <t> </t>
        </is>
      </c>
      <c r="N128" s="391" t="inlineStr">
        <is>
          <t> </t>
        </is>
      </c>
      <c r="O128" s="391" t="inlineStr">
        <is>
          <t> </t>
        </is>
      </c>
      <c r="P128" s="391" t="inlineStr">
        <is>
          <t> </t>
        </is>
      </c>
      <c r="Q128" s="391" t="inlineStr">
        <is>
          <t> </t>
        </is>
      </c>
      <c r="R128" s="38" t="inlineStr">
        <is>
          <t> </t>
        </is>
      </c>
      <c r="S128" s="391" t="inlineStr">
        <is>
          <t> </t>
        </is>
      </c>
      <c r="T128" s="391" t="inlineStr">
        <is>
          <t> </t>
        </is>
      </c>
      <c r="U128" s="391" t="inlineStr">
        <is>
          <t> </t>
        </is>
      </c>
      <c r="V128" s="391" t="inlineStr">
        <is>
          <t> </t>
        </is>
      </c>
      <c r="W128" s="391" t="inlineStr">
        <is>
          <t> </t>
        </is>
      </c>
      <c r="X128" s="391" t="inlineStr">
        <is>
          <t> </t>
        </is>
      </c>
      <c r="Y128" s="392" t="inlineStr">
        <is>
          <t> </t>
        </is>
      </c>
      <c r="Z128" s="391" t="inlineStr">
        <is>
          <t> </t>
        </is>
      </c>
      <c r="AA128" s="391" t="inlineStr">
        <is>
          <t> </t>
        </is>
      </c>
      <c r="AB128" s="391" t="inlineStr">
        <is>
          <t> </t>
        </is>
      </c>
      <c r="AC128" s="391" t="inlineStr">
        <is>
          <t> </t>
        </is>
      </c>
      <c r="AD128" s="391" t="inlineStr">
        <is>
          <t> </t>
        </is>
      </c>
      <c r="AE128" s="391" t="inlineStr">
        <is>
          <t> </t>
        </is>
      </c>
      <c r="AF128" s="38" t="inlineStr">
        <is>
          <t> </t>
        </is>
      </c>
      <c r="AG128" s="391" t="inlineStr">
        <is>
          <t> </t>
        </is>
      </c>
      <c r="AH128" s="391" t="n"/>
      <c r="AI128" s="391" t="inlineStr">
        <is>
          <t> </t>
        </is>
      </c>
      <c r="AJ128" s="391" t="inlineStr">
        <is>
          <t> </t>
        </is>
      </c>
      <c r="AK128" s="391" t="inlineStr">
        <is>
          <t> </t>
        </is>
      </c>
      <c r="AL128" s="391" t="inlineStr">
        <is>
          <t> </t>
        </is>
      </c>
      <c r="AM128" s="391" t="inlineStr">
        <is>
          <t> </t>
        </is>
      </c>
      <c r="AN128" s="391" t="inlineStr">
        <is>
          <t> </t>
        </is>
      </c>
      <c r="AO128" s="391" t="n"/>
      <c r="AP128" s="319" t="n"/>
      <c r="AQ128" s="319" t="n"/>
      <c r="AR128" s="319" t="n"/>
    </row>
    <row r="129" ht="15.75" customHeight="1" s="1264">
      <c r="A129" s="319" t="inlineStr">
        <is>
          <t> </t>
        </is>
      </c>
      <c r="B129" s="319" t="inlineStr">
        <is>
          <t> </t>
        </is>
      </c>
      <c r="C129" s="319" t="inlineStr">
        <is>
          <t> </t>
        </is>
      </c>
      <c r="D129" s="38" t="inlineStr">
        <is>
          <t> </t>
        </is>
      </c>
      <c r="E129" s="391" t="inlineStr">
        <is>
          <t> </t>
        </is>
      </c>
      <c r="F129" s="391" t="inlineStr">
        <is>
          <t> </t>
        </is>
      </c>
      <c r="G129" s="391" t="inlineStr">
        <is>
          <t> </t>
        </is>
      </c>
      <c r="H129" s="391" t="inlineStr">
        <is>
          <t> </t>
        </is>
      </c>
      <c r="I129" s="391" t="inlineStr">
        <is>
          <t> </t>
        </is>
      </c>
      <c r="J129" s="391" t="inlineStr">
        <is>
          <t> </t>
        </is>
      </c>
      <c r="K129" s="38" t="inlineStr">
        <is>
          <t> </t>
        </is>
      </c>
      <c r="L129" s="391" t="inlineStr">
        <is>
          <t> </t>
        </is>
      </c>
      <c r="M129" s="391" t="inlineStr">
        <is>
          <t> </t>
        </is>
      </c>
      <c r="N129" s="391" t="inlineStr">
        <is>
          <t> </t>
        </is>
      </c>
      <c r="O129" s="391" t="inlineStr">
        <is>
          <t> </t>
        </is>
      </c>
      <c r="P129" s="391" t="inlineStr">
        <is>
          <t> </t>
        </is>
      </c>
      <c r="Q129" s="391" t="inlineStr">
        <is>
          <t> </t>
        </is>
      </c>
      <c r="R129" s="38" t="inlineStr">
        <is>
          <t> </t>
        </is>
      </c>
      <c r="S129" s="391" t="inlineStr">
        <is>
          <t> </t>
        </is>
      </c>
      <c r="T129" s="391" t="inlineStr">
        <is>
          <t> </t>
        </is>
      </c>
      <c r="U129" s="391" t="inlineStr">
        <is>
          <t> </t>
        </is>
      </c>
      <c r="V129" s="391" t="inlineStr">
        <is>
          <t> </t>
        </is>
      </c>
      <c r="W129" s="391" t="inlineStr">
        <is>
          <t> </t>
        </is>
      </c>
      <c r="X129" s="391" t="inlineStr">
        <is>
          <t> </t>
        </is>
      </c>
      <c r="Y129" s="392" t="inlineStr">
        <is>
          <t> </t>
        </is>
      </c>
      <c r="Z129" s="391" t="inlineStr">
        <is>
          <t> </t>
        </is>
      </c>
      <c r="AA129" s="391" t="inlineStr">
        <is>
          <t> </t>
        </is>
      </c>
      <c r="AB129" s="391" t="inlineStr">
        <is>
          <t> </t>
        </is>
      </c>
      <c r="AC129" s="391" t="inlineStr">
        <is>
          <t> </t>
        </is>
      </c>
      <c r="AD129" s="391" t="inlineStr">
        <is>
          <t> </t>
        </is>
      </c>
      <c r="AE129" s="391" t="inlineStr">
        <is>
          <t> </t>
        </is>
      </c>
      <c r="AF129" s="38" t="inlineStr">
        <is>
          <t> </t>
        </is>
      </c>
      <c r="AG129" s="391" t="inlineStr">
        <is>
          <t> </t>
        </is>
      </c>
      <c r="AH129" s="391" t="n"/>
      <c r="AI129" s="391" t="inlineStr">
        <is>
          <t> </t>
        </is>
      </c>
      <c r="AJ129" s="391" t="inlineStr">
        <is>
          <t> </t>
        </is>
      </c>
      <c r="AK129" s="391" t="inlineStr">
        <is>
          <t> </t>
        </is>
      </c>
      <c r="AL129" s="391" t="inlineStr">
        <is>
          <t> </t>
        </is>
      </c>
      <c r="AM129" s="391" t="inlineStr">
        <is>
          <t> </t>
        </is>
      </c>
      <c r="AN129" s="391" t="inlineStr">
        <is>
          <t> </t>
        </is>
      </c>
      <c r="AO129" s="391" t="n"/>
      <c r="AP129" s="319" t="n"/>
      <c r="AQ129" s="319" t="n"/>
      <c r="AR129" s="319" t="n"/>
    </row>
    <row r="130" ht="15.75" customHeight="1" s="1264">
      <c r="A130" s="319" t="inlineStr">
        <is>
          <t> </t>
        </is>
      </c>
      <c r="B130" s="319" t="inlineStr">
        <is>
          <t> </t>
        </is>
      </c>
      <c r="C130" s="319" t="inlineStr">
        <is>
          <t> </t>
        </is>
      </c>
      <c r="D130" s="38" t="inlineStr">
        <is>
          <t> </t>
        </is>
      </c>
      <c r="E130" s="391" t="inlineStr">
        <is>
          <t> </t>
        </is>
      </c>
      <c r="F130" s="391" t="inlineStr">
        <is>
          <t> </t>
        </is>
      </c>
      <c r="G130" s="391" t="inlineStr">
        <is>
          <t> </t>
        </is>
      </c>
      <c r="H130" s="391" t="inlineStr">
        <is>
          <t> </t>
        </is>
      </c>
      <c r="I130" s="391" t="inlineStr">
        <is>
          <t> </t>
        </is>
      </c>
      <c r="J130" s="391" t="inlineStr">
        <is>
          <t> </t>
        </is>
      </c>
      <c r="K130" s="38" t="inlineStr">
        <is>
          <t> </t>
        </is>
      </c>
      <c r="L130" s="391" t="inlineStr">
        <is>
          <t> </t>
        </is>
      </c>
      <c r="M130" s="391" t="inlineStr">
        <is>
          <t> </t>
        </is>
      </c>
      <c r="N130" s="391" t="inlineStr">
        <is>
          <t> </t>
        </is>
      </c>
      <c r="O130" s="391" t="inlineStr">
        <is>
          <t> </t>
        </is>
      </c>
      <c r="P130" s="391" t="inlineStr">
        <is>
          <t> </t>
        </is>
      </c>
      <c r="Q130" s="391" t="inlineStr">
        <is>
          <t> </t>
        </is>
      </c>
      <c r="R130" s="38" t="inlineStr">
        <is>
          <t> </t>
        </is>
      </c>
      <c r="S130" s="391" t="inlineStr">
        <is>
          <t> </t>
        </is>
      </c>
      <c r="T130" s="391" t="inlineStr">
        <is>
          <t> </t>
        </is>
      </c>
      <c r="U130" s="391" t="inlineStr">
        <is>
          <t> </t>
        </is>
      </c>
      <c r="V130" s="391" t="inlineStr">
        <is>
          <t> </t>
        </is>
      </c>
      <c r="W130" s="391" t="inlineStr">
        <is>
          <t> </t>
        </is>
      </c>
      <c r="X130" s="391" t="inlineStr">
        <is>
          <t> </t>
        </is>
      </c>
      <c r="Y130" s="392" t="inlineStr">
        <is>
          <t> </t>
        </is>
      </c>
      <c r="Z130" s="391" t="inlineStr">
        <is>
          <t> </t>
        </is>
      </c>
      <c r="AA130" s="391" t="inlineStr">
        <is>
          <t> </t>
        </is>
      </c>
      <c r="AB130" s="391" t="inlineStr">
        <is>
          <t> </t>
        </is>
      </c>
      <c r="AC130" s="391" t="inlineStr">
        <is>
          <t> </t>
        </is>
      </c>
      <c r="AD130" s="391" t="inlineStr">
        <is>
          <t> </t>
        </is>
      </c>
      <c r="AE130" s="391" t="inlineStr">
        <is>
          <t> </t>
        </is>
      </c>
      <c r="AF130" s="38" t="inlineStr">
        <is>
          <t> </t>
        </is>
      </c>
      <c r="AG130" s="391" t="inlineStr">
        <is>
          <t> </t>
        </is>
      </c>
      <c r="AH130" s="391" t="n"/>
      <c r="AI130" s="391" t="inlineStr">
        <is>
          <t> </t>
        </is>
      </c>
      <c r="AJ130" s="391" t="inlineStr">
        <is>
          <t> </t>
        </is>
      </c>
      <c r="AK130" s="391" t="inlineStr">
        <is>
          <t> </t>
        </is>
      </c>
      <c r="AL130" s="391" t="inlineStr">
        <is>
          <t> </t>
        </is>
      </c>
      <c r="AM130" s="391" t="inlineStr">
        <is>
          <t> </t>
        </is>
      </c>
      <c r="AN130" s="391" t="inlineStr">
        <is>
          <t> </t>
        </is>
      </c>
      <c r="AO130" s="391" t="n"/>
      <c r="AP130" s="319" t="n"/>
      <c r="AQ130" s="319" t="n"/>
      <c r="AR130" s="319" t="n"/>
    </row>
    <row r="131" ht="15.75" customHeight="1" s="1264">
      <c r="A131" s="319" t="inlineStr">
        <is>
          <t> </t>
        </is>
      </c>
      <c r="B131" s="319" t="inlineStr">
        <is>
          <t> </t>
        </is>
      </c>
      <c r="C131" s="319" t="inlineStr">
        <is>
          <t> </t>
        </is>
      </c>
      <c r="D131" s="38" t="inlineStr">
        <is>
          <t> </t>
        </is>
      </c>
      <c r="E131" s="391" t="inlineStr">
        <is>
          <t> </t>
        </is>
      </c>
      <c r="F131" s="391" t="inlineStr">
        <is>
          <t> </t>
        </is>
      </c>
      <c r="G131" s="391" t="inlineStr">
        <is>
          <t> </t>
        </is>
      </c>
      <c r="H131" s="391" t="inlineStr">
        <is>
          <t> </t>
        </is>
      </c>
      <c r="I131" s="391" t="inlineStr">
        <is>
          <t> </t>
        </is>
      </c>
      <c r="J131" s="391" t="inlineStr">
        <is>
          <t> </t>
        </is>
      </c>
      <c r="K131" s="38" t="inlineStr">
        <is>
          <t> </t>
        </is>
      </c>
      <c r="L131" s="391" t="inlineStr">
        <is>
          <t> </t>
        </is>
      </c>
      <c r="M131" s="391" t="inlineStr">
        <is>
          <t> </t>
        </is>
      </c>
      <c r="N131" s="391" t="inlineStr">
        <is>
          <t> </t>
        </is>
      </c>
      <c r="O131" s="391" t="inlineStr">
        <is>
          <t> </t>
        </is>
      </c>
      <c r="P131" s="391" t="inlineStr">
        <is>
          <t> </t>
        </is>
      </c>
      <c r="Q131" s="391" t="inlineStr">
        <is>
          <t> </t>
        </is>
      </c>
      <c r="R131" s="38" t="inlineStr">
        <is>
          <t> </t>
        </is>
      </c>
      <c r="S131" s="391" t="inlineStr">
        <is>
          <t> </t>
        </is>
      </c>
      <c r="T131" s="391" t="inlineStr">
        <is>
          <t> </t>
        </is>
      </c>
      <c r="U131" s="391" t="inlineStr">
        <is>
          <t> </t>
        </is>
      </c>
      <c r="V131" s="391" t="inlineStr">
        <is>
          <t> </t>
        </is>
      </c>
      <c r="W131" s="391" t="inlineStr">
        <is>
          <t> </t>
        </is>
      </c>
      <c r="X131" s="391" t="inlineStr">
        <is>
          <t> </t>
        </is>
      </c>
      <c r="Y131" s="392" t="inlineStr">
        <is>
          <t> </t>
        </is>
      </c>
      <c r="Z131" s="391" t="inlineStr">
        <is>
          <t> </t>
        </is>
      </c>
      <c r="AA131" s="391" t="inlineStr">
        <is>
          <t> </t>
        </is>
      </c>
      <c r="AB131" s="391" t="inlineStr">
        <is>
          <t> </t>
        </is>
      </c>
      <c r="AC131" s="391" t="inlineStr">
        <is>
          <t> </t>
        </is>
      </c>
      <c r="AD131" s="391" t="inlineStr">
        <is>
          <t> </t>
        </is>
      </c>
      <c r="AE131" s="391" t="inlineStr">
        <is>
          <t> </t>
        </is>
      </c>
      <c r="AF131" s="38" t="inlineStr">
        <is>
          <t> </t>
        </is>
      </c>
      <c r="AG131" s="391" t="inlineStr">
        <is>
          <t> </t>
        </is>
      </c>
      <c r="AH131" s="391" t="n"/>
      <c r="AI131" s="391" t="inlineStr">
        <is>
          <t> </t>
        </is>
      </c>
      <c r="AJ131" s="391" t="inlineStr">
        <is>
          <t> </t>
        </is>
      </c>
      <c r="AK131" s="391" t="inlineStr">
        <is>
          <t> </t>
        </is>
      </c>
      <c r="AL131" s="391" t="inlineStr">
        <is>
          <t> </t>
        </is>
      </c>
      <c r="AM131" s="391" t="inlineStr">
        <is>
          <t> </t>
        </is>
      </c>
      <c r="AN131" s="391" t="inlineStr">
        <is>
          <t> </t>
        </is>
      </c>
      <c r="AO131" s="391" t="n"/>
      <c r="AP131" s="319" t="n"/>
      <c r="AQ131" s="319" t="n"/>
      <c r="AR131" s="319" t="n"/>
    </row>
    <row r="132" ht="15.75" customHeight="1" s="1264">
      <c r="A132" s="319" t="inlineStr">
        <is>
          <t> </t>
        </is>
      </c>
      <c r="B132" s="319" t="inlineStr">
        <is>
          <t> </t>
        </is>
      </c>
      <c r="C132" s="319" t="inlineStr">
        <is>
          <t> </t>
        </is>
      </c>
      <c r="D132" s="38" t="inlineStr">
        <is>
          <t> </t>
        </is>
      </c>
      <c r="E132" s="391" t="inlineStr">
        <is>
          <t> </t>
        </is>
      </c>
      <c r="F132" s="391" t="inlineStr">
        <is>
          <t> </t>
        </is>
      </c>
      <c r="G132" s="391" t="inlineStr">
        <is>
          <t> </t>
        </is>
      </c>
      <c r="H132" s="391" t="inlineStr">
        <is>
          <t> </t>
        </is>
      </c>
      <c r="I132" s="391" t="inlineStr">
        <is>
          <t> </t>
        </is>
      </c>
      <c r="J132" s="391" t="inlineStr">
        <is>
          <t> </t>
        </is>
      </c>
      <c r="K132" s="38" t="inlineStr">
        <is>
          <t> </t>
        </is>
      </c>
      <c r="L132" s="391" t="inlineStr">
        <is>
          <t> </t>
        </is>
      </c>
      <c r="M132" s="391" t="inlineStr">
        <is>
          <t> </t>
        </is>
      </c>
      <c r="N132" s="391" t="inlineStr">
        <is>
          <t> </t>
        </is>
      </c>
      <c r="O132" s="391" t="inlineStr">
        <is>
          <t> </t>
        </is>
      </c>
      <c r="P132" s="391" t="inlineStr">
        <is>
          <t> </t>
        </is>
      </c>
      <c r="Q132" s="391" t="inlineStr">
        <is>
          <t> </t>
        </is>
      </c>
      <c r="R132" s="38" t="inlineStr">
        <is>
          <t> </t>
        </is>
      </c>
      <c r="S132" s="391" t="inlineStr">
        <is>
          <t> </t>
        </is>
      </c>
      <c r="T132" s="391" t="inlineStr">
        <is>
          <t> </t>
        </is>
      </c>
      <c r="U132" s="391" t="inlineStr">
        <is>
          <t> </t>
        </is>
      </c>
      <c r="V132" s="391" t="inlineStr">
        <is>
          <t> </t>
        </is>
      </c>
      <c r="W132" s="391" t="inlineStr">
        <is>
          <t> </t>
        </is>
      </c>
      <c r="X132" s="391" t="inlineStr">
        <is>
          <t> </t>
        </is>
      </c>
      <c r="Y132" s="392" t="inlineStr">
        <is>
          <t> </t>
        </is>
      </c>
      <c r="Z132" s="391" t="inlineStr">
        <is>
          <t> </t>
        </is>
      </c>
      <c r="AA132" s="391" t="inlineStr">
        <is>
          <t> </t>
        </is>
      </c>
      <c r="AB132" s="391" t="inlineStr">
        <is>
          <t> </t>
        </is>
      </c>
      <c r="AC132" s="391" t="inlineStr">
        <is>
          <t> </t>
        </is>
      </c>
      <c r="AD132" s="391" t="inlineStr">
        <is>
          <t> </t>
        </is>
      </c>
      <c r="AE132" s="391" t="inlineStr">
        <is>
          <t> </t>
        </is>
      </c>
      <c r="AF132" s="38" t="inlineStr">
        <is>
          <t> </t>
        </is>
      </c>
      <c r="AG132" s="391" t="inlineStr">
        <is>
          <t> </t>
        </is>
      </c>
      <c r="AH132" s="391" t="n"/>
      <c r="AI132" s="391" t="inlineStr">
        <is>
          <t> </t>
        </is>
      </c>
      <c r="AJ132" s="391" t="inlineStr">
        <is>
          <t> </t>
        </is>
      </c>
      <c r="AK132" s="391" t="inlineStr">
        <is>
          <t> </t>
        </is>
      </c>
      <c r="AL132" s="391" t="inlineStr">
        <is>
          <t> </t>
        </is>
      </c>
      <c r="AM132" s="391" t="inlineStr">
        <is>
          <t> </t>
        </is>
      </c>
      <c r="AN132" s="391" t="inlineStr">
        <is>
          <t> </t>
        </is>
      </c>
      <c r="AO132" s="391" t="n"/>
      <c r="AP132" s="319" t="n"/>
      <c r="AQ132" s="319" t="n"/>
      <c r="AR132" s="319" t="n"/>
    </row>
    <row r="133" ht="15.75" customHeight="1" s="1264">
      <c r="A133" s="319" t="inlineStr">
        <is>
          <t> </t>
        </is>
      </c>
      <c r="B133" s="319" t="inlineStr">
        <is>
          <t> </t>
        </is>
      </c>
      <c r="C133" s="319" t="inlineStr">
        <is>
          <t> </t>
        </is>
      </c>
      <c r="D133" s="38" t="inlineStr">
        <is>
          <t> </t>
        </is>
      </c>
      <c r="E133" s="391" t="inlineStr">
        <is>
          <t> </t>
        </is>
      </c>
      <c r="F133" s="391" t="inlineStr">
        <is>
          <t> </t>
        </is>
      </c>
      <c r="G133" s="391" t="inlineStr">
        <is>
          <t> </t>
        </is>
      </c>
      <c r="H133" s="391" t="inlineStr">
        <is>
          <t> </t>
        </is>
      </c>
      <c r="I133" s="391" t="inlineStr">
        <is>
          <t> </t>
        </is>
      </c>
      <c r="J133" s="391" t="inlineStr">
        <is>
          <t> </t>
        </is>
      </c>
      <c r="K133" s="38" t="inlineStr">
        <is>
          <t> </t>
        </is>
      </c>
      <c r="L133" s="391" t="inlineStr">
        <is>
          <t> </t>
        </is>
      </c>
      <c r="M133" s="391" t="inlineStr">
        <is>
          <t> </t>
        </is>
      </c>
      <c r="N133" s="391" t="inlineStr">
        <is>
          <t> </t>
        </is>
      </c>
      <c r="O133" s="391" t="inlineStr">
        <is>
          <t> </t>
        </is>
      </c>
      <c r="P133" s="391" t="inlineStr">
        <is>
          <t> </t>
        </is>
      </c>
      <c r="Q133" s="391" t="inlineStr">
        <is>
          <t> </t>
        </is>
      </c>
      <c r="R133" s="38" t="inlineStr">
        <is>
          <t> </t>
        </is>
      </c>
      <c r="S133" s="391" t="inlineStr">
        <is>
          <t> </t>
        </is>
      </c>
      <c r="T133" s="391" t="inlineStr">
        <is>
          <t> </t>
        </is>
      </c>
      <c r="U133" s="391" t="inlineStr">
        <is>
          <t> </t>
        </is>
      </c>
      <c r="V133" s="391" t="inlineStr">
        <is>
          <t> </t>
        </is>
      </c>
      <c r="W133" s="391" t="inlineStr">
        <is>
          <t> </t>
        </is>
      </c>
      <c r="X133" s="391" t="inlineStr">
        <is>
          <t> </t>
        </is>
      </c>
      <c r="Y133" s="392" t="inlineStr">
        <is>
          <t> </t>
        </is>
      </c>
      <c r="Z133" s="391" t="inlineStr">
        <is>
          <t> </t>
        </is>
      </c>
      <c r="AA133" s="391" t="inlineStr">
        <is>
          <t> </t>
        </is>
      </c>
      <c r="AB133" s="391" t="inlineStr">
        <is>
          <t> </t>
        </is>
      </c>
      <c r="AC133" s="391" t="inlineStr">
        <is>
          <t> </t>
        </is>
      </c>
      <c r="AD133" s="391" t="inlineStr">
        <is>
          <t> </t>
        </is>
      </c>
      <c r="AE133" s="391" t="inlineStr">
        <is>
          <t> </t>
        </is>
      </c>
      <c r="AF133" s="38" t="inlineStr">
        <is>
          <t> </t>
        </is>
      </c>
      <c r="AG133" s="391" t="inlineStr">
        <is>
          <t> </t>
        </is>
      </c>
      <c r="AH133" s="391" t="n"/>
      <c r="AI133" s="391" t="inlineStr">
        <is>
          <t> </t>
        </is>
      </c>
      <c r="AJ133" s="391" t="inlineStr">
        <is>
          <t> </t>
        </is>
      </c>
      <c r="AK133" s="391" t="inlineStr">
        <is>
          <t> </t>
        </is>
      </c>
      <c r="AL133" s="391" t="inlineStr">
        <is>
          <t> </t>
        </is>
      </c>
      <c r="AM133" s="391" t="inlineStr">
        <is>
          <t> </t>
        </is>
      </c>
      <c r="AN133" s="391" t="inlineStr">
        <is>
          <t> </t>
        </is>
      </c>
      <c r="AO133" s="391" t="n"/>
      <c r="AP133" s="319" t="n"/>
      <c r="AQ133" s="319" t="n"/>
      <c r="AR133" s="319" t="n"/>
    </row>
    <row r="134" ht="15.75" customHeight="1" s="1264">
      <c r="A134" s="319" t="inlineStr">
        <is>
          <t> </t>
        </is>
      </c>
      <c r="B134" s="319" t="inlineStr">
        <is>
          <t> </t>
        </is>
      </c>
      <c r="C134" s="319" t="inlineStr">
        <is>
          <t> </t>
        </is>
      </c>
      <c r="D134" s="38" t="inlineStr">
        <is>
          <t> </t>
        </is>
      </c>
      <c r="E134" s="391" t="inlineStr">
        <is>
          <t> </t>
        </is>
      </c>
      <c r="F134" s="391" t="inlineStr">
        <is>
          <t> </t>
        </is>
      </c>
      <c r="G134" s="391" t="inlineStr">
        <is>
          <t> </t>
        </is>
      </c>
      <c r="H134" s="391" t="inlineStr">
        <is>
          <t> </t>
        </is>
      </c>
      <c r="I134" s="391" t="inlineStr">
        <is>
          <t> </t>
        </is>
      </c>
      <c r="J134" s="391" t="inlineStr">
        <is>
          <t> </t>
        </is>
      </c>
      <c r="K134" s="38" t="inlineStr">
        <is>
          <t> </t>
        </is>
      </c>
      <c r="L134" s="391" t="inlineStr">
        <is>
          <t> </t>
        </is>
      </c>
      <c r="M134" s="391" t="inlineStr">
        <is>
          <t> </t>
        </is>
      </c>
      <c r="N134" s="391" t="inlineStr">
        <is>
          <t> </t>
        </is>
      </c>
      <c r="O134" s="391" t="inlineStr">
        <is>
          <t> </t>
        </is>
      </c>
      <c r="P134" s="391" t="inlineStr">
        <is>
          <t> </t>
        </is>
      </c>
      <c r="Q134" s="391" t="inlineStr">
        <is>
          <t> </t>
        </is>
      </c>
      <c r="R134" s="38" t="inlineStr">
        <is>
          <t> </t>
        </is>
      </c>
      <c r="S134" s="391" t="inlineStr">
        <is>
          <t> </t>
        </is>
      </c>
      <c r="T134" s="391" t="inlineStr">
        <is>
          <t> </t>
        </is>
      </c>
      <c r="U134" s="391" t="inlineStr">
        <is>
          <t> </t>
        </is>
      </c>
      <c r="V134" s="391" t="inlineStr">
        <is>
          <t> </t>
        </is>
      </c>
      <c r="W134" s="391" t="inlineStr">
        <is>
          <t> </t>
        </is>
      </c>
      <c r="X134" s="391" t="inlineStr">
        <is>
          <t> </t>
        </is>
      </c>
      <c r="Y134" s="392" t="inlineStr">
        <is>
          <t> </t>
        </is>
      </c>
      <c r="Z134" s="391" t="inlineStr">
        <is>
          <t> </t>
        </is>
      </c>
      <c r="AA134" s="391" t="inlineStr">
        <is>
          <t> </t>
        </is>
      </c>
      <c r="AB134" s="391" t="inlineStr">
        <is>
          <t> </t>
        </is>
      </c>
      <c r="AC134" s="391" t="inlineStr">
        <is>
          <t> </t>
        </is>
      </c>
      <c r="AD134" s="391" t="inlineStr">
        <is>
          <t> </t>
        </is>
      </c>
      <c r="AE134" s="391" t="inlineStr">
        <is>
          <t> </t>
        </is>
      </c>
      <c r="AF134" s="38" t="inlineStr">
        <is>
          <t> </t>
        </is>
      </c>
      <c r="AG134" s="391" t="inlineStr">
        <is>
          <t> </t>
        </is>
      </c>
      <c r="AH134" s="391" t="n"/>
      <c r="AI134" s="391" t="inlineStr">
        <is>
          <t> </t>
        </is>
      </c>
      <c r="AJ134" s="391" t="inlineStr">
        <is>
          <t> </t>
        </is>
      </c>
      <c r="AK134" s="391" t="inlineStr">
        <is>
          <t> </t>
        </is>
      </c>
      <c r="AL134" s="391" t="inlineStr">
        <is>
          <t> </t>
        </is>
      </c>
      <c r="AM134" s="391" t="inlineStr">
        <is>
          <t> </t>
        </is>
      </c>
      <c r="AN134" s="391" t="inlineStr">
        <is>
          <t> </t>
        </is>
      </c>
      <c r="AO134" s="391" t="n"/>
      <c r="AP134" s="319" t="n"/>
      <c r="AQ134" s="319" t="n"/>
      <c r="AR134" s="319" t="n"/>
    </row>
    <row r="135" ht="15.75" customHeight="1" s="1264">
      <c r="A135" s="319" t="inlineStr">
        <is>
          <t> </t>
        </is>
      </c>
      <c r="B135" s="319" t="inlineStr">
        <is>
          <t> </t>
        </is>
      </c>
      <c r="C135" s="319" t="inlineStr">
        <is>
          <t> </t>
        </is>
      </c>
      <c r="D135" s="38" t="inlineStr">
        <is>
          <t> </t>
        </is>
      </c>
      <c r="E135" s="391" t="inlineStr">
        <is>
          <t> </t>
        </is>
      </c>
      <c r="F135" s="391" t="inlineStr">
        <is>
          <t> </t>
        </is>
      </c>
      <c r="G135" s="391" t="inlineStr">
        <is>
          <t> </t>
        </is>
      </c>
      <c r="H135" s="391" t="inlineStr">
        <is>
          <t> </t>
        </is>
      </c>
      <c r="I135" s="391" t="inlineStr">
        <is>
          <t> </t>
        </is>
      </c>
      <c r="J135" s="391" t="inlineStr">
        <is>
          <t> </t>
        </is>
      </c>
      <c r="K135" s="38" t="inlineStr">
        <is>
          <t> </t>
        </is>
      </c>
      <c r="L135" s="391" t="inlineStr">
        <is>
          <t> </t>
        </is>
      </c>
      <c r="M135" s="391" t="inlineStr">
        <is>
          <t> </t>
        </is>
      </c>
      <c r="N135" s="391" t="inlineStr">
        <is>
          <t> </t>
        </is>
      </c>
      <c r="O135" s="391" t="inlineStr">
        <is>
          <t> </t>
        </is>
      </c>
      <c r="P135" s="391" t="inlineStr">
        <is>
          <t> </t>
        </is>
      </c>
      <c r="Q135" s="391" t="inlineStr">
        <is>
          <t> </t>
        </is>
      </c>
      <c r="R135" s="38" t="inlineStr">
        <is>
          <t> </t>
        </is>
      </c>
      <c r="S135" s="391" t="inlineStr">
        <is>
          <t> </t>
        </is>
      </c>
      <c r="T135" s="391" t="inlineStr">
        <is>
          <t> </t>
        </is>
      </c>
      <c r="U135" s="391" t="inlineStr">
        <is>
          <t> </t>
        </is>
      </c>
      <c r="V135" s="391" t="inlineStr">
        <is>
          <t> </t>
        </is>
      </c>
      <c r="W135" s="391" t="inlineStr">
        <is>
          <t> </t>
        </is>
      </c>
      <c r="X135" s="391" t="inlineStr">
        <is>
          <t> </t>
        </is>
      </c>
      <c r="Y135" s="392" t="inlineStr">
        <is>
          <t> </t>
        </is>
      </c>
      <c r="Z135" s="391" t="inlineStr">
        <is>
          <t> </t>
        </is>
      </c>
      <c r="AA135" s="391" t="inlineStr">
        <is>
          <t> </t>
        </is>
      </c>
      <c r="AB135" s="391" t="inlineStr">
        <is>
          <t> </t>
        </is>
      </c>
      <c r="AC135" s="391" t="inlineStr">
        <is>
          <t> </t>
        </is>
      </c>
      <c r="AD135" s="391" t="inlineStr">
        <is>
          <t> </t>
        </is>
      </c>
      <c r="AE135" s="391" t="inlineStr">
        <is>
          <t> </t>
        </is>
      </c>
      <c r="AF135" s="38" t="inlineStr">
        <is>
          <t> </t>
        </is>
      </c>
      <c r="AG135" s="391" t="inlineStr">
        <is>
          <t> </t>
        </is>
      </c>
      <c r="AH135" s="391" t="n"/>
      <c r="AI135" s="391" t="inlineStr">
        <is>
          <t> </t>
        </is>
      </c>
      <c r="AJ135" s="391" t="inlineStr">
        <is>
          <t> </t>
        </is>
      </c>
      <c r="AK135" s="391" t="inlineStr">
        <is>
          <t> </t>
        </is>
      </c>
      <c r="AL135" s="391" t="inlineStr">
        <is>
          <t> </t>
        </is>
      </c>
      <c r="AM135" s="391" t="inlineStr">
        <is>
          <t> </t>
        </is>
      </c>
      <c r="AN135" s="391" t="inlineStr">
        <is>
          <t> </t>
        </is>
      </c>
      <c r="AO135" s="391" t="n"/>
      <c r="AP135" s="319" t="n"/>
      <c r="AQ135" s="319" t="n"/>
      <c r="AR135" s="319" t="n"/>
    </row>
    <row r="136" ht="15.75" customHeight="1" s="1264">
      <c r="A136" s="319" t="inlineStr">
        <is>
          <t> </t>
        </is>
      </c>
      <c r="B136" s="319" t="inlineStr">
        <is>
          <t> </t>
        </is>
      </c>
      <c r="C136" s="319" t="inlineStr">
        <is>
          <t> </t>
        </is>
      </c>
      <c r="D136" s="38" t="inlineStr">
        <is>
          <t> </t>
        </is>
      </c>
      <c r="E136" s="391" t="inlineStr">
        <is>
          <t> </t>
        </is>
      </c>
      <c r="F136" s="391" t="inlineStr">
        <is>
          <t> </t>
        </is>
      </c>
      <c r="G136" s="391" t="inlineStr">
        <is>
          <t> </t>
        </is>
      </c>
      <c r="H136" s="391" t="inlineStr">
        <is>
          <t> </t>
        </is>
      </c>
      <c r="I136" s="391" t="inlineStr">
        <is>
          <t> </t>
        </is>
      </c>
      <c r="J136" s="391" t="inlineStr">
        <is>
          <t> </t>
        </is>
      </c>
      <c r="K136" s="38" t="inlineStr">
        <is>
          <t> </t>
        </is>
      </c>
      <c r="L136" s="391" t="inlineStr">
        <is>
          <t> </t>
        </is>
      </c>
      <c r="M136" s="391" t="inlineStr">
        <is>
          <t> </t>
        </is>
      </c>
      <c r="N136" s="391" t="inlineStr">
        <is>
          <t> </t>
        </is>
      </c>
      <c r="O136" s="391" t="inlineStr">
        <is>
          <t> </t>
        </is>
      </c>
      <c r="P136" s="391" t="inlineStr">
        <is>
          <t> </t>
        </is>
      </c>
      <c r="Q136" s="391" t="inlineStr">
        <is>
          <t> </t>
        </is>
      </c>
      <c r="R136" s="38" t="inlineStr">
        <is>
          <t> </t>
        </is>
      </c>
      <c r="S136" s="391" t="inlineStr">
        <is>
          <t> </t>
        </is>
      </c>
      <c r="T136" s="391" t="inlineStr">
        <is>
          <t> </t>
        </is>
      </c>
      <c r="U136" s="391" t="inlineStr">
        <is>
          <t> </t>
        </is>
      </c>
      <c r="V136" s="391" t="inlineStr">
        <is>
          <t> </t>
        </is>
      </c>
      <c r="W136" s="391" t="inlineStr">
        <is>
          <t> </t>
        </is>
      </c>
      <c r="X136" s="391" t="inlineStr">
        <is>
          <t> </t>
        </is>
      </c>
      <c r="Y136" s="392" t="inlineStr">
        <is>
          <t> </t>
        </is>
      </c>
      <c r="Z136" s="391" t="inlineStr">
        <is>
          <t> </t>
        </is>
      </c>
      <c r="AA136" s="391" t="inlineStr">
        <is>
          <t> </t>
        </is>
      </c>
      <c r="AB136" s="391" t="inlineStr">
        <is>
          <t> </t>
        </is>
      </c>
      <c r="AC136" s="391" t="inlineStr">
        <is>
          <t> </t>
        </is>
      </c>
      <c r="AD136" s="391" t="inlineStr">
        <is>
          <t> </t>
        </is>
      </c>
      <c r="AE136" s="391" t="inlineStr">
        <is>
          <t> </t>
        </is>
      </c>
      <c r="AF136" s="38" t="inlineStr">
        <is>
          <t> </t>
        </is>
      </c>
      <c r="AG136" s="391" t="inlineStr">
        <is>
          <t> </t>
        </is>
      </c>
      <c r="AH136" s="391" t="n"/>
      <c r="AI136" s="391" t="inlineStr">
        <is>
          <t> </t>
        </is>
      </c>
      <c r="AJ136" s="391" t="inlineStr">
        <is>
          <t> </t>
        </is>
      </c>
      <c r="AK136" s="391" t="inlineStr">
        <is>
          <t> </t>
        </is>
      </c>
      <c r="AL136" s="391" t="inlineStr">
        <is>
          <t> </t>
        </is>
      </c>
      <c r="AM136" s="391" t="inlineStr">
        <is>
          <t> </t>
        </is>
      </c>
      <c r="AN136" s="391" t="inlineStr">
        <is>
          <t> </t>
        </is>
      </c>
      <c r="AO136" s="391" t="n"/>
      <c r="AP136" s="319" t="n"/>
      <c r="AQ136" s="319" t="n"/>
      <c r="AR136" s="319" t="n"/>
    </row>
    <row r="137" ht="15.75" customHeight="1" s="1264">
      <c r="A137" s="319" t="inlineStr">
        <is>
          <t> </t>
        </is>
      </c>
      <c r="B137" s="319" t="inlineStr">
        <is>
          <t> </t>
        </is>
      </c>
      <c r="C137" s="319" t="inlineStr">
        <is>
          <t> </t>
        </is>
      </c>
      <c r="D137" s="38" t="inlineStr">
        <is>
          <t> </t>
        </is>
      </c>
      <c r="E137" s="391" t="inlineStr">
        <is>
          <t> </t>
        </is>
      </c>
      <c r="F137" s="391" t="inlineStr">
        <is>
          <t> </t>
        </is>
      </c>
      <c r="G137" s="391" t="inlineStr">
        <is>
          <t> </t>
        </is>
      </c>
      <c r="H137" s="391" t="inlineStr">
        <is>
          <t> </t>
        </is>
      </c>
      <c r="I137" s="391" t="inlineStr">
        <is>
          <t> </t>
        </is>
      </c>
      <c r="J137" s="391" t="inlineStr">
        <is>
          <t> </t>
        </is>
      </c>
      <c r="K137" s="38" t="inlineStr">
        <is>
          <t> </t>
        </is>
      </c>
      <c r="L137" s="391" t="inlineStr">
        <is>
          <t> </t>
        </is>
      </c>
      <c r="M137" s="391" t="inlineStr">
        <is>
          <t> </t>
        </is>
      </c>
      <c r="N137" s="391" t="inlineStr">
        <is>
          <t> </t>
        </is>
      </c>
      <c r="O137" s="391" t="inlineStr">
        <is>
          <t> </t>
        </is>
      </c>
      <c r="P137" s="391" t="inlineStr">
        <is>
          <t> </t>
        </is>
      </c>
      <c r="Q137" s="391" t="inlineStr">
        <is>
          <t> </t>
        </is>
      </c>
      <c r="R137" s="38" t="inlineStr">
        <is>
          <t> </t>
        </is>
      </c>
      <c r="S137" s="391" t="inlineStr">
        <is>
          <t> </t>
        </is>
      </c>
      <c r="T137" s="391" t="inlineStr">
        <is>
          <t> </t>
        </is>
      </c>
      <c r="U137" s="391" t="inlineStr">
        <is>
          <t> </t>
        </is>
      </c>
      <c r="V137" s="391" t="inlineStr">
        <is>
          <t> </t>
        </is>
      </c>
      <c r="W137" s="391" t="inlineStr">
        <is>
          <t> </t>
        </is>
      </c>
      <c r="X137" s="391" t="inlineStr">
        <is>
          <t> </t>
        </is>
      </c>
      <c r="Y137" s="392" t="inlineStr">
        <is>
          <t> </t>
        </is>
      </c>
      <c r="Z137" s="391" t="inlineStr">
        <is>
          <t> </t>
        </is>
      </c>
      <c r="AA137" s="391" t="inlineStr">
        <is>
          <t> </t>
        </is>
      </c>
      <c r="AB137" s="391" t="inlineStr">
        <is>
          <t> </t>
        </is>
      </c>
      <c r="AC137" s="391" t="inlineStr">
        <is>
          <t> </t>
        </is>
      </c>
      <c r="AD137" s="391" t="inlineStr">
        <is>
          <t> </t>
        </is>
      </c>
      <c r="AE137" s="391" t="inlineStr">
        <is>
          <t> </t>
        </is>
      </c>
      <c r="AF137" s="38" t="inlineStr">
        <is>
          <t> </t>
        </is>
      </c>
      <c r="AG137" s="391" t="inlineStr">
        <is>
          <t> </t>
        </is>
      </c>
      <c r="AH137" s="391" t="n"/>
      <c r="AI137" s="391" t="inlineStr">
        <is>
          <t> </t>
        </is>
      </c>
      <c r="AJ137" s="391" t="inlineStr">
        <is>
          <t> </t>
        </is>
      </c>
      <c r="AK137" s="391" t="inlineStr">
        <is>
          <t> </t>
        </is>
      </c>
      <c r="AL137" s="391" t="inlineStr">
        <is>
          <t> </t>
        </is>
      </c>
      <c r="AM137" s="391" t="inlineStr">
        <is>
          <t> </t>
        </is>
      </c>
      <c r="AN137" s="391" t="inlineStr">
        <is>
          <t> </t>
        </is>
      </c>
      <c r="AO137" s="391" t="n"/>
      <c r="AP137" s="319" t="n"/>
      <c r="AQ137" s="319" t="n"/>
      <c r="AR137" s="319" t="n"/>
    </row>
    <row r="138" ht="15.75" customHeight="1" s="1264">
      <c r="A138" s="319" t="inlineStr">
        <is>
          <t> </t>
        </is>
      </c>
      <c r="B138" s="319" t="inlineStr">
        <is>
          <t> </t>
        </is>
      </c>
      <c r="C138" s="319" t="inlineStr">
        <is>
          <t> </t>
        </is>
      </c>
      <c r="D138" s="38" t="inlineStr">
        <is>
          <t> </t>
        </is>
      </c>
      <c r="E138" s="391" t="inlineStr">
        <is>
          <t> </t>
        </is>
      </c>
      <c r="F138" s="391" t="inlineStr">
        <is>
          <t> </t>
        </is>
      </c>
      <c r="G138" s="391" t="inlineStr">
        <is>
          <t> </t>
        </is>
      </c>
      <c r="H138" s="391" t="inlineStr">
        <is>
          <t> </t>
        </is>
      </c>
      <c r="I138" s="391" t="inlineStr">
        <is>
          <t> </t>
        </is>
      </c>
      <c r="J138" s="391" t="inlineStr">
        <is>
          <t> </t>
        </is>
      </c>
      <c r="K138" s="38" t="inlineStr">
        <is>
          <t> </t>
        </is>
      </c>
      <c r="L138" s="391" t="inlineStr">
        <is>
          <t> </t>
        </is>
      </c>
      <c r="M138" s="391" t="inlineStr">
        <is>
          <t> </t>
        </is>
      </c>
      <c r="N138" s="391" t="inlineStr">
        <is>
          <t> </t>
        </is>
      </c>
      <c r="O138" s="391" t="inlineStr">
        <is>
          <t> </t>
        </is>
      </c>
      <c r="P138" s="391" t="inlineStr">
        <is>
          <t> </t>
        </is>
      </c>
      <c r="Q138" s="391" t="inlineStr">
        <is>
          <t> </t>
        </is>
      </c>
      <c r="R138" s="38" t="inlineStr">
        <is>
          <t> </t>
        </is>
      </c>
      <c r="S138" s="391" t="inlineStr">
        <is>
          <t> </t>
        </is>
      </c>
      <c r="T138" s="391" t="inlineStr">
        <is>
          <t> </t>
        </is>
      </c>
      <c r="U138" s="391" t="inlineStr">
        <is>
          <t> </t>
        </is>
      </c>
      <c r="V138" s="391" t="inlineStr">
        <is>
          <t> </t>
        </is>
      </c>
      <c r="W138" s="391" t="inlineStr">
        <is>
          <t> </t>
        </is>
      </c>
      <c r="X138" s="391" t="inlineStr">
        <is>
          <t> </t>
        </is>
      </c>
      <c r="Y138" s="392" t="inlineStr">
        <is>
          <t> </t>
        </is>
      </c>
      <c r="Z138" s="391" t="inlineStr">
        <is>
          <t> </t>
        </is>
      </c>
      <c r="AA138" s="391" t="inlineStr">
        <is>
          <t> </t>
        </is>
      </c>
      <c r="AB138" s="391" t="inlineStr">
        <is>
          <t> </t>
        </is>
      </c>
      <c r="AC138" s="391" t="inlineStr">
        <is>
          <t> </t>
        </is>
      </c>
      <c r="AD138" s="391" t="inlineStr">
        <is>
          <t> </t>
        </is>
      </c>
      <c r="AE138" s="391" t="inlineStr">
        <is>
          <t> </t>
        </is>
      </c>
      <c r="AF138" s="38" t="inlineStr">
        <is>
          <t> </t>
        </is>
      </c>
      <c r="AG138" s="391" t="inlineStr">
        <is>
          <t> </t>
        </is>
      </c>
      <c r="AH138" s="391" t="n"/>
      <c r="AI138" s="391" t="inlineStr">
        <is>
          <t> </t>
        </is>
      </c>
      <c r="AJ138" s="391" t="inlineStr">
        <is>
          <t> </t>
        </is>
      </c>
      <c r="AK138" s="391" t="inlineStr">
        <is>
          <t> </t>
        </is>
      </c>
      <c r="AL138" s="391" t="inlineStr">
        <is>
          <t> </t>
        </is>
      </c>
      <c r="AM138" s="391" t="inlineStr">
        <is>
          <t> </t>
        </is>
      </c>
      <c r="AN138" s="391" t="inlineStr">
        <is>
          <t> </t>
        </is>
      </c>
      <c r="AO138" s="391" t="n"/>
      <c r="AP138" s="319" t="n"/>
      <c r="AQ138" s="319" t="n"/>
      <c r="AR138" s="319" t="n"/>
    </row>
    <row r="139" ht="15.75" customHeight="1" s="1264">
      <c r="A139" s="319" t="inlineStr">
        <is>
          <t> </t>
        </is>
      </c>
      <c r="B139" s="319" t="inlineStr">
        <is>
          <t> </t>
        </is>
      </c>
      <c r="C139" s="319" t="inlineStr">
        <is>
          <t> </t>
        </is>
      </c>
      <c r="D139" s="38" t="inlineStr">
        <is>
          <t> </t>
        </is>
      </c>
      <c r="E139" s="391" t="inlineStr">
        <is>
          <t> </t>
        </is>
      </c>
      <c r="F139" s="391" t="inlineStr">
        <is>
          <t> </t>
        </is>
      </c>
      <c r="G139" s="391" t="inlineStr">
        <is>
          <t> </t>
        </is>
      </c>
      <c r="H139" s="391" t="inlineStr">
        <is>
          <t> </t>
        </is>
      </c>
      <c r="I139" s="391" t="inlineStr">
        <is>
          <t> </t>
        </is>
      </c>
      <c r="J139" s="391" t="inlineStr">
        <is>
          <t> </t>
        </is>
      </c>
      <c r="K139" s="38" t="inlineStr">
        <is>
          <t> </t>
        </is>
      </c>
      <c r="L139" s="391" t="inlineStr">
        <is>
          <t> </t>
        </is>
      </c>
      <c r="M139" s="391" t="inlineStr">
        <is>
          <t> </t>
        </is>
      </c>
      <c r="N139" s="391" t="inlineStr">
        <is>
          <t> </t>
        </is>
      </c>
      <c r="O139" s="391" t="inlineStr">
        <is>
          <t> </t>
        </is>
      </c>
      <c r="P139" s="391" t="inlineStr">
        <is>
          <t> </t>
        </is>
      </c>
      <c r="Q139" s="391" t="inlineStr">
        <is>
          <t> </t>
        </is>
      </c>
      <c r="R139" s="38" t="inlineStr">
        <is>
          <t> </t>
        </is>
      </c>
      <c r="S139" s="391" t="inlineStr">
        <is>
          <t> </t>
        </is>
      </c>
      <c r="T139" s="391" t="inlineStr">
        <is>
          <t> </t>
        </is>
      </c>
      <c r="U139" s="391" t="inlineStr">
        <is>
          <t> </t>
        </is>
      </c>
      <c r="V139" s="391" t="inlineStr">
        <is>
          <t> </t>
        </is>
      </c>
      <c r="W139" s="391" t="inlineStr">
        <is>
          <t> </t>
        </is>
      </c>
      <c r="X139" s="391" t="inlineStr">
        <is>
          <t> </t>
        </is>
      </c>
      <c r="Y139" s="392" t="inlineStr">
        <is>
          <t> </t>
        </is>
      </c>
      <c r="Z139" s="391" t="inlineStr">
        <is>
          <t> </t>
        </is>
      </c>
      <c r="AA139" s="391" t="inlineStr">
        <is>
          <t> </t>
        </is>
      </c>
      <c r="AB139" s="391" t="inlineStr">
        <is>
          <t> </t>
        </is>
      </c>
      <c r="AC139" s="391" t="inlineStr">
        <is>
          <t> </t>
        </is>
      </c>
      <c r="AD139" s="391" t="inlineStr">
        <is>
          <t> </t>
        </is>
      </c>
      <c r="AE139" s="391" t="inlineStr">
        <is>
          <t> </t>
        </is>
      </c>
      <c r="AF139" s="38" t="inlineStr">
        <is>
          <t> </t>
        </is>
      </c>
      <c r="AG139" s="391" t="inlineStr">
        <is>
          <t> </t>
        </is>
      </c>
      <c r="AH139" s="391" t="n"/>
      <c r="AI139" s="391" t="inlineStr">
        <is>
          <t> </t>
        </is>
      </c>
      <c r="AJ139" s="391" t="inlineStr">
        <is>
          <t> </t>
        </is>
      </c>
      <c r="AK139" s="391" t="inlineStr">
        <is>
          <t> </t>
        </is>
      </c>
      <c r="AL139" s="391" t="inlineStr">
        <is>
          <t> </t>
        </is>
      </c>
      <c r="AM139" s="391" t="inlineStr">
        <is>
          <t> </t>
        </is>
      </c>
      <c r="AN139" s="391" t="inlineStr">
        <is>
          <t> </t>
        </is>
      </c>
      <c r="AO139" s="391" t="n"/>
      <c r="AP139" s="319" t="n"/>
      <c r="AQ139" s="319" t="n"/>
      <c r="AR139" s="319" t="n"/>
    </row>
    <row r="140" ht="15.75" customHeight="1" s="1264">
      <c r="A140" s="319" t="inlineStr">
        <is>
          <t> </t>
        </is>
      </c>
      <c r="B140" s="319" t="inlineStr">
        <is>
          <t> </t>
        </is>
      </c>
      <c r="C140" s="319" t="inlineStr">
        <is>
          <t> </t>
        </is>
      </c>
      <c r="D140" s="38" t="inlineStr">
        <is>
          <t> </t>
        </is>
      </c>
      <c r="E140" s="391" t="inlineStr">
        <is>
          <t> </t>
        </is>
      </c>
      <c r="F140" s="391" t="inlineStr">
        <is>
          <t> </t>
        </is>
      </c>
      <c r="G140" s="391" t="inlineStr">
        <is>
          <t> </t>
        </is>
      </c>
      <c r="H140" s="391" t="inlineStr">
        <is>
          <t> </t>
        </is>
      </c>
      <c r="I140" s="391" t="inlineStr">
        <is>
          <t> </t>
        </is>
      </c>
      <c r="J140" s="391" t="inlineStr">
        <is>
          <t> </t>
        </is>
      </c>
      <c r="K140" s="38" t="inlineStr">
        <is>
          <t> </t>
        </is>
      </c>
      <c r="L140" s="391" t="inlineStr">
        <is>
          <t> </t>
        </is>
      </c>
      <c r="M140" s="391" t="inlineStr">
        <is>
          <t> </t>
        </is>
      </c>
      <c r="N140" s="391" t="inlineStr">
        <is>
          <t> </t>
        </is>
      </c>
      <c r="O140" s="391" t="inlineStr">
        <is>
          <t> </t>
        </is>
      </c>
      <c r="P140" s="391" t="inlineStr">
        <is>
          <t> </t>
        </is>
      </c>
      <c r="Q140" s="391" t="inlineStr">
        <is>
          <t> </t>
        </is>
      </c>
      <c r="R140" s="38" t="inlineStr">
        <is>
          <t> </t>
        </is>
      </c>
      <c r="S140" s="391" t="inlineStr">
        <is>
          <t> </t>
        </is>
      </c>
      <c r="T140" s="391" t="inlineStr">
        <is>
          <t> </t>
        </is>
      </c>
      <c r="U140" s="391" t="inlineStr">
        <is>
          <t> </t>
        </is>
      </c>
      <c r="V140" s="391" t="inlineStr">
        <is>
          <t> </t>
        </is>
      </c>
      <c r="W140" s="391" t="inlineStr">
        <is>
          <t> </t>
        </is>
      </c>
      <c r="X140" s="391" t="inlineStr">
        <is>
          <t> </t>
        </is>
      </c>
      <c r="Y140" s="392" t="inlineStr">
        <is>
          <t> </t>
        </is>
      </c>
      <c r="Z140" s="391" t="inlineStr">
        <is>
          <t> </t>
        </is>
      </c>
      <c r="AA140" s="391" t="inlineStr">
        <is>
          <t> </t>
        </is>
      </c>
      <c r="AB140" s="391" t="inlineStr">
        <is>
          <t> </t>
        </is>
      </c>
      <c r="AC140" s="391" t="inlineStr">
        <is>
          <t> </t>
        </is>
      </c>
      <c r="AD140" s="391" t="inlineStr">
        <is>
          <t> </t>
        </is>
      </c>
      <c r="AE140" s="391" t="inlineStr">
        <is>
          <t> </t>
        </is>
      </c>
      <c r="AF140" s="38" t="inlineStr">
        <is>
          <t> </t>
        </is>
      </c>
      <c r="AG140" s="391" t="inlineStr">
        <is>
          <t> </t>
        </is>
      </c>
      <c r="AH140" s="391" t="n"/>
      <c r="AI140" s="391" t="inlineStr">
        <is>
          <t> </t>
        </is>
      </c>
      <c r="AJ140" s="391" t="inlineStr">
        <is>
          <t> </t>
        </is>
      </c>
      <c r="AK140" s="391" t="inlineStr">
        <is>
          <t> </t>
        </is>
      </c>
      <c r="AL140" s="391" t="inlineStr">
        <is>
          <t> </t>
        </is>
      </c>
      <c r="AM140" s="391" t="inlineStr">
        <is>
          <t> </t>
        </is>
      </c>
      <c r="AN140" s="391" t="inlineStr">
        <is>
          <t> </t>
        </is>
      </c>
      <c r="AO140" s="391" t="n"/>
      <c r="AP140" s="319" t="n"/>
      <c r="AQ140" s="319" t="n"/>
      <c r="AR140" s="319" t="n"/>
    </row>
    <row r="141" ht="15.75" customHeight="1" s="1264">
      <c r="A141" s="319" t="inlineStr">
        <is>
          <t> </t>
        </is>
      </c>
      <c r="B141" s="319" t="inlineStr">
        <is>
          <t> </t>
        </is>
      </c>
      <c r="C141" s="319" t="inlineStr">
        <is>
          <t> </t>
        </is>
      </c>
      <c r="D141" s="38" t="inlineStr">
        <is>
          <t> </t>
        </is>
      </c>
      <c r="E141" s="391" t="inlineStr">
        <is>
          <t> </t>
        </is>
      </c>
      <c r="F141" s="391" t="inlineStr">
        <is>
          <t> </t>
        </is>
      </c>
      <c r="G141" s="391" t="inlineStr">
        <is>
          <t> </t>
        </is>
      </c>
      <c r="H141" s="391" t="inlineStr">
        <is>
          <t> </t>
        </is>
      </c>
      <c r="I141" s="391" t="inlineStr">
        <is>
          <t> </t>
        </is>
      </c>
      <c r="J141" s="391" t="inlineStr">
        <is>
          <t> </t>
        </is>
      </c>
      <c r="K141" s="38" t="inlineStr">
        <is>
          <t> </t>
        </is>
      </c>
      <c r="L141" s="391" t="inlineStr">
        <is>
          <t> </t>
        </is>
      </c>
      <c r="M141" s="391" t="inlineStr">
        <is>
          <t> </t>
        </is>
      </c>
      <c r="N141" s="391" t="inlineStr">
        <is>
          <t> </t>
        </is>
      </c>
      <c r="O141" s="391" t="inlineStr">
        <is>
          <t> </t>
        </is>
      </c>
      <c r="P141" s="391" t="inlineStr">
        <is>
          <t> </t>
        </is>
      </c>
      <c r="Q141" s="391" t="inlineStr">
        <is>
          <t> </t>
        </is>
      </c>
      <c r="R141" s="38" t="inlineStr">
        <is>
          <t> </t>
        </is>
      </c>
      <c r="S141" s="391" t="inlineStr">
        <is>
          <t> </t>
        </is>
      </c>
      <c r="T141" s="391" t="inlineStr">
        <is>
          <t> </t>
        </is>
      </c>
      <c r="U141" s="391" t="inlineStr">
        <is>
          <t> </t>
        </is>
      </c>
      <c r="V141" s="391" t="inlineStr">
        <is>
          <t> </t>
        </is>
      </c>
      <c r="W141" s="391" t="inlineStr">
        <is>
          <t> </t>
        </is>
      </c>
      <c r="X141" s="391" t="inlineStr">
        <is>
          <t> </t>
        </is>
      </c>
      <c r="Y141" s="392" t="inlineStr">
        <is>
          <t> </t>
        </is>
      </c>
      <c r="Z141" s="391" t="inlineStr">
        <is>
          <t> </t>
        </is>
      </c>
      <c r="AA141" s="391" t="inlineStr">
        <is>
          <t> </t>
        </is>
      </c>
      <c r="AB141" s="391" t="inlineStr">
        <is>
          <t> </t>
        </is>
      </c>
      <c r="AC141" s="391" t="inlineStr">
        <is>
          <t> </t>
        </is>
      </c>
      <c r="AD141" s="391" t="inlineStr">
        <is>
          <t> </t>
        </is>
      </c>
      <c r="AE141" s="391" t="inlineStr">
        <is>
          <t> </t>
        </is>
      </c>
      <c r="AF141" s="38" t="inlineStr">
        <is>
          <t> </t>
        </is>
      </c>
      <c r="AG141" s="391" t="inlineStr">
        <is>
          <t> </t>
        </is>
      </c>
      <c r="AH141" s="391" t="n"/>
      <c r="AI141" s="391" t="inlineStr">
        <is>
          <t> </t>
        </is>
      </c>
      <c r="AJ141" s="391" t="inlineStr">
        <is>
          <t> </t>
        </is>
      </c>
      <c r="AK141" s="391" t="inlineStr">
        <is>
          <t> </t>
        </is>
      </c>
      <c r="AL141" s="391" t="inlineStr">
        <is>
          <t> </t>
        </is>
      </c>
      <c r="AM141" s="391" t="inlineStr">
        <is>
          <t> </t>
        </is>
      </c>
      <c r="AN141" s="391" t="inlineStr">
        <is>
          <t> </t>
        </is>
      </c>
      <c r="AO141" s="391" t="n"/>
      <c r="AP141" s="319" t="n"/>
      <c r="AQ141" s="319" t="n"/>
      <c r="AR141" s="319" t="n"/>
    </row>
    <row r="142" ht="15.75" customHeight="1" s="1264">
      <c r="A142" s="319" t="inlineStr">
        <is>
          <t> </t>
        </is>
      </c>
      <c r="B142" s="319" t="inlineStr">
        <is>
          <t> </t>
        </is>
      </c>
      <c r="C142" s="319" t="inlineStr">
        <is>
          <t> </t>
        </is>
      </c>
      <c r="D142" s="38" t="inlineStr">
        <is>
          <t> </t>
        </is>
      </c>
      <c r="E142" s="391" t="inlineStr">
        <is>
          <t> </t>
        </is>
      </c>
      <c r="F142" s="391" t="inlineStr">
        <is>
          <t> </t>
        </is>
      </c>
      <c r="G142" s="391" t="inlineStr">
        <is>
          <t> </t>
        </is>
      </c>
      <c r="H142" s="391" t="inlineStr">
        <is>
          <t> </t>
        </is>
      </c>
      <c r="I142" s="391" t="inlineStr">
        <is>
          <t> </t>
        </is>
      </c>
      <c r="J142" s="391" t="inlineStr">
        <is>
          <t> </t>
        </is>
      </c>
      <c r="K142" s="38" t="inlineStr">
        <is>
          <t> </t>
        </is>
      </c>
      <c r="L142" s="391" t="inlineStr">
        <is>
          <t> </t>
        </is>
      </c>
      <c r="M142" s="391" t="inlineStr">
        <is>
          <t> </t>
        </is>
      </c>
      <c r="N142" s="391" t="inlineStr">
        <is>
          <t> </t>
        </is>
      </c>
      <c r="O142" s="391" t="inlineStr">
        <is>
          <t> </t>
        </is>
      </c>
      <c r="P142" s="391" t="inlineStr">
        <is>
          <t> </t>
        </is>
      </c>
      <c r="Q142" s="391" t="inlineStr">
        <is>
          <t> </t>
        </is>
      </c>
      <c r="R142" s="38" t="inlineStr">
        <is>
          <t> </t>
        </is>
      </c>
      <c r="S142" s="391" t="inlineStr">
        <is>
          <t> </t>
        </is>
      </c>
      <c r="T142" s="391" t="inlineStr">
        <is>
          <t> </t>
        </is>
      </c>
      <c r="U142" s="391" t="inlineStr">
        <is>
          <t> </t>
        </is>
      </c>
      <c r="V142" s="391" t="inlineStr">
        <is>
          <t> </t>
        </is>
      </c>
      <c r="W142" s="391" t="inlineStr">
        <is>
          <t> </t>
        </is>
      </c>
      <c r="X142" s="391" t="inlineStr">
        <is>
          <t> </t>
        </is>
      </c>
      <c r="Y142" s="392" t="inlineStr">
        <is>
          <t> </t>
        </is>
      </c>
      <c r="Z142" s="391" t="inlineStr">
        <is>
          <t> </t>
        </is>
      </c>
      <c r="AA142" s="391" t="inlineStr">
        <is>
          <t> </t>
        </is>
      </c>
      <c r="AB142" s="391" t="inlineStr">
        <is>
          <t> </t>
        </is>
      </c>
      <c r="AC142" s="391" t="inlineStr">
        <is>
          <t> </t>
        </is>
      </c>
      <c r="AD142" s="391" t="inlineStr">
        <is>
          <t> </t>
        </is>
      </c>
      <c r="AE142" s="391" t="inlineStr">
        <is>
          <t> </t>
        </is>
      </c>
      <c r="AF142" s="38" t="inlineStr">
        <is>
          <t> </t>
        </is>
      </c>
      <c r="AG142" s="391" t="inlineStr">
        <is>
          <t> </t>
        </is>
      </c>
      <c r="AH142" s="391" t="n"/>
      <c r="AI142" s="391" t="inlineStr">
        <is>
          <t> </t>
        </is>
      </c>
      <c r="AJ142" s="391" t="inlineStr">
        <is>
          <t> </t>
        </is>
      </c>
      <c r="AK142" s="391" t="inlineStr">
        <is>
          <t> </t>
        </is>
      </c>
      <c r="AL142" s="391" t="inlineStr">
        <is>
          <t> </t>
        </is>
      </c>
      <c r="AM142" s="391" t="inlineStr">
        <is>
          <t> </t>
        </is>
      </c>
      <c r="AN142" s="391" t="inlineStr">
        <is>
          <t> </t>
        </is>
      </c>
      <c r="AO142" s="391" t="n"/>
      <c r="AP142" s="319" t="n"/>
      <c r="AQ142" s="319" t="n"/>
      <c r="AR142" s="319" t="n"/>
    </row>
    <row r="143" ht="15.75" customHeight="1" s="1264">
      <c r="A143" s="319" t="inlineStr">
        <is>
          <t> </t>
        </is>
      </c>
      <c r="B143" s="319" t="inlineStr">
        <is>
          <t> </t>
        </is>
      </c>
      <c r="C143" s="319" t="inlineStr">
        <is>
          <t> </t>
        </is>
      </c>
      <c r="D143" s="38" t="inlineStr">
        <is>
          <t> </t>
        </is>
      </c>
      <c r="E143" s="391" t="inlineStr">
        <is>
          <t> </t>
        </is>
      </c>
      <c r="F143" s="391" t="inlineStr">
        <is>
          <t> </t>
        </is>
      </c>
      <c r="G143" s="391" t="inlineStr">
        <is>
          <t> </t>
        </is>
      </c>
      <c r="H143" s="391" t="inlineStr">
        <is>
          <t> </t>
        </is>
      </c>
      <c r="I143" s="391" t="inlineStr">
        <is>
          <t> </t>
        </is>
      </c>
      <c r="J143" s="391" t="inlineStr">
        <is>
          <t> </t>
        </is>
      </c>
      <c r="K143" s="38" t="inlineStr">
        <is>
          <t> </t>
        </is>
      </c>
      <c r="L143" s="391" t="inlineStr">
        <is>
          <t> </t>
        </is>
      </c>
      <c r="M143" s="391" t="inlineStr">
        <is>
          <t> </t>
        </is>
      </c>
      <c r="N143" s="391" t="inlineStr">
        <is>
          <t> </t>
        </is>
      </c>
      <c r="O143" s="391" t="inlineStr">
        <is>
          <t> </t>
        </is>
      </c>
      <c r="P143" s="391" t="inlineStr">
        <is>
          <t> </t>
        </is>
      </c>
      <c r="Q143" s="391" t="inlineStr">
        <is>
          <t> </t>
        </is>
      </c>
      <c r="R143" s="38" t="inlineStr">
        <is>
          <t> </t>
        </is>
      </c>
      <c r="S143" s="391" t="inlineStr">
        <is>
          <t> </t>
        </is>
      </c>
      <c r="T143" s="391" t="inlineStr">
        <is>
          <t> </t>
        </is>
      </c>
      <c r="U143" s="391" t="inlineStr">
        <is>
          <t> </t>
        </is>
      </c>
      <c r="V143" s="391" t="inlineStr">
        <is>
          <t> </t>
        </is>
      </c>
      <c r="W143" s="391" t="inlineStr">
        <is>
          <t> </t>
        </is>
      </c>
      <c r="X143" s="391" t="inlineStr">
        <is>
          <t> </t>
        </is>
      </c>
      <c r="Y143" s="392" t="inlineStr">
        <is>
          <t> </t>
        </is>
      </c>
      <c r="Z143" s="391" t="inlineStr">
        <is>
          <t> </t>
        </is>
      </c>
      <c r="AA143" s="391" t="inlineStr">
        <is>
          <t> </t>
        </is>
      </c>
      <c r="AB143" s="391" t="inlineStr">
        <is>
          <t> </t>
        </is>
      </c>
      <c r="AC143" s="391" t="inlineStr">
        <is>
          <t> </t>
        </is>
      </c>
      <c r="AD143" s="391" t="inlineStr">
        <is>
          <t> </t>
        </is>
      </c>
      <c r="AE143" s="391" t="inlineStr">
        <is>
          <t> </t>
        </is>
      </c>
      <c r="AF143" s="38" t="inlineStr">
        <is>
          <t> </t>
        </is>
      </c>
      <c r="AG143" s="391" t="inlineStr">
        <is>
          <t> </t>
        </is>
      </c>
      <c r="AH143" s="391" t="n"/>
      <c r="AI143" s="391" t="inlineStr">
        <is>
          <t> </t>
        </is>
      </c>
      <c r="AJ143" s="391" t="inlineStr">
        <is>
          <t> </t>
        </is>
      </c>
      <c r="AK143" s="391" t="inlineStr">
        <is>
          <t> </t>
        </is>
      </c>
      <c r="AL143" s="391" t="inlineStr">
        <is>
          <t> </t>
        </is>
      </c>
      <c r="AM143" s="391" t="inlineStr">
        <is>
          <t> </t>
        </is>
      </c>
      <c r="AN143" s="391" t="inlineStr">
        <is>
          <t> </t>
        </is>
      </c>
      <c r="AO143" s="391" t="n"/>
      <c r="AP143" s="319" t="n"/>
      <c r="AQ143" s="319" t="n"/>
      <c r="AR143" s="319" t="n"/>
    </row>
    <row r="144" ht="15.75" customHeight="1" s="1264">
      <c r="A144" s="319" t="inlineStr">
        <is>
          <t> </t>
        </is>
      </c>
      <c r="B144" s="319" t="inlineStr">
        <is>
          <t> </t>
        </is>
      </c>
      <c r="C144" s="319" t="inlineStr">
        <is>
          <t> </t>
        </is>
      </c>
      <c r="D144" s="38" t="inlineStr">
        <is>
          <t> </t>
        </is>
      </c>
      <c r="E144" s="391" t="inlineStr">
        <is>
          <t> </t>
        </is>
      </c>
      <c r="F144" s="391" t="inlineStr">
        <is>
          <t> </t>
        </is>
      </c>
      <c r="G144" s="391" t="inlineStr">
        <is>
          <t> </t>
        </is>
      </c>
      <c r="H144" s="391" t="inlineStr">
        <is>
          <t> </t>
        </is>
      </c>
      <c r="I144" s="391" t="inlineStr">
        <is>
          <t> </t>
        </is>
      </c>
      <c r="J144" s="391" t="inlineStr">
        <is>
          <t> </t>
        </is>
      </c>
      <c r="K144" s="38" t="inlineStr">
        <is>
          <t> </t>
        </is>
      </c>
      <c r="L144" s="391" t="inlineStr">
        <is>
          <t> </t>
        </is>
      </c>
      <c r="M144" s="391" t="inlineStr">
        <is>
          <t> </t>
        </is>
      </c>
      <c r="N144" s="391" t="inlineStr">
        <is>
          <t> </t>
        </is>
      </c>
      <c r="O144" s="391" t="inlineStr">
        <is>
          <t> </t>
        </is>
      </c>
      <c r="P144" s="391" t="inlineStr">
        <is>
          <t> </t>
        </is>
      </c>
      <c r="Q144" s="391" t="inlineStr">
        <is>
          <t> </t>
        </is>
      </c>
      <c r="R144" s="38" t="inlineStr">
        <is>
          <t> </t>
        </is>
      </c>
      <c r="S144" s="391" t="inlineStr">
        <is>
          <t> </t>
        </is>
      </c>
      <c r="T144" s="391" t="inlineStr">
        <is>
          <t> </t>
        </is>
      </c>
      <c r="U144" s="391" t="inlineStr">
        <is>
          <t> </t>
        </is>
      </c>
      <c r="V144" s="391" t="inlineStr">
        <is>
          <t> </t>
        </is>
      </c>
      <c r="W144" s="391" t="inlineStr">
        <is>
          <t> </t>
        </is>
      </c>
      <c r="X144" s="391" t="inlineStr">
        <is>
          <t> </t>
        </is>
      </c>
      <c r="Y144" s="392" t="inlineStr">
        <is>
          <t> </t>
        </is>
      </c>
      <c r="Z144" s="391" t="inlineStr">
        <is>
          <t> </t>
        </is>
      </c>
      <c r="AA144" s="391" t="inlineStr">
        <is>
          <t> </t>
        </is>
      </c>
      <c r="AB144" s="391" t="inlineStr">
        <is>
          <t> </t>
        </is>
      </c>
      <c r="AC144" s="391" t="inlineStr">
        <is>
          <t> </t>
        </is>
      </c>
      <c r="AD144" s="391" t="inlineStr">
        <is>
          <t> </t>
        </is>
      </c>
      <c r="AE144" s="391" t="inlineStr">
        <is>
          <t> </t>
        </is>
      </c>
      <c r="AF144" s="38" t="inlineStr">
        <is>
          <t> </t>
        </is>
      </c>
      <c r="AG144" s="391" t="inlineStr">
        <is>
          <t> </t>
        </is>
      </c>
      <c r="AH144" s="391" t="n"/>
      <c r="AI144" s="391" t="inlineStr">
        <is>
          <t> </t>
        </is>
      </c>
      <c r="AJ144" s="391" t="inlineStr">
        <is>
          <t> </t>
        </is>
      </c>
      <c r="AK144" s="391" t="inlineStr">
        <is>
          <t> </t>
        </is>
      </c>
      <c r="AL144" s="391" t="inlineStr">
        <is>
          <t> </t>
        </is>
      </c>
      <c r="AM144" s="391" t="inlineStr">
        <is>
          <t> </t>
        </is>
      </c>
      <c r="AN144" s="391" t="inlineStr">
        <is>
          <t> </t>
        </is>
      </c>
      <c r="AO144" s="391" t="n"/>
      <c r="AP144" s="319" t="n"/>
      <c r="AQ144" s="319" t="n"/>
      <c r="AR144" s="319" t="n"/>
    </row>
    <row r="145" ht="15.75" customHeight="1" s="1264">
      <c r="A145" s="319" t="inlineStr">
        <is>
          <t> </t>
        </is>
      </c>
      <c r="B145" s="319" t="inlineStr">
        <is>
          <t> </t>
        </is>
      </c>
      <c r="C145" s="319" t="inlineStr">
        <is>
          <t> </t>
        </is>
      </c>
      <c r="D145" s="38" t="inlineStr">
        <is>
          <t> </t>
        </is>
      </c>
      <c r="E145" s="391" t="inlineStr">
        <is>
          <t> </t>
        </is>
      </c>
      <c r="F145" s="391" t="inlineStr">
        <is>
          <t> </t>
        </is>
      </c>
      <c r="G145" s="391" t="inlineStr">
        <is>
          <t> </t>
        </is>
      </c>
      <c r="H145" s="391" t="inlineStr">
        <is>
          <t> </t>
        </is>
      </c>
      <c r="I145" s="391" t="inlineStr">
        <is>
          <t> </t>
        </is>
      </c>
      <c r="J145" s="391" t="inlineStr">
        <is>
          <t> </t>
        </is>
      </c>
      <c r="K145" s="38" t="inlineStr">
        <is>
          <t> </t>
        </is>
      </c>
      <c r="L145" s="391" t="inlineStr">
        <is>
          <t> </t>
        </is>
      </c>
      <c r="M145" s="391" t="inlineStr">
        <is>
          <t> </t>
        </is>
      </c>
      <c r="N145" s="391" t="inlineStr">
        <is>
          <t> </t>
        </is>
      </c>
      <c r="O145" s="391" t="inlineStr">
        <is>
          <t> </t>
        </is>
      </c>
      <c r="P145" s="391" t="inlineStr">
        <is>
          <t> </t>
        </is>
      </c>
      <c r="Q145" s="391" t="inlineStr">
        <is>
          <t> </t>
        </is>
      </c>
      <c r="R145" s="38" t="inlineStr">
        <is>
          <t> </t>
        </is>
      </c>
      <c r="S145" s="391" t="inlineStr">
        <is>
          <t> </t>
        </is>
      </c>
      <c r="T145" s="391" t="inlineStr">
        <is>
          <t> </t>
        </is>
      </c>
      <c r="U145" s="391" t="inlineStr">
        <is>
          <t> </t>
        </is>
      </c>
      <c r="V145" s="391" t="inlineStr">
        <is>
          <t> </t>
        </is>
      </c>
      <c r="W145" s="391" t="inlineStr">
        <is>
          <t> </t>
        </is>
      </c>
      <c r="X145" s="391" t="inlineStr">
        <is>
          <t> </t>
        </is>
      </c>
      <c r="Y145" s="392" t="inlineStr">
        <is>
          <t> </t>
        </is>
      </c>
      <c r="Z145" s="391" t="inlineStr">
        <is>
          <t> </t>
        </is>
      </c>
      <c r="AA145" s="391" t="inlineStr">
        <is>
          <t> </t>
        </is>
      </c>
      <c r="AB145" s="391" t="inlineStr">
        <is>
          <t> </t>
        </is>
      </c>
      <c r="AC145" s="391" t="inlineStr">
        <is>
          <t> </t>
        </is>
      </c>
      <c r="AD145" s="391" t="inlineStr">
        <is>
          <t> </t>
        </is>
      </c>
      <c r="AE145" s="391" t="inlineStr">
        <is>
          <t> </t>
        </is>
      </c>
      <c r="AF145" s="38" t="inlineStr">
        <is>
          <t> </t>
        </is>
      </c>
      <c r="AG145" s="391" t="inlineStr">
        <is>
          <t> </t>
        </is>
      </c>
      <c r="AH145" s="391" t="n"/>
      <c r="AI145" s="391" t="inlineStr">
        <is>
          <t> </t>
        </is>
      </c>
      <c r="AJ145" s="391" t="inlineStr">
        <is>
          <t> </t>
        </is>
      </c>
      <c r="AK145" s="391" t="inlineStr">
        <is>
          <t> </t>
        </is>
      </c>
      <c r="AL145" s="391" t="inlineStr">
        <is>
          <t> </t>
        </is>
      </c>
      <c r="AM145" s="391" t="inlineStr">
        <is>
          <t> </t>
        </is>
      </c>
      <c r="AN145" s="391" t="inlineStr">
        <is>
          <t> </t>
        </is>
      </c>
      <c r="AO145" s="391" t="n"/>
      <c r="AP145" s="319" t="n"/>
      <c r="AQ145" s="319" t="n"/>
      <c r="AR145" s="319" t="n"/>
    </row>
    <row r="146" ht="15.75" customHeight="1" s="1264">
      <c r="A146" s="319" t="inlineStr">
        <is>
          <t> </t>
        </is>
      </c>
      <c r="B146" s="319" t="inlineStr">
        <is>
          <t> </t>
        </is>
      </c>
      <c r="C146" s="319" t="inlineStr">
        <is>
          <t> </t>
        </is>
      </c>
      <c r="D146" s="38" t="inlineStr">
        <is>
          <t> </t>
        </is>
      </c>
      <c r="E146" s="391" t="inlineStr">
        <is>
          <t> </t>
        </is>
      </c>
      <c r="F146" s="391" t="inlineStr">
        <is>
          <t> </t>
        </is>
      </c>
      <c r="G146" s="391" t="inlineStr">
        <is>
          <t> </t>
        </is>
      </c>
      <c r="H146" s="391" t="inlineStr">
        <is>
          <t> </t>
        </is>
      </c>
      <c r="I146" s="391" t="inlineStr">
        <is>
          <t> </t>
        </is>
      </c>
      <c r="J146" s="391" t="inlineStr">
        <is>
          <t> </t>
        </is>
      </c>
      <c r="K146" s="38" t="inlineStr">
        <is>
          <t> </t>
        </is>
      </c>
      <c r="L146" s="391" t="inlineStr">
        <is>
          <t> </t>
        </is>
      </c>
      <c r="M146" s="391" t="inlineStr">
        <is>
          <t> </t>
        </is>
      </c>
      <c r="N146" s="391" t="inlineStr">
        <is>
          <t> </t>
        </is>
      </c>
      <c r="O146" s="391" t="inlineStr">
        <is>
          <t> </t>
        </is>
      </c>
      <c r="P146" s="391" t="inlineStr">
        <is>
          <t> </t>
        </is>
      </c>
      <c r="Q146" s="391" t="inlineStr">
        <is>
          <t> </t>
        </is>
      </c>
      <c r="R146" s="38" t="inlineStr">
        <is>
          <t> </t>
        </is>
      </c>
      <c r="S146" s="391" t="inlineStr">
        <is>
          <t> </t>
        </is>
      </c>
      <c r="T146" s="391" t="inlineStr">
        <is>
          <t> </t>
        </is>
      </c>
      <c r="U146" s="391" t="inlineStr">
        <is>
          <t> </t>
        </is>
      </c>
      <c r="V146" s="391" t="inlineStr">
        <is>
          <t> </t>
        </is>
      </c>
      <c r="W146" s="391" t="inlineStr">
        <is>
          <t> </t>
        </is>
      </c>
      <c r="X146" s="391" t="inlineStr">
        <is>
          <t> </t>
        </is>
      </c>
      <c r="Y146" s="392" t="inlineStr">
        <is>
          <t> </t>
        </is>
      </c>
      <c r="Z146" s="391" t="inlineStr">
        <is>
          <t> </t>
        </is>
      </c>
      <c r="AA146" s="391" t="inlineStr">
        <is>
          <t> </t>
        </is>
      </c>
      <c r="AB146" s="391" t="inlineStr">
        <is>
          <t> </t>
        </is>
      </c>
      <c r="AC146" s="391" t="inlineStr">
        <is>
          <t> </t>
        </is>
      </c>
      <c r="AD146" s="391" t="inlineStr">
        <is>
          <t> </t>
        </is>
      </c>
      <c r="AE146" s="391" t="inlineStr">
        <is>
          <t> </t>
        </is>
      </c>
      <c r="AF146" s="38" t="inlineStr">
        <is>
          <t> </t>
        </is>
      </c>
      <c r="AG146" s="391" t="inlineStr">
        <is>
          <t> </t>
        </is>
      </c>
      <c r="AH146" s="391" t="n"/>
      <c r="AI146" s="391" t="inlineStr">
        <is>
          <t> </t>
        </is>
      </c>
      <c r="AJ146" s="391" t="inlineStr">
        <is>
          <t> </t>
        </is>
      </c>
      <c r="AK146" s="391" t="inlineStr">
        <is>
          <t> </t>
        </is>
      </c>
      <c r="AL146" s="391" t="inlineStr">
        <is>
          <t> </t>
        </is>
      </c>
      <c r="AM146" s="391" t="inlineStr">
        <is>
          <t> </t>
        </is>
      </c>
      <c r="AN146" s="391" t="inlineStr">
        <is>
          <t> </t>
        </is>
      </c>
      <c r="AO146" s="391" t="n"/>
      <c r="AP146" s="319" t="n"/>
      <c r="AQ146" s="319" t="n"/>
      <c r="AR146" s="319" t="n"/>
    </row>
    <row r="147" ht="15.75" customHeight="1" s="1264">
      <c r="A147" s="319" t="inlineStr">
        <is>
          <t> </t>
        </is>
      </c>
      <c r="B147" s="319" t="inlineStr">
        <is>
          <t> </t>
        </is>
      </c>
      <c r="C147" s="319" t="inlineStr">
        <is>
          <t> </t>
        </is>
      </c>
      <c r="D147" s="38" t="inlineStr">
        <is>
          <t> </t>
        </is>
      </c>
      <c r="E147" s="391" t="inlineStr">
        <is>
          <t> </t>
        </is>
      </c>
      <c r="F147" s="391" t="inlineStr">
        <is>
          <t> </t>
        </is>
      </c>
      <c r="G147" s="391" t="inlineStr">
        <is>
          <t> </t>
        </is>
      </c>
      <c r="H147" s="391" t="inlineStr">
        <is>
          <t> </t>
        </is>
      </c>
      <c r="I147" s="391" t="inlineStr">
        <is>
          <t> </t>
        </is>
      </c>
      <c r="J147" s="391" t="inlineStr">
        <is>
          <t> </t>
        </is>
      </c>
      <c r="K147" s="38" t="inlineStr">
        <is>
          <t> </t>
        </is>
      </c>
      <c r="L147" s="391" t="inlineStr">
        <is>
          <t> </t>
        </is>
      </c>
      <c r="M147" s="391" t="inlineStr">
        <is>
          <t> </t>
        </is>
      </c>
      <c r="N147" s="391" t="inlineStr">
        <is>
          <t> </t>
        </is>
      </c>
      <c r="O147" s="391" t="inlineStr">
        <is>
          <t> </t>
        </is>
      </c>
      <c r="P147" s="391" t="inlineStr">
        <is>
          <t> </t>
        </is>
      </c>
      <c r="Q147" s="391" t="inlineStr">
        <is>
          <t> </t>
        </is>
      </c>
      <c r="R147" s="38" t="inlineStr">
        <is>
          <t> </t>
        </is>
      </c>
      <c r="S147" s="391" t="inlineStr">
        <is>
          <t> </t>
        </is>
      </c>
      <c r="T147" s="391" t="inlineStr">
        <is>
          <t> </t>
        </is>
      </c>
      <c r="U147" s="391" t="inlineStr">
        <is>
          <t> </t>
        </is>
      </c>
      <c r="V147" s="391" t="inlineStr">
        <is>
          <t> </t>
        </is>
      </c>
      <c r="W147" s="391" t="inlineStr">
        <is>
          <t> </t>
        </is>
      </c>
      <c r="X147" s="391" t="inlineStr">
        <is>
          <t> </t>
        </is>
      </c>
      <c r="Y147" s="392" t="inlineStr">
        <is>
          <t> </t>
        </is>
      </c>
      <c r="Z147" s="391" t="inlineStr">
        <is>
          <t> </t>
        </is>
      </c>
      <c r="AA147" s="391" t="inlineStr">
        <is>
          <t> </t>
        </is>
      </c>
      <c r="AB147" s="391" t="inlineStr">
        <is>
          <t> </t>
        </is>
      </c>
      <c r="AC147" s="391" t="inlineStr">
        <is>
          <t> </t>
        </is>
      </c>
      <c r="AD147" s="391" t="inlineStr">
        <is>
          <t> </t>
        </is>
      </c>
      <c r="AE147" s="391" t="inlineStr">
        <is>
          <t> </t>
        </is>
      </c>
      <c r="AF147" s="38" t="inlineStr">
        <is>
          <t> </t>
        </is>
      </c>
      <c r="AG147" s="391" t="inlineStr">
        <is>
          <t> </t>
        </is>
      </c>
      <c r="AH147" s="391" t="n"/>
      <c r="AI147" s="391" t="inlineStr">
        <is>
          <t> </t>
        </is>
      </c>
      <c r="AJ147" s="391" t="inlineStr">
        <is>
          <t> </t>
        </is>
      </c>
      <c r="AK147" s="391" t="inlineStr">
        <is>
          <t> </t>
        </is>
      </c>
      <c r="AL147" s="391" t="inlineStr">
        <is>
          <t> </t>
        </is>
      </c>
      <c r="AM147" s="391" t="inlineStr">
        <is>
          <t> </t>
        </is>
      </c>
      <c r="AN147" s="391" t="inlineStr">
        <is>
          <t> </t>
        </is>
      </c>
      <c r="AO147" s="391" t="n"/>
      <c r="AP147" s="319" t="n"/>
      <c r="AQ147" s="319" t="n"/>
      <c r="AR147" s="319" t="n"/>
    </row>
    <row r="148" ht="15.75" customHeight="1" s="1264">
      <c r="A148" s="319" t="inlineStr">
        <is>
          <t> </t>
        </is>
      </c>
      <c r="B148" s="319" t="inlineStr">
        <is>
          <t> </t>
        </is>
      </c>
      <c r="C148" s="319" t="inlineStr">
        <is>
          <t> </t>
        </is>
      </c>
      <c r="D148" s="38" t="inlineStr">
        <is>
          <t> </t>
        </is>
      </c>
      <c r="E148" s="391" t="inlineStr">
        <is>
          <t> </t>
        </is>
      </c>
      <c r="F148" s="391" t="inlineStr">
        <is>
          <t> </t>
        </is>
      </c>
      <c r="G148" s="391" t="inlineStr">
        <is>
          <t> </t>
        </is>
      </c>
      <c r="H148" s="391" t="inlineStr">
        <is>
          <t> </t>
        </is>
      </c>
      <c r="I148" s="391" t="inlineStr">
        <is>
          <t> </t>
        </is>
      </c>
      <c r="J148" s="391" t="inlineStr">
        <is>
          <t> </t>
        </is>
      </c>
      <c r="K148" s="38" t="inlineStr">
        <is>
          <t> </t>
        </is>
      </c>
      <c r="L148" s="391" t="inlineStr">
        <is>
          <t> </t>
        </is>
      </c>
      <c r="M148" s="391" t="inlineStr">
        <is>
          <t> </t>
        </is>
      </c>
      <c r="N148" s="391" t="inlineStr">
        <is>
          <t> </t>
        </is>
      </c>
      <c r="O148" s="391" t="inlineStr">
        <is>
          <t> </t>
        </is>
      </c>
      <c r="P148" s="391" t="inlineStr">
        <is>
          <t> </t>
        </is>
      </c>
      <c r="Q148" s="391" t="inlineStr">
        <is>
          <t> </t>
        </is>
      </c>
      <c r="R148" s="38" t="inlineStr">
        <is>
          <t> </t>
        </is>
      </c>
      <c r="S148" s="391" t="inlineStr">
        <is>
          <t> </t>
        </is>
      </c>
      <c r="T148" s="391" t="inlineStr">
        <is>
          <t> </t>
        </is>
      </c>
      <c r="U148" s="391" t="inlineStr">
        <is>
          <t> </t>
        </is>
      </c>
      <c r="V148" s="391" t="inlineStr">
        <is>
          <t> </t>
        </is>
      </c>
      <c r="W148" s="391" t="inlineStr">
        <is>
          <t> </t>
        </is>
      </c>
      <c r="X148" s="391" t="inlineStr">
        <is>
          <t> </t>
        </is>
      </c>
      <c r="Y148" s="392" t="inlineStr">
        <is>
          <t> </t>
        </is>
      </c>
      <c r="Z148" s="391" t="inlineStr">
        <is>
          <t> </t>
        </is>
      </c>
      <c r="AA148" s="391" t="inlineStr">
        <is>
          <t> </t>
        </is>
      </c>
      <c r="AB148" s="391" t="inlineStr">
        <is>
          <t> </t>
        </is>
      </c>
      <c r="AC148" s="391" t="inlineStr">
        <is>
          <t> </t>
        </is>
      </c>
      <c r="AD148" s="391" t="inlineStr">
        <is>
          <t> </t>
        </is>
      </c>
      <c r="AE148" s="391" t="inlineStr">
        <is>
          <t> </t>
        </is>
      </c>
      <c r="AF148" s="38" t="inlineStr">
        <is>
          <t> </t>
        </is>
      </c>
      <c r="AG148" s="391" t="inlineStr">
        <is>
          <t> </t>
        </is>
      </c>
      <c r="AH148" s="391" t="n"/>
      <c r="AI148" s="391" t="inlineStr">
        <is>
          <t> </t>
        </is>
      </c>
      <c r="AJ148" s="391" t="inlineStr">
        <is>
          <t> </t>
        </is>
      </c>
      <c r="AK148" s="391" t="inlineStr">
        <is>
          <t> </t>
        </is>
      </c>
      <c r="AL148" s="391" t="inlineStr">
        <is>
          <t> </t>
        </is>
      </c>
      <c r="AM148" s="391" t="inlineStr">
        <is>
          <t> </t>
        </is>
      </c>
      <c r="AN148" s="391" t="inlineStr">
        <is>
          <t> </t>
        </is>
      </c>
      <c r="AO148" s="391" t="n"/>
      <c r="AP148" s="319" t="n"/>
      <c r="AQ148" s="319" t="n"/>
      <c r="AR148" s="319" t="n"/>
    </row>
    <row r="149" ht="15.75" customHeight="1" s="1264">
      <c r="A149" s="319" t="inlineStr">
        <is>
          <t> </t>
        </is>
      </c>
      <c r="B149" s="319" t="inlineStr">
        <is>
          <t> </t>
        </is>
      </c>
      <c r="C149" s="319" t="inlineStr">
        <is>
          <t> </t>
        </is>
      </c>
      <c r="D149" s="38" t="inlineStr">
        <is>
          <t> </t>
        </is>
      </c>
      <c r="E149" s="391" t="inlineStr">
        <is>
          <t> </t>
        </is>
      </c>
      <c r="F149" s="391" t="inlineStr">
        <is>
          <t> </t>
        </is>
      </c>
      <c r="G149" s="391" t="inlineStr">
        <is>
          <t> </t>
        </is>
      </c>
      <c r="H149" s="391" t="inlineStr">
        <is>
          <t> </t>
        </is>
      </c>
      <c r="I149" s="391" t="inlineStr">
        <is>
          <t> </t>
        </is>
      </c>
      <c r="J149" s="391" t="inlineStr">
        <is>
          <t> </t>
        </is>
      </c>
      <c r="K149" s="38" t="inlineStr">
        <is>
          <t> </t>
        </is>
      </c>
      <c r="L149" s="391" t="inlineStr">
        <is>
          <t> </t>
        </is>
      </c>
      <c r="M149" s="391" t="inlineStr">
        <is>
          <t> </t>
        </is>
      </c>
      <c r="N149" s="391" t="inlineStr">
        <is>
          <t> </t>
        </is>
      </c>
      <c r="O149" s="391" t="inlineStr">
        <is>
          <t> </t>
        </is>
      </c>
      <c r="P149" s="391" t="inlineStr">
        <is>
          <t> </t>
        </is>
      </c>
      <c r="Q149" s="391" t="inlineStr">
        <is>
          <t> </t>
        </is>
      </c>
      <c r="R149" s="38" t="inlineStr">
        <is>
          <t> </t>
        </is>
      </c>
      <c r="S149" s="391" t="inlineStr">
        <is>
          <t> </t>
        </is>
      </c>
      <c r="T149" s="391" t="inlineStr">
        <is>
          <t> </t>
        </is>
      </c>
      <c r="U149" s="391" t="inlineStr">
        <is>
          <t> </t>
        </is>
      </c>
      <c r="V149" s="391" t="inlineStr">
        <is>
          <t> </t>
        </is>
      </c>
      <c r="W149" s="391" t="inlineStr">
        <is>
          <t> </t>
        </is>
      </c>
      <c r="X149" s="391" t="inlineStr">
        <is>
          <t> </t>
        </is>
      </c>
      <c r="Y149" s="392" t="inlineStr">
        <is>
          <t> </t>
        </is>
      </c>
      <c r="Z149" s="391" t="inlineStr">
        <is>
          <t> </t>
        </is>
      </c>
      <c r="AA149" s="391" t="inlineStr">
        <is>
          <t> </t>
        </is>
      </c>
      <c r="AB149" s="391" t="inlineStr">
        <is>
          <t> </t>
        </is>
      </c>
      <c r="AC149" s="391" t="inlineStr">
        <is>
          <t> </t>
        </is>
      </c>
      <c r="AD149" s="391" t="inlineStr">
        <is>
          <t> </t>
        </is>
      </c>
      <c r="AE149" s="391" t="inlineStr">
        <is>
          <t> </t>
        </is>
      </c>
      <c r="AF149" s="38" t="inlineStr">
        <is>
          <t> </t>
        </is>
      </c>
      <c r="AG149" s="391" t="inlineStr">
        <is>
          <t> </t>
        </is>
      </c>
      <c r="AH149" s="391" t="n"/>
      <c r="AI149" s="391" t="inlineStr">
        <is>
          <t> </t>
        </is>
      </c>
      <c r="AJ149" s="391" t="inlineStr">
        <is>
          <t> </t>
        </is>
      </c>
      <c r="AK149" s="391" t="inlineStr">
        <is>
          <t> </t>
        </is>
      </c>
      <c r="AL149" s="391" t="inlineStr">
        <is>
          <t> </t>
        </is>
      </c>
      <c r="AM149" s="391" t="inlineStr">
        <is>
          <t> </t>
        </is>
      </c>
      <c r="AN149" s="391" t="inlineStr">
        <is>
          <t> </t>
        </is>
      </c>
      <c r="AO149" s="391" t="n"/>
      <c r="AP149" s="319" t="n"/>
      <c r="AQ149" s="319" t="n"/>
      <c r="AR149" s="319" t="n"/>
    </row>
    <row r="150" ht="15.75" customHeight="1" s="1264">
      <c r="A150" s="319" t="inlineStr">
        <is>
          <t> </t>
        </is>
      </c>
      <c r="B150" s="319" t="inlineStr">
        <is>
          <t> </t>
        </is>
      </c>
      <c r="C150" s="319" t="inlineStr">
        <is>
          <t> </t>
        </is>
      </c>
      <c r="D150" s="38" t="inlineStr">
        <is>
          <t> </t>
        </is>
      </c>
      <c r="E150" s="391" t="inlineStr">
        <is>
          <t> </t>
        </is>
      </c>
      <c r="F150" s="391" t="inlineStr">
        <is>
          <t> </t>
        </is>
      </c>
      <c r="G150" s="391" t="inlineStr">
        <is>
          <t> </t>
        </is>
      </c>
      <c r="H150" s="391" t="inlineStr">
        <is>
          <t> </t>
        </is>
      </c>
      <c r="I150" s="391" t="inlineStr">
        <is>
          <t> </t>
        </is>
      </c>
      <c r="J150" s="391" t="inlineStr">
        <is>
          <t> </t>
        </is>
      </c>
      <c r="K150" s="38" t="inlineStr">
        <is>
          <t> </t>
        </is>
      </c>
      <c r="L150" s="391" t="inlineStr">
        <is>
          <t> </t>
        </is>
      </c>
      <c r="M150" s="391" t="inlineStr">
        <is>
          <t> </t>
        </is>
      </c>
      <c r="N150" s="391" t="inlineStr">
        <is>
          <t> </t>
        </is>
      </c>
      <c r="O150" s="391" t="inlineStr">
        <is>
          <t> </t>
        </is>
      </c>
      <c r="P150" s="391" t="inlineStr">
        <is>
          <t> </t>
        </is>
      </c>
      <c r="Q150" s="391" t="inlineStr">
        <is>
          <t> </t>
        </is>
      </c>
      <c r="R150" s="38" t="inlineStr">
        <is>
          <t> </t>
        </is>
      </c>
      <c r="S150" s="391" t="inlineStr">
        <is>
          <t> </t>
        </is>
      </c>
      <c r="T150" s="391" t="inlineStr">
        <is>
          <t> </t>
        </is>
      </c>
      <c r="U150" s="391" t="inlineStr">
        <is>
          <t> </t>
        </is>
      </c>
      <c r="V150" s="391" t="inlineStr">
        <is>
          <t> </t>
        </is>
      </c>
      <c r="W150" s="391" t="inlineStr">
        <is>
          <t> </t>
        </is>
      </c>
      <c r="X150" s="391" t="inlineStr">
        <is>
          <t> </t>
        </is>
      </c>
      <c r="Y150" s="392" t="inlineStr">
        <is>
          <t> </t>
        </is>
      </c>
      <c r="Z150" s="391" t="inlineStr">
        <is>
          <t> </t>
        </is>
      </c>
      <c r="AA150" s="391" t="inlineStr">
        <is>
          <t> </t>
        </is>
      </c>
      <c r="AB150" s="391" t="inlineStr">
        <is>
          <t> </t>
        </is>
      </c>
      <c r="AC150" s="391" t="inlineStr">
        <is>
          <t> </t>
        </is>
      </c>
      <c r="AD150" s="391" t="inlineStr">
        <is>
          <t> </t>
        </is>
      </c>
      <c r="AE150" s="391" t="inlineStr">
        <is>
          <t> </t>
        </is>
      </c>
      <c r="AF150" s="38" t="inlineStr">
        <is>
          <t> </t>
        </is>
      </c>
      <c r="AG150" s="391" t="inlineStr">
        <is>
          <t> </t>
        </is>
      </c>
      <c r="AH150" s="391" t="n"/>
      <c r="AI150" s="391" t="inlineStr">
        <is>
          <t> </t>
        </is>
      </c>
      <c r="AJ150" s="391" t="inlineStr">
        <is>
          <t> </t>
        </is>
      </c>
      <c r="AK150" s="391" t="inlineStr">
        <is>
          <t> </t>
        </is>
      </c>
      <c r="AL150" s="391" t="inlineStr">
        <is>
          <t> </t>
        </is>
      </c>
      <c r="AM150" s="391" t="inlineStr">
        <is>
          <t> </t>
        </is>
      </c>
      <c r="AN150" s="391" t="inlineStr">
        <is>
          <t> </t>
        </is>
      </c>
      <c r="AO150" s="391" t="n"/>
      <c r="AP150" s="319" t="n"/>
      <c r="AQ150" s="319" t="n"/>
      <c r="AR150" s="319" t="n"/>
    </row>
    <row r="151" ht="15.75" customHeight="1" s="1264">
      <c r="A151" s="319" t="inlineStr">
        <is>
          <t> </t>
        </is>
      </c>
      <c r="B151" s="319" t="inlineStr">
        <is>
          <t> </t>
        </is>
      </c>
      <c r="C151" s="319" t="inlineStr">
        <is>
          <t> </t>
        </is>
      </c>
      <c r="D151" s="38" t="inlineStr">
        <is>
          <t> </t>
        </is>
      </c>
      <c r="E151" s="391" t="inlineStr">
        <is>
          <t> </t>
        </is>
      </c>
      <c r="F151" s="391" t="inlineStr">
        <is>
          <t> </t>
        </is>
      </c>
      <c r="G151" s="391" t="inlineStr">
        <is>
          <t> </t>
        </is>
      </c>
      <c r="H151" s="391" t="inlineStr">
        <is>
          <t> </t>
        </is>
      </c>
      <c r="I151" s="391" t="inlineStr">
        <is>
          <t> </t>
        </is>
      </c>
      <c r="J151" s="391" t="inlineStr">
        <is>
          <t> </t>
        </is>
      </c>
      <c r="K151" s="38" t="inlineStr">
        <is>
          <t> </t>
        </is>
      </c>
      <c r="L151" s="391" t="inlineStr">
        <is>
          <t> </t>
        </is>
      </c>
      <c r="M151" s="391" t="inlineStr">
        <is>
          <t> </t>
        </is>
      </c>
      <c r="N151" s="391" t="inlineStr">
        <is>
          <t> </t>
        </is>
      </c>
      <c r="O151" s="391" t="inlineStr">
        <is>
          <t> </t>
        </is>
      </c>
      <c r="P151" s="391" t="inlineStr">
        <is>
          <t> </t>
        </is>
      </c>
      <c r="Q151" s="391" t="inlineStr">
        <is>
          <t> </t>
        </is>
      </c>
      <c r="R151" s="38" t="inlineStr">
        <is>
          <t> </t>
        </is>
      </c>
      <c r="S151" s="391" t="inlineStr">
        <is>
          <t> </t>
        </is>
      </c>
      <c r="T151" s="391" t="inlineStr">
        <is>
          <t> </t>
        </is>
      </c>
      <c r="U151" s="391" t="inlineStr">
        <is>
          <t> </t>
        </is>
      </c>
      <c r="V151" s="391" t="inlineStr">
        <is>
          <t> </t>
        </is>
      </c>
      <c r="W151" s="391" t="inlineStr">
        <is>
          <t> </t>
        </is>
      </c>
      <c r="X151" s="391" t="inlineStr">
        <is>
          <t> </t>
        </is>
      </c>
      <c r="Y151" s="392" t="inlineStr">
        <is>
          <t> </t>
        </is>
      </c>
      <c r="Z151" s="391" t="inlineStr">
        <is>
          <t> </t>
        </is>
      </c>
      <c r="AA151" s="391" t="inlineStr">
        <is>
          <t> </t>
        </is>
      </c>
      <c r="AB151" s="391" t="inlineStr">
        <is>
          <t> </t>
        </is>
      </c>
      <c r="AC151" s="391" t="inlineStr">
        <is>
          <t> </t>
        </is>
      </c>
      <c r="AD151" s="391" t="inlineStr">
        <is>
          <t> </t>
        </is>
      </c>
      <c r="AE151" s="391" t="inlineStr">
        <is>
          <t> </t>
        </is>
      </c>
      <c r="AF151" s="38" t="inlineStr">
        <is>
          <t> </t>
        </is>
      </c>
      <c r="AG151" s="391" t="inlineStr">
        <is>
          <t> </t>
        </is>
      </c>
      <c r="AH151" s="391" t="n"/>
      <c r="AI151" s="391" t="inlineStr">
        <is>
          <t> </t>
        </is>
      </c>
      <c r="AJ151" s="391" t="inlineStr">
        <is>
          <t> </t>
        </is>
      </c>
      <c r="AK151" s="391" t="inlineStr">
        <is>
          <t> </t>
        </is>
      </c>
      <c r="AL151" s="391" t="inlineStr">
        <is>
          <t> </t>
        </is>
      </c>
      <c r="AM151" s="391" t="inlineStr">
        <is>
          <t> </t>
        </is>
      </c>
      <c r="AN151" s="391" t="inlineStr">
        <is>
          <t> </t>
        </is>
      </c>
      <c r="AO151" s="391" t="n"/>
      <c r="AP151" s="319" t="n"/>
      <c r="AQ151" s="319" t="n"/>
      <c r="AR151" s="319" t="n"/>
    </row>
    <row r="152" ht="15.75" customHeight="1" s="1264">
      <c r="A152" s="319" t="inlineStr">
        <is>
          <t> </t>
        </is>
      </c>
      <c r="B152" s="319" t="inlineStr">
        <is>
          <t> </t>
        </is>
      </c>
      <c r="C152" s="319" t="inlineStr">
        <is>
          <t> </t>
        </is>
      </c>
      <c r="D152" s="38" t="inlineStr">
        <is>
          <t> </t>
        </is>
      </c>
      <c r="E152" s="391" t="inlineStr">
        <is>
          <t> </t>
        </is>
      </c>
      <c r="F152" s="391" t="inlineStr">
        <is>
          <t> </t>
        </is>
      </c>
      <c r="G152" s="391" t="inlineStr">
        <is>
          <t> </t>
        </is>
      </c>
      <c r="H152" s="391" t="inlineStr">
        <is>
          <t> </t>
        </is>
      </c>
      <c r="I152" s="391" t="inlineStr">
        <is>
          <t> </t>
        </is>
      </c>
      <c r="J152" s="391" t="inlineStr">
        <is>
          <t> </t>
        </is>
      </c>
      <c r="K152" s="38" t="inlineStr">
        <is>
          <t> </t>
        </is>
      </c>
      <c r="L152" s="391" t="inlineStr">
        <is>
          <t> </t>
        </is>
      </c>
      <c r="M152" s="391" t="inlineStr">
        <is>
          <t> </t>
        </is>
      </c>
      <c r="N152" s="391" t="inlineStr">
        <is>
          <t> </t>
        </is>
      </c>
      <c r="O152" s="391" t="inlineStr">
        <is>
          <t> </t>
        </is>
      </c>
      <c r="P152" s="391" t="inlineStr">
        <is>
          <t> </t>
        </is>
      </c>
      <c r="Q152" s="391" t="inlineStr">
        <is>
          <t> </t>
        </is>
      </c>
      <c r="R152" s="38" t="inlineStr">
        <is>
          <t> </t>
        </is>
      </c>
      <c r="S152" s="391" t="inlineStr">
        <is>
          <t> </t>
        </is>
      </c>
      <c r="T152" s="391" t="inlineStr">
        <is>
          <t> </t>
        </is>
      </c>
      <c r="U152" s="391" t="inlineStr">
        <is>
          <t> </t>
        </is>
      </c>
      <c r="V152" s="391" t="inlineStr">
        <is>
          <t> </t>
        </is>
      </c>
      <c r="W152" s="391" t="inlineStr">
        <is>
          <t> </t>
        </is>
      </c>
      <c r="X152" s="391" t="inlineStr">
        <is>
          <t> </t>
        </is>
      </c>
      <c r="Y152" s="392" t="inlineStr">
        <is>
          <t> </t>
        </is>
      </c>
      <c r="Z152" s="391" t="inlineStr">
        <is>
          <t> </t>
        </is>
      </c>
      <c r="AA152" s="391" t="inlineStr">
        <is>
          <t> </t>
        </is>
      </c>
      <c r="AB152" s="391" t="inlineStr">
        <is>
          <t> </t>
        </is>
      </c>
      <c r="AC152" s="391" t="inlineStr">
        <is>
          <t> </t>
        </is>
      </c>
      <c r="AD152" s="391" t="inlineStr">
        <is>
          <t> </t>
        </is>
      </c>
      <c r="AE152" s="391" t="inlineStr">
        <is>
          <t> </t>
        </is>
      </c>
      <c r="AF152" s="38" t="inlineStr">
        <is>
          <t> </t>
        </is>
      </c>
      <c r="AG152" s="391" t="inlineStr">
        <is>
          <t> </t>
        </is>
      </c>
      <c r="AH152" s="391" t="n"/>
      <c r="AI152" s="391" t="inlineStr">
        <is>
          <t> </t>
        </is>
      </c>
      <c r="AJ152" s="391" t="inlineStr">
        <is>
          <t> </t>
        </is>
      </c>
      <c r="AK152" s="391" t="inlineStr">
        <is>
          <t> </t>
        </is>
      </c>
      <c r="AL152" s="391" t="inlineStr">
        <is>
          <t> </t>
        </is>
      </c>
      <c r="AM152" s="391" t="inlineStr">
        <is>
          <t> </t>
        </is>
      </c>
      <c r="AN152" s="391" t="inlineStr">
        <is>
          <t> </t>
        </is>
      </c>
      <c r="AO152" s="391" t="n"/>
      <c r="AP152" s="319" t="n"/>
      <c r="AQ152" s="319" t="n"/>
      <c r="AR152" s="319" t="n"/>
    </row>
    <row r="153" ht="15.75" customHeight="1" s="1264">
      <c r="A153" s="319" t="inlineStr">
        <is>
          <t> </t>
        </is>
      </c>
      <c r="B153" s="319" t="inlineStr">
        <is>
          <t> </t>
        </is>
      </c>
      <c r="C153" s="319" t="inlineStr">
        <is>
          <t> </t>
        </is>
      </c>
      <c r="D153" s="38" t="inlineStr">
        <is>
          <t> </t>
        </is>
      </c>
      <c r="E153" s="391" t="inlineStr">
        <is>
          <t> </t>
        </is>
      </c>
      <c r="F153" s="391" t="inlineStr">
        <is>
          <t> </t>
        </is>
      </c>
      <c r="G153" s="391" t="inlineStr">
        <is>
          <t> </t>
        </is>
      </c>
      <c r="H153" s="391" t="inlineStr">
        <is>
          <t> </t>
        </is>
      </c>
      <c r="I153" s="391" t="inlineStr">
        <is>
          <t> </t>
        </is>
      </c>
      <c r="J153" s="391" t="inlineStr">
        <is>
          <t> </t>
        </is>
      </c>
      <c r="K153" s="38" t="inlineStr">
        <is>
          <t> </t>
        </is>
      </c>
      <c r="L153" s="391" t="inlineStr">
        <is>
          <t> </t>
        </is>
      </c>
      <c r="M153" s="391" t="inlineStr">
        <is>
          <t> </t>
        </is>
      </c>
      <c r="N153" s="391" t="inlineStr">
        <is>
          <t> </t>
        </is>
      </c>
      <c r="O153" s="391" t="inlineStr">
        <is>
          <t> </t>
        </is>
      </c>
      <c r="P153" s="391" t="inlineStr">
        <is>
          <t> </t>
        </is>
      </c>
      <c r="Q153" s="391" t="inlineStr">
        <is>
          <t> </t>
        </is>
      </c>
      <c r="R153" s="38" t="inlineStr">
        <is>
          <t> </t>
        </is>
      </c>
      <c r="S153" s="391" t="inlineStr">
        <is>
          <t> </t>
        </is>
      </c>
      <c r="T153" s="391" t="inlineStr">
        <is>
          <t> </t>
        </is>
      </c>
      <c r="U153" s="391" t="inlineStr">
        <is>
          <t> </t>
        </is>
      </c>
      <c r="V153" s="391" t="inlineStr">
        <is>
          <t> </t>
        </is>
      </c>
      <c r="W153" s="391" t="inlineStr">
        <is>
          <t> </t>
        </is>
      </c>
      <c r="X153" s="391" t="inlineStr">
        <is>
          <t> </t>
        </is>
      </c>
      <c r="Y153" s="392" t="inlineStr">
        <is>
          <t> </t>
        </is>
      </c>
      <c r="Z153" s="391" t="inlineStr">
        <is>
          <t> </t>
        </is>
      </c>
      <c r="AA153" s="391" t="inlineStr">
        <is>
          <t> </t>
        </is>
      </c>
      <c r="AB153" s="391" t="inlineStr">
        <is>
          <t> </t>
        </is>
      </c>
      <c r="AC153" s="391" t="inlineStr">
        <is>
          <t> </t>
        </is>
      </c>
      <c r="AD153" s="391" t="inlineStr">
        <is>
          <t> </t>
        </is>
      </c>
      <c r="AE153" s="391" t="inlineStr">
        <is>
          <t> </t>
        </is>
      </c>
      <c r="AF153" s="38" t="inlineStr">
        <is>
          <t> </t>
        </is>
      </c>
      <c r="AG153" s="391" t="inlineStr">
        <is>
          <t> </t>
        </is>
      </c>
      <c r="AH153" s="391" t="n"/>
      <c r="AI153" s="391" t="inlineStr">
        <is>
          <t> </t>
        </is>
      </c>
      <c r="AJ153" s="391" t="inlineStr">
        <is>
          <t> </t>
        </is>
      </c>
      <c r="AK153" s="391" t="inlineStr">
        <is>
          <t> </t>
        </is>
      </c>
      <c r="AL153" s="391" t="inlineStr">
        <is>
          <t> </t>
        </is>
      </c>
      <c r="AM153" s="391" t="inlineStr">
        <is>
          <t> </t>
        </is>
      </c>
      <c r="AN153" s="391" t="inlineStr">
        <is>
          <t> </t>
        </is>
      </c>
      <c r="AO153" s="391" t="n"/>
      <c r="AP153" s="319" t="n"/>
      <c r="AQ153" s="319" t="n"/>
      <c r="AR153" s="319" t="n"/>
    </row>
    <row r="154" ht="15.75" customHeight="1" s="1264">
      <c r="A154" s="319" t="inlineStr">
        <is>
          <t> </t>
        </is>
      </c>
      <c r="B154" s="319" t="inlineStr">
        <is>
          <t> </t>
        </is>
      </c>
      <c r="C154" s="319" t="inlineStr">
        <is>
          <t> </t>
        </is>
      </c>
      <c r="D154" s="38" t="inlineStr">
        <is>
          <t> </t>
        </is>
      </c>
      <c r="E154" s="391" t="inlineStr">
        <is>
          <t> </t>
        </is>
      </c>
      <c r="F154" s="391" t="inlineStr">
        <is>
          <t> </t>
        </is>
      </c>
      <c r="G154" s="391" t="inlineStr">
        <is>
          <t> </t>
        </is>
      </c>
      <c r="H154" s="391" t="inlineStr">
        <is>
          <t> </t>
        </is>
      </c>
      <c r="I154" s="391" t="inlineStr">
        <is>
          <t> </t>
        </is>
      </c>
      <c r="J154" s="391" t="inlineStr">
        <is>
          <t> </t>
        </is>
      </c>
      <c r="K154" s="38" t="inlineStr">
        <is>
          <t> </t>
        </is>
      </c>
      <c r="L154" s="391" t="inlineStr">
        <is>
          <t> </t>
        </is>
      </c>
      <c r="M154" s="391" t="inlineStr">
        <is>
          <t> </t>
        </is>
      </c>
      <c r="N154" s="391" t="inlineStr">
        <is>
          <t> </t>
        </is>
      </c>
      <c r="O154" s="391" t="inlineStr">
        <is>
          <t> </t>
        </is>
      </c>
      <c r="P154" s="391" t="inlineStr">
        <is>
          <t> </t>
        </is>
      </c>
      <c r="Q154" s="391" t="inlineStr">
        <is>
          <t> </t>
        </is>
      </c>
      <c r="R154" s="38" t="inlineStr">
        <is>
          <t> </t>
        </is>
      </c>
      <c r="S154" s="391" t="inlineStr">
        <is>
          <t> </t>
        </is>
      </c>
      <c r="T154" s="391" t="inlineStr">
        <is>
          <t> </t>
        </is>
      </c>
      <c r="U154" s="391" t="inlineStr">
        <is>
          <t> </t>
        </is>
      </c>
      <c r="V154" s="391" t="inlineStr">
        <is>
          <t> </t>
        </is>
      </c>
      <c r="W154" s="391" t="inlineStr">
        <is>
          <t> </t>
        </is>
      </c>
      <c r="X154" s="391" t="inlineStr">
        <is>
          <t> </t>
        </is>
      </c>
      <c r="Y154" s="392" t="inlineStr">
        <is>
          <t> </t>
        </is>
      </c>
      <c r="Z154" s="391" t="inlineStr">
        <is>
          <t> </t>
        </is>
      </c>
      <c r="AA154" s="391" t="inlineStr">
        <is>
          <t> </t>
        </is>
      </c>
      <c r="AB154" s="391" t="inlineStr">
        <is>
          <t> </t>
        </is>
      </c>
      <c r="AC154" s="391" t="inlineStr">
        <is>
          <t> </t>
        </is>
      </c>
      <c r="AD154" s="391" t="inlineStr">
        <is>
          <t> </t>
        </is>
      </c>
      <c r="AE154" s="391" t="inlineStr">
        <is>
          <t> </t>
        </is>
      </c>
      <c r="AF154" s="38" t="inlineStr">
        <is>
          <t> </t>
        </is>
      </c>
      <c r="AG154" s="391" t="inlineStr">
        <is>
          <t> </t>
        </is>
      </c>
      <c r="AH154" s="391" t="n"/>
      <c r="AI154" s="391" t="inlineStr">
        <is>
          <t> </t>
        </is>
      </c>
      <c r="AJ154" s="391" t="inlineStr">
        <is>
          <t> </t>
        </is>
      </c>
      <c r="AK154" s="391" t="inlineStr">
        <is>
          <t> </t>
        </is>
      </c>
      <c r="AL154" s="391" t="inlineStr">
        <is>
          <t> </t>
        </is>
      </c>
      <c r="AM154" s="391" t="inlineStr">
        <is>
          <t> </t>
        </is>
      </c>
      <c r="AN154" s="391" t="inlineStr">
        <is>
          <t> </t>
        </is>
      </c>
      <c r="AO154" s="391" t="n"/>
      <c r="AP154" s="319" t="n"/>
      <c r="AQ154" s="319" t="n"/>
      <c r="AR154" s="319" t="n"/>
    </row>
    <row r="155" ht="15.75" customHeight="1" s="1264">
      <c r="A155" s="319" t="inlineStr">
        <is>
          <t> </t>
        </is>
      </c>
      <c r="B155" s="319" t="inlineStr">
        <is>
          <t> </t>
        </is>
      </c>
      <c r="C155" s="319" t="inlineStr">
        <is>
          <t> </t>
        </is>
      </c>
      <c r="D155" s="38" t="inlineStr">
        <is>
          <t> </t>
        </is>
      </c>
      <c r="E155" s="391" t="inlineStr">
        <is>
          <t> </t>
        </is>
      </c>
      <c r="F155" s="391" t="inlineStr">
        <is>
          <t> </t>
        </is>
      </c>
      <c r="G155" s="391" t="inlineStr">
        <is>
          <t> </t>
        </is>
      </c>
      <c r="H155" s="391" t="inlineStr">
        <is>
          <t> </t>
        </is>
      </c>
      <c r="I155" s="391" t="inlineStr">
        <is>
          <t> </t>
        </is>
      </c>
      <c r="J155" s="391" t="inlineStr">
        <is>
          <t> </t>
        </is>
      </c>
      <c r="K155" s="38" t="inlineStr">
        <is>
          <t> </t>
        </is>
      </c>
      <c r="L155" s="391" t="inlineStr">
        <is>
          <t> </t>
        </is>
      </c>
      <c r="M155" s="391" t="inlineStr">
        <is>
          <t> </t>
        </is>
      </c>
      <c r="N155" s="391" t="inlineStr">
        <is>
          <t> </t>
        </is>
      </c>
      <c r="O155" s="391" t="inlineStr">
        <is>
          <t> </t>
        </is>
      </c>
      <c r="P155" s="391" t="inlineStr">
        <is>
          <t> </t>
        </is>
      </c>
      <c r="Q155" s="391" t="inlineStr">
        <is>
          <t> </t>
        </is>
      </c>
      <c r="R155" s="38" t="inlineStr">
        <is>
          <t> </t>
        </is>
      </c>
      <c r="S155" s="391" t="inlineStr">
        <is>
          <t> </t>
        </is>
      </c>
      <c r="T155" s="391" t="inlineStr">
        <is>
          <t> </t>
        </is>
      </c>
      <c r="U155" s="391" t="inlineStr">
        <is>
          <t> </t>
        </is>
      </c>
      <c r="V155" s="391" t="inlineStr">
        <is>
          <t> </t>
        </is>
      </c>
      <c r="W155" s="391" t="inlineStr">
        <is>
          <t> </t>
        </is>
      </c>
      <c r="X155" s="391" t="inlineStr">
        <is>
          <t> </t>
        </is>
      </c>
      <c r="Y155" s="392" t="inlineStr">
        <is>
          <t> </t>
        </is>
      </c>
      <c r="Z155" s="391" t="inlineStr">
        <is>
          <t> </t>
        </is>
      </c>
      <c r="AA155" s="391" t="inlineStr">
        <is>
          <t> </t>
        </is>
      </c>
      <c r="AB155" s="391" t="inlineStr">
        <is>
          <t> </t>
        </is>
      </c>
      <c r="AC155" s="391" t="inlineStr">
        <is>
          <t> </t>
        </is>
      </c>
      <c r="AD155" s="391" t="inlineStr">
        <is>
          <t> </t>
        </is>
      </c>
      <c r="AE155" s="391" t="inlineStr">
        <is>
          <t> </t>
        </is>
      </c>
      <c r="AF155" s="38" t="inlineStr">
        <is>
          <t> </t>
        </is>
      </c>
      <c r="AG155" s="391" t="inlineStr">
        <is>
          <t> </t>
        </is>
      </c>
      <c r="AH155" s="391" t="n"/>
      <c r="AI155" s="391" t="inlineStr">
        <is>
          <t> </t>
        </is>
      </c>
      <c r="AJ155" s="391" t="inlineStr">
        <is>
          <t> </t>
        </is>
      </c>
      <c r="AK155" s="391" t="inlineStr">
        <is>
          <t> </t>
        </is>
      </c>
      <c r="AL155" s="391" t="inlineStr">
        <is>
          <t> </t>
        </is>
      </c>
      <c r="AM155" s="391" t="inlineStr">
        <is>
          <t> </t>
        </is>
      </c>
      <c r="AN155" s="391" t="inlineStr">
        <is>
          <t> </t>
        </is>
      </c>
      <c r="AO155" s="391" t="n"/>
      <c r="AP155" s="319" t="n"/>
      <c r="AQ155" s="319" t="n"/>
      <c r="AR155" s="319" t="n"/>
    </row>
    <row r="156" ht="15.75" customHeight="1" s="1264">
      <c r="A156" s="319" t="inlineStr">
        <is>
          <t> </t>
        </is>
      </c>
      <c r="B156" s="319" t="inlineStr">
        <is>
          <t> </t>
        </is>
      </c>
      <c r="C156" s="319" t="inlineStr">
        <is>
          <t> </t>
        </is>
      </c>
      <c r="D156" s="38" t="inlineStr">
        <is>
          <t> </t>
        </is>
      </c>
      <c r="E156" s="391" t="inlineStr">
        <is>
          <t> </t>
        </is>
      </c>
      <c r="F156" s="391" t="inlineStr">
        <is>
          <t> </t>
        </is>
      </c>
      <c r="G156" s="391" t="inlineStr">
        <is>
          <t> </t>
        </is>
      </c>
      <c r="H156" s="391" t="inlineStr">
        <is>
          <t> </t>
        </is>
      </c>
      <c r="I156" s="391" t="inlineStr">
        <is>
          <t> </t>
        </is>
      </c>
      <c r="J156" s="391" t="inlineStr">
        <is>
          <t> </t>
        </is>
      </c>
      <c r="K156" s="38" t="inlineStr">
        <is>
          <t> </t>
        </is>
      </c>
      <c r="L156" s="391" t="inlineStr">
        <is>
          <t> </t>
        </is>
      </c>
      <c r="M156" s="391" t="inlineStr">
        <is>
          <t> </t>
        </is>
      </c>
      <c r="N156" s="391" t="inlineStr">
        <is>
          <t> </t>
        </is>
      </c>
      <c r="O156" s="391" t="inlineStr">
        <is>
          <t> </t>
        </is>
      </c>
      <c r="P156" s="391" t="inlineStr">
        <is>
          <t> </t>
        </is>
      </c>
      <c r="Q156" s="391" t="inlineStr">
        <is>
          <t> </t>
        </is>
      </c>
      <c r="R156" s="38" t="inlineStr">
        <is>
          <t> </t>
        </is>
      </c>
      <c r="S156" s="391" t="inlineStr">
        <is>
          <t> </t>
        </is>
      </c>
      <c r="T156" s="391" t="inlineStr">
        <is>
          <t> </t>
        </is>
      </c>
      <c r="U156" s="391" t="inlineStr">
        <is>
          <t> </t>
        </is>
      </c>
      <c r="V156" s="391" t="inlineStr">
        <is>
          <t> </t>
        </is>
      </c>
      <c r="W156" s="391" t="inlineStr">
        <is>
          <t> </t>
        </is>
      </c>
      <c r="X156" s="391" t="inlineStr">
        <is>
          <t> </t>
        </is>
      </c>
      <c r="Y156" s="392" t="inlineStr">
        <is>
          <t> </t>
        </is>
      </c>
      <c r="Z156" s="391" t="inlineStr">
        <is>
          <t> </t>
        </is>
      </c>
      <c r="AA156" s="391" t="inlineStr">
        <is>
          <t> </t>
        </is>
      </c>
      <c r="AB156" s="391" t="inlineStr">
        <is>
          <t> </t>
        </is>
      </c>
      <c r="AC156" s="391" t="inlineStr">
        <is>
          <t> </t>
        </is>
      </c>
      <c r="AD156" s="391" t="inlineStr">
        <is>
          <t> </t>
        </is>
      </c>
      <c r="AE156" s="391" t="inlineStr">
        <is>
          <t> </t>
        </is>
      </c>
      <c r="AF156" s="38" t="inlineStr">
        <is>
          <t> </t>
        </is>
      </c>
      <c r="AG156" s="391" t="inlineStr">
        <is>
          <t> </t>
        </is>
      </c>
      <c r="AH156" s="391" t="n"/>
      <c r="AI156" s="391" t="inlineStr">
        <is>
          <t> </t>
        </is>
      </c>
      <c r="AJ156" s="391" t="inlineStr">
        <is>
          <t> </t>
        </is>
      </c>
      <c r="AK156" s="391" t="inlineStr">
        <is>
          <t> </t>
        </is>
      </c>
      <c r="AL156" s="391" t="inlineStr">
        <is>
          <t> </t>
        </is>
      </c>
      <c r="AM156" s="391" t="inlineStr">
        <is>
          <t> </t>
        </is>
      </c>
      <c r="AN156" s="391" t="inlineStr">
        <is>
          <t> </t>
        </is>
      </c>
      <c r="AO156" s="391" t="n"/>
      <c r="AP156" s="319" t="n"/>
      <c r="AQ156" s="319" t="n"/>
      <c r="AR156" s="319" t="n"/>
    </row>
    <row r="157" ht="15.75" customHeight="1" s="1264">
      <c r="A157" s="319" t="inlineStr">
        <is>
          <t> </t>
        </is>
      </c>
      <c r="B157" s="319" t="inlineStr">
        <is>
          <t> </t>
        </is>
      </c>
      <c r="C157" s="319" t="inlineStr">
        <is>
          <t> </t>
        </is>
      </c>
      <c r="D157" s="38" t="inlineStr">
        <is>
          <t> </t>
        </is>
      </c>
      <c r="E157" s="391" t="inlineStr">
        <is>
          <t> </t>
        </is>
      </c>
      <c r="F157" s="391" t="inlineStr">
        <is>
          <t> </t>
        </is>
      </c>
      <c r="G157" s="391" t="inlineStr">
        <is>
          <t> </t>
        </is>
      </c>
      <c r="H157" s="391" t="inlineStr">
        <is>
          <t> </t>
        </is>
      </c>
      <c r="I157" s="391" t="inlineStr">
        <is>
          <t> </t>
        </is>
      </c>
      <c r="J157" s="391" t="inlineStr">
        <is>
          <t> </t>
        </is>
      </c>
      <c r="K157" s="38" t="inlineStr">
        <is>
          <t> </t>
        </is>
      </c>
      <c r="L157" s="391" t="inlineStr">
        <is>
          <t> </t>
        </is>
      </c>
      <c r="M157" s="391" t="inlineStr">
        <is>
          <t> </t>
        </is>
      </c>
      <c r="N157" s="391" t="inlineStr">
        <is>
          <t> </t>
        </is>
      </c>
      <c r="O157" s="391" t="inlineStr">
        <is>
          <t> </t>
        </is>
      </c>
      <c r="P157" s="391" t="inlineStr">
        <is>
          <t> </t>
        </is>
      </c>
      <c r="Q157" s="391" t="inlineStr">
        <is>
          <t> </t>
        </is>
      </c>
      <c r="R157" s="38" t="inlineStr">
        <is>
          <t> </t>
        </is>
      </c>
      <c r="S157" s="391" t="inlineStr">
        <is>
          <t> </t>
        </is>
      </c>
      <c r="T157" s="391" t="inlineStr">
        <is>
          <t> </t>
        </is>
      </c>
      <c r="U157" s="391" t="inlineStr">
        <is>
          <t> </t>
        </is>
      </c>
      <c r="V157" s="391" t="inlineStr">
        <is>
          <t> </t>
        </is>
      </c>
      <c r="W157" s="391" t="inlineStr">
        <is>
          <t> </t>
        </is>
      </c>
      <c r="X157" s="391" t="inlineStr">
        <is>
          <t> </t>
        </is>
      </c>
      <c r="Y157" s="392" t="inlineStr">
        <is>
          <t> </t>
        </is>
      </c>
      <c r="Z157" s="391" t="inlineStr">
        <is>
          <t> </t>
        </is>
      </c>
      <c r="AA157" s="391" t="inlineStr">
        <is>
          <t> </t>
        </is>
      </c>
      <c r="AB157" s="391" t="inlineStr">
        <is>
          <t> </t>
        </is>
      </c>
      <c r="AC157" s="391" t="inlineStr">
        <is>
          <t> </t>
        </is>
      </c>
      <c r="AD157" s="391" t="inlineStr">
        <is>
          <t> </t>
        </is>
      </c>
      <c r="AE157" s="391" t="inlineStr">
        <is>
          <t> </t>
        </is>
      </c>
      <c r="AF157" s="38" t="inlineStr">
        <is>
          <t> </t>
        </is>
      </c>
      <c r="AG157" s="391" t="inlineStr">
        <is>
          <t> </t>
        </is>
      </c>
      <c r="AH157" s="391" t="n"/>
      <c r="AI157" s="391" t="inlineStr">
        <is>
          <t> </t>
        </is>
      </c>
      <c r="AJ157" s="391" t="inlineStr">
        <is>
          <t> </t>
        </is>
      </c>
      <c r="AK157" s="391" t="inlineStr">
        <is>
          <t> </t>
        </is>
      </c>
      <c r="AL157" s="391" t="inlineStr">
        <is>
          <t> </t>
        </is>
      </c>
      <c r="AM157" s="391" t="inlineStr">
        <is>
          <t> </t>
        </is>
      </c>
      <c r="AN157" s="391" t="inlineStr">
        <is>
          <t> </t>
        </is>
      </c>
      <c r="AO157" s="391" t="n"/>
      <c r="AP157" s="319" t="n"/>
      <c r="AQ157" s="319" t="n"/>
      <c r="AR157" s="319" t="n"/>
    </row>
    <row r="158" ht="15.75" customHeight="1" s="1264">
      <c r="A158" s="319" t="inlineStr">
        <is>
          <t> </t>
        </is>
      </c>
      <c r="B158" s="319" t="inlineStr">
        <is>
          <t> </t>
        </is>
      </c>
      <c r="C158" s="319" t="inlineStr">
        <is>
          <t> </t>
        </is>
      </c>
      <c r="D158" s="38" t="inlineStr">
        <is>
          <t> </t>
        </is>
      </c>
      <c r="E158" s="391" t="inlineStr">
        <is>
          <t> </t>
        </is>
      </c>
      <c r="F158" s="391" t="inlineStr">
        <is>
          <t> </t>
        </is>
      </c>
      <c r="G158" s="391" t="inlineStr">
        <is>
          <t> </t>
        </is>
      </c>
      <c r="H158" s="391" t="inlineStr">
        <is>
          <t> </t>
        </is>
      </c>
      <c r="I158" s="391" t="inlineStr">
        <is>
          <t> </t>
        </is>
      </c>
      <c r="J158" s="391" t="inlineStr">
        <is>
          <t> </t>
        </is>
      </c>
      <c r="K158" s="38" t="inlineStr">
        <is>
          <t> </t>
        </is>
      </c>
      <c r="L158" s="391" t="inlineStr">
        <is>
          <t> </t>
        </is>
      </c>
      <c r="M158" s="391" t="inlineStr">
        <is>
          <t> </t>
        </is>
      </c>
      <c r="N158" s="391" t="inlineStr">
        <is>
          <t> </t>
        </is>
      </c>
      <c r="O158" s="391" t="inlineStr">
        <is>
          <t> </t>
        </is>
      </c>
      <c r="P158" s="391" t="inlineStr">
        <is>
          <t> </t>
        </is>
      </c>
      <c r="Q158" s="391" t="inlineStr">
        <is>
          <t> </t>
        </is>
      </c>
      <c r="R158" s="38" t="inlineStr">
        <is>
          <t> </t>
        </is>
      </c>
      <c r="S158" s="391" t="inlineStr">
        <is>
          <t> </t>
        </is>
      </c>
      <c r="T158" s="391" t="inlineStr">
        <is>
          <t> </t>
        </is>
      </c>
      <c r="U158" s="391" t="inlineStr">
        <is>
          <t> </t>
        </is>
      </c>
      <c r="V158" s="391" t="inlineStr">
        <is>
          <t> </t>
        </is>
      </c>
      <c r="W158" s="391" t="inlineStr">
        <is>
          <t> </t>
        </is>
      </c>
      <c r="X158" s="391" t="inlineStr">
        <is>
          <t> </t>
        </is>
      </c>
      <c r="Y158" s="392" t="inlineStr">
        <is>
          <t> </t>
        </is>
      </c>
      <c r="Z158" s="391" t="inlineStr">
        <is>
          <t> </t>
        </is>
      </c>
      <c r="AA158" s="391" t="inlineStr">
        <is>
          <t> </t>
        </is>
      </c>
      <c r="AB158" s="391" t="inlineStr">
        <is>
          <t> </t>
        </is>
      </c>
      <c r="AC158" s="391" t="inlineStr">
        <is>
          <t> </t>
        </is>
      </c>
      <c r="AD158" s="391" t="inlineStr">
        <is>
          <t> </t>
        </is>
      </c>
      <c r="AE158" s="391" t="inlineStr">
        <is>
          <t> </t>
        </is>
      </c>
      <c r="AF158" s="38" t="inlineStr">
        <is>
          <t> </t>
        </is>
      </c>
      <c r="AG158" s="391" t="inlineStr">
        <is>
          <t> </t>
        </is>
      </c>
      <c r="AH158" s="391" t="n"/>
      <c r="AI158" s="391" t="inlineStr">
        <is>
          <t> </t>
        </is>
      </c>
      <c r="AJ158" s="391" t="inlineStr">
        <is>
          <t> </t>
        </is>
      </c>
      <c r="AK158" s="391" t="inlineStr">
        <is>
          <t> </t>
        </is>
      </c>
      <c r="AL158" s="391" t="inlineStr">
        <is>
          <t> </t>
        </is>
      </c>
      <c r="AM158" s="391" t="inlineStr">
        <is>
          <t> </t>
        </is>
      </c>
      <c r="AN158" s="391" t="inlineStr">
        <is>
          <t> </t>
        </is>
      </c>
      <c r="AO158" s="391" t="n"/>
      <c r="AP158" s="319" t="n"/>
      <c r="AQ158" s="319" t="n"/>
      <c r="AR158" s="319" t="n"/>
    </row>
    <row r="159" ht="15.75" customHeight="1" s="1264">
      <c r="A159" s="319" t="inlineStr">
        <is>
          <t> </t>
        </is>
      </c>
      <c r="B159" s="319" t="inlineStr">
        <is>
          <t> </t>
        </is>
      </c>
      <c r="C159" s="319" t="inlineStr">
        <is>
          <t> </t>
        </is>
      </c>
      <c r="D159" s="38" t="inlineStr">
        <is>
          <t> </t>
        </is>
      </c>
      <c r="E159" s="391" t="inlineStr">
        <is>
          <t> </t>
        </is>
      </c>
      <c r="F159" s="391" t="inlineStr">
        <is>
          <t> </t>
        </is>
      </c>
      <c r="G159" s="391" t="inlineStr">
        <is>
          <t> </t>
        </is>
      </c>
      <c r="H159" s="391" t="inlineStr">
        <is>
          <t> </t>
        </is>
      </c>
      <c r="I159" s="391" t="inlineStr">
        <is>
          <t> </t>
        </is>
      </c>
      <c r="J159" s="391" t="inlineStr">
        <is>
          <t> </t>
        </is>
      </c>
      <c r="K159" s="38" t="inlineStr">
        <is>
          <t> </t>
        </is>
      </c>
      <c r="L159" s="391" t="inlineStr">
        <is>
          <t> </t>
        </is>
      </c>
      <c r="M159" s="391" t="inlineStr">
        <is>
          <t> </t>
        </is>
      </c>
      <c r="N159" s="391" t="inlineStr">
        <is>
          <t> </t>
        </is>
      </c>
      <c r="O159" s="391" t="inlineStr">
        <is>
          <t> </t>
        </is>
      </c>
      <c r="P159" s="391" t="inlineStr">
        <is>
          <t> </t>
        </is>
      </c>
      <c r="Q159" s="391" t="inlineStr">
        <is>
          <t> </t>
        </is>
      </c>
      <c r="R159" s="38" t="inlineStr">
        <is>
          <t> </t>
        </is>
      </c>
      <c r="S159" s="391" t="inlineStr">
        <is>
          <t> </t>
        </is>
      </c>
      <c r="T159" s="391" t="inlineStr">
        <is>
          <t> </t>
        </is>
      </c>
      <c r="U159" s="391" t="inlineStr">
        <is>
          <t> </t>
        </is>
      </c>
      <c r="V159" s="391" t="inlineStr">
        <is>
          <t> </t>
        </is>
      </c>
      <c r="W159" s="391" t="inlineStr">
        <is>
          <t> </t>
        </is>
      </c>
      <c r="X159" s="391" t="inlineStr">
        <is>
          <t> </t>
        </is>
      </c>
      <c r="Y159" s="392" t="inlineStr">
        <is>
          <t> </t>
        </is>
      </c>
      <c r="Z159" s="391" t="inlineStr">
        <is>
          <t> </t>
        </is>
      </c>
      <c r="AA159" s="391" t="inlineStr">
        <is>
          <t> </t>
        </is>
      </c>
      <c r="AB159" s="391" t="inlineStr">
        <is>
          <t> </t>
        </is>
      </c>
      <c r="AC159" s="391" t="inlineStr">
        <is>
          <t> </t>
        </is>
      </c>
      <c r="AD159" s="391" t="inlineStr">
        <is>
          <t> </t>
        </is>
      </c>
      <c r="AE159" s="391" t="inlineStr">
        <is>
          <t> </t>
        </is>
      </c>
      <c r="AF159" s="38" t="inlineStr">
        <is>
          <t> </t>
        </is>
      </c>
      <c r="AG159" s="391" t="inlineStr">
        <is>
          <t> </t>
        </is>
      </c>
      <c r="AH159" s="391" t="n"/>
      <c r="AI159" s="391" t="inlineStr">
        <is>
          <t> </t>
        </is>
      </c>
      <c r="AJ159" s="391" t="inlineStr">
        <is>
          <t> </t>
        </is>
      </c>
      <c r="AK159" s="391" t="inlineStr">
        <is>
          <t> </t>
        </is>
      </c>
      <c r="AL159" s="391" t="inlineStr">
        <is>
          <t> </t>
        </is>
      </c>
      <c r="AM159" s="391" t="inlineStr">
        <is>
          <t> </t>
        </is>
      </c>
      <c r="AN159" s="391" t="inlineStr">
        <is>
          <t> </t>
        </is>
      </c>
      <c r="AO159" s="391" t="n"/>
      <c r="AP159" s="319" t="n"/>
      <c r="AQ159" s="319" t="n"/>
      <c r="AR159" s="319" t="n"/>
    </row>
    <row r="160" ht="15.75" customHeight="1" s="1264">
      <c r="A160" s="319" t="inlineStr">
        <is>
          <t> </t>
        </is>
      </c>
      <c r="B160" s="319" t="inlineStr">
        <is>
          <t> </t>
        </is>
      </c>
      <c r="C160" s="319" t="inlineStr">
        <is>
          <t> </t>
        </is>
      </c>
      <c r="D160" s="38" t="inlineStr">
        <is>
          <t> </t>
        </is>
      </c>
      <c r="E160" s="391" t="inlineStr">
        <is>
          <t> </t>
        </is>
      </c>
      <c r="F160" s="391" t="inlineStr">
        <is>
          <t> </t>
        </is>
      </c>
      <c r="G160" s="391" t="inlineStr">
        <is>
          <t> </t>
        </is>
      </c>
      <c r="H160" s="391" t="inlineStr">
        <is>
          <t> </t>
        </is>
      </c>
      <c r="I160" s="391" t="inlineStr">
        <is>
          <t> </t>
        </is>
      </c>
      <c r="J160" s="391" t="inlineStr">
        <is>
          <t> </t>
        </is>
      </c>
      <c r="K160" s="38" t="inlineStr">
        <is>
          <t> </t>
        </is>
      </c>
      <c r="L160" s="391" t="inlineStr">
        <is>
          <t> </t>
        </is>
      </c>
      <c r="M160" s="391" t="inlineStr">
        <is>
          <t> </t>
        </is>
      </c>
      <c r="N160" s="391" t="inlineStr">
        <is>
          <t> </t>
        </is>
      </c>
      <c r="O160" s="391" t="inlineStr">
        <is>
          <t> </t>
        </is>
      </c>
      <c r="P160" s="391" t="inlineStr">
        <is>
          <t> </t>
        </is>
      </c>
      <c r="Q160" s="391" t="inlineStr">
        <is>
          <t> </t>
        </is>
      </c>
      <c r="R160" s="38" t="inlineStr">
        <is>
          <t> </t>
        </is>
      </c>
      <c r="S160" s="391" t="inlineStr">
        <is>
          <t> </t>
        </is>
      </c>
      <c r="T160" s="391" t="inlineStr">
        <is>
          <t> </t>
        </is>
      </c>
      <c r="U160" s="391" t="inlineStr">
        <is>
          <t> </t>
        </is>
      </c>
      <c r="V160" s="391" t="inlineStr">
        <is>
          <t> </t>
        </is>
      </c>
      <c r="W160" s="391" t="inlineStr">
        <is>
          <t> </t>
        </is>
      </c>
      <c r="X160" s="391" t="inlineStr">
        <is>
          <t> </t>
        </is>
      </c>
      <c r="Y160" s="392" t="inlineStr">
        <is>
          <t> </t>
        </is>
      </c>
      <c r="Z160" s="391" t="inlineStr">
        <is>
          <t> </t>
        </is>
      </c>
      <c r="AA160" s="391" t="inlineStr">
        <is>
          <t> </t>
        </is>
      </c>
      <c r="AB160" s="391" t="inlineStr">
        <is>
          <t> </t>
        </is>
      </c>
      <c r="AC160" s="391" t="inlineStr">
        <is>
          <t> </t>
        </is>
      </c>
      <c r="AD160" s="391" t="inlineStr">
        <is>
          <t> </t>
        </is>
      </c>
      <c r="AE160" s="391" t="inlineStr">
        <is>
          <t> </t>
        </is>
      </c>
      <c r="AF160" s="38" t="inlineStr">
        <is>
          <t> </t>
        </is>
      </c>
      <c r="AG160" s="391" t="inlineStr">
        <is>
          <t> </t>
        </is>
      </c>
      <c r="AH160" s="391" t="n"/>
      <c r="AI160" s="391" t="inlineStr">
        <is>
          <t> </t>
        </is>
      </c>
      <c r="AJ160" s="391" t="inlineStr">
        <is>
          <t> </t>
        </is>
      </c>
      <c r="AK160" s="391" t="inlineStr">
        <is>
          <t> </t>
        </is>
      </c>
      <c r="AL160" s="391" t="inlineStr">
        <is>
          <t> </t>
        </is>
      </c>
      <c r="AM160" s="391" t="inlineStr">
        <is>
          <t> </t>
        </is>
      </c>
      <c r="AN160" s="391" t="inlineStr">
        <is>
          <t> </t>
        </is>
      </c>
      <c r="AO160" s="391" t="n"/>
      <c r="AP160" s="319" t="n"/>
      <c r="AQ160" s="319" t="n"/>
      <c r="AR160" s="319" t="n"/>
    </row>
    <row r="161" ht="15.75" customHeight="1" s="1264">
      <c r="A161" s="319" t="inlineStr">
        <is>
          <t> </t>
        </is>
      </c>
      <c r="B161" s="319" t="inlineStr">
        <is>
          <t> </t>
        </is>
      </c>
      <c r="C161" s="319" t="inlineStr">
        <is>
          <t> </t>
        </is>
      </c>
      <c r="D161" s="38" t="inlineStr">
        <is>
          <t> </t>
        </is>
      </c>
      <c r="E161" s="391" t="inlineStr">
        <is>
          <t> </t>
        </is>
      </c>
      <c r="F161" s="391" t="inlineStr">
        <is>
          <t> </t>
        </is>
      </c>
      <c r="G161" s="391" t="inlineStr">
        <is>
          <t> </t>
        </is>
      </c>
      <c r="H161" s="391" t="inlineStr">
        <is>
          <t> </t>
        </is>
      </c>
      <c r="I161" s="391" t="inlineStr">
        <is>
          <t> </t>
        </is>
      </c>
      <c r="J161" s="391" t="inlineStr">
        <is>
          <t> </t>
        </is>
      </c>
      <c r="K161" s="38" t="inlineStr">
        <is>
          <t> </t>
        </is>
      </c>
      <c r="L161" s="391" t="inlineStr">
        <is>
          <t> </t>
        </is>
      </c>
      <c r="M161" s="391" t="inlineStr">
        <is>
          <t> </t>
        </is>
      </c>
      <c r="N161" s="391" t="inlineStr">
        <is>
          <t> </t>
        </is>
      </c>
      <c r="O161" s="391" t="inlineStr">
        <is>
          <t> </t>
        </is>
      </c>
      <c r="P161" s="391" t="inlineStr">
        <is>
          <t> </t>
        </is>
      </c>
      <c r="Q161" s="391" t="inlineStr">
        <is>
          <t> </t>
        </is>
      </c>
      <c r="R161" s="38" t="inlineStr">
        <is>
          <t> </t>
        </is>
      </c>
      <c r="S161" s="391" t="inlineStr">
        <is>
          <t> </t>
        </is>
      </c>
      <c r="T161" s="391" t="inlineStr">
        <is>
          <t> </t>
        </is>
      </c>
      <c r="U161" s="391" t="inlineStr">
        <is>
          <t> </t>
        </is>
      </c>
      <c r="V161" s="391" t="inlineStr">
        <is>
          <t> </t>
        </is>
      </c>
      <c r="W161" s="391" t="inlineStr">
        <is>
          <t> </t>
        </is>
      </c>
      <c r="X161" s="391" t="inlineStr">
        <is>
          <t> </t>
        </is>
      </c>
      <c r="Y161" s="392" t="inlineStr">
        <is>
          <t> </t>
        </is>
      </c>
      <c r="Z161" s="391" t="inlineStr">
        <is>
          <t> </t>
        </is>
      </c>
      <c r="AA161" s="391" t="inlineStr">
        <is>
          <t> </t>
        </is>
      </c>
      <c r="AB161" s="391" t="inlineStr">
        <is>
          <t> </t>
        </is>
      </c>
      <c r="AC161" s="391" t="inlineStr">
        <is>
          <t> </t>
        </is>
      </c>
      <c r="AD161" s="391" t="inlineStr">
        <is>
          <t> </t>
        </is>
      </c>
      <c r="AE161" s="391" t="inlineStr">
        <is>
          <t> </t>
        </is>
      </c>
      <c r="AF161" s="38" t="inlineStr">
        <is>
          <t> </t>
        </is>
      </c>
      <c r="AG161" s="391" t="inlineStr">
        <is>
          <t> </t>
        </is>
      </c>
      <c r="AH161" s="391" t="n"/>
      <c r="AI161" s="391" t="inlineStr">
        <is>
          <t> </t>
        </is>
      </c>
      <c r="AJ161" s="391" t="inlineStr">
        <is>
          <t> </t>
        </is>
      </c>
      <c r="AK161" s="391" t="inlineStr">
        <is>
          <t> </t>
        </is>
      </c>
      <c r="AL161" s="391" t="inlineStr">
        <is>
          <t> </t>
        </is>
      </c>
      <c r="AM161" s="391" t="inlineStr">
        <is>
          <t> </t>
        </is>
      </c>
      <c r="AN161" s="391" t="inlineStr">
        <is>
          <t> </t>
        </is>
      </c>
      <c r="AO161" s="391" t="n"/>
      <c r="AP161" s="319" t="n"/>
      <c r="AQ161" s="319" t="n"/>
      <c r="AR161" s="319" t="n"/>
    </row>
    <row r="162" ht="15.75" customHeight="1" s="1264">
      <c r="A162" s="319" t="inlineStr">
        <is>
          <t> </t>
        </is>
      </c>
      <c r="B162" s="319" t="inlineStr">
        <is>
          <t> </t>
        </is>
      </c>
      <c r="C162" s="319" t="inlineStr">
        <is>
          <t> </t>
        </is>
      </c>
      <c r="D162" s="38" t="inlineStr">
        <is>
          <t> </t>
        </is>
      </c>
      <c r="E162" s="391" t="inlineStr">
        <is>
          <t> </t>
        </is>
      </c>
      <c r="F162" s="391" t="inlineStr">
        <is>
          <t> </t>
        </is>
      </c>
      <c r="G162" s="391" t="inlineStr">
        <is>
          <t> </t>
        </is>
      </c>
      <c r="H162" s="391" t="inlineStr">
        <is>
          <t> </t>
        </is>
      </c>
      <c r="I162" s="391" t="inlineStr">
        <is>
          <t> </t>
        </is>
      </c>
      <c r="J162" s="391" t="inlineStr">
        <is>
          <t> </t>
        </is>
      </c>
      <c r="K162" s="38" t="inlineStr">
        <is>
          <t> </t>
        </is>
      </c>
      <c r="L162" s="391" t="inlineStr">
        <is>
          <t> </t>
        </is>
      </c>
      <c r="M162" s="391" t="inlineStr">
        <is>
          <t> </t>
        </is>
      </c>
      <c r="N162" s="391" t="inlineStr">
        <is>
          <t> </t>
        </is>
      </c>
      <c r="O162" s="391" t="inlineStr">
        <is>
          <t> </t>
        </is>
      </c>
      <c r="P162" s="391" t="inlineStr">
        <is>
          <t> </t>
        </is>
      </c>
      <c r="Q162" s="391" t="inlineStr">
        <is>
          <t> </t>
        </is>
      </c>
      <c r="R162" s="38" t="inlineStr">
        <is>
          <t> </t>
        </is>
      </c>
      <c r="S162" s="391" t="inlineStr">
        <is>
          <t> </t>
        </is>
      </c>
      <c r="T162" s="391" t="inlineStr">
        <is>
          <t> </t>
        </is>
      </c>
      <c r="U162" s="391" t="inlineStr">
        <is>
          <t> </t>
        </is>
      </c>
      <c r="V162" s="391" t="inlineStr">
        <is>
          <t> </t>
        </is>
      </c>
      <c r="W162" s="391" t="inlineStr">
        <is>
          <t> </t>
        </is>
      </c>
      <c r="X162" s="391" t="inlineStr">
        <is>
          <t> </t>
        </is>
      </c>
      <c r="Y162" s="392" t="inlineStr">
        <is>
          <t> </t>
        </is>
      </c>
      <c r="Z162" s="391" t="inlineStr">
        <is>
          <t> </t>
        </is>
      </c>
      <c r="AA162" s="391" t="inlineStr">
        <is>
          <t> </t>
        </is>
      </c>
      <c r="AB162" s="391" t="inlineStr">
        <is>
          <t> </t>
        </is>
      </c>
      <c r="AC162" s="391" t="inlineStr">
        <is>
          <t> </t>
        </is>
      </c>
      <c r="AD162" s="391" t="inlineStr">
        <is>
          <t> </t>
        </is>
      </c>
      <c r="AE162" s="391" t="inlineStr">
        <is>
          <t> </t>
        </is>
      </c>
      <c r="AF162" s="38" t="inlineStr">
        <is>
          <t> </t>
        </is>
      </c>
      <c r="AG162" s="391" t="inlineStr">
        <is>
          <t> </t>
        </is>
      </c>
      <c r="AH162" s="391" t="n"/>
      <c r="AI162" s="391" t="inlineStr">
        <is>
          <t> </t>
        </is>
      </c>
      <c r="AJ162" s="391" t="inlineStr">
        <is>
          <t> </t>
        </is>
      </c>
      <c r="AK162" s="391" t="inlineStr">
        <is>
          <t> </t>
        </is>
      </c>
      <c r="AL162" s="391" t="inlineStr">
        <is>
          <t> </t>
        </is>
      </c>
      <c r="AM162" s="391" t="inlineStr">
        <is>
          <t> </t>
        </is>
      </c>
      <c r="AN162" s="391" t="inlineStr">
        <is>
          <t> </t>
        </is>
      </c>
      <c r="AO162" s="391" t="n"/>
      <c r="AP162" s="319" t="n"/>
      <c r="AQ162" s="319" t="n"/>
      <c r="AR162" s="319" t="n"/>
    </row>
    <row r="163" ht="15.75" customHeight="1" s="1264">
      <c r="A163" s="319" t="inlineStr">
        <is>
          <t> </t>
        </is>
      </c>
      <c r="B163" s="319" t="inlineStr">
        <is>
          <t> </t>
        </is>
      </c>
      <c r="C163" s="319" t="inlineStr">
        <is>
          <t> </t>
        </is>
      </c>
      <c r="D163" s="38" t="inlineStr">
        <is>
          <t> </t>
        </is>
      </c>
      <c r="E163" s="391" t="inlineStr">
        <is>
          <t> </t>
        </is>
      </c>
      <c r="F163" s="391" t="inlineStr">
        <is>
          <t> </t>
        </is>
      </c>
      <c r="G163" s="391" t="inlineStr">
        <is>
          <t> </t>
        </is>
      </c>
      <c r="H163" s="391" t="inlineStr">
        <is>
          <t> </t>
        </is>
      </c>
      <c r="I163" s="391" t="inlineStr">
        <is>
          <t> </t>
        </is>
      </c>
      <c r="J163" s="391" t="inlineStr">
        <is>
          <t> </t>
        </is>
      </c>
      <c r="K163" s="38" t="inlineStr">
        <is>
          <t> </t>
        </is>
      </c>
      <c r="L163" s="391" t="inlineStr">
        <is>
          <t> </t>
        </is>
      </c>
      <c r="M163" s="391" t="inlineStr">
        <is>
          <t> </t>
        </is>
      </c>
      <c r="N163" s="391" t="inlineStr">
        <is>
          <t> </t>
        </is>
      </c>
      <c r="O163" s="391" t="inlineStr">
        <is>
          <t> </t>
        </is>
      </c>
      <c r="P163" s="391" t="inlineStr">
        <is>
          <t> </t>
        </is>
      </c>
      <c r="Q163" s="391" t="inlineStr">
        <is>
          <t> </t>
        </is>
      </c>
      <c r="R163" s="38" t="inlineStr">
        <is>
          <t> </t>
        </is>
      </c>
      <c r="S163" s="391" t="inlineStr">
        <is>
          <t> </t>
        </is>
      </c>
      <c r="T163" s="391" t="inlineStr">
        <is>
          <t> </t>
        </is>
      </c>
      <c r="U163" s="391" t="inlineStr">
        <is>
          <t> </t>
        </is>
      </c>
      <c r="V163" s="391" t="inlineStr">
        <is>
          <t> </t>
        </is>
      </c>
      <c r="W163" s="391" t="inlineStr">
        <is>
          <t> </t>
        </is>
      </c>
      <c r="X163" s="391" t="inlineStr">
        <is>
          <t> </t>
        </is>
      </c>
      <c r="Y163" s="392" t="inlineStr">
        <is>
          <t> </t>
        </is>
      </c>
      <c r="Z163" s="391" t="inlineStr">
        <is>
          <t> </t>
        </is>
      </c>
      <c r="AA163" s="391" t="inlineStr">
        <is>
          <t> </t>
        </is>
      </c>
      <c r="AB163" s="391" t="inlineStr">
        <is>
          <t> </t>
        </is>
      </c>
      <c r="AC163" s="391" t="inlineStr">
        <is>
          <t> </t>
        </is>
      </c>
      <c r="AD163" s="391" t="inlineStr">
        <is>
          <t> </t>
        </is>
      </c>
      <c r="AE163" s="391" t="inlineStr">
        <is>
          <t> </t>
        </is>
      </c>
      <c r="AF163" s="38" t="inlineStr">
        <is>
          <t> </t>
        </is>
      </c>
      <c r="AG163" s="391" t="inlineStr">
        <is>
          <t> </t>
        </is>
      </c>
      <c r="AH163" s="391" t="n"/>
      <c r="AI163" s="391" t="inlineStr">
        <is>
          <t> </t>
        </is>
      </c>
      <c r="AJ163" s="391" t="inlineStr">
        <is>
          <t> </t>
        </is>
      </c>
      <c r="AK163" s="391" t="inlineStr">
        <is>
          <t> </t>
        </is>
      </c>
      <c r="AL163" s="391" t="inlineStr">
        <is>
          <t> </t>
        </is>
      </c>
      <c r="AM163" s="391" t="inlineStr">
        <is>
          <t> </t>
        </is>
      </c>
      <c r="AN163" s="391" t="inlineStr">
        <is>
          <t> </t>
        </is>
      </c>
      <c r="AO163" s="391" t="n"/>
      <c r="AP163" s="319" t="n"/>
      <c r="AQ163" s="319" t="n"/>
      <c r="AR163" s="319" t="n"/>
    </row>
    <row r="164" ht="15.75" customHeight="1" s="1264">
      <c r="A164" s="319" t="inlineStr">
        <is>
          <t> </t>
        </is>
      </c>
      <c r="B164" s="319" t="inlineStr">
        <is>
          <t> </t>
        </is>
      </c>
      <c r="C164" s="319" t="inlineStr">
        <is>
          <t> </t>
        </is>
      </c>
      <c r="D164" s="38" t="inlineStr">
        <is>
          <t> </t>
        </is>
      </c>
      <c r="E164" s="391" t="inlineStr">
        <is>
          <t> </t>
        </is>
      </c>
      <c r="F164" s="391" t="inlineStr">
        <is>
          <t> </t>
        </is>
      </c>
      <c r="G164" s="391" t="inlineStr">
        <is>
          <t> </t>
        </is>
      </c>
      <c r="H164" s="391" t="inlineStr">
        <is>
          <t> </t>
        </is>
      </c>
      <c r="I164" s="391" t="inlineStr">
        <is>
          <t> </t>
        </is>
      </c>
      <c r="J164" s="391" t="inlineStr">
        <is>
          <t> </t>
        </is>
      </c>
      <c r="K164" s="38" t="inlineStr">
        <is>
          <t> </t>
        </is>
      </c>
      <c r="L164" s="391" t="inlineStr">
        <is>
          <t> </t>
        </is>
      </c>
      <c r="M164" s="391" t="inlineStr">
        <is>
          <t> </t>
        </is>
      </c>
      <c r="N164" s="391" t="inlineStr">
        <is>
          <t> </t>
        </is>
      </c>
      <c r="O164" s="391" t="inlineStr">
        <is>
          <t> </t>
        </is>
      </c>
      <c r="P164" s="391" t="inlineStr">
        <is>
          <t> </t>
        </is>
      </c>
      <c r="Q164" s="391" t="inlineStr">
        <is>
          <t> </t>
        </is>
      </c>
      <c r="R164" s="38" t="inlineStr">
        <is>
          <t> </t>
        </is>
      </c>
      <c r="S164" s="391" t="inlineStr">
        <is>
          <t> </t>
        </is>
      </c>
      <c r="T164" s="391" t="inlineStr">
        <is>
          <t> </t>
        </is>
      </c>
      <c r="U164" s="391" t="inlineStr">
        <is>
          <t> </t>
        </is>
      </c>
      <c r="V164" s="391" t="inlineStr">
        <is>
          <t> </t>
        </is>
      </c>
      <c r="W164" s="391" t="inlineStr">
        <is>
          <t> </t>
        </is>
      </c>
      <c r="X164" s="391" t="inlineStr">
        <is>
          <t> </t>
        </is>
      </c>
      <c r="Y164" s="392" t="inlineStr">
        <is>
          <t> </t>
        </is>
      </c>
      <c r="Z164" s="391" t="inlineStr">
        <is>
          <t> </t>
        </is>
      </c>
      <c r="AA164" s="391" t="inlineStr">
        <is>
          <t> </t>
        </is>
      </c>
      <c r="AB164" s="391" t="inlineStr">
        <is>
          <t> </t>
        </is>
      </c>
      <c r="AC164" s="391" t="inlineStr">
        <is>
          <t> </t>
        </is>
      </c>
      <c r="AD164" s="391" t="inlineStr">
        <is>
          <t> </t>
        </is>
      </c>
      <c r="AE164" s="391" t="inlineStr">
        <is>
          <t> </t>
        </is>
      </c>
      <c r="AF164" s="38" t="inlineStr">
        <is>
          <t> </t>
        </is>
      </c>
      <c r="AG164" s="391" t="inlineStr">
        <is>
          <t> </t>
        </is>
      </c>
      <c r="AH164" s="391" t="n"/>
      <c r="AI164" s="391" t="inlineStr">
        <is>
          <t> </t>
        </is>
      </c>
      <c r="AJ164" s="391" t="inlineStr">
        <is>
          <t> </t>
        </is>
      </c>
      <c r="AK164" s="391" t="inlineStr">
        <is>
          <t> </t>
        </is>
      </c>
      <c r="AL164" s="391" t="inlineStr">
        <is>
          <t> </t>
        </is>
      </c>
      <c r="AM164" s="391" t="inlineStr">
        <is>
          <t> </t>
        </is>
      </c>
      <c r="AN164" s="391" t="inlineStr">
        <is>
          <t> </t>
        </is>
      </c>
      <c r="AO164" s="391" t="n"/>
      <c r="AP164" s="319" t="n"/>
      <c r="AQ164" s="319" t="n"/>
      <c r="AR164" s="319" t="n"/>
    </row>
    <row r="165" ht="15.75" customHeight="1" s="1264">
      <c r="A165" s="319" t="inlineStr">
        <is>
          <t> </t>
        </is>
      </c>
      <c r="B165" s="319" t="inlineStr">
        <is>
          <t> </t>
        </is>
      </c>
      <c r="C165" s="319" t="inlineStr">
        <is>
          <t> </t>
        </is>
      </c>
      <c r="D165" s="38" t="inlineStr">
        <is>
          <t> </t>
        </is>
      </c>
      <c r="E165" s="391" t="inlineStr">
        <is>
          <t> </t>
        </is>
      </c>
      <c r="F165" s="391" t="inlineStr">
        <is>
          <t> </t>
        </is>
      </c>
      <c r="G165" s="391" t="inlineStr">
        <is>
          <t> </t>
        </is>
      </c>
      <c r="H165" s="391" t="inlineStr">
        <is>
          <t> </t>
        </is>
      </c>
      <c r="I165" s="391" t="inlineStr">
        <is>
          <t> </t>
        </is>
      </c>
      <c r="J165" s="391" t="inlineStr">
        <is>
          <t> </t>
        </is>
      </c>
      <c r="K165" s="38" t="inlineStr">
        <is>
          <t> </t>
        </is>
      </c>
      <c r="L165" s="391" t="inlineStr">
        <is>
          <t> </t>
        </is>
      </c>
      <c r="M165" s="391" t="inlineStr">
        <is>
          <t> </t>
        </is>
      </c>
      <c r="N165" s="391" t="inlineStr">
        <is>
          <t> </t>
        </is>
      </c>
      <c r="O165" s="391" t="inlineStr">
        <is>
          <t> </t>
        </is>
      </c>
      <c r="P165" s="391" t="inlineStr">
        <is>
          <t> </t>
        </is>
      </c>
      <c r="Q165" s="391" t="inlineStr">
        <is>
          <t> </t>
        </is>
      </c>
      <c r="R165" s="38" t="inlineStr">
        <is>
          <t> </t>
        </is>
      </c>
      <c r="S165" s="391" t="inlineStr">
        <is>
          <t> </t>
        </is>
      </c>
      <c r="T165" s="391" t="inlineStr">
        <is>
          <t> </t>
        </is>
      </c>
      <c r="U165" s="391" t="inlineStr">
        <is>
          <t> </t>
        </is>
      </c>
      <c r="V165" s="391" t="inlineStr">
        <is>
          <t> </t>
        </is>
      </c>
      <c r="W165" s="391" t="inlineStr">
        <is>
          <t> </t>
        </is>
      </c>
      <c r="X165" s="391" t="inlineStr">
        <is>
          <t> </t>
        </is>
      </c>
      <c r="Y165" s="392" t="inlineStr">
        <is>
          <t> </t>
        </is>
      </c>
      <c r="Z165" s="391" t="inlineStr">
        <is>
          <t> </t>
        </is>
      </c>
      <c r="AA165" s="391" t="inlineStr">
        <is>
          <t> </t>
        </is>
      </c>
      <c r="AB165" s="391" t="inlineStr">
        <is>
          <t> </t>
        </is>
      </c>
      <c r="AC165" s="391" t="inlineStr">
        <is>
          <t> </t>
        </is>
      </c>
      <c r="AD165" s="391" t="inlineStr">
        <is>
          <t> </t>
        </is>
      </c>
      <c r="AE165" s="391" t="inlineStr">
        <is>
          <t> </t>
        </is>
      </c>
      <c r="AF165" s="38" t="inlineStr">
        <is>
          <t> </t>
        </is>
      </c>
      <c r="AG165" s="391" t="inlineStr">
        <is>
          <t> </t>
        </is>
      </c>
      <c r="AH165" s="391" t="n"/>
      <c r="AI165" s="391" t="inlineStr">
        <is>
          <t> </t>
        </is>
      </c>
      <c r="AJ165" s="391" t="inlineStr">
        <is>
          <t> </t>
        </is>
      </c>
      <c r="AK165" s="391" t="inlineStr">
        <is>
          <t> </t>
        </is>
      </c>
      <c r="AL165" s="391" t="inlineStr">
        <is>
          <t> </t>
        </is>
      </c>
      <c r="AM165" s="391" t="inlineStr">
        <is>
          <t> </t>
        </is>
      </c>
      <c r="AN165" s="391" t="inlineStr">
        <is>
          <t> </t>
        </is>
      </c>
      <c r="AO165" s="391" t="n"/>
      <c r="AP165" s="319" t="n"/>
      <c r="AQ165" s="319" t="n"/>
      <c r="AR165" s="319" t="n"/>
    </row>
    <row r="166" ht="15.75" customHeight="1" s="1264">
      <c r="A166" s="319" t="inlineStr">
        <is>
          <t> </t>
        </is>
      </c>
      <c r="B166" s="319" t="inlineStr">
        <is>
          <t> </t>
        </is>
      </c>
      <c r="C166" s="319" t="inlineStr">
        <is>
          <t> </t>
        </is>
      </c>
      <c r="D166" s="38" t="inlineStr">
        <is>
          <t> </t>
        </is>
      </c>
      <c r="E166" s="391" t="inlineStr">
        <is>
          <t> </t>
        </is>
      </c>
      <c r="F166" s="391" t="inlineStr">
        <is>
          <t> </t>
        </is>
      </c>
      <c r="G166" s="391" t="inlineStr">
        <is>
          <t> </t>
        </is>
      </c>
      <c r="H166" s="391" t="inlineStr">
        <is>
          <t> </t>
        </is>
      </c>
      <c r="I166" s="391" t="inlineStr">
        <is>
          <t> </t>
        </is>
      </c>
      <c r="J166" s="391" t="inlineStr">
        <is>
          <t> </t>
        </is>
      </c>
      <c r="K166" s="38" t="inlineStr">
        <is>
          <t> </t>
        </is>
      </c>
      <c r="L166" s="391" t="inlineStr">
        <is>
          <t> </t>
        </is>
      </c>
      <c r="M166" s="391" t="inlineStr">
        <is>
          <t> </t>
        </is>
      </c>
      <c r="N166" s="391" t="inlineStr">
        <is>
          <t> </t>
        </is>
      </c>
      <c r="O166" s="391" t="inlineStr">
        <is>
          <t> </t>
        </is>
      </c>
      <c r="P166" s="391" t="inlineStr">
        <is>
          <t> </t>
        </is>
      </c>
      <c r="Q166" s="391" t="inlineStr">
        <is>
          <t> </t>
        </is>
      </c>
      <c r="R166" s="38" t="inlineStr">
        <is>
          <t> </t>
        </is>
      </c>
      <c r="S166" s="391" t="inlineStr">
        <is>
          <t> </t>
        </is>
      </c>
      <c r="T166" s="391" t="inlineStr">
        <is>
          <t> </t>
        </is>
      </c>
      <c r="U166" s="391" t="inlineStr">
        <is>
          <t> </t>
        </is>
      </c>
      <c r="V166" s="391" t="inlineStr">
        <is>
          <t> </t>
        </is>
      </c>
      <c r="W166" s="391" t="inlineStr">
        <is>
          <t> </t>
        </is>
      </c>
      <c r="X166" s="391" t="inlineStr">
        <is>
          <t> </t>
        </is>
      </c>
      <c r="Y166" s="392" t="inlineStr">
        <is>
          <t> </t>
        </is>
      </c>
      <c r="Z166" s="391" t="inlineStr">
        <is>
          <t> </t>
        </is>
      </c>
      <c r="AA166" s="391" t="inlineStr">
        <is>
          <t> </t>
        </is>
      </c>
      <c r="AB166" s="391" t="inlineStr">
        <is>
          <t> </t>
        </is>
      </c>
      <c r="AC166" s="391" t="inlineStr">
        <is>
          <t> </t>
        </is>
      </c>
      <c r="AD166" s="391" t="inlineStr">
        <is>
          <t> </t>
        </is>
      </c>
      <c r="AE166" s="391" t="inlineStr">
        <is>
          <t> </t>
        </is>
      </c>
      <c r="AF166" s="38" t="inlineStr">
        <is>
          <t> </t>
        </is>
      </c>
      <c r="AG166" s="391" t="inlineStr">
        <is>
          <t> </t>
        </is>
      </c>
      <c r="AH166" s="391" t="n"/>
      <c r="AI166" s="391" t="inlineStr">
        <is>
          <t> </t>
        </is>
      </c>
      <c r="AJ166" s="391" t="inlineStr">
        <is>
          <t> </t>
        </is>
      </c>
      <c r="AK166" s="391" t="inlineStr">
        <is>
          <t> </t>
        </is>
      </c>
      <c r="AL166" s="391" t="inlineStr">
        <is>
          <t> </t>
        </is>
      </c>
      <c r="AM166" s="391" t="inlineStr">
        <is>
          <t> </t>
        </is>
      </c>
      <c r="AN166" s="391" t="inlineStr">
        <is>
          <t> </t>
        </is>
      </c>
      <c r="AO166" s="391" t="n"/>
      <c r="AP166" s="319" t="n"/>
      <c r="AQ166" s="319" t="n"/>
      <c r="AR166" s="319" t="n"/>
    </row>
    <row r="167" ht="15.75" customHeight="1" s="1264">
      <c r="A167" s="319" t="inlineStr">
        <is>
          <t> </t>
        </is>
      </c>
      <c r="B167" s="319" t="inlineStr">
        <is>
          <t> </t>
        </is>
      </c>
      <c r="C167" s="319" t="inlineStr">
        <is>
          <t> </t>
        </is>
      </c>
      <c r="D167" s="38" t="inlineStr">
        <is>
          <t> </t>
        </is>
      </c>
      <c r="E167" s="391" t="inlineStr">
        <is>
          <t> </t>
        </is>
      </c>
      <c r="F167" s="391" t="inlineStr">
        <is>
          <t> </t>
        </is>
      </c>
      <c r="G167" s="391" t="inlineStr">
        <is>
          <t> </t>
        </is>
      </c>
      <c r="H167" s="391" t="inlineStr">
        <is>
          <t> </t>
        </is>
      </c>
      <c r="I167" s="391" t="inlineStr">
        <is>
          <t> </t>
        </is>
      </c>
      <c r="J167" s="391" t="inlineStr">
        <is>
          <t> </t>
        </is>
      </c>
      <c r="K167" s="38" t="inlineStr">
        <is>
          <t> </t>
        </is>
      </c>
      <c r="L167" s="391" t="inlineStr">
        <is>
          <t> </t>
        </is>
      </c>
      <c r="M167" s="391" t="inlineStr">
        <is>
          <t> </t>
        </is>
      </c>
      <c r="N167" s="391" t="inlineStr">
        <is>
          <t> </t>
        </is>
      </c>
      <c r="O167" s="391" t="inlineStr">
        <is>
          <t> </t>
        </is>
      </c>
      <c r="P167" s="391" t="inlineStr">
        <is>
          <t> </t>
        </is>
      </c>
      <c r="Q167" s="391" t="inlineStr">
        <is>
          <t> </t>
        </is>
      </c>
      <c r="R167" s="38" t="inlineStr">
        <is>
          <t> </t>
        </is>
      </c>
      <c r="S167" s="391" t="inlineStr">
        <is>
          <t> </t>
        </is>
      </c>
      <c r="T167" s="391" t="inlineStr">
        <is>
          <t> </t>
        </is>
      </c>
      <c r="U167" s="391" t="inlineStr">
        <is>
          <t> </t>
        </is>
      </c>
      <c r="V167" s="391" t="inlineStr">
        <is>
          <t> </t>
        </is>
      </c>
      <c r="W167" s="391" t="inlineStr">
        <is>
          <t> </t>
        </is>
      </c>
      <c r="X167" s="391" t="inlineStr">
        <is>
          <t> </t>
        </is>
      </c>
      <c r="Y167" s="392" t="inlineStr">
        <is>
          <t> </t>
        </is>
      </c>
      <c r="Z167" s="391" t="inlineStr">
        <is>
          <t> </t>
        </is>
      </c>
      <c r="AA167" s="391" t="inlineStr">
        <is>
          <t> </t>
        </is>
      </c>
      <c r="AB167" s="391" t="inlineStr">
        <is>
          <t> </t>
        </is>
      </c>
      <c r="AC167" s="391" t="inlineStr">
        <is>
          <t> </t>
        </is>
      </c>
      <c r="AD167" s="391" t="inlineStr">
        <is>
          <t> </t>
        </is>
      </c>
      <c r="AE167" s="391" t="inlineStr">
        <is>
          <t> </t>
        </is>
      </c>
      <c r="AF167" s="38" t="inlineStr">
        <is>
          <t> </t>
        </is>
      </c>
      <c r="AG167" s="391" t="inlineStr">
        <is>
          <t> </t>
        </is>
      </c>
      <c r="AH167" s="391" t="n"/>
      <c r="AI167" s="391" t="inlineStr">
        <is>
          <t> </t>
        </is>
      </c>
      <c r="AJ167" s="391" t="inlineStr">
        <is>
          <t> </t>
        </is>
      </c>
      <c r="AK167" s="391" t="inlineStr">
        <is>
          <t> </t>
        </is>
      </c>
      <c r="AL167" s="391" t="inlineStr">
        <is>
          <t> </t>
        </is>
      </c>
      <c r="AM167" s="391" t="inlineStr">
        <is>
          <t> </t>
        </is>
      </c>
      <c r="AN167" s="391" t="inlineStr">
        <is>
          <t> </t>
        </is>
      </c>
      <c r="AO167" s="391" t="n"/>
      <c r="AP167" s="319" t="n"/>
      <c r="AQ167" s="319" t="n"/>
      <c r="AR167" s="319" t="n"/>
    </row>
    <row r="168" ht="15.75" customHeight="1" s="1264">
      <c r="A168" s="319" t="inlineStr">
        <is>
          <t> </t>
        </is>
      </c>
      <c r="B168" s="319" t="inlineStr">
        <is>
          <t> </t>
        </is>
      </c>
      <c r="C168" s="319" t="inlineStr">
        <is>
          <t> </t>
        </is>
      </c>
      <c r="D168" s="38" t="inlineStr">
        <is>
          <t> </t>
        </is>
      </c>
      <c r="E168" s="391" t="inlineStr">
        <is>
          <t> </t>
        </is>
      </c>
      <c r="F168" s="391" t="inlineStr">
        <is>
          <t> </t>
        </is>
      </c>
      <c r="G168" s="391" t="inlineStr">
        <is>
          <t> </t>
        </is>
      </c>
      <c r="H168" s="391" t="inlineStr">
        <is>
          <t> </t>
        </is>
      </c>
      <c r="I168" s="391" t="inlineStr">
        <is>
          <t> </t>
        </is>
      </c>
      <c r="J168" s="391" t="inlineStr">
        <is>
          <t> </t>
        </is>
      </c>
      <c r="K168" s="38" t="inlineStr">
        <is>
          <t> </t>
        </is>
      </c>
      <c r="L168" s="391" t="inlineStr">
        <is>
          <t> </t>
        </is>
      </c>
      <c r="M168" s="391" t="inlineStr">
        <is>
          <t> </t>
        </is>
      </c>
      <c r="N168" s="391" t="inlineStr">
        <is>
          <t> </t>
        </is>
      </c>
      <c r="O168" s="391" t="inlineStr">
        <is>
          <t> </t>
        </is>
      </c>
      <c r="P168" s="391" t="inlineStr">
        <is>
          <t> </t>
        </is>
      </c>
      <c r="Q168" s="391" t="inlineStr">
        <is>
          <t> </t>
        </is>
      </c>
      <c r="R168" s="38" t="inlineStr">
        <is>
          <t> </t>
        </is>
      </c>
      <c r="S168" s="391" t="inlineStr">
        <is>
          <t> </t>
        </is>
      </c>
      <c r="T168" s="391" t="inlineStr">
        <is>
          <t> </t>
        </is>
      </c>
      <c r="U168" s="391" t="inlineStr">
        <is>
          <t> </t>
        </is>
      </c>
      <c r="V168" s="391" t="inlineStr">
        <is>
          <t> </t>
        </is>
      </c>
      <c r="W168" s="391" t="inlineStr">
        <is>
          <t> </t>
        </is>
      </c>
      <c r="X168" s="391" t="inlineStr">
        <is>
          <t> </t>
        </is>
      </c>
      <c r="Y168" s="392" t="inlineStr">
        <is>
          <t> </t>
        </is>
      </c>
      <c r="Z168" s="391" t="inlineStr">
        <is>
          <t> </t>
        </is>
      </c>
      <c r="AA168" s="391" t="inlineStr">
        <is>
          <t> </t>
        </is>
      </c>
      <c r="AB168" s="391" t="inlineStr">
        <is>
          <t> </t>
        </is>
      </c>
      <c r="AC168" s="391" t="inlineStr">
        <is>
          <t> </t>
        </is>
      </c>
      <c r="AD168" s="391" t="inlineStr">
        <is>
          <t> </t>
        </is>
      </c>
      <c r="AE168" s="391" t="inlineStr">
        <is>
          <t> </t>
        </is>
      </c>
      <c r="AF168" s="38" t="inlineStr">
        <is>
          <t> </t>
        </is>
      </c>
      <c r="AG168" s="391" t="inlineStr">
        <is>
          <t> </t>
        </is>
      </c>
      <c r="AH168" s="391" t="n"/>
      <c r="AI168" s="391" t="inlineStr">
        <is>
          <t> </t>
        </is>
      </c>
      <c r="AJ168" s="391" t="inlineStr">
        <is>
          <t> </t>
        </is>
      </c>
      <c r="AK168" s="391" t="inlineStr">
        <is>
          <t> </t>
        </is>
      </c>
      <c r="AL168" s="391" t="inlineStr">
        <is>
          <t> </t>
        </is>
      </c>
      <c r="AM168" s="391" t="inlineStr">
        <is>
          <t> </t>
        </is>
      </c>
      <c r="AN168" s="391" t="inlineStr">
        <is>
          <t> </t>
        </is>
      </c>
      <c r="AO168" s="391" t="n"/>
      <c r="AP168" s="319" t="n"/>
      <c r="AQ168" s="319" t="n"/>
      <c r="AR168" s="319" t="n"/>
    </row>
    <row r="169" ht="15.75" customHeight="1" s="1264">
      <c r="A169" s="319" t="inlineStr">
        <is>
          <t> </t>
        </is>
      </c>
      <c r="B169" s="319" t="inlineStr">
        <is>
          <t> </t>
        </is>
      </c>
      <c r="C169" s="319" t="inlineStr">
        <is>
          <t> </t>
        </is>
      </c>
      <c r="D169" s="38" t="inlineStr">
        <is>
          <t> </t>
        </is>
      </c>
      <c r="E169" s="391" t="inlineStr">
        <is>
          <t> </t>
        </is>
      </c>
      <c r="F169" s="391" t="inlineStr">
        <is>
          <t> </t>
        </is>
      </c>
      <c r="G169" s="391" t="inlineStr">
        <is>
          <t> </t>
        </is>
      </c>
      <c r="H169" s="391" t="inlineStr">
        <is>
          <t> </t>
        </is>
      </c>
      <c r="I169" s="391" t="inlineStr">
        <is>
          <t> </t>
        </is>
      </c>
      <c r="J169" s="391" t="inlineStr">
        <is>
          <t> </t>
        </is>
      </c>
      <c r="K169" s="38" t="inlineStr">
        <is>
          <t> </t>
        </is>
      </c>
      <c r="L169" s="391" t="inlineStr">
        <is>
          <t> </t>
        </is>
      </c>
      <c r="M169" s="391" t="inlineStr">
        <is>
          <t> </t>
        </is>
      </c>
      <c r="N169" s="391" t="inlineStr">
        <is>
          <t> </t>
        </is>
      </c>
      <c r="O169" s="391" t="inlineStr">
        <is>
          <t> </t>
        </is>
      </c>
      <c r="P169" s="391" t="inlineStr">
        <is>
          <t> </t>
        </is>
      </c>
      <c r="Q169" s="391" t="inlineStr">
        <is>
          <t> </t>
        </is>
      </c>
      <c r="R169" s="38" t="inlineStr">
        <is>
          <t> </t>
        </is>
      </c>
      <c r="S169" s="391" t="inlineStr">
        <is>
          <t> </t>
        </is>
      </c>
      <c r="T169" s="391" t="inlineStr">
        <is>
          <t> </t>
        </is>
      </c>
      <c r="U169" s="391" t="inlineStr">
        <is>
          <t> </t>
        </is>
      </c>
      <c r="V169" s="391" t="inlineStr">
        <is>
          <t> </t>
        </is>
      </c>
      <c r="W169" s="391" t="inlineStr">
        <is>
          <t> </t>
        </is>
      </c>
      <c r="X169" s="391" t="inlineStr">
        <is>
          <t> </t>
        </is>
      </c>
      <c r="Y169" s="392" t="inlineStr">
        <is>
          <t> </t>
        </is>
      </c>
      <c r="Z169" s="391" t="inlineStr">
        <is>
          <t> </t>
        </is>
      </c>
      <c r="AA169" s="391" t="inlineStr">
        <is>
          <t> </t>
        </is>
      </c>
      <c r="AB169" s="391" t="inlineStr">
        <is>
          <t> </t>
        </is>
      </c>
      <c r="AC169" s="391" t="inlineStr">
        <is>
          <t> </t>
        </is>
      </c>
      <c r="AD169" s="391" t="inlineStr">
        <is>
          <t> </t>
        </is>
      </c>
      <c r="AE169" s="391" t="inlineStr">
        <is>
          <t> </t>
        </is>
      </c>
      <c r="AF169" s="38" t="inlineStr">
        <is>
          <t> </t>
        </is>
      </c>
      <c r="AG169" s="391" t="inlineStr">
        <is>
          <t> </t>
        </is>
      </c>
      <c r="AH169" s="391" t="n"/>
      <c r="AI169" s="391" t="inlineStr">
        <is>
          <t> </t>
        </is>
      </c>
      <c r="AJ169" s="391" t="inlineStr">
        <is>
          <t> </t>
        </is>
      </c>
      <c r="AK169" s="391" t="inlineStr">
        <is>
          <t> </t>
        </is>
      </c>
      <c r="AL169" s="391" t="inlineStr">
        <is>
          <t> </t>
        </is>
      </c>
      <c r="AM169" s="391" t="inlineStr">
        <is>
          <t> </t>
        </is>
      </c>
      <c r="AN169" s="391" t="inlineStr">
        <is>
          <t> </t>
        </is>
      </c>
      <c r="AO169" s="391" t="n"/>
      <c r="AP169" s="319" t="n"/>
      <c r="AQ169" s="319" t="n"/>
      <c r="AR169" s="319" t="n"/>
    </row>
    <row r="170" ht="15.75" customHeight="1" s="1264">
      <c r="A170" s="319" t="inlineStr">
        <is>
          <t> </t>
        </is>
      </c>
      <c r="B170" s="319" t="inlineStr">
        <is>
          <t> </t>
        </is>
      </c>
      <c r="C170" s="319" t="inlineStr">
        <is>
          <t> </t>
        </is>
      </c>
      <c r="D170" s="38" t="inlineStr">
        <is>
          <t> </t>
        </is>
      </c>
      <c r="E170" s="391" t="inlineStr">
        <is>
          <t> </t>
        </is>
      </c>
      <c r="F170" s="391" t="inlineStr">
        <is>
          <t> </t>
        </is>
      </c>
      <c r="G170" s="391" t="inlineStr">
        <is>
          <t> </t>
        </is>
      </c>
      <c r="H170" s="391" t="inlineStr">
        <is>
          <t> </t>
        </is>
      </c>
      <c r="I170" s="391" t="inlineStr">
        <is>
          <t> </t>
        </is>
      </c>
      <c r="J170" s="391" t="inlineStr">
        <is>
          <t> </t>
        </is>
      </c>
      <c r="K170" s="38" t="inlineStr">
        <is>
          <t> </t>
        </is>
      </c>
      <c r="L170" s="391" t="inlineStr">
        <is>
          <t> </t>
        </is>
      </c>
      <c r="M170" s="391" t="inlineStr">
        <is>
          <t> </t>
        </is>
      </c>
      <c r="N170" s="391" t="inlineStr">
        <is>
          <t> </t>
        </is>
      </c>
      <c r="O170" s="391" t="inlineStr">
        <is>
          <t> </t>
        </is>
      </c>
      <c r="P170" s="391" t="inlineStr">
        <is>
          <t> </t>
        </is>
      </c>
      <c r="Q170" s="391" t="inlineStr">
        <is>
          <t> </t>
        </is>
      </c>
      <c r="R170" s="38" t="inlineStr">
        <is>
          <t> </t>
        </is>
      </c>
      <c r="S170" s="391" t="inlineStr">
        <is>
          <t> </t>
        </is>
      </c>
      <c r="T170" s="391" t="inlineStr">
        <is>
          <t> </t>
        </is>
      </c>
      <c r="U170" s="391" t="inlineStr">
        <is>
          <t> </t>
        </is>
      </c>
      <c r="V170" s="391" t="inlineStr">
        <is>
          <t> </t>
        </is>
      </c>
      <c r="W170" s="391" t="inlineStr">
        <is>
          <t> </t>
        </is>
      </c>
      <c r="X170" s="391" t="inlineStr">
        <is>
          <t> </t>
        </is>
      </c>
      <c r="Y170" s="392" t="inlineStr">
        <is>
          <t> </t>
        </is>
      </c>
      <c r="Z170" s="391" t="inlineStr">
        <is>
          <t> </t>
        </is>
      </c>
      <c r="AA170" s="391" t="inlineStr">
        <is>
          <t> </t>
        </is>
      </c>
      <c r="AB170" s="391" t="inlineStr">
        <is>
          <t> </t>
        </is>
      </c>
      <c r="AC170" s="391" t="inlineStr">
        <is>
          <t> </t>
        </is>
      </c>
      <c r="AD170" s="391" t="inlineStr">
        <is>
          <t> </t>
        </is>
      </c>
      <c r="AE170" s="391" t="inlineStr">
        <is>
          <t> </t>
        </is>
      </c>
      <c r="AF170" s="38" t="inlineStr">
        <is>
          <t> </t>
        </is>
      </c>
      <c r="AG170" s="391" t="inlineStr">
        <is>
          <t> </t>
        </is>
      </c>
      <c r="AH170" s="391" t="n"/>
      <c r="AI170" s="391" t="inlineStr">
        <is>
          <t> </t>
        </is>
      </c>
      <c r="AJ170" s="391" t="inlineStr">
        <is>
          <t> </t>
        </is>
      </c>
      <c r="AK170" s="391" t="inlineStr">
        <is>
          <t> </t>
        </is>
      </c>
      <c r="AL170" s="391" t="inlineStr">
        <is>
          <t> </t>
        </is>
      </c>
      <c r="AM170" s="391" t="inlineStr">
        <is>
          <t> </t>
        </is>
      </c>
      <c r="AN170" s="391" t="inlineStr">
        <is>
          <t> </t>
        </is>
      </c>
      <c r="AO170" s="391" t="n"/>
      <c r="AP170" s="319" t="n"/>
      <c r="AQ170" s="319" t="n"/>
      <c r="AR170" s="319" t="n"/>
    </row>
    <row r="171" ht="15.75" customHeight="1" s="1264">
      <c r="A171" s="319" t="inlineStr">
        <is>
          <t> </t>
        </is>
      </c>
      <c r="B171" s="319" t="inlineStr">
        <is>
          <t> </t>
        </is>
      </c>
      <c r="C171" s="319" t="inlineStr">
        <is>
          <t> </t>
        </is>
      </c>
      <c r="D171" s="38" t="inlineStr">
        <is>
          <t> </t>
        </is>
      </c>
      <c r="E171" s="391" t="inlineStr">
        <is>
          <t> </t>
        </is>
      </c>
      <c r="F171" s="391" t="inlineStr">
        <is>
          <t> </t>
        </is>
      </c>
      <c r="G171" s="391" t="inlineStr">
        <is>
          <t> </t>
        </is>
      </c>
      <c r="H171" s="391" t="inlineStr">
        <is>
          <t> </t>
        </is>
      </c>
      <c r="I171" s="391" t="inlineStr">
        <is>
          <t> </t>
        </is>
      </c>
      <c r="J171" s="391" t="inlineStr">
        <is>
          <t> </t>
        </is>
      </c>
      <c r="K171" s="38" t="inlineStr">
        <is>
          <t> </t>
        </is>
      </c>
      <c r="L171" s="391" t="inlineStr">
        <is>
          <t> </t>
        </is>
      </c>
      <c r="M171" s="391" t="inlineStr">
        <is>
          <t> </t>
        </is>
      </c>
      <c r="N171" s="391" t="inlineStr">
        <is>
          <t> </t>
        </is>
      </c>
      <c r="O171" s="391" t="inlineStr">
        <is>
          <t> </t>
        </is>
      </c>
      <c r="P171" s="391" t="inlineStr">
        <is>
          <t> </t>
        </is>
      </c>
      <c r="Q171" s="391" t="inlineStr">
        <is>
          <t> </t>
        </is>
      </c>
      <c r="R171" s="38" t="inlineStr">
        <is>
          <t> </t>
        </is>
      </c>
      <c r="S171" s="391" t="inlineStr">
        <is>
          <t> </t>
        </is>
      </c>
      <c r="T171" s="391" t="inlineStr">
        <is>
          <t> </t>
        </is>
      </c>
      <c r="U171" s="391" t="inlineStr">
        <is>
          <t> </t>
        </is>
      </c>
      <c r="V171" s="391" t="inlineStr">
        <is>
          <t> </t>
        </is>
      </c>
      <c r="W171" s="391" t="inlineStr">
        <is>
          <t> </t>
        </is>
      </c>
      <c r="X171" s="391" t="inlineStr">
        <is>
          <t> </t>
        </is>
      </c>
      <c r="Y171" s="392" t="inlineStr">
        <is>
          <t> </t>
        </is>
      </c>
      <c r="Z171" s="391" t="inlineStr">
        <is>
          <t> </t>
        </is>
      </c>
      <c r="AA171" s="391" t="inlineStr">
        <is>
          <t> </t>
        </is>
      </c>
      <c r="AB171" s="391" t="inlineStr">
        <is>
          <t> </t>
        </is>
      </c>
      <c r="AC171" s="391" t="inlineStr">
        <is>
          <t> </t>
        </is>
      </c>
      <c r="AD171" s="391" t="inlineStr">
        <is>
          <t> </t>
        </is>
      </c>
      <c r="AE171" s="391" t="inlineStr">
        <is>
          <t> </t>
        </is>
      </c>
      <c r="AF171" s="38" t="inlineStr">
        <is>
          <t> </t>
        </is>
      </c>
      <c r="AG171" s="391" t="inlineStr">
        <is>
          <t> </t>
        </is>
      </c>
      <c r="AH171" s="391" t="n"/>
      <c r="AI171" s="391" t="inlineStr">
        <is>
          <t> </t>
        </is>
      </c>
      <c r="AJ171" s="391" t="inlineStr">
        <is>
          <t> </t>
        </is>
      </c>
      <c r="AK171" s="391" t="inlineStr">
        <is>
          <t> </t>
        </is>
      </c>
      <c r="AL171" s="391" t="inlineStr">
        <is>
          <t> </t>
        </is>
      </c>
      <c r="AM171" s="391" t="inlineStr">
        <is>
          <t> </t>
        </is>
      </c>
      <c r="AN171" s="391" t="inlineStr">
        <is>
          <t> </t>
        </is>
      </c>
      <c r="AO171" s="391" t="n"/>
      <c r="AP171" s="319" t="n"/>
      <c r="AQ171" s="319" t="n"/>
      <c r="AR171" s="319" t="n"/>
    </row>
    <row r="172" ht="15.75" customHeight="1" s="1264">
      <c r="A172" s="319" t="inlineStr">
        <is>
          <t> </t>
        </is>
      </c>
      <c r="B172" s="319" t="inlineStr">
        <is>
          <t> </t>
        </is>
      </c>
      <c r="C172" s="319" t="inlineStr">
        <is>
          <t> </t>
        </is>
      </c>
      <c r="D172" s="38" t="inlineStr">
        <is>
          <t> </t>
        </is>
      </c>
      <c r="E172" s="391" t="inlineStr">
        <is>
          <t> </t>
        </is>
      </c>
      <c r="F172" s="391" t="inlineStr">
        <is>
          <t> </t>
        </is>
      </c>
      <c r="G172" s="391" t="inlineStr">
        <is>
          <t> </t>
        </is>
      </c>
      <c r="H172" s="391" t="inlineStr">
        <is>
          <t> </t>
        </is>
      </c>
      <c r="I172" s="391" t="inlineStr">
        <is>
          <t> </t>
        </is>
      </c>
      <c r="J172" s="391" t="inlineStr">
        <is>
          <t> </t>
        </is>
      </c>
      <c r="K172" s="38" t="inlineStr">
        <is>
          <t> </t>
        </is>
      </c>
      <c r="L172" s="391" t="inlineStr">
        <is>
          <t> </t>
        </is>
      </c>
      <c r="M172" s="391" t="inlineStr">
        <is>
          <t> </t>
        </is>
      </c>
      <c r="N172" s="391" t="inlineStr">
        <is>
          <t> </t>
        </is>
      </c>
      <c r="O172" s="391" t="inlineStr">
        <is>
          <t> </t>
        </is>
      </c>
      <c r="P172" s="391" t="inlineStr">
        <is>
          <t> </t>
        </is>
      </c>
      <c r="Q172" s="391" t="inlineStr">
        <is>
          <t> </t>
        </is>
      </c>
      <c r="R172" s="38" t="inlineStr">
        <is>
          <t> </t>
        </is>
      </c>
      <c r="S172" s="391" t="inlineStr">
        <is>
          <t> </t>
        </is>
      </c>
      <c r="T172" s="391" t="inlineStr">
        <is>
          <t> </t>
        </is>
      </c>
      <c r="U172" s="391" t="inlineStr">
        <is>
          <t> </t>
        </is>
      </c>
      <c r="V172" s="391" t="inlineStr">
        <is>
          <t> </t>
        </is>
      </c>
      <c r="W172" s="391" t="inlineStr">
        <is>
          <t> </t>
        </is>
      </c>
      <c r="X172" s="391" t="inlineStr">
        <is>
          <t> </t>
        </is>
      </c>
      <c r="Y172" s="392" t="inlineStr">
        <is>
          <t> </t>
        </is>
      </c>
      <c r="Z172" s="391" t="inlineStr">
        <is>
          <t> </t>
        </is>
      </c>
      <c r="AA172" s="391" t="inlineStr">
        <is>
          <t> </t>
        </is>
      </c>
      <c r="AB172" s="391" t="inlineStr">
        <is>
          <t> </t>
        </is>
      </c>
      <c r="AC172" s="391" t="inlineStr">
        <is>
          <t> </t>
        </is>
      </c>
      <c r="AD172" s="391" t="inlineStr">
        <is>
          <t> </t>
        </is>
      </c>
      <c r="AE172" s="391" t="inlineStr">
        <is>
          <t> </t>
        </is>
      </c>
      <c r="AF172" s="38" t="inlineStr">
        <is>
          <t> </t>
        </is>
      </c>
      <c r="AG172" s="391" t="inlineStr">
        <is>
          <t> </t>
        </is>
      </c>
      <c r="AH172" s="391" t="n"/>
      <c r="AI172" s="391" t="inlineStr">
        <is>
          <t> </t>
        </is>
      </c>
      <c r="AJ172" s="391" t="inlineStr">
        <is>
          <t> </t>
        </is>
      </c>
      <c r="AK172" s="391" t="inlineStr">
        <is>
          <t> </t>
        </is>
      </c>
      <c r="AL172" s="391" t="inlineStr">
        <is>
          <t> </t>
        </is>
      </c>
      <c r="AM172" s="391" t="inlineStr">
        <is>
          <t> </t>
        </is>
      </c>
      <c r="AN172" s="391" t="inlineStr">
        <is>
          <t> </t>
        </is>
      </c>
      <c r="AO172" s="391" t="n"/>
      <c r="AP172" s="319" t="n"/>
      <c r="AQ172" s="319" t="n"/>
      <c r="AR172" s="319" t="n"/>
    </row>
    <row r="173" ht="15.75" customHeight="1" s="1264">
      <c r="A173" s="319" t="inlineStr">
        <is>
          <t> </t>
        </is>
      </c>
      <c r="B173" s="319" t="inlineStr">
        <is>
          <t> </t>
        </is>
      </c>
      <c r="C173" s="319" t="inlineStr">
        <is>
          <t> </t>
        </is>
      </c>
      <c r="D173" s="38" t="inlineStr">
        <is>
          <t> </t>
        </is>
      </c>
      <c r="E173" s="391" t="inlineStr">
        <is>
          <t> </t>
        </is>
      </c>
      <c r="F173" s="391" t="inlineStr">
        <is>
          <t> </t>
        </is>
      </c>
      <c r="G173" s="391" t="inlineStr">
        <is>
          <t> </t>
        </is>
      </c>
      <c r="H173" s="391" t="inlineStr">
        <is>
          <t> </t>
        </is>
      </c>
      <c r="I173" s="391" t="inlineStr">
        <is>
          <t> </t>
        </is>
      </c>
      <c r="J173" s="391" t="inlineStr">
        <is>
          <t> </t>
        </is>
      </c>
      <c r="K173" s="38" t="inlineStr">
        <is>
          <t> </t>
        </is>
      </c>
      <c r="L173" s="391" t="inlineStr">
        <is>
          <t> </t>
        </is>
      </c>
      <c r="M173" s="391" t="inlineStr">
        <is>
          <t> </t>
        </is>
      </c>
      <c r="N173" s="391" t="inlineStr">
        <is>
          <t> </t>
        </is>
      </c>
      <c r="O173" s="391" t="inlineStr">
        <is>
          <t> </t>
        </is>
      </c>
      <c r="P173" s="391" t="inlineStr">
        <is>
          <t> </t>
        </is>
      </c>
      <c r="Q173" s="391" t="inlineStr">
        <is>
          <t> </t>
        </is>
      </c>
      <c r="R173" s="38" t="inlineStr">
        <is>
          <t> </t>
        </is>
      </c>
      <c r="S173" s="391" t="inlineStr">
        <is>
          <t> </t>
        </is>
      </c>
      <c r="T173" s="391" t="inlineStr">
        <is>
          <t> </t>
        </is>
      </c>
      <c r="U173" s="391" t="inlineStr">
        <is>
          <t> </t>
        </is>
      </c>
      <c r="V173" s="391" t="inlineStr">
        <is>
          <t> </t>
        </is>
      </c>
      <c r="W173" s="391" t="inlineStr">
        <is>
          <t> </t>
        </is>
      </c>
      <c r="X173" s="391" t="inlineStr">
        <is>
          <t> </t>
        </is>
      </c>
      <c r="Y173" s="392" t="inlineStr">
        <is>
          <t> </t>
        </is>
      </c>
      <c r="Z173" s="391" t="inlineStr">
        <is>
          <t> </t>
        </is>
      </c>
      <c r="AA173" s="391" t="inlineStr">
        <is>
          <t> </t>
        </is>
      </c>
      <c r="AB173" s="391" t="inlineStr">
        <is>
          <t> </t>
        </is>
      </c>
      <c r="AC173" s="391" t="inlineStr">
        <is>
          <t> </t>
        </is>
      </c>
      <c r="AD173" s="391" t="inlineStr">
        <is>
          <t> </t>
        </is>
      </c>
      <c r="AE173" s="391" t="inlineStr">
        <is>
          <t> </t>
        </is>
      </c>
      <c r="AF173" s="38" t="inlineStr">
        <is>
          <t> </t>
        </is>
      </c>
      <c r="AG173" s="391" t="inlineStr">
        <is>
          <t> </t>
        </is>
      </c>
      <c r="AH173" s="391" t="n"/>
      <c r="AI173" s="391" t="inlineStr">
        <is>
          <t> </t>
        </is>
      </c>
      <c r="AJ173" s="391" t="inlineStr">
        <is>
          <t> </t>
        </is>
      </c>
      <c r="AK173" s="391" t="inlineStr">
        <is>
          <t> </t>
        </is>
      </c>
      <c r="AL173" s="391" t="inlineStr">
        <is>
          <t> </t>
        </is>
      </c>
      <c r="AM173" s="391" t="inlineStr">
        <is>
          <t> </t>
        </is>
      </c>
      <c r="AN173" s="391" t="inlineStr">
        <is>
          <t> </t>
        </is>
      </c>
      <c r="AO173" s="391" t="n"/>
      <c r="AP173" s="319" t="n"/>
      <c r="AQ173" s="319" t="n"/>
      <c r="AR173" s="319" t="n"/>
    </row>
    <row r="174" ht="15.75" customHeight="1" s="1264">
      <c r="A174" s="319" t="inlineStr">
        <is>
          <t> </t>
        </is>
      </c>
      <c r="B174" s="319" t="inlineStr">
        <is>
          <t> </t>
        </is>
      </c>
      <c r="C174" s="319" t="inlineStr">
        <is>
          <t> </t>
        </is>
      </c>
      <c r="D174" s="38" t="inlineStr">
        <is>
          <t> </t>
        </is>
      </c>
      <c r="E174" s="391" t="inlineStr">
        <is>
          <t> </t>
        </is>
      </c>
      <c r="F174" s="391" t="inlineStr">
        <is>
          <t> </t>
        </is>
      </c>
      <c r="G174" s="391" t="inlineStr">
        <is>
          <t> </t>
        </is>
      </c>
      <c r="H174" s="391" t="inlineStr">
        <is>
          <t> </t>
        </is>
      </c>
      <c r="I174" s="391" t="inlineStr">
        <is>
          <t> </t>
        </is>
      </c>
      <c r="J174" s="391" t="inlineStr">
        <is>
          <t> </t>
        </is>
      </c>
      <c r="K174" s="38" t="inlineStr">
        <is>
          <t> </t>
        </is>
      </c>
      <c r="L174" s="391" t="inlineStr">
        <is>
          <t> </t>
        </is>
      </c>
      <c r="M174" s="391" t="inlineStr">
        <is>
          <t> </t>
        </is>
      </c>
      <c r="N174" s="391" t="inlineStr">
        <is>
          <t> </t>
        </is>
      </c>
      <c r="O174" s="391" t="inlineStr">
        <is>
          <t> </t>
        </is>
      </c>
      <c r="P174" s="391" t="inlineStr">
        <is>
          <t> </t>
        </is>
      </c>
      <c r="Q174" s="391" t="inlineStr">
        <is>
          <t> </t>
        </is>
      </c>
      <c r="R174" s="38" t="inlineStr">
        <is>
          <t> </t>
        </is>
      </c>
      <c r="S174" s="391" t="inlineStr">
        <is>
          <t> </t>
        </is>
      </c>
      <c r="T174" s="391" t="inlineStr">
        <is>
          <t> </t>
        </is>
      </c>
      <c r="U174" s="391" t="inlineStr">
        <is>
          <t> </t>
        </is>
      </c>
      <c r="V174" s="391" t="inlineStr">
        <is>
          <t> </t>
        </is>
      </c>
      <c r="W174" s="391" t="inlineStr">
        <is>
          <t> </t>
        </is>
      </c>
      <c r="X174" s="391" t="inlineStr">
        <is>
          <t> </t>
        </is>
      </c>
      <c r="Y174" s="392" t="inlineStr">
        <is>
          <t> </t>
        </is>
      </c>
      <c r="Z174" s="391" t="inlineStr">
        <is>
          <t> </t>
        </is>
      </c>
      <c r="AA174" s="391" t="inlineStr">
        <is>
          <t> </t>
        </is>
      </c>
      <c r="AB174" s="391" t="inlineStr">
        <is>
          <t> </t>
        </is>
      </c>
      <c r="AC174" s="391" t="inlineStr">
        <is>
          <t> </t>
        </is>
      </c>
      <c r="AD174" s="391" t="inlineStr">
        <is>
          <t> </t>
        </is>
      </c>
      <c r="AE174" s="391" t="inlineStr">
        <is>
          <t> </t>
        </is>
      </c>
      <c r="AF174" s="38" t="inlineStr">
        <is>
          <t> </t>
        </is>
      </c>
      <c r="AG174" s="391" t="inlineStr">
        <is>
          <t> </t>
        </is>
      </c>
      <c r="AH174" s="391" t="n"/>
      <c r="AI174" s="391" t="inlineStr">
        <is>
          <t> </t>
        </is>
      </c>
      <c r="AJ174" s="391" t="inlineStr">
        <is>
          <t> </t>
        </is>
      </c>
      <c r="AK174" s="391" t="inlineStr">
        <is>
          <t> </t>
        </is>
      </c>
      <c r="AL174" s="391" t="inlineStr">
        <is>
          <t> </t>
        </is>
      </c>
      <c r="AM174" s="391" t="inlineStr">
        <is>
          <t> </t>
        </is>
      </c>
      <c r="AN174" s="391" t="inlineStr">
        <is>
          <t> </t>
        </is>
      </c>
      <c r="AO174" s="391" t="n"/>
      <c r="AP174" s="319" t="n"/>
      <c r="AQ174" s="319" t="n"/>
      <c r="AR174" s="319" t="n"/>
    </row>
    <row r="175" ht="15.75" customHeight="1" s="1264">
      <c r="A175" s="319" t="inlineStr">
        <is>
          <t> </t>
        </is>
      </c>
      <c r="B175" s="319" t="inlineStr">
        <is>
          <t> </t>
        </is>
      </c>
      <c r="C175" s="319" t="inlineStr">
        <is>
          <t> </t>
        </is>
      </c>
      <c r="D175" s="38" t="inlineStr">
        <is>
          <t> </t>
        </is>
      </c>
      <c r="E175" s="391" t="inlineStr">
        <is>
          <t> </t>
        </is>
      </c>
      <c r="F175" s="391" t="inlineStr">
        <is>
          <t> </t>
        </is>
      </c>
      <c r="G175" s="391" t="inlineStr">
        <is>
          <t> </t>
        </is>
      </c>
      <c r="H175" s="391" t="inlineStr">
        <is>
          <t> </t>
        </is>
      </c>
      <c r="I175" s="391" t="inlineStr">
        <is>
          <t> </t>
        </is>
      </c>
      <c r="J175" s="391" t="inlineStr">
        <is>
          <t> </t>
        </is>
      </c>
      <c r="K175" s="38" t="inlineStr">
        <is>
          <t> </t>
        </is>
      </c>
      <c r="L175" s="391" t="inlineStr">
        <is>
          <t> </t>
        </is>
      </c>
      <c r="M175" s="391" t="inlineStr">
        <is>
          <t> </t>
        </is>
      </c>
      <c r="N175" s="391" t="inlineStr">
        <is>
          <t> </t>
        </is>
      </c>
      <c r="O175" s="391" t="inlineStr">
        <is>
          <t> </t>
        </is>
      </c>
      <c r="P175" s="391" t="inlineStr">
        <is>
          <t> </t>
        </is>
      </c>
      <c r="Q175" s="391" t="inlineStr">
        <is>
          <t> </t>
        </is>
      </c>
      <c r="R175" s="38" t="inlineStr">
        <is>
          <t> </t>
        </is>
      </c>
      <c r="S175" s="391" t="inlineStr">
        <is>
          <t> </t>
        </is>
      </c>
      <c r="T175" s="391" t="inlineStr">
        <is>
          <t> </t>
        </is>
      </c>
      <c r="U175" s="391" t="inlineStr">
        <is>
          <t> </t>
        </is>
      </c>
      <c r="V175" s="391" t="inlineStr">
        <is>
          <t> </t>
        </is>
      </c>
      <c r="W175" s="391" t="inlineStr">
        <is>
          <t> </t>
        </is>
      </c>
      <c r="X175" s="391" t="inlineStr">
        <is>
          <t> </t>
        </is>
      </c>
      <c r="Y175" s="392" t="inlineStr">
        <is>
          <t> </t>
        </is>
      </c>
      <c r="Z175" s="391" t="inlineStr">
        <is>
          <t> </t>
        </is>
      </c>
      <c r="AA175" s="391" t="inlineStr">
        <is>
          <t> </t>
        </is>
      </c>
      <c r="AB175" s="391" t="inlineStr">
        <is>
          <t> </t>
        </is>
      </c>
      <c r="AC175" s="391" t="inlineStr">
        <is>
          <t> </t>
        </is>
      </c>
      <c r="AD175" s="391" t="inlineStr">
        <is>
          <t> </t>
        </is>
      </c>
      <c r="AE175" s="391" t="inlineStr">
        <is>
          <t> </t>
        </is>
      </c>
      <c r="AF175" s="38" t="inlineStr">
        <is>
          <t> </t>
        </is>
      </c>
      <c r="AG175" s="391" t="inlineStr">
        <is>
          <t> </t>
        </is>
      </c>
      <c r="AH175" s="391" t="n"/>
      <c r="AI175" s="391" t="inlineStr">
        <is>
          <t> </t>
        </is>
      </c>
      <c r="AJ175" s="391" t="inlineStr">
        <is>
          <t> </t>
        </is>
      </c>
      <c r="AK175" s="391" t="inlineStr">
        <is>
          <t> </t>
        </is>
      </c>
      <c r="AL175" s="391" t="inlineStr">
        <is>
          <t> </t>
        </is>
      </c>
      <c r="AM175" s="391" t="inlineStr">
        <is>
          <t> </t>
        </is>
      </c>
      <c r="AN175" s="391" t="inlineStr">
        <is>
          <t> </t>
        </is>
      </c>
      <c r="AO175" s="391" t="n"/>
      <c r="AP175" s="319" t="n"/>
      <c r="AQ175" s="319" t="n"/>
      <c r="AR175" s="319" t="n"/>
    </row>
    <row r="176" ht="15.75" customHeight="1" s="1264">
      <c r="A176" s="319" t="inlineStr">
        <is>
          <t> </t>
        </is>
      </c>
      <c r="B176" s="319" t="inlineStr">
        <is>
          <t> </t>
        </is>
      </c>
      <c r="C176" s="319" t="inlineStr">
        <is>
          <t> </t>
        </is>
      </c>
      <c r="D176" s="38" t="inlineStr">
        <is>
          <t> </t>
        </is>
      </c>
      <c r="E176" s="391" t="inlineStr">
        <is>
          <t> </t>
        </is>
      </c>
      <c r="F176" s="391" t="inlineStr">
        <is>
          <t> </t>
        </is>
      </c>
      <c r="G176" s="391" t="inlineStr">
        <is>
          <t> </t>
        </is>
      </c>
      <c r="H176" s="391" t="inlineStr">
        <is>
          <t> </t>
        </is>
      </c>
      <c r="I176" s="391" t="inlineStr">
        <is>
          <t> </t>
        </is>
      </c>
      <c r="J176" s="391" t="inlineStr">
        <is>
          <t> </t>
        </is>
      </c>
      <c r="K176" s="38" t="inlineStr">
        <is>
          <t> </t>
        </is>
      </c>
      <c r="L176" s="391" t="inlineStr">
        <is>
          <t> </t>
        </is>
      </c>
      <c r="M176" s="391" t="inlineStr">
        <is>
          <t> </t>
        </is>
      </c>
      <c r="N176" s="391" t="inlineStr">
        <is>
          <t> </t>
        </is>
      </c>
      <c r="O176" s="391" t="inlineStr">
        <is>
          <t> </t>
        </is>
      </c>
      <c r="P176" s="391" t="inlineStr">
        <is>
          <t> </t>
        </is>
      </c>
      <c r="Q176" s="391" t="inlineStr">
        <is>
          <t> </t>
        </is>
      </c>
      <c r="R176" s="38" t="inlineStr">
        <is>
          <t> </t>
        </is>
      </c>
      <c r="S176" s="391" t="inlineStr">
        <is>
          <t> </t>
        </is>
      </c>
      <c r="T176" s="391" t="inlineStr">
        <is>
          <t> </t>
        </is>
      </c>
      <c r="U176" s="391" t="inlineStr">
        <is>
          <t> </t>
        </is>
      </c>
      <c r="V176" s="391" t="inlineStr">
        <is>
          <t> </t>
        </is>
      </c>
      <c r="W176" s="391" t="inlineStr">
        <is>
          <t> </t>
        </is>
      </c>
      <c r="X176" s="391" t="inlineStr">
        <is>
          <t> </t>
        </is>
      </c>
      <c r="Y176" s="392" t="inlineStr">
        <is>
          <t> </t>
        </is>
      </c>
      <c r="Z176" s="391" t="inlineStr">
        <is>
          <t> </t>
        </is>
      </c>
      <c r="AA176" s="391" t="inlineStr">
        <is>
          <t> </t>
        </is>
      </c>
      <c r="AB176" s="391" t="inlineStr">
        <is>
          <t> </t>
        </is>
      </c>
      <c r="AC176" s="391" t="inlineStr">
        <is>
          <t> </t>
        </is>
      </c>
      <c r="AD176" s="391" t="inlineStr">
        <is>
          <t> </t>
        </is>
      </c>
      <c r="AE176" s="391" t="inlineStr">
        <is>
          <t> </t>
        </is>
      </c>
      <c r="AF176" s="38" t="inlineStr">
        <is>
          <t> </t>
        </is>
      </c>
      <c r="AG176" s="391" t="inlineStr">
        <is>
          <t> </t>
        </is>
      </c>
      <c r="AH176" s="391" t="n"/>
      <c r="AI176" s="391" t="inlineStr">
        <is>
          <t> </t>
        </is>
      </c>
      <c r="AJ176" s="391" t="inlineStr">
        <is>
          <t> </t>
        </is>
      </c>
      <c r="AK176" s="391" t="inlineStr">
        <is>
          <t> </t>
        </is>
      </c>
      <c r="AL176" s="391" t="inlineStr">
        <is>
          <t> </t>
        </is>
      </c>
      <c r="AM176" s="391" t="inlineStr">
        <is>
          <t> </t>
        </is>
      </c>
      <c r="AN176" s="391" t="inlineStr">
        <is>
          <t> </t>
        </is>
      </c>
      <c r="AO176" s="391" t="n"/>
      <c r="AP176" s="319" t="n"/>
      <c r="AQ176" s="319" t="n"/>
      <c r="AR176" s="319" t="n"/>
    </row>
    <row r="177" ht="15.75" customHeight="1" s="1264">
      <c r="A177" s="319" t="inlineStr">
        <is>
          <t> </t>
        </is>
      </c>
      <c r="B177" s="319" t="inlineStr">
        <is>
          <t> </t>
        </is>
      </c>
      <c r="C177" s="319" t="inlineStr">
        <is>
          <t> </t>
        </is>
      </c>
      <c r="D177" s="38" t="inlineStr">
        <is>
          <t> </t>
        </is>
      </c>
      <c r="E177" s="391" t="inlineStr">
        <is>
          <t> </t>
        </is>
      </c>
      <c r="F177" s="391" t="inlineStr">
        <is>
          <t> </t>
        </is>
      </c>
      <c r="G177" s="391" t="inlineStr">
        <is>
          <t> </t>
        </is>
      </c>
      <c r="H177" s="391" t="inlineStr">
        <is>
          <t> </t>
        </is>
      </c>
      <c r="I177" s="391" t="inlineStr">
        <is>
          <t> </t>
        </is>
      </c>
      <c r="J177" s="391" t="inlineStr">
        <is>
          <t> </t>
        </is>
      </c>
      <c r="K177" s="38" t="inlineStr">
        <is>
          <t> </t>
        </is>
      </c>
      <c r="L177" s="391" t="inlineStr">
        <is>
          <t> </t>
        </is>
      </c>
      <c r="M177" s="391" t="inlineStr">
        <is>
          <t> </t>
        </is>
      </c>
      <c r="N177" s="391" t="inlineStr">
        <is>
          <t> </t>
        </is>
      </c>
      <c r="O177" s="391" t="inlineStr">
        <is>
          <t> </t>
        </is>
      </c>
      <c r="P177" s="391" t="inlineStr">
        <is>
          <t> </t>
        </is>
      </c>
      <c r="Q177" s="391" t="inlineStr">
        <is>
          <t> </t>
        </is>
      </c>
      <c r="R177" s="38" t="inlineStr">
        <is>
          <t> </t>
        </is>
      </c>
      <c r="S177" s="391" t="inlineStr">
        <is>
          <t> </t>
        </is>
      </c>
      <c r="T177" s="391" t="inlineStr">
        <is>
          <t> </t>
        </is>
      </c>
      <c r="U177" s="391" t="inlineStr">
        <is>
          <t> </t>
        </is>
      </c>
      <c r="V177" s="391" t="inlineStr">
        <is>
          <t> </t>
        </is>
      </c>
      <c r="W177" s="391" t="inlineStr">
        <is>
          <t> </t>
        </is>
      </c>
      <c r="X177" s="391" t="inlineStr">
        <is>
          <t> </t>
        </is>
      </c>
      <c r="Y177" s="392" t="inlineStr">
        <is>
          <t> </t>
        </is>
      </c>
      <c r="Z177" s="391" t="inlineStr">
        <is>
          <t> </t>
        </is>
      </c>
      <c r="AA177" s="391" t="inlineStr">
        <is>
          <t> </t>
        </is>
      </c>
      <c r="AB177" s="391" t="inlineStr">
        <is>
          <t> </t>
        </is>
      </c>
      <c r="AC177" s="391" t="inlineStr">
        <is>
          <t> </t>
        </is>
      </c>
      <c r="AD177" s="391" t="inlineStr">
        <is>
          <t> </t>
        </is>
      </c>
      <c r="AE177" s="391" t="inlineStr">
        <is>
          <t> </t>
        </is>
      </c>
      <c r="AF177" s="38" t="inlineStr">
        <is>
          <t> </t>
        </is>
      </c>
      <c r="AG177" s="391" t="inlineStr">
        <is>
          <t> </t>
        </is>
      </c>
      <c r="AH177" s="391" t="n"/>
      <c r="AI177" s="391" t="inlineStr">
        <is>
          <t> </t>
        </is>
      </c>
      <c r="AJ177" s="391" t="inlineStr">
        <is>
          <t> </t>
        </is>
      </c>
      <c r="AK177" s="391" t="inlineStr">
        <is>
          <t> </t>
        </is>
      </c>
      <c r="AL177" s="391" t="inlineStr">
        <is>
          <t> </t>
        </is>
      </c>
      <c r="AM177" s="391" t="inlineStr">
        <is>
          <t> </t>
        </is>
      </c>
      <c r="AN177" s="391" t="inlineStr">
        <is>
          <t> </t>
        </is>
      </c>
      <c r="AO177" s="391" t="n"/>
      <c r="AP177" s="319" t="n"/>
      <c r="AQ177" s="319" t="n"/>
      <c r="AR177" s="319" t="n"/>
    </row>
    <row r="178" ht="15.75" customHeight="1" s="1264">
      <c r="A178" s="319" t="inlineStr">
        <is>
          <t> </t>
        </is>
      </c>
      <c r="B178" s="319" t="inlineStr">
        <is>
          <t> </t>
        </is>
      </c>
      <c r="C178" s="319" t="inlineStr">
        <is>
          <t> </t>
        </is>
      </c>
      <c r="D178" s="38" t="inlineStr">
        <is>
          <t> </t>
        </is>
      </c>
      <c r="E178" s="391" t="inlineStr">
        <is>
          <t> </t>
        </is>
      </c>
      <c r="F178" s="391" t="inlineStr">
        <is>
          <t> </t>
        </is>
      </c>
      <c r="G178" s="391" t="inlineStr">
        <is>
          <t> </t>
        </is>
      </c>
      <c r="H178" s="391" t="inlineStr">
        <is>
          <t> </t>
        </is>
      </c>
      <c r="I178" s="391" t="inlineStr">
        <is>
          <t> </t>
        </is>
      </c>
      <c r="J178" s="391" t="inlineStr">
        <is>
          <t> </t>
        </is>
      </c>
      <c r="K178" s="38" t="inlineStr">
        <is>
          <t> </t>
        </is>
      </c>
      <c r="L178" s="391" t="inlineStr">
        <is>
          <t> </t>
        </is>
      </c>
      <c r="M178" s="391" t="inlineStr">
        <is>
          <t> </t>
        </is>
      </c>
      <c r="N178" s="391" t="inlineStr">
        <is>
          <t> </t>
        </is>
      </c>
      <c r="O178" s="391" t="inlineStr">
        <is>
          <t> </t>
        </is>
      </c>
      <c r="P178" s="391" t="inlineStr">
        <is>
          <t> </t>
        </is>
      </c>
      <c r="Q178" s="391" t="inlineStr">
        <is>
          <t> </t>
        </is>
      </c>
      <c r="R178" s="38" t="inlineStr">
        <is>
          <t> </t>
        </is>
      </c>
      <c r="S178" s="391" t="inlineStr">
        <is>
          <t> </t>
        </is>
      </c>
      <c r="T178" s="391" t="inlineStr">
        <is>
          <t> </t>
        </is>
      </c>
      <c r="U178" s="391" t="inlineStr">
        <is>
          <t> </t>
        </is>
      </c>
      <c r="V178" s="391" t="inlineStr">
        <is>
          <t> </t>
        </is>
      </c>
      <c r="W178" s="391" t="inlineStr">
        <is>
          <t> </t>
        </is>
      </c>
      <c r="X178" s="391" t="inlineStr">
        <is>
          <t> </t>
        </is>
      </c>
      <c r="Y178" s="392" t="inlineStr">
        <is>
          <t> </t>
        </is>
      </c>
      <c r="Z178" s="391" t="inlineStr">
        <is>
          <t> </t>
        </is>
      </c>
      <c r="AA178" s="391" t="inlineStr">
        <is>
          <t> </t>
        </is>
      </c>
      <c r="AB178" s="391" t="inlineStr">
        <is>
          <t> </t>
        </is>
      </c>
      <c r="AC178" s="391" t="inlineStr">
        <is>
          <t> </t>
        </is>
      </c>
      <c r="AD178" s="391" t="inlineStr">
        <is>
          <t> </t>
        </is>
      </c>
      <c r="AE178" s="391" t="inlineStr">
        <is>
          <t> </t>
        </is>
      </c>
      <c r="AF178" s="38" t="inlineStr">
        <is>
          <t> </t>
        </is>
      </c>
      <c r="AG178" s="391" t="inlineStr">
        <is>
          <t> </t>
        </is>
      </c>
      <c r="AH178" s="391" t="n"/>
      <c r="AI178" s="391" t="inlineStr">
        <is>
          <t> </t>
        </is>
      </c>
      <c r="AJ178" s="391" t="inlineStr">
        <is>
          <t> </t>
        </is>
      </c>
      <c r="AK178" s="391" t="inlineStr">
        <is>
          <t> </t>
        </is>
      </c>
      <c r="AL178" s="391" t="inlineStr">
        <is>
          <t> </t>
        </is>
      </c>
      <c r="AM178" s="391" t="inlineStr">
        <is>
          <t> </t>
        </is>
      </c>
      <c r="AN178" s="391" t="inlineStr">
        <is>
          <t> </t>
        </is>
      </c>
      <c r="AO178" s="391" t="n"/>
      <c r="AP178" s="319" t="n"/>
      <c r="AQ178" s="319" t="n"/>
      <c r="AR178" s="319" t="n"/>
    </row>
    <row r="179" ht="15.75" customHeight="1" s="1264">
      <c r="A179" s="319" t="inlineStr">
        <is>
          <t> </t>
        </is>
      </c>
      <c r="B179" s="319" t="inlineStr">
        <is>
          <t> </t>
        </is>
      </c>
      <c r="C179" s="319" t="inlineStr">
        <is>
          <t> </t>
        </is>
      </c>
      <c r="D179" s="38" t="inlineStr">
        <is>
          <t> </t>
        </is>
      </c>
      <c r="E179" s="391" t="inlineStr">
        <is>
          <t> </t>
        </is>
      </c>
      <c r="F179" s="391" t="inlineStr">
        <is>
          <t> </t>
        </is>
      </c>
      <c r="G179" s="391" t="inlineStr">
        <is>
          <t> </t>
        </is>
      </c>
      <c r="H179" s="391" t="inlineStr">
        <is>
          <t> </t>
        </is>
      </c>
      <c r="I179" s="391" t="inlineStr">
        <is>
          <t> </t>
        </is>
      </c>
      <c r="J179" s="391" t="inlineStr">
        <is>
          <t> </t>
        </is>
      </c>
      <c r="K179" s="38" t="inlineStr">
        <is>
          <t> </t>
        </is>
      </c>
      <c r="L179" s="391" t="inlineStr">
        <is>
          <t> </t>
        </is>
      </c>
      <c r="M179" s="391" t="inlineStr">
        <is>
          <t> </t>
        </is>
      </c>
      <c r="N179" s="391" t="inlineStr">
        <is>
          <t> </t>
        </is>
      </c>
      <c r="O179" s="391" t="inlineStr">
        <is>
          <t> </t>
        </is>
      </c>
      <c r="P179" s="391" t="inlineStr">
        <is>
          <t> </t>
        </is>
      </c>
      <c r="Q179" s="391" t="inlineStr">
        <is>
          <t> </t>
        </is>
      </c>
      <c r="R179" s="38" t="inlineStr">
        <is>
          <t> </t>
        </is>
      </c>
      <c r="S179" s="391" t="inlineStr">
        <is>
          <t> </t>
        </is>
      </c>
      <c r="T179" s="391" t="inlineStr">
        <is>
          <t> </t>
        </is>
      </c>
      <c r="U179" s="391" t="inlineStr">
        <is>
          <t> </t>
        </is>
      </c>
      <c r="V179" s="391" t="inlineStr">
        <is>
          <t> </t>
        </is>
      </c>
      <c r="W179" s="391" t="inlineStr">
        <is>
          <t> </t>
        </is>
      </c>
      <c r="X179" s="391" t="inlineStr">
        <is>
          <t> </t>
        </is>
      </c>
      <c r="Y179" s="392" t="inlineStr">
        <is>
          <t> </t>
        </is>
      </c>
      <c r="Z179" s="391" t="inlineStr">
        <is>
          <t> </t>
        </is>
      </c>
      <c r="AA179" s="391" t="inlineStr">
        <is>
          <t> </t>
        </is>
      </c>
      <c r="AB179" s="391" t="inlineStr">
        <is>
          <t> </t>
        </is>
      </c>
      <c r="AC179" s="391" t="inlineStr">
        <is>
          <t> </t>
        </is>
      </c>
      <c r="AD179" s="391" t="inlineStr">
        <is>
          <t> </t>
        </is>
      </c>
      <c r="AE179" s="391" t="inlineStr">
        <is>
          <t> </t>
        </is>
      </c>
      <c r="AF179" s="38" t="inlineStr">
        <is>
          <t> </t>
        </is>
      </c>
      <c r="AG179" s="391" t="inlineStr">
        <is>
          <t> </t>
        </is>
      </c>
      <c r="AH179" s="391" t="n"/>
      <c r="AI179" s="391" t="inlineStr">
        <is>
          <t> </t>
        </is>
      </c>
      <c r="AJ179" s="391" t="inlineStr">
        <is>
          <t> </t>
        </is>
      </c>
      <c r="AK179" s="391" t="inlineStr">
        <is>
          <t> </t>
        </is>
      </c>
      <c r="AL179" s="391" t="inlineStr">
        <is>
          <t> </t>
        </is>
      </c>
      <c r="AM179" s="391" t="inlineStr">
        <is>
          <t> </t>
        </is>
      </c>
      <c r="AN179" s="391" t="inlineStr">
        <is>
          <t> </t>
        </is>
      </c>
      <c r="AO179" s="391" t="n"/>
      <c r="AP179" s="319" t="n"/>
      <c r="AQ179" s="319" t="n"/>
      <c r="AR179" s="319" t="n"/>
    </row>
    <row r="180" ht="15.75" customHeight="1" s="1264">
      <c r="A180" s="319" t="inlineStr">
        <is>
          <t> </t>
        </is>
      </c>
      <c r="B180" s="319" t="inlineStr">
        <is>
          <t> </t>
        </is>
      </c>
      <c r="C180" s="319" t="inlineStr">
        <is>
          <t> </t>
        </is>
      </c>
      <c r="D180" s="38" t="inlineStr">
        <is>
          <t> </t>
        </is>
      </c>
      <c r="E180" s="391" t="inlineStr">
        <is>
          <t> </t>
        </is>
      </c>
      <c r="F180" s="391" t="inlineStr">
        <is>
          <t> </t>
        </is>
      </c>
      <c r="G180" s="391" t="inlineStr">
        <is>
          <t> </t>
        </is>
      </c>
      <c r="H180" s="391" t="inlineStr">
        <is>
          <t> </t>
        </is>
      </c>
      <c r="I180" s="391" t="inlineStr">
        <is>
          <t> </t>
        </is>
      </c>
      <c r="J180" s="391" t="inlineStr">
        <is>
          <t> </t>
        </is>
      </c>
      <c r="K180" s="38" t="inlineStr">
        <is>
          <t> </t>
        </is>
      </c>
      <c r="L180" s="391" t="inlineStr">
        <is>
          <t> </t>
        </is>
      </c>
      <c r="M180" s="391" t="inlineStr">
        <is>
          <t> </t>
        </is>
      </c>
      <c r="N180" s="391" t="inlineStr">
        <is>
          <t> </t>
        </is>
      </c>
      <c r="O180" s="391" t="inlineStr">
        <is>
          <t> </t>
        </is>
      </c>
      <c r="P180" s="391" t="inlineStr">
        <is>
          <t> </t>
        </is>
      </c>
      <c r="Q180" s="391" t="inlineStr">
        <is>
          <t> </t>
        </is>
      </c>
      <c r="R180" s="38" t="inlineStr">
        <is>
          <t> </t>
        </is>
      </c>
      <c r="S180" s="391" t="inlineStr">
        <is>
          <t> </t>
        </is>
      </c>
      <c r="T180" s="391" t="inlineStr">
        <is>
          <t> </t>
        </is>
      </c>
      <c r="U180" s="391" t="inlineStr">
        <is>
          <t> </t>
        </is>
      </c>
      <c r="V180" s="391" t="inlineStr">
        <is>
          <t> </t>
        </is>
      </c>
      <c r="W180" s="391" t="inlineStr">
        <is>
          <t> </t>
        </is>
      </c>
      <c r="X180" s="391" t="inlineStr">
        <is>
          <t> </t>
        </is>
      </c>
      <c r="Y180" s="392" t="inlineStr">
        <is>
          <t> </t>
        </is>
      </c>
      <c r="Z180" s="391" t="inlineStr">
        <is>
          <t> </t>
        </is>
      </c>
      <c r="AA180" s="391" t="inlineStr">
        <is>
          <t> </t>
        </is>
      </c>
      <c r="AB180" s="391" t="inlineStr">
        <is>
          <t> </t>
        </is>
      </c>
      <c r="AC180" s="391" t="inlineStr">
        <is>
          <t> </t>
        </is>
      </c>
      <c r="AD180" s="391" t="inlineStr">
        <is>
          <t> </t>
        </is>
      </c>
      <c r="AE180" s="391" t="inlineStr">
        <is>
          <t> </t>
        </is>
      </c>
      <c r="AF180" s="38" t="inlineStr">
        <is>
          <t> </t>
        </is>
      </c>
      <c r="AG180" s="391" t="inlineStr">
        <is>
          <t> </t>
        </is>
      </c>
      <c r="AH180" s="391" t="n"/>
      <c r="AI180" s="391" t="inlineStr">
        <is>
          <t> </t>
        </is>
      </c>
      <c r="AJ180" s="391" t="inlineStr">
        <is>
          <t> </t>
        </is>
      </c>
      <c r="AK180" s="391" t="inlineStr">
        <is>
          <t> </t>
        </is>
      </c>
      <c r="AL180" s="391" t="inlineStr">
        <is>
          <t> </t>
        </is>
      </c>
      <c r="AM180" s="391" t="inlineStr">
        <is>
          <t> </t>
        </is>
      </c>
      <c r="AN180" s="391" t="inlineStr">
        <is>
          <t> </t>
        </is>
      </c>
      <c r="AO180" s="391" t="n"/>
      <c r="AP180" s="319" t="n"/>
      <c r="AQ180" s="319" t="n"/>
      <c r="AR180" s="319" t="n"/>
    </row>
    <row r="181" ht="15.75" customHeight="1" s="1264">
      <c r="A181" s="319" t="inlineStr">
        <is>
          <t> </t>
        </is>
      </c>
      <c r="B181" s="319" t="inlineStr">
        <is>
          <t> </t>
        </is>
      </c>
      <c r="C181" s="319" t="inlineStr">
        <is>
          <t> </t>
        </is>
      </c>
      <c r="D181" s="38" t="inlineStr">
        <is>
          <t> </t>
        </is>
      </c>
      <c r="E181" s="391" t="inlineStr">
        <is>
          <t> </t>
        </is>
      </c>
      <c r="F181" s="391" t="inlineStr">
        <is>
          <t> </t>
        </is>
      </c>
      <c r="G181" s="391" t="inlineStr">
        <is>
          <t> </t>
        </is>
      </c>
      <c r="H181" s="391" t="inlineStr">
        <is>
          <t> </t>
        </is>
      </c>
      <c r="I181" s="391" t="inlineStr">
        <is>
          <t> </t>
        </is>
      </c>
      <c r="J181" s="391" t="inlineStr">
        <is>
          <t> </t>
        </is>
      </c>
      <c r="K181" s="38" t="inlineStr">
        <is>
          <t> </t>
        </is>
      </c>
      <c r="L181" s="391" t="inlineStr">
        <is>
          <t> </t>
        </is>
      </c>
      <c r="M181" s="391" t="inlineStr">
        <is>
          <t> </t>
        </is>
      </c>
      <c r="N181" s="391" t="inlineStr">
        <is>
          <t> </t>
        </is>
      </c>
      <c r="O181" s="391" t="inlineStr">
        <is>
          <t> </t>
        </is>
      </c>
      <c r="P181" s="391" t="inlineStr">
        <is>
          <t> </t>
        </is>
      </c>
      <c r="Q181" s="391" t="inlineStr">
        <is>
          <t> </t>
        </is>
      </c>
      <c r="R181" s="38" t="inlineStr">
        <is>
          <t> </t>
        </is>
      </c>
      <c r="S181" s="391" t="inlineStr">
        <is>
          <t> </t>
        </is>
      </c>
      <c r="T181" s="391" t="inlineStr">
        <is>
          <t> </t>
        </is>
      </c>
      <c r="U181" s="391" t="inlineStr">
        <is>
          <t> </t>
        </is>
      </c>
      <c r="V181" s="391" t="inlineStr">
        <is>
          <t> </t>
        </is>
      </c>
      <c r="W181" s="391" t="inlineStr">
        <is>
          <t> </t>
        </is>
      </c>
      <c r="X181" s="391" t="inlineStr">
        <is>
          <t> </t>
        </is>
      </c>
      <c r="Y181" s="392" t="inlineStr">
        <is>
          <t> </t>
        </is>
      </c>
      <c r="Z181" s="391" t="inlineStr">
        <is>
          <t> </t>
        </is>
      </c>
      <c r="AA181" s="391" t="inlineStr">
        <is>
          <t> </t>
        </is>
      </c>
      <c r="AB181" s="391" t="inlineStr">
        <is>
          <t> </t>
        </is>
      </c>
      <c r="AC181" s="391" t="inlineStr">
        <is>
          <t> </t>
        </is>
      </c>
      <c r="AD181" s="391" t="inlineStr">
        <is>
          <t> </t>
        </is>
      </c>
      <c r="AE181" s="391" t="inlineStr">
        <is>
          <t> </t>
        </is>
      </c>
      <c r="AF181" s="38" t="inlineStr">
        <is>
          <t> </t>
        </is>
      </c>
      <c r="AG181" s="391" t="inlineStr">
        <is>
          <t> </t>
        </is>
      </c>
      <c r="AH181" s="391" t="n"/>
      <c r="AI181" s="391" t="inlineStr">
        <is>
          <t> </t>
        </is>
      </c>
      <c r="AJ181" s="391" t="inlineStr">
        <is>
          <t> </t>
        </is>
      </c>
      <c r="AK181" s="391" t="inlineStr">
        <is>
          <t> </t>
        </is>
      </c>
      <c r="AL181" s="391" t="inlineStr">
        <is>
          <t> </t>
        </is>
      </c>
      <c r="AM181" s="391" t="inlineStr">
        <is>
          <t> </t>
        </is>
      </c>
      <c r="AN181" s="391" t="inlineStr">
        <is>
          <t> </t>
        </is>
      </c>
      <c r="AO181" s="391" t="n"/>
      <c r="AP181" s="319" t="n"/>
      <c r="AQ181" s="319" t="n"/>
      <c r="AR181" s="319" t="n"/>
    </row>
    <row r="182" ht="15.75" customHeight="1" s="1264">
      <c r="A182" s="319" t="inlineStr">
        <is>
          <t> </t>
        </is>
      </c>
      <c r="B182" s="319" t="inlineStr">
        <is>
          <t> </t>
        </is>
      </c>
      <c r="C182" s="319" t="inlineStr">
        <is>
          <t> </t>
        </is>
      </c>
      <c r="D182" s="38" t="inlineStr">
        <is>
          <t> </t>
        </is>
      </c>
      <c r="E182" s="391" t="inlineStr">
        <is>
          <t> </t>
        </is>
      </c>
      <c r="F182" s="391" t="inlineStr">
        <is>
          <t> </t>
        </is>
      </c>
      <c r="G182" s="391" t="inlineStr">
        <is>
          <t> </t>
        </is>
      </c>
      <c r="H182" s="391" t="inlineStr">
        <is>
          <t> </t>
        </is>
      </c>
      <c r="I182" s="391" t="inlineStr">
        <is>
          <t> </t>
        </is>
      </c>
      <c r="J182" s="391" t="inlineStr">
        <is>
          <t> </t>
        </is>
      </c>
      <c r="K182" s="38" t="inlineStr">
        <is>
          <t> </t>
        </is>
      </c>
      <c r="L182" s="391" t="inlineStr">
        <is>
          <t> </t>
        </is>
      </c>
      <c r="M182" s="391" t="inlineStr">
        <is>
          <t> </t>
        </is>
      </c>
      <c r="N182" s="391" t="inlineStr">
        <is>
          <t> </t>
        </is>
      </c>
      <c r="O182" s="391" t="inlineStr">
        <is>
          <t> </t>
        </is>
      </c>
      <c r="P182" s="391" t="inlineStr">
        <is>
          <t> </t>
        </is>
      </c>
      <c r="Q182" s="391" t="inlineStr">
        <is>
          <t> </t>
        </is>
      </c>
      <c r="R182" s="38" t="inlineStr">
        <is>
          <t> </t>
        </is>
      </c>
      <c r="S182" s="391" t="inlineStr">
        <is>
          <t> </t>
        </is>
      </c>
      <c r="T182" s="391" t="inlineStr">
        <is>
          <t> </t>
        </is>
      </c>
      <c r="U182" s="391" t="inlineStr">
        <is>
          <t> </t>
        </is>
      </c>
      <c r="V182" s="391" t="inlineStr">
        <is>
          <t> </t>
        </is>
      </c>
      <c r="W182" s="391" t="inlineStr">
        <is>
          <t> </t>
        </is>
      </c>
      <c r="X182" s="391" t="inlineStr">
        <is>
          <t> </t>
        </is>
      </c>
      <c r="Y182" s="392" t="inlineStr">
        <is>
          <t> </t>
        </is>
      </c>
      <c r="Z182" s="391" t="inlineStr">
        <is>
          <t> </t>
        </is>
      </c>
      <c r="AA182" s="391" t="inlineStr">
        <is>
          <t> </t>
        </is>
      </c>
      <c r="AB182" s="391" t="inlineStr">
        <is>
          <t> </t>
        </is>
      </c>
      <c r="AC182" s="391" t="inlineStr">
        <is>
          <t> </t>
        </is>
      </c>
      <c r="AD182" s="391" t="inlineStr">
        <is>
          <t> </t>
        </is>
      </c>
      <c r="AE182" s="391" t="inlineStr">
        <is>
          <t> </t>
        </is>
      </c>
      <c r="AF182" s="38" t="inlineStr">
        <is>
          <t> </t>
        </is>
      </c>
      <c r="AG182" s="391" t="inlineStr">
        <is>
          <t> </t>
        </is>
      </c>
      <c r="AH182" s="391" t="n"/>
      <c r="AI182" s="391" t="inlineStr">
        <is>
          <t> </t>
        </is>
      </c>
      <c r="AJ182" s="391" t="inlineStr">
        <is>
          <t> </t>
        </is>
      </c>
      <c r="AK182" s="391" t="inlineStr">
        <is>
          <t> </t>
        </is>
      </c>
      <c r="AL182" s="391" t="inlineStr">
        <is>
          <t> </t>
        </is>
      </c>
      <c r="AM182" s="391" t="inlineStr">
        <is>
          <t> </t>
        </is>
      </c>
      <c r="AN182" s="391" t="inlineStr">
        <is>
          <t> </t>
        </is>
      </c>
      <c r="AO182" s="391" t="n"/>
      <c r="AP182" s="319" t="n"/>
      <c r="AQ182" s="319" t="n"/>
      <c r="AR182" s="319" t="n"/>
    </row>
    <row r="183" ht="15.75" customHeight="1" s="1264">
      <c r="A183" s="319" t="inlineStr">
        <is>
          <t> </t>
        </is>
      </c>
      <c r="B183" s="319" t="inlineStr">
        <is>
          <t> </t>
        </is>
      </c>
      <c r="C183" s="319" t="inlineStr">
        <is>
          <t> </t>
        </is>
      </c>
      <c r="D183" s="38" t="inlineStr">
        <is>
          <t> </t>
        </is>
      </c>
      <c r="E183" s="391" t="inlineStr">
        <is>
          <t> </t>
        </is>
      </c>
      <c r="F183" s="391" t="inlineStr">
        <is>
          <t> </t>
        </is>
      </c>
      <c r="G183" s="391" t="inlineStr">
        <is>
          <t> </t>
        </is>
      </c>
      <c r="H183" s="391" t="inlineStr">
        <is>
          <t> </t>
        </is>
      </c>
      <c r="I183" s="391" t="inlineStr">
        <is>
          <t> </t>
        </is>
      </c>
      <c r="J183" s="391" t="inlineStr">
        <is>
          <t> </t>
        </is>
      </c>
      <c r="K183" s="38" t="inlineStr">
        <is>
          <t> </t>
        </is>
      </c>
      <c r="L183" s="391" t="inlineStr">
        <is>
          <t> </t>
        </is>
      </c>
      <c r="M183" s="391" t="inlineStr">
        <is>
          <t> </t>
        </is>
      </c>
      <c r="N183" s="391" t="inlineStr">
        <is>
          <t> </t>
        </is>
      </c>
      <c r="O183" s="391" t="inlineStr">
        <is>
          <t> </t>
        </is>
      </c>
      <c r="P183" s="391" t="inlineStr">
        <is>
          <t> </t>
        </is>
      </c>
      <c r="Q183" s="391" t="inlineStr">
        <is>
          <t> </t>
        </is>
      </c>
      <c r="R183" s="38" t="inlineStr">
        <is>
          <t> </t>
        </is>
      </c>
      <c r="S183" s="391" t="inlineStr">
        <is>
          <t> </t>
        </is>
      </c>
      <c r="T183" s="391" t="inlineStr">
        <is>
          <t> </t>
        </is>
      </c>
      <c r="U183" s="391" t="inlineStr">
        <is>
          <t> </t>
        </is>
      </c>
      <c r="V183" s="391" t="inlineStr">
        <is>
          <t> </t>
        </is>
      </c>
      <c r="W183" s="391" t="inlineStr">
        <is>
          <t> </t>
        </is>
      </c>
      <c r="X183" s="391" t="inlineStr">
        <is>
          <t> </t>
        </is>
      </c>
      <c r="Y183" s="392" t="inlineStr">
        <is>
          <t> </t>
        </is>
      </c>
      <c r="Z183" s="391" t="inlineStr">
        <is>
          <t> </t>
        </is>
      </c>
      <c r="AA183" s="391" t="inlineStr">
        <is>
          <t> </t>
        </is>
      </c>
      <c r="AB183" s="391" t="inlineStr">
        <is>
          <t> </t>
        </is>
      </c>
      <c r="AC183" s="391" t="inlineStr">
        <is>
          <t> </t>
        </is>
      </c>
      <c r="AD183" s="391" t="inlineStr">
        <is>
          <t> </t>
        </is>
      </c>
      <c r="AE183" s="391" t="inlineStr">
        <is>
          <t> </t>
        </is>
      </c>
      <c r="AF183" s="38" t="inlineStr">
        <is>
          <t> </t>
        </is>
      </c>
      <c r="AG183" s="391" t="inlineStr">
        <is>
          <t> </t>
        </is>
      </c>
      <c r="AH183" s="391" t="n"/>
      <c r="AI183" s="391" t="inlineStr">
        <is>
          <t> </t>
        </is>
      </c>
      <c r="AJ183" s="391" t="inlineStr">
        <is>
          <t> </t>
        </is>
      </c>
      <c r="AK183" s="391" t="inlineStr">
        <is>
          <t> </t>
        </is>
      </c>
      <c r="AL183" s="391" t="inlineStr">
        <is>
          <t> </t>
        </is>
      </c>
      <c r="AM183" s="391" t="inlineStr">
        <is>
          <t> </t>
        </is>
      </c>
      <c r="AN183" s="391" t="inlineStr">
        <is>
          <t> </t>
        </is>
      </c>
      <c r="AO183" s="391" t="n"/>
      <c r="AP183" s="319" t="n"/>
      <c r="AQ183" s="319" t="n"/>
      <c r="AR183" s="319" t="n"/>
    </row>
    <row r="184" ht="15.75" customHeight="1" s="1264">
      <c r="A184" s="319" t="inlineStr">
        <is>
          <t> </t>
        </is>
      </c>
      <c r="B184" s="319" t="inlineStr">
        <is>
          <t> </t>
        </is>
      </c>
      <c r="C184" s="319" t="inlineStr">
        <is>
          <t> </t>
        </is>
      </c>
      <c r="D184" s="38" t="inlineStr">
        <is>
          <t> </t>
        </is>
      </c>
      <c r="E184" s="391" t="inlineStr">
        <is>
          <t> </t>
        </is>
      </c>
      <c r="F184" s="391" t="inlineStr">
        <is>
          <t> </t>
        </is>
      </c>
      <c r="G184" s="391" t="inlineStr">
        <is>
          <t> </t>
        </is>
      </c>
      <c r="H184" s="391" t="inlineStr">
        <is>
          <t> </t>
        </is>
      </c>
      <c r="I184" s="391" t="inlineStr">
        <is>
          <t> </t>
        </is>
      </c>
      <c r="J184" s="391" t="inlineStr">
        <is>
          <t> </t>
        </is>
      </c>
      <c r="K184" s="38" t="inlineStr">
        <is>
          <t> </t>
        </is>
      </c>
      <c r="L184" s="391" t="inlineStr">
        <is>
          <t> </t>
        </is>
      </c>
      <c r="M184" s="391" t="inlineStr">
        <is>
          <t> </t>
        </is>
      </c>
      <c r="N184" s="391" t="inlineStr">
        <is>
          <t> </t>
        </is>
      </c>
      <c r="O184" s="391" t="inlineStr">
        <is>
          <t> </t>
        </is>
      </c>
      <c r="P184" s="391" t="inlineStr">
        <is>
          <t> </t>
        </is>
      </c>
      <c r="Q184" s="391" t="inlineStr">
        <is>
          <t> </t>
        </is>
      </c>
      <c r="R184" s="38" t="inlineStr">
        <is>
          <t> </t>
        </is>
      </c>
      <c r="S184" s="391" t="inlineStr">
        <is>
          <t> </t>
        </is>
      </c>
      <c r="T184" s="391" t="inlineStr">
        <is>
          <t> </t>
        </is>
      </c>
      <c r="U184" s="391" t="inlineStr">
        <is>
          <t> </t>
        </is>
      </c>
      <c r="V184" s="391" t="inlineStr">
        <is>
          <t> </t>
        </is>
      </c>
      <c r="W184" s="391" t="inlineStr">
        <is>
          <t> </t>
        </is>
      </c>
      <c r="X184" s="391" t="inlineStr">
        <is>
          <t> </t>
        </is>
      </c>
      <c r="Y184" s="392" t="inlineStr">
        <is>
          <t> </t>
        </is>
      </c>
      <c r="Z184" s="391" t="inlineStr">
        <is>
          <t> </t>
        </is>
      </c>
      <c r="AA184" s="391" t="inlineStr">
        <is>
          <t> </t>
        </is>
      </c>
      <c r="AB184" s="391" t="inlineStr">
        <is>
          <t> </t>
        </is>
      </c>
      <c r="AC184" s="391" t="inlineStr">
        <is>
          <t> </t>
        </is>
      </c>
      <c r="AD184" s="391" t="inlineStr">
        <is>
          <t> </t>
        </is>
      </c>
      <c r="AE184" s="391" t="inlineStr">
        <is>
          <t> </t>
        </is>
      </c>
      <c r="AF184" s="38" t="inlineStr">
        <is>
          <t> </t>
        </is>
      </c>
      <c r="AG184" s="391" t="inlineStr">
        <is>
          <t> </t>
        </is>
      </c>
      <c r="AH184" s="391" t="n"/>
      <c r="AI184" s="391" t="inlineStr">
        <is>
          <t> </t>
        </is>
      </c>
      <c r="AJ184" s="391" t="inlineStr">
        <is>
          <t> </t>
        </is>
      </c>
      <c r="AK184" s="391" t="inlineStr">
        <is>
          <t> </t>
        </is>
      </c>
      <c r="AL184" s="391" t="inlineStr">
        <is>
          <t> </t>
        </is>
      </c>
      <c r="AM184" s="391" t="inlineStr">
        <is>
          <t> </t>
        </is>
      </c>
      <c r="AN184" s="391" t="inlineStr">
        <is>
          <t> </t>
        </is>
      </c>
      <c r="AO184" s="391" t="n"/>
      <c r="AP184" s="319" t="n"/>
      <c r="AQ184" s="319" t="n"/>
      <c r="AR184" s="319" t="n"/>
    </row>
    <row r="185" ht="15.75" customHeight="1" s="1264">
      <c r="A185" s="319" t="inlineStr">
        <is>
          <t> </t>
        </is>
      </c>
      <c r="B185" s="319" t="inlineStr">
        <is>
          <t> </t>
        </is>
      </c>
      <c r="C185" s="319" t="inlineStr">
        <is>
          <t> </t>
        </is>
      </c>
      <c r="D185" s="38" t="inlineStr">
        <is>
          <t> </t>
        </is>
      </c>
      <c r="E185" s="391" t="inlineStr">
        <is>
          <t> </t>
        </is>
      </c>
      <c r="F185" s="391" t="inlineStr">
        <is>
          <t> </t>
        </is>
      </c>
      <c r="G185" s="391" t="inlineStr">
        <is>
          <t> </t>
        </is>
      </c>
      <c r="H185" s="391" t="inlineStr">
        <is>
          <t> </t>
        </is>
      </c>
      <c r="I185" s="391" t="inlineStr">
        <is>
          <t> </t>
        </is>
      </c>
      <c r="J185" s="391" t="inlineStr">
        <is>
          <t> </t>
        </is>
      </c>
      <c r="K185" s="38" t="inlineStr">
        <is>
          <t> </t>
        </is>
      </c>
      <c r="L185" s="391" t="inlineStr">
        <is>
          <t> </t>
        </is>
      </c>
      <c r="M185" s="391" t="inlineStr">
        <is>
          <t> </t>
        </is>
      </c>
      <c r="N185" s="391" t="inlineStr">
        <is>
          <t> </t>
        </is>
      </c>
      <c r="O185" s="391" t="inlineStr">
        <is>
          <t> </t>
        </is>
      </c>
      <c r="P185" s="391" t="inlineStr">
        <is>
          <t> </t>
        </is>
      </c>
      <c r="Q185" s="391" t="inlineStr">
        <is>
          <t> </t>
        </is>
      </c>
      <c r="R185" s="38" t="inlineStr">
        <is>
          <t> </t>
        </is>
      </c>
      <c r="S185" s="391" t="inlineStr">
        <is>
          <t> </t>
        </is>
      </c>
      <c r="T185" s="391" t="inlineStr">
        <is>
          <t> </t>
        </is>
      </c>
      <c r="U185" s="391" t="inlineStr">
        <is>
          <t> </t>
        </is>
      </c>
      <c r="V185" s="391" t="inlineStr">
        <is>
          <t> </t>
        </is>
      </c>
      <c r="W185" s="391" t="inlineStr">
        <is>
          <t> </t>
        </is>
      </c>
      <c r="X185" s="391" t="inlineStr">
        <is>
          <t> </t>
        </is>
      </c>
      <c r="Y185" s="392" t="inlineStr">
        <is>
          <t> </t>
        </is>
      </c>
      <c r="Z185" s="391" t="inlineStr">
        <is>
          <t> </t>
        </is>
      </c>
      <c r="AA185" s="391" t="inlineStr">
        <is>
          <t> </t>
        </is>
      </c>
      <c r="AB185" s="391" t="inlineStr">
        <is>
          <t> </t>
        </is>
      </c>
      <c r="AC185" s="391" t="inlineStr">
        <is>
          <t> </t>
        </is>
      </c>
      <c r="AD185" s="391" t="inlineStr">
        <is>
          <t> </t>
        </is>
      </c>
      <c r="AE185" s="391" t="inlineStr">
        <is>
          <t> </t>
        </is>
      </c>
      <c r="AF185" s="38" t="inlineStr">
        <is>
          <t> </t>
        </is>
      </c>
      <c r="AG185" s="391" t="inlineStr">
        <is>
          <t> </t>
        </is>
      </c>
      <c r="AH185" s="391" t="n"/>
      <c r="AI185" s="391" t="inlineStr">
        <is>
          <t> </t>
        </is>
      </c>
      <c r="AJ185" s="391" t="inlineStr">
        <is>
          <t> </t>
        </is>
      </c>
      <c r="AK185" s="391" t="inlineStr">
        <is>
          <t> </t>
        </is>
      </c>
      <c r="AL185" s="391" t="inlineStr">
        <is>
          <t> </t>
        </is>
      </c>
      <c r="AM185" s="391" t="inlineStr">
        <is>
          <t> </t>
        </is>
      </c>
      <c r="AN185" s="391" t="inlineStr">
        <is>
          <t> </t>
        </is>
      </c>
      <c r="AO185" s="391" t="n"/>
      <c r="AP185" s="319" t="n"/>
      <c r="AQ185" s="319" t="n"/>
      <c r="AR185" s="319" t="n"/>
    </row>
    <row r="186" ht="15.75" customHeight="1" s="1264">
      <c r="A186" s="319" t="inlineStr">
        <is>
          <t> </t>
        </is>
      </c>
      <c r="B186" s="319" t="inlineStr">
        <is>
          <t> </t>
        </is>
      </c>
      <c r="C186" s="319" t="inlineStr">
        <is>
          <t> </t>
        </is>
      </c>
      <c r="D186" s="38" t="inlineStr">
        <is>
          <t> </t>
        </is>
      </c>
      <c r="E186" s="391" t="inlineStr">
        <is>
          <t> </t>
        </is>
      </c>
      <c r="F186" s="391" t="inlineStr">
        <is>
          <t> </t>
        </is>
      </c>
      <c r="G186" s="391" t="inlineStr">
        <is>
          <t> </t>
        </is>
      </c>
      <c r="H186" s="391" t="inlineStr">
        <is>
          <t> </t>
        </is>
      </c>
      <c r="I186" s="391" t="inlineStr">
        <is>
          <t> </t>
        </is>
      </c>
      <c r="J186" s="391" t="inlineStr">
        <is>
          <t> </t>
        </is>
      </c>
      <c r="K186" s="38" t="inlineStr">
        <is>
          <t> </t>
        </is>
      </c>
      <c r="L186" s="391" t="inlineStr">
        <is>
          <t> </t>
        </is>
      </c>
      <c r="M186" s="391" t="inlineStr">
        <is>
          <t> </t>
        </is>
      </c>
      <c r="N186" s="391" t="inlineStr">
        <is>
          <t> </t>
        </is>
      </c>
      <c r="O186" s="391" t="inlineStr">
        <is>
          <t> </t>
        </is>
      </c>
      <c r="P186" s="391" t="inlineStr">
        <is>
          <t> </t>
        </is>
      </c>
      <c r="Q186" s="391" t="inlineStr">
        <is>
          <t> </t>
        </is>
      </c>
      <c r="R186" s="38" t="inlineStr">
        <is>
          <t> </t>
        </is>
      </c>
      <c r="S186" s="391" t="inlineStr">
        <is>
          <t> </t>
        </is>
      </c>
      <c r="T186" s="391" t="inlineStr">
        <is>
          <t> </t>
        </is>
      </c>
      <c r="U186" s="391" t="inlineStr">
        <is>
          <t> </t>
        </is>
      </c>
      <c r="V186" s="391" t="inlineStr">
        <is>
          <t> </t>
        </is>
      </c>
      <c r="W186" s="391" t="inlineStr">
        <is>
          <t> </t>
        </is>
      </c>
      <c r="X186" s="391" t="inlineStr">
        <is>
          <t> </t>
        </is>
      </c>
      <c r="Y186" s="392" t="inlineStr">
        <is>
          <t> </t>
        </is>
      </c>
      <c r="Z186" s="391" t="inlineStr">
        <is>
          <t> </t>
        </is>
      </c>
      <c r="AA186" s="391" t="inlineStr">
        <is>
          <t> </t>
        </is>
      </c>
      <c r="AB186" s="391" t="inlineStr">
        <is>
          <t> </t>
        </is>
      </c>
      <c r="AC186" s="391" t="inlineStr">
        <is>
          <t> </t>
        </is>
      </c>
      <c r="AD186" s="391" t="inlineStr">
        <is>
          <t> </t>
        </is>
      </c>
      <c r="AE186" s="391" t="inlineStr">
        <is>
          <t> </t>
        </is>
      </c>
      <c r="AF186" s="38" t="inlineStr">
        <is>
          <t> </t>
        </is>
      </c>
      <c r="AG186" s="391" t="inlineStr">
        <is>
          <t> </t>
        </is>
      </c>
      <c r="AH186" s="391" t="n"/>
      <c r="AI186" s="391" t="inlineStr">
        <is>
          <t> </t>
        </is>
      </c>
      <c r="AJ186" s="391" t="inlineStr">
        <is>
          <t> </t>
        </is>
      </c>
      <c r="AK186" s="391" t="inlineStr">
        <is>
          <t> </t>
        </is>
      </c>
      <c r="AL186" s="391" t="inlineStr">
        <is>
          <t> </t>
        </is>
      </c>
      <c r="AM186" s="391" t="inlineStr">
        <is>
          <t> </t>
        </is>
      </c>
      <c r="AN186" s="391" t="inlineStr">
        <is>
          <t> </t>
        </is>
      </c>
      <c r="AO186" s="391" t="n"/>
      <c r="AP186" s="319" t="n"/>
      <c r="AQ186" s="319" t="n"/>
      <c r="AR186" s="319" t="n"/>
    </row>
    <row r="187" ht="15.75" customHeight="1" s="1264">
      <c r="A187" s="319" t="inlineStr">
        <is>
          <t> </t>
        </is>
      </c>
      <c r="B187" s="319" t="inlineStr">
        <is>
          <t> </t>
        </is>
      </c>
      <c r="C187" s="319" t="inlineStr">
        <is>
          <t> </t>
        </is>
      </c>
      <c r="D187" s="38" t="inlineStr">
        <is>
          <t> </t>
        </is>
      </c>
      <c r="E187" s="391" t="inlineStr">
        <is>
          <t> </t>
        </is>
      </c>
      <c r="F187" s="391" t="inlineStr">
        <is>
          <t> </t>
        </is>
      </c>
      <c r="G187" s="391" t="inlineStr">
        <is>
          <t> </t>
        </is>
      </c>
      <c r="H187" s="391" t="inlineStr">
        <is>
          <t> </t>
        </is>
      </c>
      <c r="I187" s="391" t="inlineStr">
        <is>
          <t> </t>
        </is>
      </c>
      <c r="J187" s="391" t="inlineStr">
        <is>
          <t> </t>
        </is>
      </c>
      <c r="K187" s="38" t="inlineStr">
        <is>
          <t> </t>
        </is>
      </c>
      <c r="L187" s="391" t="inlineStr">
        <is>
          <t> </t>
        </is>
      </c>
      <c r="M187" s="391" t="inlineStr">
        <is>
          <t> </t>
        </is>
      </c>
      <c r="N187" s="391" t="inlineStr">
        <is>
          <t> </t>
        </is>
      </c>
      <c r="O187" s="391" t="inlineStr">
        <is>
          <t> </t>
        </is>
      </c>
      <c r="P187" s="391" t="inlineStr">
        <is>
          <t> </t>
        </is>
      </c>
      <c r="Q187" s="391" t="inlineStr">
        <is>
          <t> </t>
        </is>
      </c>
      <c r="R187" s="38" t="inlineStr">
        <is>
          <t> </t>
        </is>
      </c>
      <c r="S187" s="391" t="inlineStr">
        <is>
          <t> </t>
        </is>
      </c>
      <c r="T187" s="391" t="inlineStr">
        <is>
          <t> </t>
        </is>
      </c>
      <c r="U187" s="391" t="inlineStr">
        <is>
          <t> </t>
        </is>
      </c>
      <c r="V187" s="391" t="inlineStr">
        <is>
          <t> </t>
        </is>
      </c>
      <c r="W187" s="391" t="inlineStr">
        <is>
          <t> </t>
        </is>
      </c>
      <c r="X187" s="391" t="inlineStr">
        <is>
          <t> </t>
        </is>
      </c>
      <c r="Y187" s="392" t="inlineStr">
        <is>
          <t> </t>
        </is>
      </c>
      <c r="Z187" s="391" t="inlineStr">
        <is>
          <t> </t>
        </is>
      </c>
      <c r="AA187" s="391" t="inlineStr">
        <is>
          <t> </t>
        </is>
      </c>
      <c r="AB187" s="391" t="inlineStr">
        <is>
          <t> </t>
        </is>
      </c>
      <c r="AC187" s="391" t="inlineStr">
        <is>
          <t> </t>
        </is>
      </c>
      <c r="AD187" s="391" t="inlineStr">
        <is>
          <t> </t>
        </is>
      </c>
      <c r="AE187" s="391" t="inlineStr">
        <is>
          <t> </t>
        </is>
      </c>
      <c r="AF187" s="38" t="inlineStr">
        <is>
          <t> </t>
        </is>
      </c>
      <c r="AG187" s="391" t="inlineStr">
        <is>
          <t> </t>
        </is>
      </c>
      <c r="AH187" s="391" t="n"/>
      <c r="AI187" s="391" t="inlineStr">
        <is>
          <t> </t>
        </is>
      </c>
      <c r="AJ187" s="391" t="inlineStr">
        <is>
          <t> </t>
        </is>
      </c>
      <c r="AK187" s="391" t="inlineStr">
        <is>
          <t> </t>
        </is>
      </c>
      <c r="AL187" s="391" t="inlineStr">
        <is>
          <t> </t>
        </is>
      </c>
      <c r="AM187" s="391" t="inlineStr">
        <is>
          <t> </t>
        </is>
      </c>
      <c r="AN187" s="391" t="inlineStr">
        <is>
          <t> </t>
        </is>
      </c>
      <c r="AO187" s="391" t="n"/>
      <c r="AP187" s="319" t="n"/>
      <c r="AQ187" s="319" t="n"/>
      <c r="AR187" s="319" t="n"/>
    </row>
    <row r="188" ht="15.75" customHeight="1" s="1264">
      <c r="A188" s="319" t="inlineStr">
        <is>
          <t> </t>
        </is>
      </c>
      <c r="B188" s="319" t="inlineStr">
        <is>
          <t> </t>
        </is>
      </c>
      <c r="C188" s="319" t="inlineStr">
        <is>
          <t> </t>
        </is>
      </c>
      <c r="D188" s="38" t="inlineStr">
        <is>
          <t> </t>
        </is>
      </c>
      <c r="E188" s="391" t="inlineStr">
        <is>
          <t> </t>
        </is>
      </c>
      <c r="F188" s="391" t="inlineStr">
        <is>
          <t> </t>
        </is>
      </c>
      <c r="G188" s="391" t="inlineStr">
        <is>
          <t> </t>
        </is>
      </c>
      <c r="H188" s="391" t="inlineStr">
        <is>
          <t> </t>
        </is>
      </c>
      <c r="I188" s="391" t="inlineStr">
        <is>
          <t> </t>
        </is>
      </c>
      <c r="J188" s="391" t="inlineStr">
        <is>
          <t> </t>
        </is>
      </c>
      <c r="K188" s="38" t="inlineStr">
        <is>
          <t> </t>
        </is>
      </c>
      <c r="L188" s="391" t="inlineStr">
        <is>
          <t> </t>
        </is>
      </c>
      <c r="M188" s="391" t="inlineStr">
        <is>
          <t> </t>
        </is>
      </c>
      <c r="N188" s="391" t="inlineStr">
        <is>
          <t> </t>
        </is>
      </c>
      <c r="O188" s="391" t="inlineStr">
        <is>
          <t> </t>
        </is>
      </c>
      <c r="P188" s="391" t="inlineStr">
        <is>
          <t> </t>
        </is>
      </c>
      <c r="Q188" s="391" t="inlineStr">
        <is>
          <t> </t>
        </is>
      </c>
      <c r="R188" s="38" t="inlineStr">
        <is>
          <t> </t>
        </is>
      </c>
      <c r="S188" s="391" t="inlineStr">
        <is>
          <t> </t>
        </is>
      </c>
      <c r="T188" s="391" t="inlineStr">
        <is>
          <t> </t>
        </is>
      </c>
      <c r="U188" s="391" t="inlineStr">
        <is>
          <t> </t>
        </is>
      </c>
      <c r="V188" s="391" t="inlineStr">
        <is>
          <t> </t>
        </is>
      </c>
      <c r="W188" s="391" t="inlineStr">
        <is>
          <t> </t>
        </is>
      </c>
      <c r="X188" s="391" t="inlineStr">
        <is>
          <t> </t>
        </is>
      </c>
      <c r="Y188" s="392" t="inlineStr">
        <is>
          <t> </t>
        </is>
      </c>
      <c r="Z188" s="391" t="inlineStr">
        <is>
          <t> </t>
        </is>
      </c>
      <c r="AA188" s="391" t="inlineStr">
        <is>
          <t> </t>
        </is>
      </c>
      <c r="AB188" s="391" t="inlineStr">
        <is>
          <t> </t>
        </is>
      </c>
      <c r="AC188" s="391" t="inlineStr">
        <is>
          <t> </t>
        </is>
      </c>
      <c r="AD188" s="391" t="inlineStr">
        <is>
          <t> </t>
        </is>
      </c>
      <c r="AE188" s="391" t="inlineStr">
        <is>
          <t> </t>
        </is>
      </c>
      <c r="AF188" s="38" t="inlineStr">
        <is>
          <t> </t>
        </is>
      </c>
      <c r="AG188" s="391" t="inlineStr">
        <is>
          <t> </t>
        </is>
      </c>
      <c r="AH188" s="391" t="n"/>
      <c r="AI188" s="391" t="inlineStr">
        <is>
          <t> </t>
        </is>
      </c>
      <c r="AJ188" s="391" t="inlineStr">
        <is>
          <t> </t>
        </is>
      </c>
      <c r="AK188" s="391" t="inlineStr">
        <is>
          <t> </t>
        </is>
      </c>
      <c r="AL188" s="391" t="inlineStr">
        <is>
          <t> </t>
        </is>
      </c>
      <c r="AM188" s="391" t="inlineStr">
        <is>
          <t> </t>
        </is>
      </c>
      <c r="AN188" s="391" t="inlineStr">
        <is>
          <t> </t>
        </is>
      </c>
      <c r="AO188" s="391" t="n"/>
      <c r="AP188" s="319" t="n"/>
      <c r="AQ188" s="319" t="n"/>
      <c r="AR188" s="319" t="n"/>
    </row>
    <row r="189" ht="15.75" customHeight="1" s="1264">
      <c r="A189" s="319" t="inlineStr">
        <is>
          <t> </t>
        </is>
      </c>
      <c r="B189" s="319" t="inlineStr">
        <is>
          <t> </t>
        </is>
      </c>
      <c r="C189" s="319" t="inlineStr">
        <is>
          <t> </t>
        </is>
      </c>
      <c r="D189" s="38" t="inlineStr">
        <is>
          <t> </t>
        </is>
      </c>
      <c r="E189" s="391" t="inlineStr">
        <is>
          <t> </t>
        </is>
      </c>
      <c r="F189" s="391" t="inlineStr">
        <is>
          <t> </t>
        </is>
      </c>
      <c r="G189" s="391" t="inlineStr">
        <is>
          <t> </t>
        </is>
      </c>
      <c r="H189" s="391" t="inlineStr">
        <is>
          <t> </t>
        </is>
      </c>
      <c r="I189" s="391" t="inlineStr">
        <is>
          <t> </t>
        </is>
      </c>
      <c r="J189" s="391" t="inlineStr">
        <is>
          <t> </t>
        </is>
      </c>
      <c r="K189" s="38" t="inlineStr">
        <is>
          <t> </t>
        </is>
      </c>
      <c r="L189" s="391" t="inlineStr">
        <is>
          <t> </t>
        </is>
      </c>
      <c r="M189" s="391" t="inlineStr">
        <is>
          <t> </t>
        </is>
      </c>
      <c r="N189" s="391" t="inlineStr">
        <is>
          <t> </t>
        </is>
      </c>
      <c r="O189" s="391" t="inlineStr">
        <is>
          <t> </t>
        </is>
      </c>
      <c r="P189" s="391" t="inlineStr">
        <is>
          <t> </t>
        </is>
      </c>
      <c r="Q189" s="391" t="inlineStr">
        <is>
          <t> </t>
        </is>
      </c>
      <c r="R189" s="38" t="inlineStr">
        <is>
          <t> </t>
        </is>
      </c>
      <c r="S189" s="391" t="inlineStr">
        <is>
          <t> </t>
        </is>
      </c>
      <c r="T189" s="391" t="inlineStr">
        <is>
          <t> </t>
        </is>
      </c>
      <c r="U189" s="391" t="inlineStr">
        <is>
          <t> </t>
        </is>
      </c>
      <c r="V189" s="391" t="inlineStr">
        <is>
          <t> </t>
        </is>
      </c>
      <c r="W189" s="391" t="inlineStr">
        <is>
          <t> </t>
        </is>
      </c>
      <c r="X189" s="391" t="inlineStr">
        <is>
          <t> </t>
        </is>
      </c>
      <c r="Y189" s="392" t="inlineStr">
        <is>
          <t> </t>
        </is>
      </c>
      <c r="Z189" s="391" t="inlineStr">
        <is>
          <t> </t>
        </is>
      </c>
      <c r="AA189" s="391" t="inlineStr">
        <is>
          <t> </t>
        </is>
      </c>
      <c r="AB189" s="391" t="inlineStr">
        <is>
          <t> </t>
        </is>
      </c>
      <c r="AC189" s="391" t="inlineStr">
        <is>
          <t> </t>
        </is>
      </c>
      <c r="AD189" s="391" t="inlineStr">
        <is>
          <t> </t>
        </is>
      </c>
      <c r="AE189" s="391" t="inlineStr">
        <is>
          <t> </t>
        </is>
      </c>
      <c r="AF189" s="38" t="inlineStr">
        <is>
          <t> </t>
        </is>
      </c>
      <c r="AG189" s="391" t="inlineStr">
        <is>
          <t> </t>
        </is>
      </c>
      <c r="AH189" s="391" t="n"/>
      <c r="AI189" s="391" t="inlineStr">
        <is>
          <t> </t>
        </is>
      </c>
      <c r="AJ189" s="391" t="inlineStr">
        <is>
          <t> </t>
        </is>
      </c>
      <c r="AK189" s="391" t="inlineStr">
        <is>
          <t> </t>
        </is>
      </c>
      <c r="AL189" s="391" t="inlineStr">
        <is>
          <t> </t>
        </is>
      </c>
      <c r="AM189" s="391" t="inlineStr">
        <is>
          <t> </t>
        </is>
      </c>
      <c r="AN189" s="391" t="inlineStr">
        <is>
          <t> </t>
        </is>
      </c>
      <c r="AO189" s="391" t="n"/>
      <c r="AP189" s="319" t="n"/>
      <c r="AQ189" s="319" t="n"/>
      <c r="AR189" s="319" t="n"/>
    </row>
    <row r="190" ht="15.75" customHeight="1" s="1264">
      <c r="A190" s="319" t="inlineStr">
        <is>
          <t> </t>
        </is>
      </c>
      <c r="B190" s="319" t="inlineStr">
        <is>
          <t> </t>
        </is>
      </c>
      <c r="C190" s="319" t="inlineStr">
        <is>
          <t> </t>
        </is>
      </c>
      <c r="D190" s="38" t="inlineStr">
        <is>
          <t> </t>
        </is>
      </c>
      <c r="E190" s="391" t="inlineStr">
        <is>
          <t> </t>
        </is>
      </c>
      <c r="F190" s="391" t="inlineStr">
        <is>
          <t> </t>
        </is>
      </c>
      <c r="G190" s="391" t="inlineStr">
        <is>
          <t> </t>
        </is>
      </c>
      <c r="H190" s="391" t="inlineStr">
        <is>
          <t> </t>
        </is>
      </c>
      <c r="I190" s="391" t="inlineStr">
        <is>
          <t> </t>
        </is>
      </c>
      <c r="J190" s="391" t="inlineStr">
        <is>
          <t> </t>
        </is>
      </c>
      <c r="K190" s="38" t="inlineStr">
        <is>
          <t> </t>
        </is>
      </c>
      <c r="L190" s="391" t="inlineStr">
        <is>
          <t> </t>
        </is>
      </c>
      <c r="M190" s="391" t="inlineStr">
        <is>
          <t> </t>
        </is>
      </c>
      <c r="N190" s="391" t="inlineStr">
        <is>
          <t> </t>
        </is>
      </c>
      <c r="O190" s="391" t="inlineStr">
        <is>
          <t> </t>
        </is>
      </c>
      <c r="P190" s="391" t="inlineStr">
        <is>
          <t> </t>
        </is>
      </c>
      <c r="Q190" s="391" t="inlineStr">
        <is>
          <t> </t>
        </is>
      </c>
      <c r="R190" s="38" t="inlineStr">
        <is>
          <t> </t>
        </is>
      </c>
      <c r="S190" s="391" t="inlineStr">
        <is>
          <t> </t>
        </is>
      </c>
      <c r="T190" s="391" t="inlineStr">
        <is>
          <t> </t>
        </is>
      </c>
      <c r="U190" s="391" t="inlineStr">
        <is>
          <t> </t>
        </is>
      </c>
      <c r="V190" s="391" t="inlineStr">
        <is>
          <t> </t>
        </is>
      </c>
      <c r="W190" s="391" t="inlineStr">
        <is>
          <t> </t>
        </is>
      </c>
      <c r="X190" s="391" t="inlineStr">
        <is>
          <t> </t>
        </is>
      </c>
      <c r="Y190" s="392" t="inlineStr">
        <is>
          <t> </t>
        </is>
      </c>
      <c r="Z190" s="391" t="inlineStr">
        <is>
          <t> </t>
        </is>
      </c>
      <c r="AA190" s="391" t="inlineStr">
        <is>
          <t> </t>
        </is>
      </c>
      <c r="AB190" s="391" t="inlineStr">
        <is>
          <t> </t>
        </is>
      </c>
      <c r="AC190" s="391" t="inlineStr">
        <is>
          <t> </t>
        </is>
      </c>
      <c r="AD190" s="391" t="inlineStr">
        <is>
          <t> </t>
        </is>
      </c>
      <c r="AE190" s="391" t="inlineStr">
        <is>
          <t> </t>
        </is>
      </c>
      <c r="AF190" s="38" t="inlineStr">
        <is>
          <t> </t>
        </is>
      </c>
      <c r="AG190" s="391" t="inlineStr">
        <is>
          <t> </t>
        </is>
      </c>
      <c r="AH190" s="391" t="n"/>
      <c r="AI190" s="391" t="inlineStr">
        <is>
          <t> </t>
        </is>
      </c>
      <c r="AJ190" s="391" t="inlineStr">
        <is>
          <t> </t>
        </is>
      </c>
      <c r="AK190" s="391" t="inlineStr">
        <is>
          <t> </t>
        </is>
      </c>
      <c r="AL190" s="391" t="inlineStr">
        <is>
          <t> </t>
        </is>
      </c>
      <c r="AM190" s="391" t="inlineStr">
        <is>
          <t> </t>
        </is>
      </c>
      <c r="AN190" s="391" t="inlineStr">
        <is>
          <t> </t>
        </is>
      </c>
      <c r="AO190" s="391" t="n"/>
      <c r="AP190" s="319" t="n"/>
      <c r="AQ190" s="319" t="n"/>
      <c r="AR190" s="319" t="n"/>
    </row>
    <row r="191" ht="15.75" customHeight="1" s="1264">
      <c r="A191" s="319" t="inlineStr">
        <is>
          <t> </t>
        </is>
      </c>
      <c r="B191" s="319" t="inlineStr">
        <is>
          <t> </t>
        </is>
      </c>
      <c r="C191" s="319" t="inlineStr">
        <is>
          <t> </t>
        </is>
      </c>
      <c r="D191" s="38" t="inlineStr">
        <is>
          <t> </t>
        </is>
      </c>
      <c r="E191" s="391" t="inlineStr">
        <is>
          <t> </t>
        </is>
      </c>
      <c r="F191" s="391" t="inlineStr">
        <is>
          <t> </t>
        </is>
      </c>
      <c r="G191" s="391" t="inlineStr">
        <is>
          <t> </t>
        </is>
      </c>
      <c r="H191" s="391" t="inlineStr">
        <is>
          <t> </t>
        </is>
      </c>
      <c r="I191" s="391" t="inlineStr">
        <is>
          <t> </t>
        </is>
      </c>
      <c r="J191" s="391" t="inlineStr">
        <is>
          <t> </t>
        </is>
      </c>
      <c r="K191" s="38" t="inlineStr">
        <is>
          <t> </t>
        </is>
      </c>
      <c r="L191" s="391" t="inlineStr">
        <is>
          <t> </t>
        </is>
      </c>
      <c r="M191" s="391" t="inlineStr">
        <is>
          <t> </t>
        </is>
      </c>
      <c r="N191" s="391" t="inlineStr">
        <is>
          <t> </t>
        </is>
      </c>
      <c r="O191" s="391" t="inlineStr">
        <is>
          <t> </t>
        </is>
      </c>
      <c r="P191" s="391" t="inlineStr">
        <is>
          <t> </t>
        </is>
      </c>
      <c r="Q191" s="391" t="inlineStr">
        <is>
          <t> </t>
        </is>
      </c>
      <c r="R191" s="38" t="inlineStr">
        <is>
          <t> </t>
        </is>
      </c>
      <c r="S191" s="391" t="inlineStr">
        <is>
          <t> </t>
        </is>
      </c>
      <c r="T191" s="391" t="inlineStr">
        <is>
          <t> </t>
        </is>
      </c>
      <c r="U191" s="391" t="inlineStr">
        <is>
          <t> </t>
        </is>
      </c>
      <c r="V191" s="391" t="inlineStr">
        <is>
          <t> </t>
        </is>
      </c>
      <c r="W191" s="391" t="inlineStr">
        <is>
          <t> </t>
        </is>
      </c>
      <c r="X191" s="391" t="inlineStr">
        <is>
          <t> </t>
        </is>
      </c>
      <c r="Y191" s="392" t="inlineStr">
        <is>
          <t> </t>
        </is>
      </c>
      <c r="Z191" s="391" t="inlineStr">
        <is>
          <t> </t>
        </is>
      </c>
      <c r="AA191" s="391" t="inlineStr">
        <is>
          <t> </t>
        </is>
      </c>
      <c r="AB191" s="391" t="inlineStr">
        <is>
          <t> </t>
        </is>
      </c>
      <c r="AC191" s="391" t="inlineStr">
        <is>
          <t> </t>
        </is>
      </c>
      <c r="AD191" s="391" t="inlineStr">
        <is>
          <t> </t>
        </is>
      </c>
      <c r="AE191" s="391" t="inlineStr">
        <is>
          <t> </t>
        </is>
      </c>
      <c r="AF191" s="38" t="inlineStr">
        <is>
          <t> </t>
        </is>
      </c>
      <c r="AG191" s="391" t="inlineStr">
        <is>
          <t> </t>
        </is>
      </c>
      <c r="AH191" s="391" t="n"/>
      <c r="AI191" s="391" t="inlineStr">
        <is>
          <t> </t>
        </is>
      </c>
      <c r="AJ191" s="391" t="inlineStr">
        <is>
          <t> </t>
        </is>
      </c>
      <c r="AK191" s="391" t="inlineStr">
        <is>
          <t> </t>
        </is>
      </c>
      <c r="AL191" s="391" t="inlineStr">
        <is>
          <t> </t>
        </is>
      </c>
      <c r="AM191" s="391" t="inlineStr">
        <is>
          <t> </t>
        </is>
      </c>
      <c r="AN191" s="391" t="inlineStr">
        <is>
          <t> </t>
        </is>
      </c>
      <c r="AO191" s="391" t="n"/>
      <c r="AP191" s="319" t="n"/>
      <c r="AQ191" s="319" t="n"/>
      <c r="AR191" s="319" t="n"/>
    </row>
    <row r="192" ht="15.75" customHeight="1" s="1264">
      <c r="A192" s="319" t="inlineStr">
        <is>
          <t> </t>
        </is>
      </c>
      <c r="B192" s="319" t="inlineStr">
        <is>
          <t> </t>
        </is>
      </c>
      <c r="C192" s="319" t="inlineStr">
        <is>
          <t> </t>
        </is>
      </c>
      <c r="D192" s="38" t="inlineStr">
        <is>
          <t> </t>
        </is>
      </c>
      <c r="E192" s="391" t="inlineStr">
        <is>
          <t> </t>
        </is>
      </c>
      <c r="F192" s="391" t="inlineStr">
        <is>
          <t> </t>
        </is>
      </c>
      <c r="G192" s="391" t="inlineStr">
        <is>
          <t> </t>
        </is>
      </c>
      <c r="H192" s="391" t="inlineStr">
        <is>
          <t> </t>
        </is>
      </c>
      <c r="I192" s="391" t="inlineStr">
        <is>
          <t> </t>
        </is>
      </c>
      <c r="J192" s="391" t="inlineStr">
        <is>
          <t> </t>
        </is>
      </c>
      <c r="K192" s="38" t="inlineStr">
        <is>
          <t> </t>
        </is>
      </c>
      <c r="L192" s="391" t="inlineStr">
        <is>
          <t> </t>
        </is>
      </c>
      <c r="M192" s="391" t="inlineStr">
        <is>
          <t> </t>
        </is>
      </c>
      <c r="N192" s="391" t="inlineStr">
        <is>
          <t> </t>
        </is>
      </c>
      <c r="O192" s="391" t="inlineStr">
        <is>
          <t> </t>
        </is>
      </c>
      <c r="P192" s="391" t="inlineStr">
        <is>
          <t> </t>
        </is>
      </c>
      <c r="Q192" s="391" t="inlineStr">
        <is>
          <t> </t>
        </is>
      </c>
      <c r="R192" s="38" t="inlineStr">
        <is>
          <t> </t>
        </is>
      </c>
      <c r="S192" s="391" t="inlineStr">
        <is>
          <t> </t>
        </is>
      </c>
      <c r="T192" s="391" t="inlineStr">
        <is>
          <t> </t>
        </is>
      </c>
      <c r="U192" s="391" t="inlineStr">
        <is>
          <t> </t>
        </is>
      </c>
      <c r="V192" s="391" t="inlineStr">
        <is>
          <t> </t>
        </is>
      </c>
      <c r="W192" s="391" t="inlineStr">
        <is>
          <t> </t>
        </is>
      </c>
      <c r="X192" s="391" t="inlineStr">
        <is>
          <t> </t>
        </is>
      </c>
      <c r="Y192" s="392" t="inlineStr">
        <is>
          <t> </t>
        </is>
      </c>
      <c r="Z192" s="391" t="inlineStr">
        <is>
          <t> </t>
        </is>
      </c>
      <c r="AA192" s="391" t="inlineStr">
        <is>
          <t> </t>
        </is>
      </c>
      <c r="AB192" s="391" t="inlineStr">
        <is>
          <t> </t>
        </is>
      </c>
      <c r="AC192" s="391" t="inlineStr">
        <is>
          <t> </t>
        </is>
      </c>
      <c r="AD192" s="391" t="inlineStr">
        <is>
          <t> </t>
        </is>
      </c>
      <c r="AE192" s="391" t="inlineStr">
        <is>
          <t> </t>
        </is>
      </c>
      <c r="AF192" s="38" t="inlineStr">
        <is>
          <t> </t>
        </is>
      </c>
      <c r="AG192" s="391" t="inlineStr">
        <is>
          <t> </t>
        </is>
      </c>
      <c r="AH192" s="391" t="n"/>
      <c r="AI192" s="391" t="inlineStr">
        <is>
          <t> </t>
        </is>
      </c>
      <c r="AJ192" s="391" t="inlineStr">
        <is>
          <t> </t>
        </is>
      </c>
      <c r="AK192" s="391" t="inlineStr">
        <is>
          <t> </t>
        </is>
      </c>
      <c r="AL192" s="391" t="inlineStr">
        <is>
          <t> </t>
        </is>
      </c>
      <c r="AM192" s="391" t="inlineStr">
        <is>
          <t> </t>
        </is>
      </c>
      <c r="AN192" s="391" t="inlineStr">
        <is>
          <t> </t>
        </is>
      </c>
      <c r="AO192" s="391" t="n"/>
      <c r="AP192" s="319" t="n"/>
      <c r="AQ192" s="319" t="n"/>
      <c r="AR192" s="319" t="n"/>
    </row>
    <row r="193" ht="15.75" customHeight="1" s="1264">
      <c r="A193" s="319" t="inlineStr">
        <is>
          <t> </t>
        </is>
      </c>
      <c r="B193" s="319" t="inlineStr">
        <is>
          <t> </t>
        </is>
      </c>
      <c r="C193" s="319" t="inlineStr">
        <is>
          <t> </t>
        </is>
      </c>
      <c r="D193" s="38" t="inlineStr">
        <is>
          <t> </t>
        </is>
      </c>
      <c r="E193" s="391" t="inlineStr">
        <is>
          <t> </t>
        </is>
      </c>
      <c r="F193" s="391" t="inlineStr">
        <is>
          <t> </t>
        </is>
      </c>
      <c r="G193" s="391" t="inlineStr">
        <is>
          <t> </t>
        </is>
      </c>
      <c r="H193" s="391" t="inlineStr">
        <is>
          <t> </t>
        </is>
      </c>
      <c r="I193" s="391" t="inlineStr">
        <is>
          <t> </t>
        </is>
      </c>
      <c r="J193" s="391" t="inlineStr">
        <is>
          <t> </t>
        </is>
      </c>
      <c r="K193" s="38" t="inlineStr">
        <is>
          <t> </t>
        </is>
      </c>
      <c r="L193" s="391" t="inlineStr">
        <is>
          <t> </t>
        </is>
      </c>
      <c r="M193" s="391" t="inlineStr">
        <is>
          <t> </t>
        </is>
      </c>
      <c r="N193" s="391" t="inlineStr">
        <is>
          <t> </t>
        </is>
      </c>
      <c r="O193" s="391" t="inlineStr">
        <is>
          <t> </t>
        </is>
      </c>
      <c r="P193" s="391" t="inlineStr">
        <is>
          <t> </t>
        </is>
      </c>
      <c r="Q193" s="391" t="inlineStr">
        <is>
          <t> </t>
        </is>
      </c>
      <c r="R193" s="38" t="inlineStr">
        <is>
          <t> </t>
        </is>
      </c>
      <c r="S193" s="391" t="inlineStr">
        <is>
          <t> </t>
        </is>
      </c>
      <c r="T193" s="391" t="inlineStr">
        <is>
          <t> </t>
        </is>
      </c>
      <c r="U193" s="391" t="inlineStr">
        <is>
          <t> </t>
        </is>
      </c>
      <c r="V193" s="391" t="inlineStr">
        <is>
          <t> </t>
        </is>
      </c>
      <c r="W193" s="391" t="inlineStr">
        <is>
          <t> </t>
        </is>
      </c>
      <c r="X193" s="391" t="inlineStr">
        <is>
          <t> </t>
        </is>
      </c>
      <c r="Y193" s="392" t="inlineStr">
        <is>
          <t> </t>
        </is>
      </c>
      <c r="Z193" s="391" t="inlineStr">
        <is>
          <t> </t>
        </is>
      </c>
      <c r="AA193" s="391" t="inlineStr">
        <is>
          <t> </t>
        </is>
      </c>
      <c r="AB193" s="391" t="inlineStr">
        <is>
          <t> </t>
        </is>
      </c>
      <c r="AC193" s="391" t="inlineStr">
        <is>
          <t> </t>
        </is>
      </c>
      <c r="AD193" s="391" t="inlineStr">
        <is>
          <t> </t>
        </is>
      </c>
      <c r="AE193" s="391" t="inlineStr">
        <is>
          <t> </t>
        </is>
      </c>
      <c r="AF193" s="38" t="inlineStr">
        <is>
          <t> </t>
        </is>
      </c>
      <c r="AG193" s="391" t="inlineStr">
        <is>
          <t> </t>
        </is>
      </c>
      <c r="AH193" s="391" t="n"/>
      <c r="AI193" s="391" t="inlineStr">
        <is>
          <t> </t>
        </is>
      </c>
      <c r="AJ193" s="391" t="inlineStr">
        <is>
          <t> </t>
        </is>
      </c>
      <c r="AK193" s="391" t="inlineStr">
        <is>
          <t> </t>
        </is>
      </c>
      <c r="AL193" s="391" t="inlineStr">
        <is>
          <t> </t>
        </is>
      </c>
      <c r="AM193" s="391" t="inlineStr">
        <is>
          <t> </t>
        </is>
      </c>
      <c r="AN193" s="391" t="inlineStr">
        <is>
          <t> </t>
        </is>
      </c>
      <c r="AO193" s="391" t="n"/>
      <c r="AP193" s="319" t="n"/>
      <c r="AQ193" s="319" t="n"/>
      <c r="AR193" s="319" t="n"/>
    </row>
    <row r="194" ht="15.75" customHeight="1" s="1264">
      <c r="A194" s="319" t="inlineStr">
        <is>
          <t> </t>
        </is>
      </c>
      <c r="B194" s="319" t="inlineStr">
        <is>
          <t> </t>
        </is>
      </c>
      <c r="C194" s="319" t="inlineStr">
        <is>
          <t> </t>
        </is>
      </c>
      <c r="D194" s="38" t="inlineStr">
        <is>
          <t> </t>
        </is>
      </c>
      <c r="E194" s="391" t="inlineStr">
        <is>
          <t> </t>
        </is>
      </c>
      <c r="F194" s="391" t="inlineStr">
        <is>
          <t> </t>
        </is>
      </c>
      <c r="G194" s="391" t="inlineStr">
        <is>
          <t> </t>
        </is>
      </c>
      <c r="H194" s="391" t="inlineStr">
        <is>
          <t> </t>
        </is>
      </c>
      <c r="I194" s="391" t="inlineStr">
        <is>
          <t> </t>
        </is>
      </c>
      <c r="J194" s="391" t="inlineStr">
        <is>
          <t> </t>
        </is>
      </c>
      <c r="K194" s="38" t="inlineStr">
        <is>
          <t> </t>
        </is>
      </c>
      <c r="L194" s="391" t="inlineStr">
        <is>
          <t> </t>
        </is>
      </c>
      <c r="M194" s="391" t="inlineStr">
        <is>
          <t> </t>
        </is>
      </c>
      <c r="N194" s="391" t="inlineStr">
        <is>
          <t> </t>
        </is>
      </c>
      <c r="O194" s="391" t="inlineStr">
        <is>
          <t> </t>
        </is>
      </c>
      <c r="P194" s="391" t="inlineStr">
        <is>
          <t> </t>
        </is>
      </c>
      <c r="Q194" s="391" t="inlineStr">
        <is>
          <t> </t>
        </is>
      </c>
      <c r="R194" s="38" t="inlineStr">
        <is>
          <t> </t>
        </is>
      </c>
      <c r="S194" s="391" t="inlineStr">
        <is>
          <t> </t>
        </is>
      </c>
      <c r="T194" s="391" t="inlineStr">
        <is>
          <t> </t>
        </is>
      </c>
      <c r="U194" s="391" t="inlineStr">
        <is>
          <t> </t>
        </is>
      </c>
      <c r="V194" s="391" t="inlineStr">
        <is>
          <t> </t>
        </is>
      </c>
      <c r="W194" s="391" t="inlineStr">
        <is>
          <t> </t>
        </is>
      </c>
      <c r="X194" s="391" t="inlineStr">
        <is>
          <t> </t>
        </is>
      </c>
      <c r="Y194" s="392" t="inlineStr">
        <is>
          <t> </t>
        </is>
      </c>
      <c r="Z194" s="391" t="inlineStr">
        <is>
          <t> </t>
        </is>
      </c>
      <c r="AA194" s="391" t="inlineStr">
        <is>
          <t> </t>
        </is>
      </c>
      <c r="AB194" s="391" t="inlineStr">
        <is>
          <t> </t>
        </is>
      </c>
      <c r="AC194" s="391" t="inlineStr">
        <is>
          <t> </t>
        </is>
      </c>
      <c r="AD194" s="391" t="inlineStr">
        <is>
          <t> </t>
        </is>
      </c>
      <c r="AE194" s="391" t="inlineStr">
        <is>
          <t> </t>
        </is>
      </c>
      <c r="AF194" s="38" t="inlineStr">
        <is>
          <t> </t>
        </is>
      </c>
      <c r="AG194" s="391" t="inlineStr">
        <is>
          <t> </t>
        </is>
      </c>
      <c r="AH194" s="391" t="n"/>
      <c r="AI194" s="391" t="inlineStr">
        <is>
          <t> </t>
        </is>
      </c>
      <c r="AJ194" s="391" t="inlineStr">
        <is>
          <t> </t>
        </is>
      </c>
      <c r="AK194" s="391" t="inlineStr">
        <is>
          <t> </t>
        </is>
      </c>
      <c r="AL194" s="391" t="inlineStr">
        <is>
          <t> </t>
        </is>
      </c>
      <c r="AM194" s="391" t="inlineStr">
        <is>
          <t> </t>
        </is>
      </c>
      <c r="AN194" s="391" t="inlineStr">
        <is>
          <t> </t>
        </is>
      </c>
      <c r="AO194" s="391" t="n"/>
      <c r="AP194" s="319" t="n"/>
      <c r="AQ194" s="319" t="n"/>
      <c r="AR194" s="319" t="n"/>
    </row>
    <row r="195" ht="15.75" customHeight="1" s="1264">
      <c r="A195" s="319" t="inlineStr">
        <is>
          <t> </t>
        </is>
      </c>
      <c r="B195" s="319" t="inlineStr">
        <is>
          <t> </t>
        </is>
      </c>
      <c r="C195" s="319" t="inlineStr">
        <is>
          <t> </t>
        </is>
      </c>
      <c r="D195" s="38" t="inlineStr">
        <is>
          <t> </t>
        </is>
      </c>
      <c r="E195" s="391" t="inlineStr">
        <is>
          <t> </t>
        </is>
      </c>
      <c r="F195" s="391" t="inlineStr">
        <is>
          <t> </t>
        </is>
      </c>
      <c r="G195" s="391" t="inlineStr">
        <is>
          <t> </t>
        </is>
      </c>
      <c r="H195" s="391" t="inlineStr">
        <is>
          <t> </t>
        </is>
      </c>
      <c r="I195" s="391" t="inlineStr">
        <is>
          <t> </t>
        </is>
      </c>
      <c r="J195" s="391" t="inlineStr">
        <is>
          <t> </t>
        </is>
      </c>
      <c r="K195" s="38" t="inlineStr">
        <is>
          <t> </t>
        </is>
      </c>
      <c r="L195" s="391" t="inlineStr">
        <is>
          <t> </t>
        </is>
      </c>
      <c r="M195" s="391" t="inlineStr">
        <is>
          <t> </t>
        </is>
      </c>
      <c r="N195" s="391" t="inlineStr">
        <is>
          <t> </t>
        </is>
      </c>
      <c r="O195" s="391" t="inlineStr">
        <is>
          <t> </t>
        </is>
      </c>
      <c r="P195" s="391" t="inlineStr">
        <is>
          <t> </t>
        </is>
      </c>
      <c r="Q195" s="391" t="inlineStr">
        <is>
          <t> </t>
        </is>
      </c>
      <c r="R195" s="38" t="inlineStr">
        <is>
          <t> </t>
        </is>
      </c>
      <c r="S195" s="391" t="inlineStr">
        <is>
          <t> </t>
        </is>
      </c>
      <c r="T195" s="391" t="inlineStr">
        <is>
          <t> </t>
        </is>
      </c>
      <c r="U195" s="391" t="inlineStr">
        <is>
          <t> </t>
        </is>
      </c>
      <c r="V195" s="391" t="inlineStr">
        <is>
          <t> </t>
        </is>
      </c>
      <c r="W195" s="391" t="inlineStr">
        <is>
          <t> </t>
        </is>
      </c>
      <c r="X195" s="391" t="inlineStr">
        <is>
          <t> </t>
        </is>
      </c>
      <c r="Y195" s="392" t="inlineStr">
        <is>
          <t> </t>
        </is>
      </c>
      <c r="Z195" s="391" t="inlineStr">
        <is>
          <t> </t>
        </is>
      </c>
      <c r="AA195" s="391" t="inlineStr">
        <is>
          <t> </t>
        </is>
      </c>
      <c r="AB195" s="391" t="inlineStr">
        <is>
          <t> </t>
        </is>
      </c>
      <c r="AC195" s="391" t="inlineStr">
        <is>
          <t> </t>
        </is>
      </c>
      <c r="AD195" s="391" t="inlineStr">
        <is>
          <t> </t>
        </is>
      </c>
      <c r="AE195" s="391" t="inlineStr">
        <is>
          <t> </t>
        </is>
      </c>
      <c r="AF195" s="38" t="inlineStr">
        <is>
          <t> </t>
        </is>
      </c>
      <c r="AG195" s="391" t="inlineStr">
        <is>
          <t> </t>
        </is>
      </c>
      <c r="AH195" s="391" t="n"/>
      <c r="AI195" s="391" t="inlineStr">
        <is>
          <t> </t>
        </is>
      </c>
      <c r="AJ195" s="391" t="inlineStr">
        <is>
          <t> </t>
        </is>
      </c>
      <c r="AK195" s="391" t="inlineStr">
        <is>
          <t> </t>
        </is>
      </c>
      <c r="AL195" s="391" t="inlineStr">
        <is>
          <t> </t>
        </is>
      </c>
      <c r="AM195" s="391" t="inlineStr">
        <is>
          <t> </t>
        </is>
      </c>
      <c r="AN195" s="391" t="inlineStr">
        <is>
          <t> </t>
        </is>
      </c>
      <c r="AO195" s="391" t="n"/>
      <c r="AP195" s="319" t="n"/>
      <c r="AQ195" s="319" t="n"/>
      <c r="AR195" s="319" t="n"/>
    </row>
    <row r="196" ht="15.75" customHeight="1" s="1264">
      <c r="A196" s="319" t="inlineStr">
        <is>
          <t> </t>
        </is>
      </c>
      <c r="B196" s="319" t="inlineStr">
        <is>
          <t> </t>
        </is>
      </c>
      <c r="C196" s="319" t="inlineStr">
        <is>
          <t> </t>
        </is>
      </c>
      <c r="D196" s="38" t="inlineStr">
        <is>
          <t> </t>
        </is>
      </c>
      <c r="E196" s="391" t="inlineStr">
        <is>
          <t> </t>
        </is>
      </c>
      <c r="F196" s="391" t="inlineStr">
        <is>
          <t> </t>
        </is>
      </c>
      <c r="G196" s="391" t="inlineStr">
        <is>
          <t> </t>
        </is>
      </c>
      <c r="H196" s="391" t="inlineStr">
        <is>
          <t> </t>
        </is>
      </c>
      <c r="I196" s="391" t="inlineStr">
        <is>
          <t> </t>
        </is>
      </c>
      <c r="J196" s="391" t="inlineStr">
        <is>
          <t> </t>
        </is>
      </c>
      <c r="K196" s="38" t="inlineStr">
        <is>
          <t> </t>
        </is>
      </c>
      <c r="L196" s="391" t="inlineStr">
        <is>
          <t> </t>
        </is>
      </c>
      <c r="M196" s="391" t="inlineStr">
        <is>
          <t> </t>
        </is>
      </c>
      <c r="N196" s="391" t="inlineStr">
        <is>
          <t> </t>
        </is>
      </c>
      <c r="O196" s="391" t="inlineStr">
        <is>
          <t> </t>
        </is>
      </c>
      <c r="P196" s="391" t="inlineStr">
        <is>
          <t> </t>
        </is>
      </c>
      <c r="Q196" s="391" t="inlineStr">
        <is>
          <t> </t>
        </is>
      </c>
      <c r="R196" s="38" t="inlineStr">
        <is>
          <t> </t>
        </is>
      </c>
      <c r="S196" s="391" t="inlineStr">
        <is>
          <t> </t>
        </is>
      </c>
      <c r="T196" s="391" t="inlineStr">
        <is>
          <t> </t>
        </is>
      </c>
      <c r="U196" s="391" t="inlineStr">
        <is>
          <t> </t>
        </is>
      </c>
      <c r="V196" s="391" t="inlineStr">
        <is>
          <t> </t>
        </is>
      </c>
      <c r="W196" s="391" t="inlineStr">
        <is>
          <t> </t>
        </is>
      </c>
      <c r="X196" s="391" t="inlineStr">
        <is>
          <t> </t>
        </is>
      </c>
      <c r="Y196" s="392" t="inlineStr">
        <is>
          <t> </t>
        </is>
      </c>
      <c r="Z196" s="391" t="inlineStr">
        <is>
          <t> </t>
        </is>
      </c>
      <c r="AA196" s="391" t="inlineStr">
        <is>
          <t> </t>
        </is>
      </c>
      <c r="AB196" s="391" t="inlineStr">
        <is>
          <t> </t>
        </is>
      </c>
      <c r="AC196" s="391" t="inlineStr">
        <is>
          <t> </t>
        </is>
      </c>
      <c r="AD196" s="391" t="inlineStr">
        <is>
          <t> </t>
        </is>
      </c>
      <c r="AE196" s="391" t="inlineStr">
        <is>
          <t> </t>
        </is>
      </c>
      <c r="AF196" s="38" t="inlineStr">
        <is>
          <t> </t>
        </is>
      </c>
      <c r="AG196" s="391" t="inlineStr">
        <is>
          <t> </t>
        </is>
      </c>
      <c r="AH196" s="391" t="n"/>
      <c r="AI196" s="391" t="inlineStr">
        <is>
          <t> </t>
        </is>
      </c>
      <c r="AJ196" s="391" t="inlineStr">
        <is>
          <t> </t>
        </is>
      </c>
      <c r="AK196" s="391" t="inlineStr">
        <is>
          <t> </t>
        </is>
      </c>
      <c r="AL196" s="391" t="inlineStr">
        <is>
          <t> </t>
        </is>
      </c>
      <c r="AM196" s="391" t="inlineStr">
        <is>
          <t> </t>
        </is>
      </c>
      <c r="AN196" s="391" t="inlineStr">
        <is>
          <t> </t>
        </is>
      </c>
      <c r="AO196" s="391" t="n"/>
      <c r="AP196" s="319" t="n"/>
      <c r="AQ196" s="319" t="n"/>
      <c r="AR196" s="319" t="n"/>
    </row>
    <row r="197" ht="15.75" customHeight="1" s="1264">
      <c r="A197" s="319" t="inlineStr">
        <is>
          <t> </t>
        </is>
      </c>
      <c r="B197" s="319" t="inlineStr">
        <is>
          <t> </t>
        </is>
      </c>
      <c r="C197" s="319" t="inlineStr">
        <is>
          <t> </t>
        </is>
      </c>
      <c r="D197" s="38" t="inlineStr">
        <is>
          <t> </t>
        </is>
      </c>
      <c r="E197" s="391" t="inlineStr">
        <is>
          <t> </t>
        </is>
      </c>
      <c r="F197" s="391" t="inlineStr">
        <is>
          <t> </t>
        </is>
      </c>
      <c r="G197" s="391" t="inlineStr">
        <is>
          <t> </t>
        </is>
      </c>
      <c r="H197" s="391" t="inlineStr">
        <is>
          <t> </t>
        </is>
      </c>
      <c r="I197" s="391" t="inlineStr">
        <is>
          <t> </t>
        </is>
      </c>
      <c r="J197" s="391" t="inlineStr">
        <is>
          <t> </t>
        </is>
      </c>
      <c r="K197" s="38" t="inlineStr">
        <is>
          <t> </t>
        </is>
      </c>
      <c r="L197" s="391" t="inlineStr">
        <is>
          <t> </t>
        </is>
      </c>
      <c r="M197" s="391" t="inlineStr">
        <is>
          <t> </t>
        </is>
      </c>
      <c r="N197" s="391" t="inlineStr">
        <is>
          <t> </t>
        </is>
      </c>
      <c r="O197" s="391" t="inlineStr">
        <is>
          <t> </t>
        </is>
      </c>
      <c r="P197" s="391" t="inlineStr">
        <is>
          <t> </t>
        </is>
      </c>
      <c r="Q197" s="391" t="inlineStr">
        <is>
          <t> </t>
        </is>
      </c>
      <c r="R197" s="38" t="inlineStr">
        <is>
          <t> </t>
        </is>
      </c>
      <c r="S197" s="391" t="inlineStr">
        <is>
          <t> </t>
        </is>
      </c>
      <c r="T197" s="391" t="inlineStr">
        <is>
          <t> </t>
        </is>
      </c>
      <c r="U197" s="391" t="inlineStr">
        <is>
          <t> </t>
        </is>
      </c>
      <c r="V197" s="391" t="inlineStr">
        <is>
          <t> </t>
        </is>
      </c>
      <c r="W197" s="391" t="inlineStr">
        <is>
          <t> </t>
        </is>
      </c>
      <c r="X197" s="391" t="inlineStr">
        <is>
          <t> </t>
        </is>
      </c>
      <c r="Y197" s="392" t="inlineStr">
        <is>
          <t> </t>
        </is>
      </c>
      <c r="Z197" s="391" t="inlineStr">
        <is>
          <t> </t>
        </is>
      </c>
      <c r="AA197" s="391" t="inlineStr">
        <is>
          <t> </t>
        </is>
      </c>
      <c r="AB197" s="391" t="inlineStr">
        <is>
          <t> </t>
        </is>
      </c>
      <c r="AC197" s="391" t="inlineStr">
        <is>
          <t> </t>
        </is>
      </c>
      <c r="AD197" s="391" t="inlineStr">
        <is>
          <t> </t>
        </is>
      </c>
      <c r="AE197" s="391" t="inlineStr">
        <is>
          <t> </t>
        </is>
      </c>
      <c r="AF197" s="38" t="inlineStr">
        <is>
          <t> </t>
        </is>
      </c>
      <c r="AG197" s="391" t="inlineStr">
        <is>
          <t> </t>
        </is>
      </c>
      <c r="AH197" s="391" t="n"/>
      <c r="AI197" s="391" t="inlineStr">
        <is>
          <t> </t>
        </is>
      </c>
      <c r="AJ197" s="391" t="inlineStr">
        <is>
          <t> </t>
        </is>
      </c>
      <c r="AK197" s="391" t="inlineStr">
        <is>
          <t> </t>
        </is>
      </c>
      <c r="AL197" s="391" t="inlineStr">
        <is>
          <t> </t>
        </is>
      </c>
      <c r="AM197" s="391" t="inlineStr">
        <is>
          <t> </t>
        </is>
      </c>
      <c r="AN197" s="391" t="inlineStr">
        <is>
          <t> </t>
        </is>
      </c>
      <c r="AO197" s="391" t="n"/>
      <c r="AP197" s="319" t="n"/>
      <c r="AQ197" s="319" t="n"/>
      <c r="AR197" s="319" t="n"/>
    </row>
    <row r="198" ht="15.75" customHeight="1" s="1264">
      <c r="A198" s="319" t="inlineStr">
        <is>
          <t> </t>
        </is>
      </c>
      <c r="B198" s="319" t="inlineStr">
        <is>
          <t> </t>
        </is>
      </c>
      <c r="C198" s="319" t="inlineStr">
        <is>
          <t> </t>
        </is>
      </c>
      <c r="D198" s="38" t="inlineStr">
        <is>
          <t> </t>
        </is>
      </c>
      <c r="E198" s="391" t="inlineStr">
        <is>
          <t> </t>
        </is>
      </c>
      <c r="F198" s="391" t="inlineStr">
        <is>
          <t> </t>
        </is>
      </c>
      <c r="G198" s="391" t="inlineStr">
        <is>
          <t> </t>
        </is>
      </c>
      <c r="H198" s="391" t="inlineStr">
        <is>
          <t> </t>
        </is>
      </c>
      <c r="I198" s="391" t="inlineStr">
        <is>
          <t> </t>
        </is>
      </c>
      <c r="J198" s="391" t="inlineStr">
        <is>
          <t> </t>
        </is>
      </c>
      <c r="K198" s="38" t="inlineStr">
        <is>
          <t> </t>
        </is>
      </c>
      <c r="L198" s="391" t="inlineStr">
        <is>
          <t> </t>
        </is>
      </c>
      <c r="M198" s="391" t="inlineStr">
        <is>
          <t> </t>
        </is>
      </c>
      <c r="N198" s="391" t="inlineStr">
        <is>
          <t> </t>
        </is>
      </c>
      <c r="O198" s="391" t="inlineStr">
        <is>
          <t> </t>
        </is>
      </c>
      <c r="P198" s="391" t="inlineStr">
        <is>
          <t> </t>
        </is>
      </c>
      <c r="Q198" s="391" t="inlineStr">
        <is>
          <t> </t>
        </is>
      </c>
      <c r="R198" s="38" t="inlineStr">
        <is>
          <t> </t>
        </is>
      </c>
      <c r="S198" s="391" t="inlineStr">
        <is>
          <t> </t>
        </is>
      </c>
      <c r="T198" s="391" t="inlineStr">
        <is>
          <t> </t>
        </is>
      </c>
      <c r="U198" s="391" t="inlineStr">
        <is>
          <t> </t>
        </is>
      </c>
      <c r="V198" s="391" t="inlineStr">
        <is>
          <t> </t>
        </is>
      </c>
      <c r="W198" s="391" t="inlineStr">
        <is>
          <t> </t>
        </is>
      </c>
      <c r="X198" s="391" t="inlineStr">
        <is>
          <t> </t>
        </is>
      </c>
      <c r="Y198" s="392" t="inlineStr">
        <is>
          <t> </t>
        </is>
      </c>
      <c r="Z198" s="391" t="inlineStr">
        <is>
          <t> </t>
        </is>
      </c>
      <c r="AA198" s="391" t="inlineStr">
        <is>
          <t> </t>
        </is>
      </c>
      <c r="AB198" s="391" t="inlineStr">
        <is>
          <t> </t>
        </is>
      </c>
      <c r="AC198" s="391" t="inlineStr">
        <is>
          <t> </t>
        </is>
      </c>
      <c r="AD198" s="391" t="inlineStr">
        <is>
          <t> </t>
        </is>
      </c>
      <c r="AE198" s="391" t="inlineStr">
        <is>
          <t> </t>
        </is>
      </c>
      <c r="AF198" s="38" t="inlineStr">
        <is>
          <t> </t>
        </is>
      </c>
      <c r="AG198" s="391" t="inlineStr">
        <is>
          <t> </t>
        </is>
      </c>
      <c r="AH198" s="391" t="n"/>
      <c r="AI198" s="391" t="inlineStr">
        <is>
          <t> </t>
        </is>
      </c>
      <c r="AJ198" s="391" t="inlineStr">
        <is>
          <t> </t>
        </is>
      </c>
      <c r="AK198" s="391" t="inlineStr">
        <is>
          <t> </t>
        </is>
      </c>
      <c r="AL198" s="391" t="inlineStr">
        <is>
          <t> </t>
        </is>
      </c>
      <c r="AM198" s="391" t="inlineStr">
        <is>
          <t> </t>
        </is>
      </c>
      <c r="AN198" s="391" t="inlineStr">
        <is>
          <t> </t>
        </is>
      </c>
      <c r="AO198" s="391" t="n"/>
      <c r="AP198" s="319" t="n"/>
      <c r="AQ198" s="319" t="n"/>
      <c r="AR198" s="319" t="n"/>
    </row>
    <row r="199" ht="15.75" customHeight="1" s="1264">
      <c r="A199" s="319" t="inlineStr">
        <is>
          <t> </t>
        </is>
      </c>
      <c r="B199" s="319" t="inlineStr">
        <is>
          <t> </t>
        </is>
      </c>
      <c r="C199" s="319" t="inlineStr">
        <is>
          <t> </t>
        </is>
      </c>
      <c r="D199" s="38" t="inlineStr">
        <is>
          <t> </t>
        </is>
      </c>
      <c r="E199" s="391" t="inlineStr">
        <is>
          <t> </t>
        </is>
      </c>
      <c r="F199" s="391" t="inlineStr">
        <is>
          <t> </t>
        </is>
      </c>
      <c r="G199" s="391" t="inlineStr">
        <is>
          <t> </t>
        </is>
      </c>
      <c r="H199" s="391" t="inlineStr">
        <is>
          <t> </t>
        </is>
      </c>
      <c r="I199" s="391" t="inlineStr">
        <is>
          <t> </t>
        </is>
      </c>
      <c r="J199" s="391" t="inlineStr">
        <is>
          <t> </t>
        </is>
      </c>
      <c r="K199" s="38" t="inlineStr">
        <is>
          <t> </t>
        </is>
      </c>
      <c r="L199" s="391" t="inlineStr">
        <is>
          <t> </t>
        </is>
      </c>
      <c r="M199" s="391" t="inlineStr">
        <is>
          <t> </t>
        </is>
      </c>
      <c r="N199" s="391" t="inlineStr">
        <is>
          <t> </t>
        </is>
      </c>
      <c r="O199" s="391" t="inlineStr">
        <is>
          <t> </t>
        </is>
      </c>
      <c r="P199" s="391" t="inlineStr">
        <is>
          <t> </t>
        </is>
      </c>
      <c r="Q199" s="391" t="inlineStr">
        <is>
          <t> </t>
        </is>
      </c>
      <c r="R199" s="38" t="inlineStr">
        <is>
          <t> </t>
        </is>
      </c>
      <c r="S199" s="391" t="inlineStr">
        <is>
          <t> </t>
        </is>
      </c>
      <c r="T199" s="391" t="inlineStr">
        <is>
          <t> </t>
        </is>
      </c>
      <c r="U199" s="391" t="inlineStr">
        <is>
          <t> </t>
        </is>
      </c>
      <c r="V199" s="391" t="inlineStr">
        <is>
          <t> </t>
        </is>
      </c>
      <c r="W199" s="391" t="inlineStr">
        <is>
          <t> </t>
        </is>
      </c>
      <c r="X199" s="391" t="inlineStr">
        <is>
          <t> </t>
        </is>
      </c>
      <c r="Y199" s="392" t="inlineStr">
        <is>
          <t> </t>
        </is>
      </c>
      <c r="Z199" s="391" t="inlineStr">
        <is>
          <t> </t>
        </is>
      </c>
      <c r="AA199" s="391" t="inlineStr">
        <is>
          <t> </t>
        </is>
      </c>
      <c r="AB199" s="391" t="inlineStr">
        <is>
          <t> </t>
        </is>
      </c>
      <c r="AC199" s="391" t="inlineStr">
        <is>
          <t> </t>
        </is>
      </c>
      <c r="AD199" s="391" t="inlineStr">
        <is>
          <t> </t>
        </is>
      </c>
      <c r="AE199" s="391" t="inlineStr">
        <is>
          <t> </t>
        </is>
      </c>
      <c r="AF199" s="38" t="inlineStr">
        <is>
          <t> </t>
        </is>
      </c>
      <c r="AG199" s="391" t="inlineStr">
        <is>
          <t> </t>
        </is>
      </c>
      <c r="AH199" s="391" t="n"/>
      <c r="AI199" s="391" t="inlineStr">
        <is>
          <t> </t>
        </is>
      </c>
      <c r="AJ199" s="391" t="inlineStr">
        <is>
          <t> </t>
        </is>
      </c>
      <c r="AK199" s="391" t="inlineStr">
        <is>
          <t> </t>
        </is>
      </c>
      <c r="AL199" s="391" t="inlineStr">
        <is>
          <t> </t>
        </is>
      </c>
      <c r="AM199" s="391" t="inlineStr">
        <is>
          <t> </t>
        </is>
      </c>
      <c r="AN199" s="391" t="inlineStr">
        <is>
          <t> </t>
        </is>
      </c>
      <c r="AO199" s="391" t="n"/>
      <c r="AP199" s="319" t="n"/>
      <c r="AQ199" s="319" t="n"/>
      <c r="AR199" s="319" t="n"/>
    </row>
    <row r="200" ht="15.75" customHeight="1" s="1264">
      <c r="A200" s="319" t="inlineStr">
        <is>
          <t> </t>
        </is>
      </c>
      <c r="B200" s="319" t="inlineStr">
        <is>
          <t> </t>
        </is>
      </c>
      <c r="C200" s="319" t="inlineStr">
        <is>
          <t> </t>
        </is>
      </c>
      <c r="D200" s="38" t="inlineStr">
        <is>
          <t> </t>
        </is>
      </c>
      <c r="E200" s="391" t="inlineStr">
        <is>
          <t> </t>
        </is>
      </c>
      <c r="F200" s="391" t="inlineStr">
        <is>
          <t> </t>
        </is>
      </c>
      <c r="G200" s="391" t="inlineStr">
        <is>
          <t> </t>
        </is>
      </c>
      <c r="H200" s="391" t="inlineStr">
        <is>
          <t> </t>
        </is>
      </c>
      <c r="I200" s="391" t="inlineStr">
        <is>
          <t> </t>
        </is>
      </c>
      <c r="J200" s="391" t="inlineStr">
        <is>
          <t> </t>
        </is>
      </c>
      <c r="K200" s="38" t="inlineStr">
        <is>
          <t> </t>
        </is>
      </c>
      <c r="L200" s="391" t="inlineStr">
        <is>
          <t> </t>
        </is>
      </c>
      <c r="M200" s="391" t="inlineStr">
        <is>
          <t> </t>
        </is>
      </c>
      <c r="N200" s="391" t="inlineStr">
        <is>
          <t> </t>
        </is>
      </c>
      <c r="O200" s="391" t="inlineStr">
        <is>
          <t> </t>
        </is>
      </c>
      <c r="P200" s="391" t="inlineStr">
        <is>
          <t> </t>
        </is>
      </c>
      <c r="Q200" s="391" t="inlineStr">
        <is>
          <t> </t>
        </is>
      </c>
      <c r="R200" s="38" t="inlineStr">
        <is>
          <t> </t>
        </is>
      </c>
      <c r="S200" s="391" t="inlineStr">
        <is>
          <t> </t>
        </is>
      </c>
      <c r="T200" s="391" t="inlineStr">
        <is>
          <t> </t>
        </is>
      </c>
      <c r="U200" s="391" t="inlineStr">
        <is>
          <t> </t>
        </is>
      </c>
      <c r="V200" s="391" t="inlineStr">
        <is>
          <t> </t>
        </is>
      </c>
      <c r="W200" s="391" t="inlineStr">
        <is>
          <t> </t>
        </is>
      </c>
      <c r="X200" s="391" t="inlineStr">
        <is>
          <t> </t>
        </is>
      </c>
      <c r="Y200" s="392" t="inlineStr">
        <is>
          <t> </t>
        </is>
      </c>
      <c r="Z200" s="391" t="inlineStr">
        <is>
          <t> </t>
        </is>
      </c>
      <c r="AA200" s="391" t="inlineStr">
        <is>
          <t> </t>
        </is>
      </c>
      <c r="AB200" s="391" t="inlineStr">
        <is>
          <t> </t>
        </is>
      </c>
      <c r="AC200" s="391" t="inlineStr">
        <is>
          <t> </t>
        </is>
      </c>
      <c r="AD200" s="391" t="inlineStr">
        <is>
          <t> </t>
        </is>
      </c>
      <c r="AE200" s="391" t="inlineStr">
        <is>
          <t> </t>
        </is>
      </c>
      <c r="AF200" s="38" t="inlineStr">
        <is>
          <t> </t>
        </is>
      </c>
      <c r="AG200" s="391" t="inlineStr">
        <is>
          <t> </t>
        </is>
      </c>
      <c r="AH200" s="391" t="n"/>
      <c r="AI200" s="391" t="inlineStr">
        <is>
          <t> </t>
        </is>
      </c>
      <c r="AJ200" s="391" t="inlineStr">
        <is>
          <t> </t>
        </is>
      </c>
      <c r="AK200" s="391" t="inlineStr">
        <is>
          <t> </t>
        </is>
      </c>
      <c r="AL200" s="391" t="inlineStr">
        <is>
          <t> </t>
        </is>
      </c>
      <c r="AM200" s="391" t="inlineStr">
        <is>
          <t> </t>
        </is>
      </c>
      <c r="AN200" s="391" t="inlineStr">
        <is>
          <t> </t>
        </is>
      </c>
      <c r="AO200" s="391" t="n"/>
      <c r="AP200" s="319" t="n"/>
      <c r="AQ200" s="319" t="n"/>
      <c r="AR200" s="319" t="n"/>
    </row>
    <row r="201" ht="15.75" customHeight="1" s="1264">
      <c r="A201" s="319" t="inlineStr">
        <is>
          <t> </t>
        </is>
      </c>
      <c r="B201" s="319" t="inlineStr">
        <is>
          <t> </t>
        </is>
      </c>
      <c r="C201" s="319" t="inlineStr">
        <is>
          <t> </t>
        </is>
      </c>
      <c r="D201" s="38" t="inlineStr">
        <is>
          <t> </t>
        </is>
      </c>
      <c r="E201" s="391" t="inlineStr">
        <is>
          <t> </t>
        </is>
      </c>
      <c r="F201" s="391" t="inlineStr">
        <is>
          <t> </t>
        </is>
      </c>
      <c r="G201" s="391" t="inlineStr">
        <is>
          <t> </t>
        </is>
      </c>
      <c r="H201" s="391" t="inlineStr">
        <is>
          <t> </t>
        </is>
      </c>
      <c r="I201" s="391" t="inlineStr">
        <is>
          <t> </t>
        </is>
      </c>
      <c r="J201" s="391" t="inlineStr">
        <is>
          <t> </t>
        </is>
      </c>
      <c r="K201" s="38" t="inlineStr">
        <is>
          <t> </t>
        </is>
      </c>
      <c r="L201" s="391" t="inlineStr">
        <is>
          <t> </t>
        </is>
      </c>
      <c r="M201" s="391" t="inlineStr">
        <is>
          <t> </t>
        </is>
      </c>
      <c r="N201" s="391" t="inlineStr">
        <is>
          <t> </t>
        </is>
      </c>
      <c r="O201" s="391" t="inlineStr">
        <is>
          <t> </t>
        </is>
      </c>
      <c r="P201" s="391" t="inlineStr">
        <is>
          <t> </t>
        </is>
      </c>
      <c r="Q201" s="391" t="inlineStr">
        <is>
          <t> </t>
        </is>
      </c>
      <c r="R201" s="38" t="inlineStr">
        <is>
          <t> </t>
        </is>
      </c>
      <c r="S201" s="391" t="inlineStr">
        <is>
          <t> </t>
        </is>
      </c>
      <c r="T201" s="391" t="inlineStr">
        <is>
          <t> </t>
        </is>
      </c>
      <c r="U201" s="391" t="inlineStr">
        <is>
          <t> </t>
        </is>
      </c>
      <c r="V201" s="391" t="inlineStr">
        <is>
          <t> </t>
        </is>
      </c>
      <c r="W201" s="391" t="inlineStr">
        <is>
          <t> </t>
        </is>
      </c>
      <c r="X201" s="391" t="inlineStr">
        <is>
          <t> </t>
        </is>
      </c>
      <c r="Y201" s="392" t="inlineStr">
        <is>
          <t> </t>
        </is>
      </c>
      <c r="Z201" s="391" t="inlineStr">
        <is>
          <t> </t>
        </is>
      </c>
      <c r="AA201" s="391" t="inlineStr">
        <is>
          <t> </t>
        </is>
      </c>
      <c r="AB201" s="391" t="inlineStr">
        <is>
          <t> </t>
        </is>
      </c>
      <c r="AC201" s="391" t="inlineStr">
        <is>
          <t> </t>
        </is>
      </c>
      <c r="AD201" s="391" t="inlineStr">
        <is>
          <t> </t>
        </is>
      </c>
      <c r="AE201" s="391" t="inlineStr">
        <is>
          <t> </t>
        </is>
      </c>
      <c r="AF201" s="38" t="inlineStr">
        <is>
          <t> </t>
        </is>
      </c>
      <c r="AG201" s="391" t="inlineStr">
        <is>
          <t> </t>
        </is>
      </c>
      <c r="AH201" s="391" t="n"/>
      <c r="AI201" s="391" t="inlineStr">
        <is>
          <t> </t>
        </is>
      </c>
      <c r="AJ201" s="391" t="inlineStr">
        <is>
          <t> </t>
        </is>
      </c>
      <c r="AK201" s="391" t="inlineStr">
        <is>
          <t> </t>
        </is>
      </c>
      <c r="AL201" s="391" t="inlineStr">
        <is>
          <t> </t>
        </is>
      </c>
      <c r="AM201" s="391" t="inlineStr">
        <is>
          <t> </t>
        </is>
      </c>
      <c r="AN201" s="391" t="inlineStr">
        <is>
          <t> </t>
        </is>
      </c>
      <c r="AO201" s="391" t="n"/>
      <c r="AP201" s="319" t="n"/>
      <c r="AQ201" s="319" t="n"/>
      <c r="AR201" s="319" t="n"/>
    </row>
    <row r="202" ht="15.75" customHeight="1" s="1264">
      <c r="A202" s="319" t="inlineStr">
        <is>
          <t> </t>
        </is>
      </c>
      <c r="B202" s="319" t="inlineStr">
        <is>
          <t> </t>
        </is>
      </c>
      <c r="C202" s="319" t="inlineStr">
        <is>
          <t> </t>
        </is>
      </c>
      <c r="D202" s="38" t="inlineStr">
        <is>
          <t> </t>
        </is>
      </c>
      <c r="E202" s="391" t="inlineStr">
        <is>
          <t> </t>
        </is>
      </c>
      <c r="F202" s="391" t="inlineStr">
        <is>
          <t> </t>
        </is>
      </c>
      <c r="G202" s="391" t="inlineStr">
        <is>
          <t> </t>
        </is>
      </c>
      <c r="H202" s="391" t="inlineStr">
        <is>
          <t> </t>
        </is>
      </c>
      <c r="I202" s="391" t="inlineStr">
        <is>
          <t> </t>
        </is>
      </c>
      <c r="J202" s="391" t="inlineStr">
        <is>
          <t> </t>
        </is>
      </c>
      <c r="K202" s="38" t="inlineStr">
        <is>
          <t> </t>
        </is>
      </c>
      <c r="L202" s="391" t="inlineStr">
        <is>
          <t> </t>
        </is>
      </c>
      <c r="M202" s="391" t="inlineStr">
        <is>
          <t> </t>
        </is>
      </c>
      <c r="N202" s="391" t="inlineStr">
        <is>
          <t> </t>
        </is>
      </c>
      <c r="O202" s="391" t="inlineStr">
        <is>
          <t> </t>
        </is>
      </c>
      <c r="P202" s="391" t="inlineStr">
        <is>
          <t> </t>
        </is>
      </c>
      <c r="Q202" s="391" t="inlineStr">
        <is>
          <t> </t>
        </is>
      </c>
      <c r="R202" s="38" t="inlineStr">
        <is>
          <t> </t>
        </is>
      </c>
      <c r="S202" s="391" t="inlineStr">
        <is>
          <t> </t>
        </is>
      </c>
      <c r="T202" s="391" t="inlineStr">
        <is>
          <t> </t>
        </is>
      </c>
      <c r="U202" s="391" t="inlineStr">
        <is>
          <t> </t>
        </is>
      </c>
      <c r="V202" s="391" t="inlineStr">
        <is>
          <t> </t>
        </is>
      </c>
      <c r="W202" s="391" t="inlineStr">
        <is>
          <t> </t>
        </is>
      </c>
      <c r="X202" s="391" t="inlineStr">
        <is>
          <t> </t>
        </is>
      </c>
      <c r="Y202" s="392" t="inlineStr">
        <is>
          <t> </t>
        </is>
      </c>
      <c r="Z202" s="391" t="inlineStr">
        <is>
          <t> </t>
        </is>
      </c>
      <c r="AA202" s="391" t="inlineStr">
        <is>
          <t> </t>
        </is>
      </c>
      <c r="AB202" s="391" t="inlineStr">
        <is>
          <t> </t>
        </is>
      </c>
      <c r="AC202" s="391" t="inlineStr">
        <is>
          <t> </t>
        </is>
      </c>
      <c r="AD202" s="391" t="inlineStr">
        <is>
          <t> </t>
        </is>
      </c>
      <c r="AE202" s="391" t="inlineStr">
        <is>
          <t> </t>
        </is>
      </c>
      <c r="AF202" s="38" t="inlineStr">
        <is>
          <t> </t>
        </is>
      </c>
      <c r="AG202" s="391" t="inlineStr">
        <is>
          <t> </t>
        </is>
      </c>
      <c r="AH202" s="391" t="n"/>
      <c r="AI202" s="391" t="inlineStr">
        <is>
          <t> </t>
        </is>
      </c>
      <c r="AJ202" s="391" t="inlineStr">
        <is>
          <t> </t>
        </is>
      </c>
      <c r="AK202" s="391" t="inlineStr">
        <is>
          <t> </t>
        </is>
      </c>
      <c r="AL202" s="391" t="inlineStr">
        <is>
          <t> </t>
        </is>
      </c>
      <c r="AM202" s="391" t="inlineStr">
        <is>
          <t> </t>
        </is>
      </c>
      <c r="AN202" s="391" t="inlineStr">
        <is>
          <t> </t>
        </is>
      </c>
      <c r="AO202" s="391" t="n"/>
      <c r="AP202" s="319" t="n"/>
      <c r="AQ202" s="319" t="n"/>
      <c r="AR202" s="319" t="n"/>
    </row>
    <row r="203" ht="15.75" customHeight="1" s="1264">
      <c r="A203" s="319" t="inlineStr">
        <is>
          <t> </t>
        </is>
      </c>
      <c r="B203" s="319" t="inlineStr">
        <is>
          <t> </t>
        </is>
      </c>
      <c r="C203" s="319" t="inlineStr">
        <is>
          <t> </t>
        </is>
      </c>
      <c r="D203" s="38" t="inlineStr">
        <is>
          <t> </t>
        </is>
      </c>
      <c r="E203" s="391" t="inlineStr">
        <is>
          <t> </t>
        </is>
      </c>
      <c r="F203" s="391" t="inlineStr">
        <is>
          <t> </t>
        </is>
      </c>
      <c r="G203" s="391" t="inlineStr">
        <is>
          <t> </t>
        </is>
      </c>
      <c r="H203" s="391" t="inlineStr">
        <is>
          <t> </t>
        </is>
      </c>
      <c r="I203" s="391" t="inlineStr">
        <is>
          <t> </t>
        </is>
      </c>
      <c r="J203" s="391" t="inlineStr">
        <is>
          <t> </t>
        </is>
      </c>
      <c r="K203" s="38" t="inlineStr">
        <is>
          <t> </t>
        </is>
      </c>
      <c r="L203" s="391" t="inlineStr">
        <is>
          <t> </t>
        </is>
      </c>
      <c r="M203" s="391" t="inlineStr">
        <is>
          <t> </t>
        </is>
      </c>
      <c r="N203" s="391" t="inlineStr">
        <is>
          <t> </t>
        </is>
      </c>
      <c r="O203" s="391" t="inlineStr">
        <is>
          <t> </t>
        </is>
      </c>
      <c r="P203" s="391" t="inlineStr">
        <is>
          <t> </t>
        </is>
      </c>
      <c r="Q203" s="391" t="inlineStr">
        <is>
          <t> </t>
        </is>
      </c>
      <c r="R203" s="38" t="inlineStr">
        <is>
          <t> </t>
        </is>
      </c>
      <c r="S203" s="391" t="inlineStr">
        <is>
          <t> </t>
        </is>
      </c>
      <c r="T203" s="391" t="inlineStr">
        <is>
          <t> </t>
        </is>
      </c>
      <c r="U203" s="391" t="inlineStr">
        <is>
          <t> </t>
        </is>
      </c>
      <c r="V203" s="391" t="inlineStr">
        <is>
          <t> </t>
        </is>
      </c>
      <c r="W203" s="391" t="inlineStr">
        <is>
          <t> </t>
        </is>
      </c>
      <c r="X203" s="391" t="inlineStr">
        <is>
          <t> </t>
        </is>
      </c>
      <c r="Y203" s="392" t="inlineStr">
        <is>
          <t> </t>
        </is>
      </c>
      <c r="Z203" s="391" t="inlineStr">
        <is>
          <t> </t>
        </is>
      </c>
      <c r="AA203" s="391" t="inlineStr">
        <is>
          <t> </t>
        </is>
      </c>
      <c r="AB203" s="391" t="inlineStr">
        <is>
          <t> </t>
        </is>
      </c>
      <c r="AC203" s="391" t="inlineStr">
        <is>
          <t> </t>
        </is>
      </c>
      <c r="AD203" s="391" t="inlineStr">
        <is>
          <t> </t>
        </is>
      </c>
      <c r="AE203" s="391" t="inlineStr">
        <is>
          <t> </t>
        </is>
      </c>
      <c r="AF203" s="38" t="inlineStr">
        <is>
          <t> </t>
        </is>
      </c>
      <c r="AG203" s="391" t="inlineStr">
        <is>
          <t> </t>
        </is>
      </c>
      <c r="AH203" s="391" t="n"/>
      <c r="AI203" s="391" t="inlineStr">
        <is>
          <t> </t>
        </is>
      </c>
      <c r="AJ203" s="391" t="inlineStr">
        <is>
          <t> </t>
        </is>
      </c>
      <c r="AK203" s="391" t="inlineStr">
        <is>
          <t> </t>
        </is>
      </c>
      <c r="AL203" s="391" t="inlineStr">
        <is>
          <t> </t>
        </is>
      </c>
      <c r="AM203" s="391" t="inlineStr">
        <is>
          <t> </t>
        </is>
      </c>
      <c r="AN203" s="391" t="inlineStr">
        <is>
          <t> </t>
        </is>
      </c>
      <c r="AO203" s="391" t="n"/>
      <c r="AP203" s="319" t="n"/>
      <c r="AQ203" s="319" t="n"/>
      <c r="AR203" s="319" t="n"/>
    </row>
    <row r="204" ht="15.75" customHeight="1" s="1264">
      <c r="A204" s="319" t="inlineStr">
        <is>
          <t> </t>
        </is>
      </c>
      <c r="B204" s="319" t="inlineStr">
        <is>
          <t> </t>
        </is>
      </c>
      <c r="C204" s="319" t="inlineStr">
        <is>
          <t> </t>
        </is>
      </c>
      <c r="D204" s="38" t="inlineStr">
        <is>
          <t> </t>
        </is>
      </c>
      <c r="E204" s="391" t="inlineStr">
        <is>
          <t> </t>
        </is>
      </c>
      <c r="F204" s="391" t="inlineStr">
        <is>
          <t> </t>
        </is>
      </c>
      <c r="G204" s="391" t="inlineStr">
        <is>
          <t> </t>
        </is>
      </c>
      <c r="H204" s="391" t="inlineStr">
        <is>
          <t> </t>
        </is>
      </c>
      <c r="I204" s="391" t="inlineStr">
        <is>
          <t> </t>
        </is>
      </c>
      <c r="J204" s="391" t="inlineStr">
        <is>
          <t> </t>
        </is>
      </c>
      <c r="K204" s="38" t="inlineStr">
        <is>
          <t> </t>
        </is>
      </c>
      <c r="L204" s="391" t="inlineStr">
        <is>
          <t> </t>
        </is>
      </c>
      <c r="M204" s="391" t="inlineStr">
        <is>
          <t> </t>
        </is>
      </c>
      <c r="N204" s="391" t="inlineStr">
        <is>
          <t> </t>
        </is>
      </c>
      <c r="O204" s="391" t="inlineStr">
        <is>
          <t> </t>
        </is>
      </c>
      <c r="P204" s="391" t="inlineStr">
        <is>
          <t> </t>
        </is>
      </c>
      <c r="Q204" s="391" t="inlineStr">
        <is>
          <t> </t>
        </is>
      </c>
      <c r="R204" s="38" t="inlineStr">
        <is>
          <t> </t>
        </is>
      </c>
      <c r="S204" s="391" t="inlineStr">
        <is>
          <t> </t>
        </is>
      </c>
      <c r="T204" s="391" t="inlineStr">
        <is>
          <t> </t>
        </is>
      </c>
      <c r="U204" s="391" t="inlineStr">
        <is>
          <t> </t>
        </is>
      </c>
      <c r="V204" s="391" t="inlineStr">
        <is>
          <t> </t>
        </is>
      </c>
      <c r="W204" s="391" t="inlineStr">
        <is>
          <t> </t>
        </is>
      </c>
      <c r="X204" s="391" t="inlineStr">
        <is>
          <t> </t>
        </is>
      </c>
      <c r="Y204" s="392" t="inlineStr">
        <is>
          <t> </t>
        </is>
      </c>
      <c r="Z204" s="391" t="inlineStr">
        <is>
          <t> </t>
        </is>
      </c>
      <c r="AA204" s="391" t="inlineStr">
        <is>
          <t> </t>
        </is>
      </c>
      <c r="AB204" s="391" t="inlineStr">
        <is>
          <t> </t>
        </is>
      </c>
      <c r="AC204" s="391" t="inlineStr">
        <is>
          <t> </t>
        </is>
      </c>
      <c r="AD204" s="391" t="inlineStr">
        <is>
          <t> </t>
        </is>
      </c>
      <c r="AE204" s="391" t="inlineStr">
        <is>
          <t> </t>
        </is>
      </c>
      <c r="AF204" s="38" t="inlineStr">
        <is>
          <t> </t>
        </is>
      </c>
      <c r="AG204" s="391" t="inlineStr">
        <is>
          <t> </t>
        </is>
      </c>
      <c r="AH204" s="391" t="n"/>
      <c r="AI204" s="391" t="inlineStr">
        <is>
          <t> </t>
        </is>
      </c>
      <c r="AJ204" s="391" t="inlineStr">
        <is>
          <t> </t>
        </is>
      </c>
      <c r="AK204" s="391" t="inlineStr">
        <is>
          <t> </t>
        </is>
      </c>
      <c r="AL204" s="391" t="inlineStr">
        <is>
          <t> </t>
        </is>
      </c>
      <c r="AM204" s="391" t="inlineStr">
        <is>
          <t> </t>
        </is>
      </c>
      <c r="AN204" s="391" t="inlineStr">
        <is>
          <t> </t>
        </is>
      </c>
      <c r="AO204" s="391" t="n"/>
      <c r="AP204" s="319" t="n"/>
      <c r="AQ204" s="319" t="n"/>
      <c r="AR204" s="319" t="n"/>
    </row>
    <row r="205" ht="15.75" customHeight="1" s="1264">
      <c r="A205" s="319" t="inlineStr">
        <is>
          <t> </t>
        </is>
      </c>
      <c r="B205" s="319" t="inlineStr">
        <is>
          <t> </t>
        </is>
      </c>
      <c r="C205" s="319" t="inlineStr">
        <is>
          <t> </t>
        </is>
      </c>
      <c r="D205" s="38" t="inlineStr">
        <is>
          <t> </t>
        </is>
      </c>
      <c r="E205" s="391" t="inlineStr">
        <is>
          <t> </t>
        </is>
      </c>
      <c r="F205" s="391" t="inlineStr">
        <is>
          <t> </t>
        </is>
      </c>
      <c r="G205" s="391" t="inlineStr">
        <is>
          <t> </t>
        </is>
      </c>
      <c r="H205" s="391" t="inlineStr">
        <is>
          <t> </t>
        </is>
      </c>
      <c r="I205" s="391" t="inlineStr">
        <is>
          <t> </t>
        </is>
      </c>
      <c r="J205" s="391" t="inlineStr">
        <is>
          <t> </t>
        </is>
      </c>
      <c r="K205" s="38" t="inlineStr">
        <is>
          <t> </t>
        </is>
      </c>
      <c r="L205" s="391" t="inlineStr">
        <is>
          <t> </t>
        </is>
      </c>
      <c r="M205" s="391" t="inlineStr">
        <is>
          <t> </t>
        </is>
      </c>
      <c r="N205" s="391" t="inlineStr">
        <is>
          <t> </t>
        </is>
      </c>
      <c r="O205" s="391" t="inlineStr">
        <is>
          <t> </t>
        </is>
      </c>
      <c r="P205" s="391" t="inlineStr">
        <is>
          <t> </t>
        </is>
      </c>
      <c r="Q205" s="391" t="inlineStr">
        <is>
          <t> </t>
        </is>
      </c>
      <c r="R205" s="38" t="inlineStr">
        <is>
          <t> </t>
        </is>
      </c>
      <c r="S205" s="391" t="inlineStr">
        <is>
          <t> </t>
        </is>
      </c>
      <c r="T205" s="391" t="inlineStr">
        <is>
          <t> </t>
        </is>
      </c>
      <c r="U205" s="391" t="inlineStr">
        <is>
          <t> </t>
        </is>
      </c>
      <c r="V205" s="391" t="inlineStr">
        <is>
          <t> </t>
        </is>
      </c>
      <c r="W205" s="391" t="inlineStr">
        <is>
          <t> </t>
        </is>
      </c>
      <c r="X205" s="391" t="inlineStr">
        <is>
          <t> </t>
        </is>
      </c>
      <c r="Y205" s="392" t="inlineStr">
        <is>
          <t> </t>
        </is>
      </c>
      <c r="Z205" s="391" t="inlineStr">
        <is>
          <t> </t>
        </is>
      </c>
      <c r="AA205" s="391" t="inlineStr">
        <is>
          <t> </t>
        </is>
      </c>
      <c r="AB205" s="391" t="inlineStr">
        <is>
          <t> </t>
        </is>
      </c>
      <c r="AC205" s="391" t="inlineStr">
        <is>
          <t> </t>
        </is>
      </c>
      <c r="AD205" s="391" t="inlineStr">
        <is>
          <t> </t>
        </is>
      </c>
      <c r="AE205" s="391" t="inlineStr">
        <is>
          <t> </t>
        </is>
      </c>
      <c r="AF205" s="38" t="inlineStr">
        <is>
          <t> </t>
        </is>
      </c>
      <c r="AG205" s="391" t="inlineStr">
        <is>
          <t> </t>
        </is>
      </c>
      <c r="AH205" s="391" t="n"/>
      <c r="AI205" s="391" t="inlineStr">
        <is>
          <t> </t>
        </is>
      </c>
      <c r="AJ205" s="391" t="inlineStr">
        <is>
          <t> </t>
        </is>
      </c>
      <c r="AK205" s="391" t="inlineStr">
        <is>
          <t> </t>
        </is>
      </c>
      <c r="AL205" s="391" t="inlineStr">
        <is>
          <t> </t>
        </is>
      </c>
      <c r="AM205" s="391" t="inlineStr">
        <is>
          <t> </t>
        </is>
      </c>
      <c r="AN205" s="391" t="inlineStr">
        <is>
          <t> </t>
        </is>
      </c>
      <c r="AO205" s="391" t="n"/>
      <c r="AP205" s="319" t="n"/>
      <c r="AQ205" s="319" t="n"/>
      <c r="AR205" s="319" t="n"/>
    </row>
    <row r="206" ht="15.75" customHeight="1" s="1264">
      <c r="A206" s="319" t="inlineStr">
        <is>
          <t> </t>
        </is>
      </c>
      <c r="B206" s="319" t="inlineStr">
        <is>
          <t> </t>
        </is>
      </c>
      <c r="C206" s="319" t="inlineStr">
        <is>
          <t> </t>
        </is>
      </c>
      <c r="D206" s="38" t="inlineStr">
        <is>
          <t> </t>
        </is>
      </c>
      <c r="E206" s="391" t="inlineStr">
        <is>
          <t> </t>
        </is>
      </c>
      <c r="F206" s="391" t="inlineStr">
        <is>
          <t> </t>
        </is>
      </c>
      <c r="G206" s="391" t="inlineStr">
        <is>
          <t> </t>
        </is>
      </c>
      <c r="H206" s="391" t="inlineStr">
        <is>
          <t> </t>
        </is>
      </c>
      <c r="I206" s="391" t="inlineStr">
        <is>
          <t> </t>
        </is>
      </c>
      <c r="J206" s="391" t="inlineStr">
        <is>
          <t> </t>
        </is>
      </c>
      <c r="K206" s="38" t="inlineStr">
        <is>
          <t> </t>
        </is>
      </c>
      <c r="L206" s="391" t="inlineStr">
        <is>
          <t> </t>
        </is>
      </c>
      <c r="M206" s="391" t="inlineStr">
        <is>
          <t> </t>
        </is>
      </c>
      <c r="N206" s="391" t="inlineStr">
        <is>
          <t> </t>
        </is>
      </c>
      <c r="O206" s="391" t="inlineStr">
        <is>
          <t> </t>
        </is>
      </c>
      <c r="P206" s="391" t="inlineStr">
        <is>
          <t> </t>
        </is>
      </c>
      <c r="Q206" s="391" t="inlineStr">
        <is>
          <t> </t>
        </is>
      </c>
      <c r="R206" s="38" t="inlineStr">
        <is>
          <t> </t>
        </is>
      </c>
      <c r="S206" s="391" t="inlineStr">
        <is>
          <t> </t>
        </is>
      </c>
      <c r="T206" s="391" t="inlineStr">
        <is>
          <t> </t>
        </is>
      </c>
      <c r="U206" s="391" t="inlineStr">
        <is>
          <t> </t>
        </is>
      </c>
      <c r="V206" s="391" t="inlineStr">
        <is>
          <t> </t>
        </is>
      </c>
      <c r="W206" s="391" t="inlineStr">
        <is>
          <t> </t>
        </is>
      </c>
      <c r="X206" s="391" t="inlineStr">
        <is>
          <t> </t>
        </is>
      </c>
      <c r="Y206" s="392" t="inlineStr">
        <is>
          <t> </t>
        </is>
      </c>
      <c r="Z206" s="391" t="inlineStr">
        <is>
          <t> </t>
        </is>
      </c>
      <c r="AA206" s="391" t="inlineStr">
        <is>
          <t> </t>
        </is>
      </c>
      <c r="AB206" s="391" t="inlineStr">
        <is>
          <t> </t>
        </is>
      </c>
      <c r="AC206" s="391" t="inlineStr">
        <is>
          <t> </t>
        </is>
      </c>
      <c r="AD206" s="391" t="inlineStr">
        <is>
          <t> </t>
        </is>
      </c>
      <c r="AE206" s="391" t="inlineStr">
        <is>
          <t> </t>
        </is>
      </c>
      <c r="AF206" s="38" t="inlineStr">
        <is>
          <t> </t>
        </is>
      </c>
      <c r="AG206" s="391" t="inlineStr">
        <is>
          <t> </t>
        </is>
      </c>
      <c r="AH206" s="391" t="n"/>
      <c r="AI206" s="391" t="inlineStr">
        <is>
          <t> </t>
        </is>
      </c>
      <c r="AJ206" s="391" t="inlineStr">
        <is>
          <t> </t>
        </is>
      </c>
      <c r="AK206" s="391" t="inlineStr">
        <is>
          <t> </t>
        </is>
      </c>
      <c r="AL206" s="391" t="inlineStr">
        <is>
          <t> </t>
        </is>
      </c>
      <c r="AM206" s="391" t="inlineStr">
        <is>
          <t> </t>
        </is>
      </c>
      <c r="AN206" s="391" t="inlineStr">
        <is>
          <t> </t>
        </is>
      </c>
      <c r="AO206" s="391" t="n"/>
      <c r="AP206" s="319" t="n"/>
      <c r="AQ206" s="319" t="n"/>
      <c r="AR206" s="319" t="n"/>
    </row>
    <row r="207" ht="15.75" customHeight="1" s="1264">
      <c r="A207" s="319" t="inlineStr">
        <is>
          <t> </t>
        </is>
      </c>
      <c r="B207" s="319" t="inlineStr">
        <is>
          <t> </t>
        </is>
      </c>
      <c r="C207" s="319" t="inlineStr">
        <is>
          <t> </t>
        </is>
      </c>
      <c r="D207" s="38" t="inlineStr">
        <is>
          <t> </t>
        </is>
      </c>
      <c r="E207" s="391" t="inlineStr">
        <is>
          <t> </t>
        </is>
      </c>
      <c r="F207" s="391" t="inlineStr">
        <is>
          <t> </t>
        </is>
      </c>
      <c r="G207" s="391" t="inlineStr">
        <is>
          <t> </t>
        </is>
      </c>
      <c r="H207" s="391" t="inlineStr">
        <is>
          <t> </t>
        </is>
      </c>
      <c r="I207" s="391" t="inlineStr">
        <is>
          <t> </t>
        </is>
      </c>
      <c r="J207" s="391" t="inlineStr">
        <is>
          <t> </t>
        </is>
      </c>
      <c r="K207" s="38" t="inlineStr">
        <is>
          <t> </t>
        </is>
      </c>
      <c r="L207" s="391" t="inlineStr">
        <is>
          <t> </t>
        </is>
      </c>
      <c r="M207" s="391" t="inlineStr">
        <is>
          <t> </t>
        </is>
      </c>
      <c r="N207" s="391" t="inlineStr">
        <is>
          <t> </t>
        </is>
      </c>
      <c r="O207" s="391" t="inlineStr">
        <is>
          <t> </t>
        </is>
      </c>
      <c r="P207" s="391" t="inlineStr">
        <is>
          <t> </t>
        </is>
      </c>
      <c r="Q207" s="391" t="inlineStr">
        <is>
          <t> </t>
        </is>
      </c>
      <c r="R207" s="38" t="inlineStr">
        <is>
          <t> </t>
        </is>
      </c>
      <c r="S207" s="391" t="inlineStr">
        <is>
          <t> </t>
        </is>
      </c>
      <c r="T207" s="391" t="inlineStr">
        <is>
          <t> </t>
        </is>
      </c>
      <c r="U207" s="391" t="inlineStr">
        <is>
          <t> </t>
        </is>
      </c>
      <c r="V207" s="391" t="inlineStr">
        <is>
          <t> </t>
        </is>
      </c>
      <c r="W207" s="391" t="inlineStr">
        <is>
          <t> </t>
        </is>
      </c>
      <c r="X207" s="391" t="inlineStr">
        <is>
          <t> </t>
        </is>
      </c>
      <c r="Y207" s="392" t="inlineStr">
        <is>
          <t> </t>
        </is>
      </c>
      <c r="Z207" s="391" t="inlineStr">
        <is>
          <t> </t>
        </is>
      </c>
      <c r="AA207" s="391" t="inlineStr">
        <is>
          <t> </t>
        </is>
      </c>
      <c r="AB207" s="391" t="inlineStr">
        <is>
          <t> </t>
        </is>
      </c>
      <c r="AC207" s="391" t="inlineStr">
        <is>
          <t> </t>
        </is>
      </c>
      <c r="AD207" s="391" t="inlineStr">
        <is>
          <t> </t>
        </is>
      </c>
      <c r="AE207" s="391" t="inlineStr">
        <is>
          <t> </t>
        </is>
      </c>
      <c r="AF207" s="38" t="inlineStr">
        <is>
          <t> </t>
        </is>
      </c>
      <c r="AG207" s="391" t="inlineStr">
        <is>
          <t> </t>
        </is>
      </c>
      <c r="AH207" s="391" t="n"/>
      <c r="AI207" s="391" t="inlineStr">
        <is>
          <t> </t>
        </is>
      </c>
      <c r="AJ207" s="391" t="inlineStr">
        <is>
          <t> </t>
        </is>
      </c>
      <c r="AK207" s="391" t="inlineStr">
        <is>
          <t> </t>
        </is>
      </c>
      <c r="AL207" s="391" t="inlineStr">
        <is>
          <t> </t>
        </is>
      </c>
      <c r="AM207" s="391" t="inlineStr">
        <is>
          <t> </t>
        </is>
      </c>
      <c r="AN207" s="391" t="inlineStr">
        <is>
          <t> </t>
        </is>
      </c>
      <c r="AO207" s="391" t="n"/>
      <c r="AP207" s="319" t="n"/>
      <c r="AQ207" s="319" t="n"/>
      <c r="AR207" s="319" t="n"/>
    </row>
    <row r="208" ht="15.75" customHeight="1" s="1264">
      <c r="A208" s="319" t="inlineStr">
        <is>
          <t> </t>
        </is>
      </c>
      <c r="B208" s="319" t="inlineStr">
        <is>
          <t> </t>
        </is>
      </c>
      <c r="C208" s="319" t="inlineStr">
        <is>
          <t> </t>
        </is>
      </c>
      <c r="D208" s="38" t="inlineStr">
        <is>
          <t> </t>
        </is>
      </c>
      <c r="E208" s="391" t="inlineStr">
        <is>
          <t> </t>
        </is>
      </c>
      <c r="F208" s="391" t="inlineStr">
        <is>
          <t> </t>
        </is>
      </c>
      <c r="G208" s="391" t="inlineStr">
        <is>
          <t> </t>
        </is>
      </c>
      <c r="H208" s="391" t="inlineStr">
        <is>
          <t> </t>
        </is>
      </c>
      <c r="I208" s="391" t="inlineStr">
        <is>
          <t> </t>
        </is>
      </c>
      <c r="J208" s="391" t="inlineStr">
        <is>
          <t> </t>
        </is>
      </c>
      <c r="K208" s="38" t="inlineStr">
        <is>
          <t> </t>
        </is>
      </c>
      <c r="L208" s="391" t="inlineStr">
        <is>
          <t> </t>
        </is>
      </c>
      <c r="M208" s="391" t="inlineStr">
        <is>
          <t> </t>
        </is>
      </c>
      <c r="N208" s="391" t="inlineStr">
        <is>
          <t> </t>
        </is>
      </c>
      <c r="O208" s="391" t="inlineStr">
        <is>
          <t> </t>
        </is>
      </c>
      <c r="P208" s="391" t="inlineStr">
        <is>
          <t> </t>
        </is>
      </c>
      <c r="Q208" s="391" t="inlineStr">
        <is>
          <t> </t>
        </is>
      </c>
      <c r="R208" s="38" t="inlineStr">
        <is>
          <t> </t>
        </is>
      </c>
      <c r="S208" s="391" t="inlineStr">
        <is>
          <t> </t>
        </is>
      </c>
      <c r="T208" s="391" t="inlineStr">
        <is>
          <t> </t>
        </is>
      </c>
      <c r="U208" s="391" t="inlineStr">
        <is>
          <t> </t>
        </is>
      </c>
      <c r="V208" s="391" t="inlineStr">
        <is>
          <t> </t>
        </is>
      </c>
      <c r="W208" s="391" t="inlineStr">
        <is>
          <t> </t>
        </is>
      </c>
      <c r="X208" s="391" t="inlineStr">
        <is>
          <t> </t>
        </is>
      </c>
      <c r="Y208" s="392" t="inlineStr">
        <is>
          <t> </t>
        </is>
      </c>
      <c r="Z208" s="391" t="inlineStr">
        <is>
          <t> </t>
        </is>
      </c>
      <c r="AA208" s="391" t="inlineStr">
        <is>
          <t> </t>
        </is>
      </c>
      <c r="AB208" s="391" t="inlineStr">
        <is>
          <t> </t>
        </is>
      </c>
      <c r="AC208" s="391" t="inlineStr">
        <is>
          <t> </t>
        </is>
      </c>
      <c r="AD208" s="391" t="inlineStr">
        <is>
          <t> </t>
        </is>
      </c>
      <c r="AE208" s="391" t="inlineStr">
        <is>
          <t> </t>
        </is>
      </c>
      <c r="AF208" s="38" t="inlineStr">
        <is>
          <t> </t>
        </is>
      </c>
      <c r="AG208" s="391" t="inlineStr">
        <is>
          <t> </t>
        </is>
      </c>
      <c r="AH208" s="391" t="n"/>
      <c r="AI208" s="391" t="inlineStr">
        <is>
          <t> </t>
        </is>
      </c>
      <c r="AJ208" s="391" t="inlineStr">
        <is>
          <t> </t>
        </is>
      </c>
      <c r="AK208" s="391" t="inlineStr">
        <is>
          <t> </t>
        </is>
      </c>
      <c r="AL208" s="391" t="inlineStr">
        <is>
          <t> </t>
        </is>
      </c>
      <c r="AM208" s="391" t="inlineStr">
        <is>
          <t> </t>
        </is>
      </c>
      <c r="AN208" s="391" t="inlineStr">
        <is>
          <t> </t>
        </is>
      </c>
      <c r="AO208" s="391" t="n"/>
      <c r="AP208" s="319" t="n"/>
      <c r="AQ208" s="319" t="n"/>
      <c r="AR208" s="319" t="n"/>
    </row>
    <row r="209" ht="15.75" customHeight="1" s="1264">
      <c r="A209" s="319" t="inlineStr">
        <is>
          <t> </t>
        </is>
      </c>
      <c r="B209" s="319" t="inlineStr">
        <is>
          <t> </t>
        </is>
      </c>
      <c r="C209" s="319" t="inlineStr">
        <is>
          <t> </t>
        </is>
      </c>
      <c r="D209" s="38" t="inlineStr">
        <is>
          <t> </t>
        </is>
      </c>
      <c r="E209" s="391" t="inlineStr">
        <is>
          <t> </t>
        </is>
      </c>
      <c r="F209" s="391" t="inlineStr">
        <is>
          <t> </t>
        </is>
      </c>
      <c r="G209" s="391" t="inlineStr">
        <is>
          <t> </t>
        </is>
      </c>
      <c r="H209" s="391" t="inlineStr">
        <is>
          <t> </t>
        </is>
      </c>
      <c r="I209" s="391" t="inlineStr">
        <is>
          <t> </t>
        </is>
      </c>
      <c r="J209" s="391" t="inlineStr">
        <is>
          <t> </t>
        </is>
      </c>
      <c r="K209" s="38" t="inlineStr">
        <is>
          <t> </t>
        </is>
      </c>
      <c r="L209" s="391" t="inlineStr">
        <is>
          <t> </t>
        </is>
      </c>
      <c r="M209" s="391" t="inlineStr">
        <is>
          <t> </t>
        </is>
      </c>
      <c r="N209" s="391" t="inlineStr">
        <is>
          <t> </t>
        </is>
      </c>
      <c r="O209" s="391" t="inlineStr">
        <is>
          <t> </t>
        </is>
      </c>
      <c r="P209" s="391" t="inlineStr">
        <is>
          <t> </t>
        </is>
      </c>
      <c r="Q209" s="391" t="inlineStr">
        <is>
          <t> </t>
        </is>
      </c>
      <c r="R209" s="38" t="inlineStr">
        <is>
          <t> </t>
        </is>
      </c>
      <c r="S209" s="391" t="inlineStr">
        <is>
          <t> </t>
        </is>
      </c>
      <c r="T209" s="391" t="inlineStr">
        <is>
          <t> </t>
        </is>
      </c>
      <c r="U209" s="391" t="inlineStr">
        <is>
          <t> </t>
        </is>
      </c>
      <c r="V209" s="391" t="inlineStr">
        <is>
          <t> </t>
        </is>
      </c>
      <c r="W209" s="391" t="inlineStr">
        <is>
          <t> </t>
        </is>
      </c>
      <c r="X209" s="391" t="inlineStr">
        <is>
          <t> </t>
        </is>
      </c>
      <c r="Y209" s="392" t="inlineStr">
        <is>
          <t> </t>
        </is>
      </c>
      <c r="Z209" s="391" t="inlineStr">
        <is>
          <t> </t>
        </is>
      </c>
      <c r="AA209" s="391" t="inlineStr">
        <is>
          <t> </t>
        </is>
      </c>
      <c r="AB209" s="391" t="inlineStr">
        <is>
          <t> </t>
        </is>
      </c>
      <c r="AC209" s="391" t="inlineStr">
        <is>
          <t> </t>
        </is>
      </c>
      <c r="AD209" s="391" t="inlineStr">
        <is>
          <t> </t>
        </is>
      </c>
      <c r="AE209" s="391" t="inlineStr">
        <is>
          <t> </t>
        </is>
      </c>
      <c r="AF209" s="38" t="inlineStr">
        <is>
          <t> </t>
        </is>
      </c>
      <c r="AG209" s="391" t="inlineStr">
        <is>
          <t> </t>
        </is>
      </c>
      <c r="AH209" s="391" t="n"/>
      <c r="AI209" s="391" t="inlineStr">
        <is>
          <t> </t>
        </is>
      </c>
      <c r="AJ209" s="391" t="inlineStr">
        <is>
          <t> </t>
        </is>
      </c>
      <c r="AK209" s="391" t="inlineStr">
        <is>
          <t> </t>
        </is>
      </c>
      <c r="AL209" s="391" t="inlineStr">
        <is>
          <t> </t>
        </is>
      </c>
      <c r="AM209" s="391" t="inlineStr">
        <is>
          <t> </t>
        </is>
      </c>
      <c r="AN209" s="391" t="inlineStr">
        <is>
          <t> </t>
        </is>
      </c>
      <c r="AO209" s="391" t="n"/>
      <c r="AP209" s="319" t="n"/>
      <c r="AQ209" s="319" t="n"/>
      <c r="AR209" s="319" t="n"/>
    </row>
    <row r="210" ht="15.75" customHeight="1" s="1264">
      <c r="A210" s="319" t="inlineStr">
        <is>
          <t> </t>
        </is>
      </c>
      <c r="B210" s="319" t="inlineStr">
        <is>
          <t> </t>
        </is>
      </c>
      <c r="C210" s="319" t="inlineStr">
        <is>
          <t> </t>
        </is>
      </c>
      <c r="D210" s="38" t="inlineStr">
        <is>
          <t> </t>
        </is>
      </c>
      <c r="E210" s="391" t="inlineStr">
        <is>
          <t> </t>
        </is>
      </c>
      <c r="F210" s="391" t="inlineStr">
        <is>
          <t> </t>
        </is>
      </c>
      <c r="G210" s="391" t="inlineStr">
        <is>
          <t> </t>
        </is>
      </c>
      <c r="H210" s="391" t="inlineStr">
        <is>
          <t> </t>
        </is>
      </c>
      <c r="I210" s="391" t="inlineStr">
        <is>
          <t> </t>
        </is>
      </c>
      <c r="J210" s="391" t="inlineStr">
        <is>
          <t> </t>
        </is>
      </c>
      <c r="K210" s="38" t="inlineStr">
        <is>
          <t> </t>
        </is>
      </c>
      <c r="L210" s="391" t="inlineStr">
        <is>
          <t> </t>
        </is>
      </c>
      <c r="M210" s="391" t="inlineStr">
        <is>
          <t> </t>
        </is>
      </c>
      <c r="N210" s="391" t="inlineStr">
        <is>
          <t> </t>
        </is>
      </c>
      <c r="O210" s="391" t="inlineStr">
        <is>
          <t> </t>
        </is>
      </c>
      <c r="P210" s="391" t="inlineStr">
        <is>
          <t> </t>
        </is>
      </c>
      <c r="Q210" s="391" t="inlineStr">
        <is>
          <t> </t>
        </is>
      </c>
      <c r="R210" s="38" t="inlineStr">
        <is>
          <t> </t>
        </is>
      </c>
      <c r="S210" s="391" t="inlineStr">
        <is>
          <t> </t>
        </is>
      </c>
      <c r="T210" s="391" t="inlineStr">
        <is>
          <t> </t>
        </is>
      </c>
      <c r="U210" s="391" t="inlineStr">
        <is>
          <t> </t>
        </is>
      </c>
      <c r="V210" s="391" t="inlineStr">
        <is>
          <t> </t>
        </is>
      </c>
      <c r="W210" s="391" t="inlineStr">
        <is>
          <t> </t>
        </is>
      </c>
      <c r="X210" s="391" t="inlineStr">
        <is>
          <t> </t>
        </is>
      </c>
      <c r="Y210" s="392" t="inlineStr">
        <is>
          <t> </t>
        </is>
      </c>
      <c r="Z210" s="391" t="inlineStr">
        <is>
          <t> </t>
        </is>
      </c>
      <c r="AA210" s="391" t="inlineStr">
        <is>
          <t> </t>
        </is>
      </c>
      <c r="AB210" s="391" t="inlineStr">
        <is>
          <t> </t>
        </is>
      </c>
      <c r="AC210" s="391" t="inlineStr">
        <is>
          <t> </t>
        </is>
      </c>
      <c r="AD210" s="391" t="inlineStr">
        <is>
          <t> </t>
        </is>
      </c>
      <c r="AE210" s="391" t="inlineStr">
        <is>
          <t> </t>
        </is>
      </c>
      <c r="AF210" s="38" t="inlineStr">
        <is>
          <t> </t>
        </is>
      </c>
      <c r="AG210" s="391" t="inlineStr">
        <is>
          <t> </t>
        </is>
      </c>
      <c r="AH210" s="391" t="n"/>
      <c r="AI210" s="391" t="inlineStr">
        <is>
          <t> </t>
        </is>
      </c>
      <c r="AJ210" s="391" t="inlineStr">
        <is>
          <t> </t>
        </is>
      </c>
      <c r="AK210" s="391" t="inlineStr">
        <is>
          <t> </t>
        </is>
      </c>
      <c r="AL210" s="391" t="inlineStr">
        <is>
          <t> </t>
        </is>
      </c>
      <c r="AM210" s="391" t="inlineStr">
        <is>
          <t> </t>
        </is>
      </c>
      <c r="AN210" s="391" t="inlineStr">
        <is>
          <t> </t>
        </is>
      </c>
      <c r="AO210" s="391" t="n"/>
      <c r="AP210" s="319" t="n"/>
      <c r="AQ210" s="319" t="n"/>
      <c r="AR210" s="319" t="n"/>
    </row>
    <row r="211" ht="15.75" customHeight="1" s="1264">
      <c r="A211" s="319" t="inlineStr">
        <is>
          <t> </t>
        </is>
      </c>
      <c r="B211" s="319" t="inlineStr">
        <is>
          <t> </t>
        </is>
      </c>
      <c r="C211" s="319" t="inlineStr">
        <is>
          <t> </t>
        </is>
      </c>
      <c r="D211" s="38" t="inlineStr">
        <is>
          <t> </t>
        </is>
      </c>
      <c r="E211" s="391" t="inlineStr">
        <is>
          <t> </t>
        </is>
      </c>
      <c r="F211" s="391" t="inlineStr">
        <is>
          <t> </t>
        </is>
      </c>
      <c r="G211" s="391" t="inlineStr">
        <is>
          <t> </t>
        </is>
      </c>
      <c r="H211" s="391" t="inlineStr">
        <is>
          <t> </t>
        </is>
      </c>
      <c r="I211" s="391" t="inlineStr">
        <is>
          <t> </t>
        </is>
      </c>
      <c r="J211" s="391" t="inlineStr">
        <is>
          <t> </t>
        </is>
      </c>
      <c r="K211" s="38" t="inlineStr">
        <is>
          <t> </t>
        </is>
      </c>
      <c r="L211" s="391" t="inlineStr">
        <is>
          <t> </t>
        </is>
      </c>
      <c r="M211" s="391" t="inlineStr">
        <is>
          <t> </t>
        </is>
      </c>
      <c r="N211" s="391" t="inlineStr">
        <is>
          <t> </t>
        </is>
      </c>
      <c r="O211" s="391" t="inlineStr">
        <is>
          <t> </t>
        </is>
      </c>
      <c r="P211" s="391" t="inlineStr">
        <is>
          <t> </t>
        </is>
      </c>
      <c r="Q211" s="391" t="inlineStr">
        <is>
          <t> </t>
        </is>
      </c>
      <c r="R211" s="38" t="inlineStr">
        <is>
          <t> </t>
        </is>
      </c>
      <c r="S211" s="391" t="inlineStr">
        <is>
          <t> </t>
        </is>
      </c>
      <c r="T211" s="391" t="inlineStr">
        <is>
          <t> </t>
        </is>
      </c>
      <c r="U211" s="391" t="inlineStr">
        <is>
          <t> </t>
        </is>
      </c>
      <c r="V211" s="391" t="inlineStr">
        <is>
          <t> </t>
        </is>
      </c>
      <c r="W211" s="391" t="inlineStr">
        <is>
          <t> </t>
        </is>
      </c>
      <c r="X211" s="391" t="inlineStr">
        <is>
          <t> </t>
        </is>
      </c>
      <c r="Y211" s="392" t="inlineStr">
        <is>
          <t> </t>
        </is>
      </c>
      <c r="Z211" s="391" t="inlineStr">
        <is>
          <t> </t>
        </is>
      </c>
      <c r="AA211" s="391" t="inlineStr">
        <is>
          <t> </t>
        </is>
      </c>
      <c r="AB211" s="391" t="inlineStr">
        <is>
          <t> </t>
        </is>
      </c>
      <c r="AC211" s="391" t="inlineStr">
        <is>
          <t> </t>
        </is>
      </c>
      <c r="AD211" s="391" t="inlineStr">
        <is>
          <t> </t>
        </is>
      </c>
      <c r="AE211" s="391" t="inlineStr">
        <is>
          <t> </t>
        </is>
      </c>
      <c r="AF211" s="38" t="inlineStr">
        <is>
          <t> </t>
        </is>
      </c>
      <c r="AG211" s="391" t="inlineStr">
        <is>
          <t> </t>
        </is>
      </c>
      <c r="AH211" s="391" t="n"/>
      <c r="AI211" s="391" t="inlineStr">
        <is>
          <t> </t>
        </is>
      </c>
      <c r="AJ211" s="391" t="inlineStr">
        <is>
          <t> </t>
        </is>
      </c>
      <c r="AK211" s="391" t="inlineStr">
        <is>
          <t> </t>
        </is>
      </c>
      <c r="AL211" s="391" t="inlineStr">
        <is>
          <t> </t>
        </is>
      </c>
      <c r="AM211" s="391" t="inlineStr">
        <is>
          <t> </t>
        </is>
      </c>
      <c r="AN211" s="391" t="inlineStr">
        <is>
          <t> </t>
        </is>
      </c>
      <c r="AO211" s="391" t="n"/>
      <c r="AP211" s="319" t="n"/>
      <c r="AQ211" s="319" t="n"/>
      <c r="AR211" s="319" t="n"/>
    </row>
    <row r="212" ht="15.75" customHeight="1" s="1264">
      <c r="A212" s="319" t="inlineStr">
        <is>
          <t> </t>
        </is>
      </c>
      <c r="B212" s="319" t="inlineStr">
        <is>
          <t> </t>
        </is>
      </c>
      <c r="C212" s="319" t="inlineStr">
        <is>
          <t> </t>
        </is>
      </c>
      <c r="D212" s="38" t="inlineStr">
        <is>
          <t> </t>
        </is>
      </c>
      <c r="E212" s="391" t="inlineStr">
        <is>
          <t> </t>
        </is>
      </c>
      <c r="F212" s="391" t="inlineStr">
        <is>
          <t> </t>
        </is>
      </c>
      <c r="G212" s="391" t="inlineStr">
        <is>
          <t> </t>
        </is>
      </c>
      <c r="H212" s="391" t="inlineStr">
        <is>
          <t> </t>
        </is>
      </c>
      <c r="I212" s="391" t="inlineStr">
        <is>
          <t> </t>
        </is>
      </c>
      <c r="J212" s="391" t="inlineStr">
        <is>
          <t> </t>
        </is>
      </c>
      <c r="K212" s="38" t="inlineStr">
        <is>
          <t> </t>
        </is>
      </c>
      <c r="L212" s="391" t="inlineStr">
        <is>
          <t> </t>
        </is>
      </c>
      <c r="M212" s="391" t="inlineStr">
        <is>
          <t> </t>
        </is>
      </c>
      <c r="N212" s="391" t="inlineStr">
        <is>
          <t> </t>
        </is>
      </c>
      <c r="O212" s="391" t="inlineStr">
        <is>
          <t> </t>
        </is>
      </c>
      <c r="P212" s="391" t="inlineStr">
        <is>
          <t> </t>
        </is>
      </c>
      <c r="Q212" s="391" t="inlineStr">
        <is>
          <t> </t>
        </is>
      </c>
      <c r="R212" s="38" t="inlineStr">
        <is>
          <t> </t>
        </is>
      </c>
      <c r="S212" s="391" t="inlineStr">
        <is>
          <t> </t>
        </is>
      </c>
      <c r="T212" s="391" t="inlineStr">
        <is>
          <t> </t>
        </is>
      </c>
      <c r="U212" s="391" t="inlineStr">
        <is>
          <t> </t>
        </is>
      </c>
      <c r="V212" s="391" t="inlineStr">
        <is>
          <t> </t>
        </is>
      </c>
      <c r="W212" s="391" t="inlineStr">
        <is>
          <t> </t>
        </is>
      </c>
      <c r="X212" s="391" t="inlineStr">
        <is>
          <t> </t>
        </is>
      </c>
      <c r="Y212" s="392" t="inlineStr">
        <is>
          <t> </t>
        </is>
      </c>
      <c r="Z212" s="391" t="inlineStr">
        <is>
          <t> </t>
        </is>
      </c>
      <c r="AA212" s="391" t="inlineStr">
        <is>
          <t> </t>
        </is>
      </c>
      <c r="AB212" s="391" t="inlineStr">
        <is>
          <t> </t>
        </is>
      </c>
      <c r="AC212" s="391" t="inlineStr">
        <is>
          <t> </t>
        </is>
      </c>
      <c r="AD212" s="391" t="inlineStr">
        <is>
          <t> </t>
        </is>
      </c>
      <c r="AE212" s="391" t="inlineStr">
        <is>
          <t> </t>
        </is>
      </c>
      <c r="AF212" s="38" t="inlineStr">
        <is>
          <t> </t>
        </is>
      </c>
      <c r="AG212" s="391" t="inlineStr">
        <is>
          <t> </t>
        </is>
      </c>
      <c r="AH212" s="391" t="n"/>
      <c r="AI212" s="391" t="inlineStr">
        <is>
          <t> </t>
        </is>
      </c>
      <c r="AJ212" s="391" t="inlineStr">
        <is>
          <t> </t>
        </is>
      </c>
      <c r="AK212" s="391" t="inlineStr">
        <is>
          <t> </t>
        </is>
      </c>
      <c r="AL212" s="391" t="inlineStr">
        <is>
          <t> </t>
        </is>
      </c>
      <c r="AM212" s="391" t="inlineStr">
        <is>
          <t> </t>
        </is>
      </c>
      <c r="AN212" s="391" t="inlineStr">
        <is>
          <t> </t>
        </is>
      </c>
      <c r="AO212" s="391" t="n"/>
      <c r="AP212" s="319" t="n"/>
      <c r="AQ212" s="319" t="n"/>
      <c r="AR212" s="319" t="n"/>
    </row>
    <row r="213" ht="15.75" customHeight="1" s="1264">
      <c r="A213" s="319" t="inlineStr">
        <is>
          <t> </t>
        </is>
      </c>
      <c r="B213" s="319" t="inlineStr">
        <is>
          <t> </t>
        </is>
      </c>
      <c r="C213" s="319" t="inlineStr">
        <is>
          <t> </t>
        </is>
      </c>
      <c r="D213" s="38" t="inlineStr">
        <is>
          <t> </t>
        </is>
      </c>
      <c r="E213" s="391" t="inlineStr">
        <is>
          <t> </t>
        </is>
      </c>
      <c r="F213" s="391" t="inlineStr">
        <is>
          <t> </t>
        </is>
      </c>
      <c r="G213" s="391" t="inlineStr">
        <is>
          <t> </t>
        </is>
      </c>
      <c r="H213" s="391" t="inlineStr">
        <is>
          <t> </t>
        </is>
      </c>
      <c r="I213" s="391" t="inlineStr">
        <is>
          <t> </t>
        </is>
      </c>
      <c r="J213" s="391" t="inlineStr">
        <is>
          <t> </t>
        </is>
      </c>
      <c r="K213" s="38" t="inlineStr">
        <is>
          <t> </t>
        </is>
      </c>
      <c r="L213" s="391" t="inlineStr">
        <is>
          <t> </t>
        </is>
      </c>
      <c r="M213" s="391" t="inlineStr">
        <is>
          <t> </t>
        </is>
      </c>
      <c r="N213" s="391" t="inlineStr">
        <is>
          <t> </t>
        </is>
      </c>
      <c r="O213" s="391" t="inlineStr">
        <is>
          <t> </t>
        </is>
      </c>
      <c r="P213" s="391" t="inlineStr">
        <is>
          <t> </t>
        </is>
      </c>
      <c r="Q213" s="391" t="inlineStr">
        <is>
          <t> </t>
        </is>
      </c>
      <c r="R213" s="38" t="inlineStr">
        <is>
          <t> </t>
        </is>
      </c>
      <c r="S213" s="391" t="inlineStr">
        <is>
          <t> </t>
        </is>
      </c>
      <c r="T213" s="391" t="inlineStr">
        <is>
          <t> </t>
        </is>
      </c>
      <c r="U213" s="391" t="inlineStr">
        <is>
          <t> </t>
        </is>
      </c>
      <c r="V213" s="391" t="inlineStr">
        <is>
          <t> </t>
        </is>
      </c>
      <c r="W213" s="391" t="inlineStr">
        <is>
          <t> </t>
        </is>
      </c>
      <c r="X213" s="391" t="inlineStr">
        <is>
          <t> </t>
        </is>
      </c>
      <c r="Y213" s="392" t="inlineStr">
        <is>
          <t> </t>
        </is>
      </c>
      <c r="Z213" s="391" t="inlineStr">
        <is>
          <t> </t>
        </is>
      </c>
      <c r="AA213" s="391" t="inlineStr">
        <is>
          <t> </t>
        </is>
      </c>
      <c r="AB213" s="391" t="inlineStr">
        <is>
          <t> </t>
        </is>
      </c>
      <c r="AC213" s="391" t="inlineStr">
        <is>
          <t> </t>
        </is>
      </c>
      <c r="AD213" s="391" t="inlineStr">
        <is>
          <t> </t>
        </is>
      </c>
      <c r="AE213" s="391" t="inlineStr">
        <is>
          <t> </t>
        </is>
      </c>
      <c r="AF213" s="38" t="inlineStr">
        <is>
          <t> </t>
        </is>
      </c>
      <c r="AG213" s="391" t="inlineStr">
        <is>
          <t> </t>
        </is>
      </c>
      <c r="AH213" s="391" t="n"/>
      <c r="AI213" s="391" t="inlineStr">
        <is>
          <t> </t>
        </is>
      </c>
      <c r="AJ213" s="391" t="inlineStr">
        <is>
          <t> </t>
        </is>
      </c>
      <c r="AK213" s="391" t="inlineStr">
        <is>
          <t> </t>
        </is>
      </c>
      <c r="AL213" s="391" t="inlineStr">
        <is>
          <t> </t>
        </is>
      </c>
      <c r="AM213" s="391" t="inlineStr">
        <is>
          <t> </t>
        </is>
      </c>
      <c r="AN213" s="391" t="inlineStr">
        <is>
          <t> </t>
        </is>
      </c>
      <c r="AO213" s="391" t="n"/>
      <c r="AP213" s="319" t="n"/>
      <c r="AQ213" s="319" t="n"/>
      <c r="AR213" s="319" t="n"/>
    </row>
    <row r="214" ht="15.75" customHeight="1" s="1264">
      <c r="A214" s="319" t="inlineStr">
        <is>
          <t> </t>
        </is>
      </c>
      <c r="B214" s="319" t="inlineStr">
        <is>
          <t> </t>
        </is>
      </c>
      <c r="C214" s="319" t="inlineStr">
        <is>
          <t> </t>
        </is>
      </c>
      <c r="D214" s="38" t="inlineStr">
        <is>
          <t> </t>
        </is>
      </c>
      <c r="E214" s="391" t="inlineStr">
        <is>
          <t> </t>
        </is>
      </c>
      <c r="F214" s="391" t="inlineStr">
        <is>
          <t> </t>
        </is>
      </c>
      <c r="G214" s="391" t="inlineStr">
        <is>
          <t> </t>
        </is>
      </c>
      <c r="H214" s="391" t="inlineStr">
        <is>
          <t> </t>
        </is>
      </c>
      <c r="I214" s="391" t="inlineStr">
        <is>
          <t> </t>
        </is>
      </c>
      <c r="J214" s="391" t="inlineStr">
        <is>
          <t> </t>
        </is>
      </c>
      <c r="K214" s="38" t="inlineStr">
        <is>
          <t> </t>
        </is>
      </c>
      <c r="L214" s="391" t="inlineStr">
        <is>
          <t> </t>
        </is>
      </c>
      <c r="M214" s="391" t="inlineStr">
        <is>
          <t> </t>
        </is>
      </c>
      <c r="N214" s="391" t="inlineStr">
        <is>
          <t> </t>
        </is>
      </c>
      <c r="O214" s="391" t="inlineStr">
        <is>
          <t> </t>
        </is>
      </c>
      <c r="P214" s="391" t="inlineStr">
        <is>
          <t> </t>
        </is>
      </c>
      <c r="Q214" s="391" t="inlineStr">
        <is>
          <t> </t>
        </is>
      </c>
      <c r="R214" s="38" t="inlineStr">
        <is>
          <t> </t>
        </is>
      </c>
      <c r="S214" s="391" t="inlineStr">
        <is>
          <t> </t>
        </is>
      </c>
      <c r="T214" s="391" t="inlineStr">
        <is>
          <t> </t>
        </is>
      </c>
      <c r="U214" s="391" t="inlineStr">
        <is>
          <t> </t>
        </is>
      </c>
      <c r="V214" s="391" t="inlineStr">
        <is>
          <t> </t>
        </is>
      </c>
      <c r="W214" s="391" t="inlineStr">
        <is>
          <t> </t>
        </is>
      </c>
      <c r="X214" s="391" t="inlineStr">
        <is>
          <t> </t>
        </is>
      </c>
      <c r="Y214" s="392" t="inlineStr">
        <is>
          <t> </t>
        </is>
      </c>
      <c r="Z214" s="391" t="inlineStr">
        <is>
          <t> </t>
        </is>
      </c>
      <c r="AA214" s="391" t="inlineStr">
        <is>
          <t> </t>
        </is>
      </c>
      <c r="AB214" s="391" t="inlineStr">
        <is>
          <t> </t>
        </is>
      </c>
      <c r="AC214" s="391" t="inlineStr">
        <is>
          <t> </t>
        </is>
      </c>
      <c r="AD214" s="391" t="inlineStr">
        <is>
          <t> </t>
        </is>
      </c>
      <c r="AE214" s="391" t="inlineStr">
        <is>
          <t> </t>
        </is>
      </c>
      <c r="AF214" s="38" t="inlineStr">
        <is>
          <t> </t>
        </is>
      </c>
      <c r="AG214" s="391" t="inlineStr">
        <is>
          <t> </t>
        </is>
      </c>
      <c r="AH214" s="391" t="n"/>
      <c r="AI214" s="391" t="inlineStr">
        <is>
          <t> </t>
        </is>
      </c>
      <c r="AJ214" s="391" t="inlineStr">
        <is>
          <t> </t>
        </is>
      </c>
      <c r="AK214" s="391" t="inlineStr">
        <is>
          <t> </t>
        </is>
      </c>
      <c r="AL214" s="391" t="inlineStr">
        <is>
          <t> </t>
        </is>
      </c>
      <c r="AM214" s="391" t="inlineStr">
        <is>
          <t> </t>
        </is>
      </c>
      <c r="AN214" s="391" t="inlineStr">
        <is>
          <t> </t>
        </is>
      </c>
      <c r="AO214" s="391" t="n"/>
      <c r="AP214" s="319" t="n"/>
      <c r="AQ214" s="319" t="n"/>
      <c r="AR214" s="319" t="n"/>
    </row>
    <row r="215" ht="15.75" customHeight="1" s="1264">
      <c r="A215" s="319" t="inlineStr">
        <is>
          <t> </t>
        </is>
      </c>
      <c r="B215" s="319" t="inlineStr">
        <is>
          <t> </t>
        </is>
      </c>
      <c r="C215" s="319" t="inlineStr">
        <is>
          <t> </t>
        </is>
      </c>
      <c r="D215" s="38" t="inlineStr">
        <is>
          <t> </t>
        </is>
      </c>
      <c r="E215" s="391" t="inlineStr">
        <is>
          <t> </t>
        </is>
      </c>
      <c r="F215" s="391" t="inlineStr">
        <is>
          <t> </t>
        </is>
      </c>
      <c r="G215" s="391" t="inlineStr">
        <is>
          <t> </t>
        </is>
      </c>
      <c r="H215" s="391" t="inlineStr">
        <is>
          <t> </t>
        </is>
      </c>
      <c r="I215" s="391" t="inlineStr">
        <is>
          <t> </t>
        </is>
      </c>
      <c r="J215" s="391" t="inlineStr">
        <is>
          <t> </t>
        </is>
      </c>
      <c r="K215" s="38" t="inlineStr">
        <is>
          <t> </t>
        </is>
      </c>
      <c r="L215" s="391" t="inlineStr">
        <is>
          <t> </t>
        </is>
      </c>
      <c r="M215" s="391" t="inlineStr">
        <is>
          <t> </t>
        </is>
      </c>
      <c r="N215" s="391" t="inlineStr">
        <is>
          <t> </t>
        </is>
      </c>
      <c r="O215" s="391" t="inlineStr">
        <is>
          <t> </t>
        </is>
      </c>
      <c r="P215" s="391" t="inlineStr">
        <is>
          <t> </t>
        </is>
      </c>
      <c r="Q215" s="391" t="inlineStr">
        <is>
          <t> </t>
        </is>
      </c>
      <c r="R215" s="38" t="inlineStr">
        <is>
          <t> </t>
        </is>
      </c>
      <c r="S215" s="391" t="inlineStr">
        <is>
          <t> </t>
        </is>
      </c>
      <c r="T215" s="391" t="inlineStr">
        <is>
          <t> </t>
        </is>
      </c>
      <c r="U215" s="391" t="inlineStr">
        <is>
          <t> </t>
        </is>
      </c>
      <c r="V215" s="391" t="inlineStr">
        <is>
          <t> </t>
        </is>
      </c>
      <c r="W215" s="391" t="inlineStr">
        <is>
          <t> </t>
        </is>
      </c>
      <c r="X215" s="391" t="inlineStr">
        <is>
          <t> </t>
        </is>
      </c>
      <c r="Y215" s="392" t="inlineStr">
        <is>
          <t> </t>
        </is>
      </c>
      <c r="Z215" s="391" t="inlineStr">
        <is>
          <t> </t>
        </is>
      </c>
      <c r="AA215" s="391" t="inlineStr">
        <is>
          <t> </t>
        </is>
      </c>
      <c r="AB215" s="391" t="inlineStr">
        <is>
          <t> </t>
        </is>
      </c>
      <c r="AC215" s="391" t="inlineStr">
        <is>
          <t> </t>
        </is>
      </c>
      <c r="AD215" s="391" t="inlineStr">
        <is>
          <t> </t>
        </is>
      </c>
      <c r="AE215" s="391" t="inlineStr">
        <is>
          <t> </t>
        </is>
      </c>
      <c r="AF215" s="38" t="inlineStr">
        <is>
          <t> </t>
        </is>
      </c>
      <c r="AG215" s="391" t="inlineStr">
        <is>
          <t> </t>
        </is>
      </c>
      <c r="AH215" s="391" t="n"/>
      <c r="AI215" s="391" t="inlineStr">
        <is>
          <t> </t>
        </is>
      </c>
      <c r="AJ215" s="391" t="inlineStr">
        <is>
          <t> </t>
        </is>
      </c>
      <c r="AK215" s="391" t="inlineStr">
        <is>
          <t> </t>
        </is>
      </c>
      <c r="AL215" s="391" t="inlineStr">
        <is>
          <t> </t>
        </is>
      </c>
      <c r="AM215" s="391" t="inlineStr">
        <is>
          <t> </t>
        </is>
      </c>
      <c r="AN215" s="391" t="inlineStr">
        <is>
          <t> </t>
        </is>
      </c>
      <c r="AO215" s="391" t="n"/>
      <c r="AP215" s="319" t="n"/>
      <c r="AQ215" s="319" t="n"/>
      <c r="AR215" s="319" t="n"/>
    </row>
    <row r="216" ht="15.75" customHeight="1" s="1264">
      <c r="A216" s="319" t="inlineStr">
        <is>
          <t> </t>
        </is>
      </c>
      <c r="B216" s="319" t="inlineStr">
        <is>
          <t> </t>
        </is>
      </c>
      <c r="C216" s="319" t="inlineStr">
        <is>
          <t> </t>
        </is>
      </c>
      <c r="D216" s="38" t="inlineStr">
        <is>
          <t> </t>
        </is>
      </c>
      <c r="E216" s="391" t="inlineStr">
        <is>
          <t> </t>
        </is>
      </c>
      <c r="F216" s="391" t="inlineStr">
        <is>
          <t> </t>
        </is>
      </c>
      <c r="G216" s="391" t="inlineStr">
        <is>
          <t> </t>
        </is>
      </c>
      <c r="H216" s="391" t="inlineStr">
        <is>
          <t> </t>
        </is>
      </c>
      <c r="I216" s="391" t="inlineStr">
        <is>
          <t> </t>
        </is>
      </c>
      <c r="J216" s="391" t="inlineStr">
        <is>
          <t> </t>
        </is>
      </c>
      <c r="K216" s="38" t="inlineStr">
        <is>
          <t> </t>
        </is>
      </c>
      <c r="L216" s="391" t="inlineStr">
        <is>
          <t> </t>
        </is>
      </c>
      <c r="M216" s="391" t="inlineStr">
        <is>
          <t> </t>
        </is>
      </c>
      <c r="N216" s="391" t="inlineStr">
        <is>
          <t> </t>
        </is>
      </c>
      <c r="O216" s="391" t="inlineStr">
        <is>
          <t> </t>
        </is>
      </c>
      <c r="P216" s="391" t="inlineStr">
        <is>
          <t> </t>
        </is>
      </c>
      <c r="Q216" s="391" t="inlineStr">
        <is>
          <t> </t>
        </is>
      </c>
      <c r="R216" s="38" t="inlineStr">
        <is>
          <t> </t>
        </is>
      </c>
      <c r="S216" s="391" t="inlineStr">
        <is>
          <t> </t>
        </is>
      </c>
      <c r="T216" s="391" t="inlineStr">
        <is>
          <t> </t>
        </is>
      </c>
      <c r="U216" s="391" t="inlineStr">
        <is>
          <t> </t>
        </is>
      </c>
      <c r="V216" s="391" t="inlineStr">
        <is>
          <t> </t>
        </is>
      </c>
      <c r="W216" s="391" t="inlineStr">
        <is>
          <t> </t>
        </is>
      </c>
      <c r="X216" s="391" t="inlineStr">
        <is>
          <t> </t>
        </is>
      </c>
      <c r="Y216" s="392" t="inlineStr">
        <is>
          <t> </t>
        </is>
      </c>
      <c r="Z216" s="391" t="inlineStr">
        <is>
          <t> </t>
        </is>
      </c>
      <c r="AA216" s="391" t="inlineStr">
        <is>
          <t> </t>
        </is>
      </c>
      <c r="AB216" s="391" t="inlineStr">
        <is>
          <t> </t>
        </is>
      </c>
      <c r="AC216" s="391" t="inlineStr">
        <is>
          <t> </t>
        </is>
      </c>
      <c r="AD216" s="391" t="inlineStr">
        <is>
          <t> </t>
        </is>
      </c>
      <c r="AE216" s="391" t="inlineStr">
        <is>
          <t> </t>
        </is>
      </c>
      <c r="AF216" s="38" t="inlineStr">
        <is>
          <t> </t>
        </is>
      </c>
      <c r="AG216" s="391" t="inlineStr">
        <is>
          <t> </t>
        </is>
      </c>
      <c r="AH216" s="391" t="n"/>
      <c r="AI216" s="391" t="inlineStr">
        <is>
          <t> </t>
        </is>
      </c>
      <c r="AJ216" s="391" t="inlineStr">
        <is>
          <t> </t>
        </is>
      </c>
      <c r="AK216" s="391" t="inlineStr">
        <is>
          <t> </t>
        </is>
      </c>
      <c r="AL216" s="391" t="inlineStr">
        <is>
          <t> </t>
        </is>
      </c>
      <c r="AM216" s="391" t="inlineStr">
        <is>
          <t> </t>
        </is>
      </c>
      <c r="AN216" s="391" t="inlineStr">
        <is>
          <t> </t>
        </is>
      </c>
      <c r="AO216" s="391" t="n"/>
      <c r="AP216" s="319" t="n"/>
      <c r="AQ216" s="319" t="n"/>
      <c r="AR216" s="319" t="n"/>
    </row>
    <row r="217" ht="15.75" customHeight="1" s="1264">
      <c r="A217" s="319" t="inlineStr">
        <is>
          <t> </t>
        </is>
      </c>
      <c r="B217" s="319" t="inlineStr">
        <is>
          <t> </t>
        </is>
      </c>
      <c r="C217" s="319" t="inlineStr">
        <is>
          <t> </t>
        </is>
      </c>
      <c r="D217" s="38" t="inlineStr">
        <is>
          <t> </t>
        </is>
      </c>
      <c r="E217" s="391" t="inlineStr">
        <is>
          <t> </t>
        </is>
      </c>
      <c r="F217" s="391" t="inlineStr">
        <is>
          <t> </t>
        </is>
      </c>
      <c r="G217" s="391" t="inlineStr">
        <is>
          <t> </t>
        </is>
      </c>
      <c r="H217" s="391" t="inlineStr">
        <is>
          <t> </t>
        </is>
      </c>
      <c r="I217" s="391" t="inlineStr">
        <is>
          <t> </t>
        </is>
      </c>
      <c r="J217" s="391" t="inlineStr">
        <is>
          <t> </t>
        </is>
      </c>
      <c r="K217" s="38" t="inlineStr">
        <is>
          <t> </t>
        </is>
      </c>
      <c r="L217" s="391" t="inlineStr">
        <is>
          <t> </t>
        </is>
      </c>
      <c r="M217" s="391" t="inlineStr">
        <is>
          <t> </t>
        </is>
      </c>
      <c r="N217" s="391" t="inlineStr">
        <is>
          <t> </t>
        </is>
      </c>
      <c r="O217" s="391" t="inlineStr">
        <is>
          <t> </t>
        </is>
      </c>
      <c r="P217" s="391" t="inlineStr">
        <is>
          <t> </t>
        </is>
      </c>
      <c r="Q217" s="391" t="inlineStr">
        <is>
          <t> </t>
        </is>
      </c>
      <c r="R217" s="38" t="inlineStr">
        <is>
          <t> </t>
        </is>
      </c>
      <c r="S217" s="391" t="inlineStr">
        <is>
          <t> </t>
        </is>
      </c>
      <c r="T217" s="391" t="inlineStr">
        <is>
          <t> </t>
        </is>
      </c>
      <c r="U217" s="391" t="inlineStr">
        <is>
          <t> </t>
        </is>
      </c>
      <c r="V217" s="391" t="inlineStr">
        <is>
          <t> </t>
        </is>
      </c>
      <c r="W217" s="391" t="inlineStr">
        <is>
          <t> </t>
        </is>
      </c>
      <c r="X217" s="391" t="inlineStr">
        <is>
          <t> </t>
        </is>
      </c>
      <c r="Y217" s="392" t="inlineStr">
        <is>
          <t> </t>
        </is>
      </c>
      <c r="Z217" s="391" t="inlineStr">
        <is>
          <t> </t>
        </is>
      </c>
      <c r="AA217" s="391" t="inlineStr">
        <is>
          <t> </t>
        </is>
      </c>
      <c r="AB217" s="391" t="inlineStr">
        <is>
          <t> </t>
        </is>
      </c>
      <c r="AC217" s="391" t="inlineStr">
        <is>
          <t> </t>
        </is>
      </c>
      <c r="AD217" s="391" t="inlineStr">
        <is>
          <t> </t>
        </is>
      </c>
      <c r="AE217" s="391" t="inlineStr">
        <is>
          <t> </t>
        </is>
      </c>
      <c r="AF217" s="38" t="inlineStr">
        <is>
          <t> </t>
        </is>
      </c>
      <c r="AG217" s="391" t="inlineStr">
        <is>
          <t> </t>
        </is>
      </c>
      <c r="AH217" s="391" t="n"/>
      <c r="AI217" s="391" t="inlineStr">
        <is>
          <t> </t>
        </is>
      </c>
      <c r="AJ217" s="391" t="inlineStr">
        <is>
          <t> </t>
        </is>
      </c>
      <c r="AK217" s="391" t="inlineStr">
        <is>
          <t> </t>
        </is>
      </c>
      <c r="AL217" s="391" t="inlineStr">
        <is>
          <t> </t>
        </is>
      </c>
      <c r="AM217" s="391" t="inlineStr">
        <is>
          <t> </t>
        </is>
      </c>
      <c r="AN217" s="391" t="inlineStr">
        <is>
          <t> </t>
        </is>
      </c>
      <c r="AO217" s="391" t="n"/>
      <c r="AP217" s="319" t="n"/>
      <c r="AQ217" s="319" t="n"/>
      <c r="AR217" s="319" t="n"/>
    </row>
    <row r="218" ht="15.75" customHeight="1" s="1264">
      <c r="A218" s="319" t="inlineStr">
        <is>
          <t> </t>
        </is>
      </c>
      <c r="B218" s="319" t="inlineStr">
        <is>
          <t> </t>
        </is>
      </c>
      <c r="C218" s="319" t="inlineStr">
        <is>
          <t> </t>
        </is>
      </c>
      <c r="D218" s="38" t="inlineStr">
        <is>
          <t> </t>
        </is>
      </c>
      <c r="E218" s="391" t="inlineStr">
        <is>
          <t> </t>
        </is>
      </c>
      <c r="F218" s="391" t="inlineStr">
        <is>
          <t> </t>
        </is>
      </c>
      <c r="G218" s="391" t="inlineStr">
        <is>
          <t> </t>
        </is>
      </c>
      <c r="H218" s="391" t="inlineStr">
        <is>
          <t> </t>
        </is>
      </c>
      <c r="I218" s="391" t="inlineStr">
        <is>
          <t> </t>
        </is>
      </c>
      <c r="J218" s="391" t="inlineStr">
        <is>
          <t> </t>
        </is>
      </c>
      <c r="K218" s="38" t="inlineStr">
        <is>
          <t> </t>
        </is>
      </c>
      <c r="L218" s="391" t="inlineStr">
        <is>
          <t> </t>
        </is>
      </c>
      <c r="M218" s="391" t="inlineStr">
        <is>
          <t> </t>
        </is>
      </c>
      <c r="N218" s="391" t="inlineStr">
        <is>
          <t> </t>
        </is>
      </c>
      <c r="O218" s="391" t="inlineStr">
        <is>
          <t> </t>
        </is>
      </c>
      <c r="P218" s="391" t="inlineStr">
        <is>
          <t> </t>
        </is>
      </c>
      <c r="Q218" s="391" t="inlineStr">
        <is>
          <t> </t>
        </is>
      </c>
      <c r="R218" s="38" t="inlineStr">
        <is>
          <t> </t>
        </is>
      </c>
      <c r="S218" s="391" t="inlineStr">
        <is>
          <t> </t>
        </is>
      </c>
      <c r="T218" s="391" t="inlineStr">
        <is>
          <t> </t>
        </is>
      </c>
      <c r="U218" s="391" t="inlineStr">
        <is>
          <t> </t>
        </is>
      </c>
      <c r="V218" s="391" t="inlineStr">
        <is>
          <t> </t>
        </is>
      </c>
      <c r="W218" s="391" t="inlineStr">
        <is>
          <t> </t>
        </is>
      </c>
      <c r="X218" s="391" t="inlineStr">
        <is>
          <t> </t>
        </is>
      </c>
      <c r="Y218" s="392" t="inlineStr">
        <is>
          <t> </t>
        </is>
      </c>
      <c r="Z218" s="391" t="inlineStr">
        <is>
          <t> </t>
        </is>
      </c>
      <c r="AA218" s="391" t="inlineStr">
        <is>
          <t> </t>
        </is>
      </c>
      <c r="AB218" s="391" t="inlineStr">
        <is>
          <t> </t>
        </is>
      </c>
      <c r="AC218" s="391" t="inlineStr">
        <is>
          <t> </t>
        </is>
      </c>
      <c r="AD218" s="391" t="inlineStr">
        <is>
          <t> </t>
        </is>
      </c>
      <c r="AE218" s="391" t="inlineStr">
        <is>
          <t> </t>
        </is>
      </c>
      <c r="AF218" s="38" t="inlineStr">
        <is>
          <t> </t>
        </is>
      </c>
      <c r="AG218" s="391" t="inlineStr">
        <is>
          <t> </t>
        </is>
      </c>
      <c r="AH218" s="391" t="n"/>
      <c r="AI218" s="391" t="inlineStr">
        <is>
          <t> </t>
        </is>
      </c>
      <c r="AJ218" s="391" t="inlineStr">
        <is>
          <t> </t>
        </is>
      </c>
      <c r="AK218" s="391" t="inlineStr">
        <is>
          <t> </t>
        </is>
      </c>
      <c r="AL218" s="391" t="inlineStr">
        <is>
          <t> </t>
        </is>
      </c>
      <c r="AM218" s="391" t="inlineStr">
        <is>
          <t> </t>
        </is>
      </c>
      <c r="AN218" s="391" t="inlineStr">
        <is>
          <t> </t>
        </is>
      </c>
      <c r="AO218" s="391" t="n"/>
      <c r="AP218" s="319" t="n"/>
      <c r="AQ218" s="319" t="n"/>
      <c r="AR218" s="319" t="n"/>
    </row>
    <row r="219" ht="15.75" customHeight="1" s="1264">
      <c r="A219" s="319" t="inlineStr">
        <is>
          <t> </t>
        </is>
      </c>
      <c r="B219" s="319" t="inlineStr">
        <is>
          <t> </t>
        </is>
      </c>
      <c r="C219" s="319" t="inlineStr">
        <is>
          <t> </t>
        </is>
      </c>
      <c r="D219" s="38" t="inlineStr">
        <is>
          <t> </t>
        </is>
      </c>
      <c r="E219" s="391" t="inlineStr">
        <is>
          <t> </t>
        </is>
      </c>
      <c r="F219" s="391" t="inlineStr">
        <is>
          <t> </t>
        </is>
      </c>
      <c r="G219" s="391" t="inlineStr">
        <is>
          <t> </t>
        </is>
      </c>
      <c r="H219" s="391" t="inlineStr">
        <is>
          <t> </t>
        </is>
      </c>
      <c r="I219" s="391" t="inlineStr">
        <is>
          <t> </t>
        </is>
      </c>
      <c r="J219" s="391" t="inlineStr">
        <is>
          <t> </t>
        </is>
      </c>
      <c r="K219" s="38" t="inlineStr">
        <is>
          <t> </t>
        </is>
      </c>
      <c r="L219" s="391" t="inlineStr">
        <is>
          <t> </t>
        </is>
      </c>
      <c r="M219" s="391" t="inlineStr">
        <is>
          <t> </t>
        </is>
      </c>
      <c r="N219" s="391" t="inlineStr">
        <is>
          <t> </t>
        </is>
      </c>
      <c r="O219" s="391" t="inlineStr">
        <is>
          <t> </t>
        </is>
      </c>
      <c r="P219" s="391" t="inlineStr">
        <is>
          <t> </t>
        </is>
      </c>
      <c r="Q219" s="391" t="inlineStr">
        <is>
          <t> </t>
        </is>
      </c>
      <c r="R219" s="38" t="inlineStr">
        <is>
          <t> </t>
        </is>
      </c>
      <c r="S219" s="391" t="inlineStr">
        <is>
          <t> </t>
        </is>
      </c>
      <c r="T219" s="391" t="inlineStr">
        <is>
          <t> </t>
        </is>
      </c>
      <c r="U219" s="391" t="inlineStr">
        <is>
          <t> </t>
        </is>
      </c>
      <c r="V219" s="391" t="inlineStr">
        <is>
          <t> </t>
        </is>
      </c>
      <c r="W219" s="391" t="inlineStr">
        <is>
          <t> </t>
        </is>
      </c>
      <c r="X219" s="391" t="inlineStr">
        <is>
          <t> </t>
        </is>
      </c>
      <c r="Y219" s="392" t="inlineStr">
        <is>
          <t> </t>
        </is>
      </c>
      <c r="Z219" s="391" t="inlineStr">
        <is>
          <t> </t>
        </is>
      </c>
      <c r="AA219" s="391" t="inlineStr">
        <is>
          <t> </t>
        </is>
      </c>
      <c r="AB219" s="391" t="inlineStr">
        <is>
          <t> </t>
        </is>
      </c>
      <c r="AC219" s="391" t="inlineStr">
        <is>
          <t> </t>
        </is>
      </c>
      <c r="AD219" s="391" t="inlineStr">
        <is>
          <t> </t>
        </is>
      </c>
      <c r="AE219" s="391" t="inlineStr">
        <is>
          <t> </t>
        </is>
      </c>
      <c r="AF219" s="38" t="inlineStr">
        <is>
          <t> </t>
        </is>
      </c>
      <c r="AG219" s="391" t="inlineStr">
        <is>
          <t> </t>
        </is>
      </c>
      <c r="AH219" s="391" t="n"/>
      <c r="AI219" s="391" t="inlineStr">
        <is>
          <t> </t>
        </is>
      </c>
      <c r="AJ219" s="391" t="inlineStr">
        <is>
          <t> </t>
        </is>
      </c>
      <c r="AK219" s="391" t="inlineStr">
        <is>
          <t> </t>
        </is>
      </c>
      <c r="AL219" s="391" t="inlineStr">
        <is>
          <t> </t>
        </is>
      </c>
      <c r="AM219" s="391" t="inlineStr">
        <is>
          <t> </t>
        </is>
      </c>
      <c r="AN219" s="391" t="inlineStr">
        <is>
          <t> </t>
        </is>
      </c>
      <c r="AO219" s="391" t="n"/>
      <c r="AP219" s="319" t="n"/>
      <c r="AQ219" s="319" t="n"/>
      <c r="AR219" s="319" t="n"/>
    </row>
    <row r="220" ht="15.75" customHeight="1" s="1264">
      <c r="A220" s="319" t="inlineStr">
        <is>
          <t> </t>
        </is>
      </c>
      <c r="B220" s="319" t="inlineStr">
        <is>
          <t> </t>
        </is>
      </c>
      <c r="C220" s="319" t="inlineStr">
        <is>
          <t> </t>
        </is>
      </c>
      <c r="D220" s="38" t="inlineStr">
        <is>
          <t> </t>
        </is>
      </c>
      <c r="E220" s="391" t="inlineStr">
        <is>
          <t> </t>
        </is>
      </c>
      <c r="F220" s="391" t="inlineStr">
        <is>
          <t> </t>
        </is>
      </c>
      <c r="G220" s="391" t="inlineStr">
        <is>
          <t> </t>
        </is>
      </c>
      <c r="H220" s="391" t="inlineStr">
        <is>
          <t> </t>
        </is>
      </c>
      <c r="I220" s="391" t="inlineStr">
        <is>
          <t> </t>
        </is>
      </c>
      <c r="J220" s="391" t="inlineStr">
        <is>
          <t> </t>
        </is>
      </c>
      <c r="K220" s="38" t="inlineStr">
        <is>
          <t> </t>
        </is>
      </c>
      <c r="L220" s="391" t="inlineStr">
        <is>
          <t> </t>
        </is>
      </c>
      <c r="M220" s="391" t="inlineStr">
        <is>
          <t> </t>
        </is>
      </c>
      <c r="N220" s="391" t="inlineStr">
        <is>
          <t> </t>
        </is>
      </c>
      <c r="O220" s="391" t="inlineStr">
        <is>
          <t> </t>
        </is>
      </c>
      <c r="P220" s="391" t="inlineStr">
        <is>
          <t> </t>
        </is>
      </c>
      <c r="Q220" s="391" t="inlineStr">
        <is>
          <t> </t>
        </is>
      </c>
      <c r="R220" s="38" t="inlineStr">
        <is>
          <t> </t>
        </is>
      </c>
      <c r="S220" s="391" t="inlineStr">
        <is>
          <t> </t>
        </is>
      </c>
      <c r="T220" s="391" t="inlineStr">
        <is>
          <t> </t>
        </is>
      </c>
      <c r="U220" s="391" t="inlineStr">
        <is>
          <t> </t>
        </is>
      </c>
      <c r="V220" s="391" t="inlineStr">
        <is>
          <t> </t>
        </is>
      </c>
      <c r="W220" s="391" t="inlineStr">
        <is>
          <t> </t>
        </is>
      </c>
      <c r="X220" s="391" t="inlineStr">
        <is>
          <t> </t>
        </is>
      </c>
      <c r="Y220" s="392" t="inlineStr">
        <is>
          <t> </t>
        </is>
      </c>
      <c r="Z220" s="391" t="inlineStr">
        <is>
          <t> </t>
        </is>
      </c>
      <c r="AA220" s="391" t="inlineStr">
        <is>
          <t> </t>
        </is>
      </c>
      <c r="AB220" s="391" t="inlineStr">
        <is>
          <t> </t>
        </is>
      </c>
      <c r="AC220" s="391" t="inlineStr">
        <is>
          <t> </t>
        </is>
      </c>
      <c r="AD220" s="391" t="inlineStr">
        <is>
          <t> </t>
        </is>
      </c>
      <c r="AE220" s="391" t="inlineStr">
        <is>
          <t> </t>
        </is>
      </c>
      <c r="AF220" s="38" t="inlineStr">
        <is>
          <t> </t>
        </is>
      </c>
      <c r="AG220" s="391" t="inlineStr">
        <is>
          <t> </t>
        </is>
      </c>
      <c r="AH220" s="391" t="n"/>
      <c r="AI220" s="391" t="inlineStr">
        <is>
          <t> </t>
        </is>
      </c>
      <c r="AJ220" s="391" t="inlineStr">
        <is>
          <t> </t>
        </is>
      </c>
      <c r="AK220" s="391" t="inlineStr">
        <is>
          <t> </t>
        </is>
      </c>
      <c r="AL220" s="391" t="inlineStr">
        <is>
          <t> </t>
        </is>
      </c>
      <c r="AM220" s="391" t="inlineStr">
        <is>
          <t> </t>
        </is>
      </c>
      <c r="AN220" s="391" t="inlineStr">
        <is>
          <t> </t>
        </is>
      </c>
      <c r="AO220" s="391" t="n"/>
      <c r="AP220" s="319" t="n"/>
      <c r="AQ220" s="319" t="n"/>
      <c r="AR220" s="319" t="n"/>
    </row>
    <row r="221" ht="15.75" customHeight="1" s="1264">
      <c r="A221" s="319" t="inlineStr">
        <is>
          <t> </t>
        </is>
      </c>
      <c r="B221" s="319" t="inlineStr">
        <is>
          <t> </t>
        </is>
      </c>
      <c r="C221" s="319" t="inlineStr">
        <is>
          <t> </t>
        </is>
      </c>
      <c r="D221" s="38" t="inlineStr">
        <is>
          <t> </t>
        </is>
      </c>
      <c r="E221" s="391" t="inlineStr">
        <is>
          <t> </t>
        </is>
      </c>
      <c r="F221" s="391" t="inlineStr">
        <is>
          <t> </t>
        </is>
      </c>
      <c r="G221" s="391" t="inlineStr">
        <is>
          <t> </t>
        </is>
      </c>
      <c r="H221" s="391" t="inlineStr">
        <is>
          <t> </t>
        </is>
      </c>
      <c r="I221" s="391" t="inlineStr">
        <is>
          <t> </t>
        </is>
      </c>
      <c r="J221" s="391" t="inlineStr">
        <is>
          <t> </t>
        </is>
      </c>
      <c r="K221" s="38" t="inlineStr">
        <is>
          <t> </t>
        </is>
      </c>
      <c r="L221" s="391" t="inlineStr">
        <is>
          <t> </t>
        </is>
      </c>
      <c r="M221" s="391" t="inlineStr">
        <is>
          <t> </t>
        </is>
      </c>
      <c r="N221" s="391" t="inlineStr">
        <is>
          <t> </t>
        </is>
      </c>
      <c r="O221" s="391" t="inlineStr">
        <is>
          <t> </t>
        </is>
      </c>
      <c r="P221" s="391" t="inlineStr">
        <is>
          <t> </t>
        </is>
      </c>
      <c r="Q221" s="391" t="inlineStr">
        <is>
          <t> </t>
        </is>
      </c>
      <c r="R221" s="38" t="inlineStr">
        <is>
          <t> </t>
        </is>
      </c>
      <c r="S221" s="391" t="inlineStr">
        <is>
          <t> </t>
        </is>
      </c>
      <c r="T221" s="391" t="inlineStr">
        <is>
          <t> </t>
        </is>
      </c>
      <c r="U221" s="391" t="inlineStr">
        <is>
          <t> </t>
        </is>
      </c>
      <c r="V221" s="391" t="inlineStr">
        <is>
          <t> </t>
        </is>
      </c>
      <c r="W221" s="391" t="inlineStr">
        <is>
          <t> </t>
        </is>
      </c>
      <c r="X221" s="391" t="inlineStr">
        <is>
          <t> </t>
        </is>
      </c>
      <c r="Y221" s="392" t="inlineStr">
        <is>
          <t> </t>
        </is>
      </c>
      <c r="Z221" s="391" t="inlineStr">
        <is>
          <t> </t>
        </is>
      </c>
      <c r="AA221" s="391" t="inlineStr">
        <is>
          <t> </t>
        </is>
      </c>
      <c r="AB221" s="391" t="inlineStr">
        <is>
          <t> </t>
        </is>
      </c>
      <c r="AC221" s="391" t="inlineStr">
        <is>
          <t> </t>
        </is>
      </c>
      <c r="AD221" s="391" t="inlineStr">
        <is>
          <t> </t>
        </is>
      </c>
      <c r="AE221" s="391" t="inlineStr">
        <is>
          <t> </t>
        </is>
      </c>
      <c r="AF221" s="38" t="inlineStr">
        <is>
          <t> </t>
        </is>
      </c>
      <c r="AG221" s="391" t="inlineStr">
        <is>
          <t> </t>
        </is>
      </c>
      <c r="AH221" s="391" t="n"/>
      <c r="AI221" s="391" t="inlineStr">
        <is>
          <t> </t>
        </is>
      </c>
      <c r="AJ221" s="391" t="inlineStr">
        <is>
          <t> </t>
        </is>
      </c>
      <c r="AK221" s="391" t="inlineStr">
        <is>
          <t> </t>
        </is>
      </c>
      <c r="AL221" s="391" t="inlineStr">
        <is>
          <t> </t>
        </is>
      </c>
      <c r="AM221" s="391" t="inlineStr">
        <is>
          <t> </t>
        </is>
      </c>
      <c r="AN221" s="391" t="inlineStr">
        <is>
          <t> </t>
        </is>
      </c>
      <c r="AO221" s="391" t="n"/>
      <c r="AP221" s="319" t="n"/>
      <c r="AQ221" s="319" t="n"/>
      <c r="AR221" s="319" t="n"/>
    </row>
    <row r="222" ht="15.75" customHeight="1" s="1264">
      <c r="A222" s="319" t="inlineStr">
        <is>
          <t> </t>
        </is>
      </c>
      <c r="B222" s="319" t="inlineStr">
        <is>
          <t> </t>
        </is>
      </c>
      <c r="C222" s="319" t="inlineStr">
        <is>
          <t> </t>
        </is>
      </c>
      <c r="D222" s="38" t="inlineStr">
        <is>
          <t> </t>
        </is>
      </c>
      <c r="E222" s="391" t="inlineStr">
        <is>
          <t> </t>
        </is>
      </c>
      <c r="F222" s="391" t="inlineStr">
        <is>
          <t> </t>
        </is>
      </c>
      <c r="G222" s="391" t="inlineStr">
        <is>
          <t> </t>
        </is>
      </c>
      <c r="H222" s="391" t="inlineStr">
        <is>
          <t> </t>
        </is>
      </c>
      <c r="I222" s="391" t="inlineStr">
        <is>
          <t> </t>
        </is>
      </c>
      <c r="J222" s="391" t="inlineStr">
        <is>
          <t> </t>
        </is>
      </c>
      <c r="K222" s="38" t="inlineStr">
        <is>
          <t> </t>
        </is>
      </c>
      <c r="L222" s="391" t="inlineStr">
        <is>
          <t> </t>
        </is>
      </c>
      <c r="M222" s="391" t="inlineStr">
        <is>
          <t> </t>
        </is>
      </c>
      <c r="N222" s="391" t="inlineStr">
        <is>
          <t> </t>
        </is>
      </c>
      <c r="O222" s="391" t="inlineStr">
        <is>
          <t> </t>
        </is>
      </c>
      <c r="P222" s="391" t="inlineStr">
        <is>
          <t> </t>
        </is>
      </c>
      <c r="Q222" s="391" t="inlineStr">
        <is>
          <t> </t>
        </is>
      </c>
      <c r="R222" s="38" t="inlineStr">
        <is>
          <t> </t>
        </is>
      </c>
      <c r="S222" s="391" t="inlineStr">
        <is>
          <t> </t>
        </is>
      </c>
      <c r="T222" s="391" t="inlineStr">
        <is>
          <t> </t>
        </is>
      </c>
      <c r="U222" s="391" t="inlineStr">
        <is>
          <t> </t>
        </is>
      </c>
      <c r="V222" s="391" t="inlineStr">
        <is>
          <t> </t>
        </is>
      </c>
      <c r="W222" s="391" t="inlineStr">
        <is>
          <t> </t>
        </is>
      </c>
      <c r="X222" s="391" t="inlineStr">
        <is>
          <t> </t>
        </is>
      </c>
      <c r="Y222" s="392" t="inlineStr">
        <is>
          <t> </t>
        </is>
      </c>
      <c r="Z222" s="391" t="inlineStr">
        <is>
          <t> </t>
        </is>
      </c>
      <c r="AA222" s="391" t="inlineStr">
        <is>
          <t> </t>
        </is>
      </c>
      <c r="AB222" s="391" t="inlineStr">
        <is>
          <t> </t>
        </is>
      </c>
      <c r="AC222" s="391" t="inlineStr">
        <is>
          <t> </t>
        </is>
      </c>
      <c r="AD222" s="391" t="inlineStr">
        <is>
          <t> </t>
        </is>
      </c>
      <c r="AE222" s="391" t="inlineStr">
        <is>
          <t> </t>
        </is>
      </c>
      <c r="AF222" s="38" t="inlineStr">
        <is>
          <t> </t>
        </is>
      </c>
      <c r="AG222" s="391" t="inlineStr">
        <is>
          <t> </t>
        </is>
      </c>
      <c r="AH222" s="391" t="n"/>
      <c r="AI222" s="391" t="inlineStr">
        <is>
          <t> </t>
        </is>
      </c>
      <c r="AJ222" s="391" t="inlineStr">
        <is>
          <t> </t>
        </is>
      </c>
      <c r="AK222" s="391" t="inlineStr">
        <is>
          <t> </t>
        </is>
      </c>
      <c r="AL222" s="391" t="inlineStr">
        <is>
          <t> </t>
        </is>
      </c>
      <c r="AM222" s="391" t="inlineStr">
        <is>
          <t> </t>
        </is>
      </c>
      <c r="AN222" s="391" t="inlineStr">
        <is>
          <t> </t>
        </is>
      </c>
      <c r="AO222" s="391" t="n"/>
      <c r="AP222" s="319" t="n"/>
      <c r="AQ222" s="319" t="n"/>
      <c r="AR222" s="319" t="n"/>
    </row>
    <row r="223" ht="15.75" customHeight="1" s="1264">
      <c r="A223" s="319" t="inlineStr">
        <is>
          <t> </t>
        </is>
      </c>
      <c r="B223" s="319" t="inlineStr">
        <is>
          <t> </t>
        </is>
      </c>
      <c r="C223" s="319" t="inlineStr">
        <is>
          <t> </t>
        </is>
      </c>
      <c r="D223" s="38" t="inlineStr">
        <is>
          <t> </t>
        </is>
      </c>
      <c r="E223" s="391" t="inlineStr">
        <is>
          <t> </t>
        </is>
      </c>
      <c r="F223" s="391" t="inlineStr">
        <is>
          <t> </t>
        </is>
      </c>
      <c r="G223" s="391" t="inlineStr">
        <is>
          <t> </t>
        </is>
      </c>
      <c r="H223" s="391" t="inlineStr">
        <is>
          <t> </t>
        </is>
      </c>
      <c r="I223" s="391" t="inlineStr">
        <is>
          <t> </t>
        </is>
      </c>
      <c r="J223" s="391" t="inlineStr">
        <is>
          <t> </t>
        </is>
      </c>
      <c r="K223" s="38" t="inlineStr">
        <is>
          <t> </t>
        </is>
      </c>
      <c r="L223" s="391" t="inlineStr">
        <is>
          <t> </t>
        </is>
      </c>
      <c r="M223" s="391" t="inlineStr">
        <is>
          <t> </t>
        </is>
      </c>
      <c r="N223" s="391" t="inlineStr">
        <is>
          <t> </t>
        </is>
      </c>
      <c r="O223" s="391" t="inlineStr">
        <is>
          <t> </t>
        </is>
      </c>
      <c r="P223" s="391" t="inlineStr">
        <is>
          <t> </t>
        </is>
      </c>
      <c r="Q223" s="391" t="inlineStr">
        <is>
          <t> </t>
        </is>
      </c>
      <c r="R223" s="38" t="inlineStr">
        <is>
          <t> </t>
        </is>
      </c>
      <c r="S223" s="391" t="inlineStr">
        <is>
          <t> </t>
        </is>
      </c>
      <c r="T223" s="391" t="inlineStr">
        <is>
          <t> </t>
        </is>
      </c>
      <c r="U223" s="391" t="inlineStr">
        <is>
          <t> </t>
        </is>
      </c>
      <c r="V223" s="391" t="inlineStr">
        <is>
          <t> </t>
        </is>
      </c>
      <c r="W223" s="391" t="inlineStr">
        <is>
          <t> </t>
        </is>
      </c>
      <c r="X223" s="391" t="inlineStr">
        <is>
          <t> </t>
        </is>
      </c>
      <c r="Y223" s="392" t="inlineStr">
        <is>
          <t> </t>
        </is>
      </c>
      <c r="Z223" s="391" t="inlineStr">
        <is>
          <t> </t>
        </is>
      </c>
      <c r="AA223" s="391" t="inlineStr">
        <is>
          <t> </t>
        </is>
      </c>
      <c r="AB223" s="391" t="inlineStr">
        <is>
          <t> </t>
        </is>
      </c>
      <c r="AC223" s="391" t="inlineStr">
        <is>
          <t> </t>
        </is>
      </c>
      <c r="AD223" s="391" t="inlineStr">
        <is>
          <t> </t>
        </is>
      </c>
      <c r="AE223" s="391" t="inlineStr">
        <is>
          <t> </t>
        </is>
      </c>
      <c r="AF223" s="38" t="inlineStr">
        <is>
          <t> </t>
        </is>
      </c>
      <c r="AG223" s="391" t="inlineStr">
        <is>
          <t> </t>
        </is>
      </c>
      <c r="AH223" s="391" t="n"/>
      <c r="AI223" s="391" t="inlineStr">
        <is>
          <t> </t>
        </is>
      </c>
      <c r="AJ223" s="391" t="inlineStr">
        <is>
          <t> </t>
        </is>
      </c>
      <c r="AK223" s="391" t="inlineStr">
        <is>
          <t> </t>
        </is>
      </c>
      <c r="AL223" s="391" t="inlineStr">
        <is>
          <t> </t>
        </is>
      </c>
      <c r="AM223" s="391" t="inlineStr">
        <is>
          <t> </t>
        </is>
      </c>
      <c r="AN223" s="391" t="inlineStr">
        <is>
          <t> </t>
        </is>
      </c>
      <c r="AO223" s="391" t="n"/>
      <c r="AP223" s="319" t="n"/>
      <c r="AQ223" s="319" t="n"/>
      <c r="AR223" s="319" t="n"/>
    </row>
    <row r="224" ht="15.75" customHeight="1" s="1264">
      <c r="A224" s="319" t="inlineStr">
        <is>
          <t> </t>
        </is>
      </c>
      <c r="B224" s="319" t="inlineStr">
        <is>
          <t> </t>
        </is>
      </c>
      <c r="C224" s="319" t="inlineStr">
        <is>
          <t> </t>
        </is>
      </c>
      <c r="D224" s="38" t="inlineStr">
        <is>
          <t> </t>
        </is>
      </c>
      <c r="E224" s="391" t="inlineStr">
        <is>
          <t> </t>
        </is>
      </c>
      <c r="F224" s="391" t="inlineStr">
        <is>
          <t> </t>
        </is>
      </c>
      <c r="G224" s="391" t="inlineStr">
        <is>
          <t> </t>
        </is>
      </c>
      <c r="H224" s="391" t="inlineStr">
        <is>
          <t> </t>
        </is>
      </c>
      <c r="I224" s="391" t="inlineStr">
        <is>
          <t> </t>
        </is>
      </c>
      <c r="J224" s="391" t="inlineStr">
        <is>
          <t> </t>
        </is>
      </c>
      <c r="K224" s="38" t="inlineStr">
        <is>
          <t> </t>
        </is>
      </c>
      <c r="L224" s="391" t="inlineStr">
        <is>
          <t> </t>
        </is>
      </c>
      <c r="M224" s="391" t="inlineStr">
        <is>
          <t> </t>
        </is>
      </c>
      <c r="N224" s="391" t="inlineStr">
        <is>
          <t> </t>
        </is>
      </c>
      <c r="O224" s="391" t="inlineStr">
        <is>
          <t> </t>
        </is>
      </c>
      <c r="P224" s="391" t="inlineStr">
        <is>
          <t> </t>
        </is>
      </c>
      <c r="Q224" s="391" t="inlineStr">
        <is>
          <t> </t>
        </is>
      </c>
      <c r="R224" s="38" t="inlineStr">
        <is>
          <t> </t>
        </is>
      </c>
      <c r="S224" s="391" t="inlineStr">
        <is>
          <t> </t>
        </is>
      </c>
      <c r="T224" s="391" t="inlineStr">
        <is>
          <t> </t>
        </is>
      </c>
      <c r="U224" s="391" t="inlineStr">
        <is>
          <t> </t>
        </is>
      </c>
      <c r="V224" s="391" t="inlineStr">
        <is>
          <t> </t>
        </is>
      </c>
      <c r="W224" s="391" t="inlineStr">
        <is>
          <t> </t>
        </is>
      </c>
      <c r="X224" s="391" t="inlineStr">
        <is>
          <t> </t>
        </is>
      </c>
      <c r="Y224" s="392" t="inlineStr">
        <is>
          <t> </t>
        </is>
      </c>
      <c r="Z224" s="391" t="inlineStr">
        <is>
          <t> </t>
        </is>
      </c>
      <c r="AA224" s="391" t="inlineStr">
        <is>
          <t> </t>
        </is>
      </c>
      <c r="AB224" s="391" t="inlineStr">
        <is>
          <t> </t>
        </is>
      </c>
      <c r="AC224" s="391" t="inlineStr">
        <is>
          <t> </t>
        </is>
      </c>
      <c r="AD224" s="391" t="inlineStr">
        <is>
          <t> </t>
        </is>
      </c>
      <c r="AE224" s="391" t="inlineStr">
        <is>
          <t> </t>
        </is>
      </c>
      <c r="AF224" s="38" t="inlineStr">
        <is>
          <t> </t>
        </is>
      </c>
      <c r="AG224" s="391" t="inlineStr">
        <is>
          <t> </t>
        </is>
      </c>
      <c r="AH224" s="391" t="n"/>
      <c r="AI224" s="391" t="inlineStr">
        <is>
          <t> </t>
        </is>
      </c>
      <c r="AJ224" s="391" t="inlineStr">
        <is>
          <t> </t>
        </is>
      </c>
      <c r="AK224" s="391" t="inlineStr">
        <is>
          <t> </t>
        </is>
      </c>
      <c r="AL224" s="391" t="inlineStr">
        <is>
          <t> </t>
        </is>
      </c>
      <c r="AM224" s="391" t="inlineStr">
        <is>
          <t> </t>
        </is>
      </c>
      <c r="AN224" s="391" t="inlineStr">
        <is>
          <t> </t>
        </is>
      </c>
      <c r="AO224" s="391" t="n"/>
      <c r="AP224" s="319" t="n"/>
      <c r="AQ224" s="319" t="n"/>
      <c r="AR224" s="319" t="n"/>
    </row>
    <row r="225" ht="15.75" customHeight="1" s="1264">
      <c r="A225" s="319" t="inlineStr">
        <is>
          <t> </t>
        </is>
      </c>
      <c r="B225" s="319" t="inlineStr">
        <is>
          <t> </t>
        </is>
      </c>
      <c r="C225" s="319" t="inlineStr">
        <is>
          <t> </t>
        </is>
      </c>
      <c r="D225" s="38" t="inlineStr">
        <is>
          <t> </t>
        </is>
      </c>
      <c r="E225" s="391" t="inlineStr">
        <is>
          <t> </t>
        </is>
      </c>
      <c r="F225" s="391" t="inlineStr">
        <is>
          <t> </t>
        </is>
      </c>
      <c r="G225" s="391" t="inlineStr">
        <is>
          <t> </t>
        </is>
      </c>
      <c r="H225" s="391" t="inlineStr">
        <is>
          <t> </t>
        </is>
      </c>
      <c r="I225" s="391" t="inlineStr">
        <is>
          <t> </t>
        </is>
      </c>
      <c r="J225" s="391" t="inlineStr">
        <is>
          <t> </t>
        </is>
      </c>
      <c r="K225" s="38" t="inlineStr">
        <is>
          <t> </t>
        </is>
      </c>
      <c r="L225" s="391" t="inlineStr">
        <is>
          <t> </t>
        </is>
      </c>
      <c r="M225" s="391" t="inlineStr">
        <is>
          <t> </t>
        </is>
      </c>
      <c r="N225" s="391" t="inlineStr">
        <is>
          <t> </t>
        </is>
      </c>
      <c r="O225" s="391" t="inlineStr">
        <is>
          <t> </t>
        </is>
      </c>
      <c r="P225" s="391" t="inlineStr">
        <is>
          <t> </t>
        </is>
      </c>
      <c r="Q225" s="391" t="inlineStr">
        <is>
          <t> </t>
        </is>
      </c>
      <c r="R225" s="38" t="inlineStr">
        <is>
          <t> </t>
        </is>
      </c>
      <c r="S225" s="391" t="inlineStr">
        <is>
          <t> </t>
        </is>
      </c>
      <c r="T225" s="391" t="inlineStr">
        <is>
          <t> </t>
        </is>
      </c>
      <c r="U225" s="391" t="inlineStr">
        <is>
          <t> </t>
        </is>
      </c>
      <c r="V225" s="391" t="inlineStr">
        <is>
          <t> </t>
        </is>
      </c>
      <c r="W225" s="391" t="inlineStr">
        <is>
          <t> </t>
        </is>
      </c>
      <c r="X225" s="391" t="inlineStr">
        <is>
          <t> </t>
        </is>
      </c>
      <c r="Y225" s="392" t="inlineStr">
        <is>
          <t> </t>
        </is>
      </c>
      <c r="Z225" s="391" t="inlineStr">
        <is>
          <t> </t>
        </is>
      </c>
      <c r="AA225" s="391" t="inlineStr">
        <is>
          <t> </t>
        </is>
      </c>
      <c r="AB225" s="391" t="inlineStr">
        <is>
          <t> </t>
        </is>
      </c>
      <c r="AC225" s="391" t="inlineStr">
        <is>
          <t> </t>
        </is>
      </c>
      <c r="AD225" s="391" t="inlineStr">
        <is>
          <t> </t>
        </is>
      </c>
      <c r="AE225" s="391" t="inlineStr">
        <is>
          <t> </t>
        </is>
      </c>
      <c r="AF225" s="38" t="inlineStr">
        <is>
          <t> </t>
        </is>
      </c>
      <c r="AG225" s="391" t="inlineStr">
        <is>
          <t> </t>
        </is>
      </c>
      <c r="AH225" s="391" t="n"/>
      <c r="AI225" s="391" t="inlineStr">
        <is>
          <t> </t>
        </is>
      </c>
      <c r="AJ225" s="391" t="inlineStr">
        <is>
          <t> </t>
        </is>
      </c>
      <c r="AK225" s="391" t="inlineStr">
        <is>
          <t> </t>
        </is>
      </c>
      <c r="AL225" s="391" t="inlineStr">
        <is>
          <t> </t>
        </is>
      </c>
      <c r="AM225" s="391" t="inlineStr">
        <is>
          <t> </t>
        </is>
      </c>
      <c r="AN225" s="391" t="inlineStr">
        <is>
          <t> </t>
        </is>
      </c>
      <c r="AO225" s="391" t="n"/>
      <c r="AP225" s="319" t="n"/>
      <c r="AQ225" s="319" t="n"/>
      <c r="AR225" s="319" t="n"/>
    </row>
    <row r="226" ht="15.75" customHeight="1" s="1264">
      <c r="A226" s="319" t="inlineStr">
        <is>
          <t> </t>
        </is>
      </c>
      <c r="B226" s="319" t="inlineStr">
        <is>
          <t> </t>
        </is>
      </c>
      <c r="C226" s="319" t="inlineStr">
        <is>
          <t> </t>
        </is>
      </c>
      <c r="D226" s="38" t="inlineStr">
        <is>
          <t> </t>
        </is>
      </c>
      <c r="E226" s="391" t="inlineStr">
        <is>
          <t> </t>
        </is>
      </c>
      <c r="F226" s="391" t="inlineStr">
        <is>
          <t> </t>
        </is>
      </c>
      <c r="G226" s="391" t="inlineStr">
        <is>
          <t> </t>
        </is>
      </c>
      <c r="H226" s="391" t="inlineStr">
        <is>
          <t> </t>
        </is>
      </c>
      <c r="I226" s="391" t="inlineStr">
        <is>
          <t> </t>
        </is>
      </c>
      <c r="J226" s="391" t="inlineStr">
        <is>
          <t> </t>
        </is>
      </c>
      <c r="K226" s="38" t="inlineStr">
        <is>
          <t> </t>
        </is>
      </c>
      <c r="L226" s="391" t="inlineStr">
        <is>
          <t> </t>
        </is>
      </c>
      <c r="M226" s="391" t="inlineStr">
        <is>
          <t> </t>
        </is>
      </c>
      <c r="N226" s="391" t="inlineStr">
        <is>
          <t> </t>
        </is>
      </c>
      <c r="O226" s="391" t="inlineStr">
        <is>
          <t> </t>
        </is>
      </c>
      <c r="P226" s="391" t="inlineStr">
        <is>
          <t> </t>
        </is>
      </c>
      <c r="Q226" s="391" t="inlineStr">
        <is>
          <t> </t>
        </is>
      </c>
      <c r="R226" s="38" t="inlineStr">
        <is>
          <t> </t>
        </is>
      </c>
      <c r="S226" s="391" t="inlineStr">
        <is>
          <t> </t>
        </is>
      </c>
      <c r="T226" s="391" t="inlineStr">
        <is>
          <t> </t>
        </is>
      </c>
      <c r="U226" s="391" t="inlineStr">
        <is>
          <t> </t>
        </is>
      </c>
      <c r="V226" s="391" t="inlineStr">
        <is>
          <t> </t>
        </is>
      </c>
      <c r="W226" s="391" t="inlineStr">
        <is>
          <t> </t>
        </is>
      </c>
      <c r="X226" s="391" t="inlineStr">
        <is>
          <t> </t>
        </is>
      </c>
      <c r="Y226" s="392" t="inlineStr">
        <is>
          <t> </t>
        </is>
      </c>
      <c r="Z226" s="391" t="inlineStr">
        <is>
          <t> </t>
        </is>
      </c>
      <c r="AA226" s="391" t="inlineStr">
        <is>
          <t> </t>
        </is>
      </c>
      <c r="AB226" s="391" t="inlineStr">
        <is>
          <t> </t>
        </is>
      </c>
      <c r="AC226" s="391" t="inlineStr">
        <is>
          <t> </t>
        </is>
      </c>
      <c r="AD226" s="391" t="inlineStr">
        <is>
          <t> </t>
        </is>
      </c>
      <c r="AE226" s="391" t="inlineStr">
        <is>
          <t> </t>
        </is>
      </c>
      <c r="AF226" s="38" t="inlineStr">
        <is>
          <t> </t>
        </is>
      </c>
      <c r="AG226" s="391" t="inlineStr">
        <is>
          <t> </t>
        </is>
      </c>
      <c r="AH226" s="391" t="n"/>
      <c r="AI226" s="391" t="inlineStr">
        <is>
          <t> </t>
        </is>
      </c>
      <c r="AJ226" s="391" t="inlineStr">
        <is>
          <t> </t>
        </is>
      </c>
      <c r="AK226" s="391" t="inlineStr">
        <is>
          <t> </t>
        </is>
      </c>
      <c r="AL226" s="391" t="inlineStr">
        <is>
          <t> </t>
        </is>
      </c>
      <c r="AM226" s="391" t="inlineStr">
        <is>
          <t> </t>
        </is>
      </c>
      <c r="AN226" s="391" t="inlineStr">
        <is>
          <t> </t>
        </is>
      </c>
      <c r="AO226" s="391" t="n"/>
      <c r="AP226" s="319" t="n"/>
      <c r="AQ226" s="319" t="n"/>
      <c r="AR226" s="319" t="n"/>
    </row>
    <row r="227" ht="15.75" customHeight="1" s="1264">
      <c r="A227" s="319" t="inlineStr">
        <is>
          <t> </t>
        </is>
      </c>
      <c r="B227" s="319" t="inlineStr">
        <is>
          <t> </t>
        </is>
      </c>
      <c r="C227" s="319" t="inlineStr">
        <is>
          <t> </t>
        </is>
      </c>
      <c r="D227" s="38" t="inlineStr">
        <is>
          <t> </t>
        </is>
      </c>
      <c r="E227" s="391" t="inlineStr">
        <is>
          <t> </t>
        </is>
      </c>
      <c r="F227" s="391" t="inlineStr">
        <is>
          <t> </t>
        </is>
      </c>
      <c r="G227" s="391" t="inlineStr">
        <is>
          <t> </t>
        </is>
      </c>
      <c r="H227" s="391" t="inlineStr">
        <is>
          <t> </t>
        </is>
      </c>
      <c r="I227" s="391" t="inlineStr">
        <is>
          <t> </t>
        </is>
      </c>
      <c r="J227" s="391" t="inlineStr">
        <is>
          <t> </t>
        </is>
      </c>
      <c r="K227" s="38" t="inlineStr">
        <is>
          <t> </t>
        </is>
      </c>
      <c r="L227" s="391" t="inlineStr">
        <is>
          <t> </t>
        </is>
      </c>
      <c r="M227" s="391" t="inlineStr">
        <is>
          <t> </t>
        </is>
      </c>
      <c r="N227" s="391" t="inlineStr">
        <is>
          <t> </t>
        </is>
      </c>
      <c r="O227" s="391" t="inlineStr">
        <is>
          <t> </t>
        </is>
      </c>
      <c r="P227" s="391" t="inlineStr">
        <is>
          <t> </t>
        </is>
      </c>
      <c r="Q227" s="391" t="inlineStr">
        <is>
          <t> </t>
        </is>
      </c>
      <c r="R227" s="38" t="inlineStr">
        <is>
          <t> </t>
        </is>
      </c>
      <c r="S227" s="391" t="inlineStr">
        <is>
          <t> </t>
        </is>
      </c>
      <c r="T227" s="391" t="inlineStr">
        <is>
          <t> </t>
        </is>
      </c>
      <c r="U227" s="391" t="inlineStr">
        <is>
          <t> </t>
        </is>
      </c>
      <c r="V227" s="391" t="inlineStr">
        <is>
          <t> </t>
        </is>
      </c>
      <c r="W227" s="391" t="inlineStr">
        <is>
          <t> </t>
        </is>
      </c>
      <c r="X227" s="391" t="inlineStr">
        <is>
          <t> </t>
        </is>
      </c>
      <c r="Y227" s="392" t="inlineStr">
        <is>
          <t> </t>
        </is>
      </c>
      <c r="Z227" s="391" t="inlineStr">
        <is>
          <t> </t>
        </is>
      </c>
      <c r="AA227" s="391" t="inlineStr">
        <is>
          <t> </t>
        </is>
      </c>
      <c r="AB227" s="391" t="inlineStr">
        <is>
          <t> </t>
        </is>
      </c>
      <c r="AC227" s="391" t="inlineStr">
        <is>
          <t> </t>
        </is>
      </c>
      <c r="AD227" s="391" t="inlineStr">
        <is>
          <t> </t>
        </is>
      </c>
      <c r="AE227" s="391" t="inlineStr">
        <is>
          <t> </t>
        </is>
      </c>
      <c r="AF227" s="38" t="inlineStr">
        <is>
          <t> </t>
        </is>
      </c>
      <c r="AG227" s="391" t="inlineStr">
        <is>
          <t> </t>
        </is>
      </c>
      <c r="AH227" s="391" t="n"/>
      <c r="AI227" s="391" t="inlineStr">
        <is>
          <t> </t>
        </is>
      </c>
      <c r="AJ227" s="391" t="inlineStr">
        <is>
          <t> </t>
        </is>
      </c>
      <c r="AK227" s="391" t="inlineStr">
        <is>
          <t> </t>
        </is>
      </c>
      <c r="AL227" s="391" t="inlineStr">
        <is>
          <t> </t>
        </is>
      </c>
      <c r="AM227" s="391" t="inlineStr">
        <is>
          <t> </t>
        </is>
      </c>
      <c r="AN227" s="391" t="inlineStr">
        <is>
          <t> </t>
        </is>
      </c>
      <c r="AO227" s="391" t="n"/>
      <c r="AP227" s="319" t="n"/>
      <c r="AQ227" s="319" t="n"/>
      <c r="AR227" s="319" t="n"/>
    </row>
    <row r="228" ht="15.75" customHeight="1" s="1264">
      <c r="A228" s="319" t="inlineStr">
        <is>
          <t> </t>
        </is>
      </c>
      <c r="B228" s="319" t="inlineStr">
        <is>
          <t> </t>
        </is>
      </c>
      <c r="C228" s="319" t="inlineStr">
        <is>
          <t> </t>
        </is>
      </c>
      <c r="D228" s="38" t="inlineStr">
        <is>
          <t> </t>
        </is>
      </c>
      <c r="E228" s="391" t="inlineStr">
        <is>
          <t> </t>
        </is>
      </c>
      <c r="F228" s="391" t="inlineStr">
        <is>
          <t> </t>
        </is>
      </c>
      <c r="G228" s="391" t="inlineStr">
        <is>
          <t> </t>
        </is>
      </c>
      <c r="H228" s="391" t="inlineStr">
        <is>
          <t> </t>
        </is>
      </c>
      <c r="I228" s="391" t="inlineStr">
        <is>
          <t> </t>
        </is>
      </c>
      <c r="J228" s="391" t="inlineStr">
        <is>
          <t> </t>
        </is>
      </c>
      <c r="K228" s="38" t="inlineStr">
        <is>
          <t> </t>
        </is>
      </c>
      <c r="L228" s="391" t="inlineStr">
        <is>
          <t> </t>
        </is>
      </c>
      <c r="M228" s="391" t="inlineStr">
        <is>
          <t> </t>
        </is>
      </c>
      <c r="N228" s="391" t="inlineStr">
        <is>
          <t> </t>
        </is>
      </c>
      <c r="O228" s="391" t="inlineStr">
        <is>
          <t> </t>
        </is>
      </c>
      <c r="P228" s="391" t="inlineStr">
        <is>
          <t> </t>
        </is>
      </c>
      <c r="Q228" s="391" t="inlineStr">
        <is>
          <t> </t>
        </is>
      </c>
      <c r="R228" s="38" t="inlineStr">
        <is>
          <t> </t>
        </is>
      </c>
      <c r="S228" s="391" t="inlineStr">
        <is>
          <t> </t>
        </is>
      </c>
      <c r="T228" s="391" t="inlineStr">
        <is>
          <t> </t>
        </is>
      </c>
      <c r="U228" s="391" t="inlineStr">
        <is>
          <t> </t>
        </is>
      </c>
      <c r="V228" s="391" t="inlineStr">
        <is>
          <t> </t>
        </is>
      </c>
      <c r="W228" s="391" t="inlineStr">
        <is>
          <t> </t>
        </is>
      </c>
      <c r="X228" s="391" t="inlineStr">
        <is>
          <t> </t>
        </is>
      </c>
      <c r="Y228" s="392" t="inlineStr">
        <is>
          <t> </t>
        </is>
      </c>
      <c r="Z228" s="391" t="inlineStr">
        <is>
          <t> </t>
        </is>
      </c>
      <c r="AA228" s="391" t="inlineStr">
        <is>
          <t> </t>
        </is>
      </c>
      <c r="AB228" s="391" t="inlineStr">
        <is>
          <t> </t>
        </is>
      </c>
      <c r="AC228" s="391" t="inlineStr">
        <is>
          <t> </t>
        </is>
      </c>
      <c r="AD228" s="391" t="inlineStr">
        <is>
          <t> </t>
        </is>
      </c>
      <c r="AE228" s="391" t="inlineStr">
        <is>
          <t> </t>
        </is>
      </c>
      <c r="AF228" s="38" t="inlineStr">
        <is>
          <t> </t>
        </is>
      </c>
      <c r="AG228" s="391" t="inlineStr">
        <is>
          <t> </t>
        </is>
      </c>
      <c r="AH228" s="391" t="n"/>
      <c r="AI228" s="391" t="inlineStr">
        <is>
          <t> </t>
        </is>
      </c>
      <c r="AJ228" s="391" t="inlineStr">
        <is>
          <t> </t>
        </is>
      </c>
      <c r="AK228" s="391" t="inlineStr">
        <is>
          <t> </t>
        </is>
      </c>
      <c r="AL228" s="391" t="inlineStr">
        <is>
          <t> </t>
        </is>
      </c>
      <c r="AM228" s="391" t="inlineStr">
        <is>
          <t> </t>
        </is>
      </c>
      <c r="AN228" s="391" t="inlineStr">
        <is>
          <t> </t>
        </is>
      </c>
      <c r="AO228" s="391" t="n"/>
      <c r="AP228" s="319" t="n"/>
      <c r="AQ228" s="319" t="n"/>
      <c r="AR228" s="319" t="n"/>
    </row>
    <row r="229" ht="15.75" customHeight="1" s="1264">
      <c r="A229" s="319" t="inlineStr">
        <is>
          <t> </t>
        </is>
      </c>
      <c r="B229" s="319" t="inlineStr">
        <is>
          <t> </t>
        </is>
      </c>
      <c r="C229" s="319" t="inlineStr">
        <is>
          <t> </t>
        </is>
      </c>
      <c r="D229" s="38" t="inlineStr">
        <is>
          <t> </t>
        </is>
      </c>
      <c r="E229" s="391" t="inlineStr">
        <is>
          <t> </t>
        </is>
      </c>
      <c r="F229" s="391" t="inlineStr">
        <is>
          <t> </t>
        </is>
      </c>
      <c r="G229" s="391" t="inlineStr">
        <is>
          <t> </t>
        </is>
      </c>
      <c r="H229" s="391" t="inlineStr">
        <is>
          <t> </t>
        </is>
      </c>
      <c r="I229" s="391" t="inlineStr">
        <is>
          <t> </t>
        </is>
      </c>
      <c r="J229" s="391" t="inlineStr">
        <is>
          <t> </t>
        </is>
      </c>
      <c r="K229" s="38" t="inlineStr">
        <is>
          <t> </t>
        </is>
      </c>
      <c r="L229" s="391" t="inlineStr">
        <is>
          <t> </t>
        </is>
      </c>
      <c r="M229" s="391" t="inlineStr">
        <is>
          <t> </t>
        </is>
      </c>
      <c r="N229" s="391" t="inlineStr">
        <is>
          <t> </t>
        </is>
      </c>
      <c r="O229" s="391" t="inlineStr">
        <is>
          <t> </t>
        </is>
      </c>
      <c r="P229" s="391" t="inlineStr">
        <is>
          <t> </t>
        </is>
      </c>
      <c r="Q229" s="391" t="inlineStr">
        <is>
          <t> </t>
        </is>
      </c>
      <c r="R229" s="38" t="inlineStr">
        <is>
          <t> </t>
        </is>
      </c>
      <c r="S229" s="391" t="inlineStr">
        <is>
          <t> </t>
        </is>
      </c>
      <c r="T229" s="391" t="inlineStr">
        <is>
          <t> </t>
        </is>
      </c>
      <c r="U229" s="391" t="inlineStr">
        <is>
          <t> </t>
        </is>
      </c>
      <c r="V229" s="391" t="inlineStr">
        <is>
          <t> </t>
        </is>
      </c>
      <c r="W229" s="391" t="inlineStr">
        <is>
          <t> </t>
        </is>
      </c>
      <c r="X229" s="391" t="inlineStr">
        <is>
          <t> </t>
        </is>
      </c>
      <c r="Y229" s="392" t="inlineStr">
        <is>
          <t> </t>
        </is>
      </c>
      <c r="Z229" s="391" t="inlineStr">
        <is>
          <t> </t>
        </is>
      </c>
      <c r="AA229" s="391" t="inlineStr">
        <is>
          <t> </t>
        </is>
      </c>
      <c r="AB229" s="391" t="inlineStr">
        <is>
          <t> </t>
        </is>
      </c>
      <c r="AC229" s="391" t="inlineStr">
        <is>
          <t> </t>
        </is>
      </c>
      <c r="AD229" s="391" t="inlineStr">
        <is>
          <t> </t>
        </is>
      </c>
      <c r="AE229" s="391" t="inlineStr">
        <is>
          <t> </t>
        </is>
      </c>
      <c r="AF229" s="38" t="inlineStr">
        <is>
          <t> </t>
        </is>
      </c>
      <c r="AG229" s="391" t="inlineStr">
        <is>
          <t> </t>
        </is>
      </c>
      <c r="AH229" s="391" t="n"/>
      <c r="AI229" s="391" t="inlineStr">
        <is>
          <t> </t>
        </is>
      </c>
      <c r="AJ229" s="391" t="inlineStr">
        <is>
          <t> </t>
        </is>
      </c>
      <c r="AK229" s="391" t="inlineStr">
        <is>
          <t> </t>
        </is>
      </c>
      <c r="AL229" s="391" t="inlineStr">
        <is>
          <t> </t>
        </is>
      </c>
      <c r="AM229" s="391" t="inlineStr">
        <is>
          <t> </t>
        </is>
      </c>
      <c r="AN229" s="391" t="inlineStr">
        <is>
          <t> </t>
        </is>
      </c>
      <c r="AO229" s="391" t="n"/>
      <c r="AP229" s="319" t="n"/>
      <c r="AQ229" s="319" t="n"/>
      <c r="AR229" s="319" t="n"/>
    </row>
    <row r="230" ht="15.75" customHeight="1" s="1264">
      <c r="A230" s="319" t="inlineStr">
        <is>
          <t> </t>
        </is>
      </c>
      <c r="B230" s="319" t="inlineStr">
        <is>
          <t> </t>
        </is>
      </c>
      <c r="C230" s="319" t="inlineStr">
        <is>
          <t> </t>
        </is>
      </c>
      <c r="D230" s="38" t="inlineStr">
        <is>
          <t> </t>
        </is>
      </c>
      <c r="E230" s="391" t="inlineStr">
        <is>
          <t> </t>
        </is>
      </c>
      <c r="F230" s="391" t="inlineStr">
        <is>
          <t> </t>
        </is>
      </c>
      <c r="G230" s="391" t="inlineStr">
        <is>
          <t> </t>
        </is>
      </c>
      <c r="H230" s="391" t="inlineStr">
        <is>
          <t> </t>
        </is>
      </c>
      <c r="I230" s="391" t="inlineStr">
        <is>
          <t> </t>
        </is>
      </c>
      <c r="J230" s="391" t="inlineStr">
        <is>
          <t> </t>
        </is>
      </c>
      <c r="K230" s="38" t="inlineStr">
        <is>
          <t> </t>
        </is>
      </c>
      <c r="L230" s="391" t="inlineStr">
        <is>
          <t> </t>
        </is>
      </c>
      <c r="M230" s="391" t="inlineStr">
        <is>
          <t> </t>
        </is>
      </c>
      <c r="N230" s="391" t="inlineStr">
        <is>
          <t> </t>
        </is>
      </c>
      <c r="O230" s="391" t="inlineStr">
        <is>
          <t> </t>
        </is>
      </c>
      <c r="P230" s="391" t="inlineStr">
        <is>
          <t> </t>
        </is>
      </c>
      <c r="Q230" s="391" t="inlineStr">
        <is>
          <t> </t>
        </is>
      </c>
      <c r="R230" s="38" t="inlineStr">
        <is>
          <t> </t>
        </is>
      </c>
      <c r="S230" s="391" t="inlineStr">
        <is>
          <t> </t>
        </is>
      </c>
      <c r="T230" s="391" t="inlineStr">
        <is>
          <t> </t>
        </is>
      </c>
      <c r="U230" s="391" t="inlineStr">
        <is>
          <t> </t>
        </is>
      </c>
      <c r="V230" s="391" t="inlineStr">
        <is>
          <t> </t>
        </is>
      </c>
      <c r="W230" s="391" t="inlineStr">
        <is>
          <t> </t>
        </is>
      </c>
      <c r="X230" s="391" t="inlineStr">
        <is>
          <t> </t>
        </is>
      </c>
      <c r="Y230" s="392" t="inlineStr">
        <is>
          <t> </t>
        </is>
      </c>
      <c r="Z230" s="391" t="inlineStr">
        <is>
          <t> </t>
        </is>
      </c>
      <c r="AA230" s="391" t="inlineStr">
        <is>
          <t> </t>
        </is>
      </c>
      <c r="AB230" s="391" t="inlineStr">
        <is>
          <t> </t>
        </is>
      </c>
      <c r="AC230" s="391" t="inlineStr">
        <is>
          <t> </t>
        </is>
      </c>
      <c r="AD230" s="391" t="inlineStr">
        <is>
          <t> </t>
        </is>
      </c>
      <c r="AE230" s="391" t="inlineStr">
        <is>
          <t> </t>
        </is>
      </c>
      <c r="AF230" s="38" t="inlineStr">
        <is>
          <t> </t>
        </is>
      </c>
      <c r="AG230" s="391" t="inlineStr">
        <is>
          <t> </t>
        </is>
      </c>
      <c r="AH230" s="391" t="n"/>
      <c r="AI230" s="391" t="inlineStr">
        <is>
          <t> </t>
        </is>
      </c>
      <c r="AJ230" s="391" t="inlineStr">
        <is>
          <t> </t>
        </is>
      </c>
      <c r="AK230" s="391" t="inlineStr">
        <is>
          <t> </t>
        </is>
      </c>
      <c r="AL230" s="391" t="inlineStr">
        <is>
          <t> </t>
        </is>
      </c>
      <c r="AM230" s="391" t="inlineStr">
        <is>
          <t> </t>
        </is>
      </c>
      <c r="AN230" s="391" t="inlineStr">
        <is>
          <t> </t>
        </is>
      </c>
      <c r="AO230" s="391" t="n"/>
      <c r="AP230" s="319" t="n"/>
      <c r="AQ230" s="319" t="n"/>
      <c r="AR230" s="319" t="n"/>
    </row>
    <row r="231" ht="15.75" customHeight="1" s="1264">
      <c r="A231" s="319" t="inlineStr">
        <is>
          <t> </t>
        </is>
      </c>
      <c r="B231" s="319" t="inlineStr">
        <is>
          <t> </t>
        </is>
      </c>
      <c r="C231" s="319" t="inlineStr">
        <is>
          <t> </t>
        </is>
      </c>
      <c r="D231" s="38" t="inlineStr">
        <is>
          <t> </t>
        </is>
      </c>
      <c r="E231" s="391" t="inlineStr">
        <is>
          <t> </t>
        </is>
      </c>
      <c r="F231" s="391" t="inlineStr">
        <is>
          <t> </t>
        </is>
      </c>
      <c r="G231" s="391" t="inlineStr">
        <is>
          <t> </t>
        </is>
      </c>
      <c r="H231" s="391" t="inlineStr">
        <is>
          <t> </t>
        </is>
      </c>
      <c r="I231" s="391" t="inlineStr">
        <is>
          <t> </t>
        </is>
      </c>
      <c r="J231" s="391" t="inlineStr">
        <is>
          <t> </t>
        </is>
      </c>
      <c r="K231" s="38" t="inlineStr">
        <is>
          <t> </t>
        </is>
      </c>
      <c r="L231" s="391" t="inlineStr">
        <is>
          <t> </t>
        </is>
      </c>
      <c r="M231" s="391" t="inlineStr">
        <is>
          <t> </t>
        </is>
      </c>
      <c r="N231" s="391" t="inlineStr">
        <is>
          <t> </t>
        </is>
      </c>
      <c r="O231" s="391" t="inlineStr">
        <is>
          <t> </t>
        </is>
      </c>
      <c r="P231" s="391" t="inlineStr">
        <is>
          <t> </t>
        </is>
      </c>
      <c r="Q231" s="391" t="inlineStr">
        <is>
          <t> </t>
        </is>
      </c>
      <c r="R231" s="38" t="inlineStr">
        <is>
          <t> </t>
        </is>
      </c>
      <c r="S231" s="391" t="inlineStr">
        <is>
          <t> </t>
        </is>
      </c>
      <c r="T231" s="391" t="inlineStr">
        <is>
          <t> </t>
        </is>
      </c>
      <c r="U231" s="391" t="inlineStr">
        <is>
          <t> </t>
        </is>
      </c>
      <c r="V231" s="391" t="inlineStr">
        <is>
          <t> </t>
        </is>
      </c>
      <c r="W231" s="391" t="inlineStr">
        <is>
          <t> </t>
        </is>
      </c>
      <c r="X231" s="391" t="inlineStr">
        <is>
          <t> </t>
        </is>
      </c>
      <c r="Y231" s="392" t="inlineStr">
        <is>
          <t> </t>
        </is>
      </c>
      <c r="Z231" s="391" t="inlineStr">
        <is>
          <t> </t>
        </is>
      </c>
      <c r="AA231" s="391" t="inlineStr">
        <is>
          <t> </t>
        </is>
      </c>
      <c r="AB231" s="391" t="inlineStr">
        <is>
          <t> </t>
        </is>
      </c>
      <c r="AC231" s="391" t="inlineStr">
        <is>
          <t> </t>
        </is>
      </c>
      <c r="AD231" s="391" t="inlineStr">
        <is>
          <t> </t>
        </is>
      </c>
      <c r="AE231" s="391" t="inlineStr">
        <is>
          <t> </t>
        </is>
      </c>
      <c r="AF231" s="38" t="inlineStr">
        <is>
          <t> </t>
        </is>
      </c>
      <c r="AG231" s="391" t="inlineStr">
        <is>
          <t> </t>
        </is>
      </c>
      <c r="AH231" s="391" t="n"/>
      <c r="AI231" s="391" t="inlineStr">
        <is>
          <t> </t>
        </is>
      </c>
      <c r="AJ231" s="391" t="inlineStr">
        <is>
          <t> </t>
        </is>
      </c>
      <c r="AK231" s="391" t="inlineStr">
        <is>
          <t> </t>
        </is>
      </c>
      <c r="AL231" s="391" t="inlineStr">
        <is>
          <t> </t>
        </is>
      </c>
      <c r="AM231" s="391" t="inlineStr">
        <is>
          <t> </t>
        </is>
      </c>
      <c r="AN231" s="391" t="inlineStr">
        <is>
          <t> </t>
        </is>
      </c>
      <c r="AO231" s="391" t="n"/>
      <c r="AP231" s="319" t="n"/>
      <c r="AQ231" s="319" t="n"/>
      <c r="AR231" s="319" t="n"/>
    </row>
    <row r="232" ht="15.75" customHeight="1" s="1264">
      <c r="A232" s="319" t="inlineStr">
        <is>
          <t> </t>
        </is>
      </c>
      <c r="B232" s="319" t="inlineStr">
        <is>
          <t> </t>
        </is>
      </c>
      <c r="C232" s="319" t="inlineStr">
        <is>
          <t> </t>
        </is>
      </c>
      <c r="D232" s="38" t="inlineStr">
        <is>
          <t> </t>
        </is>
      </c>
      <c r="E232" s="391" t="inlineStr">
        <is>
          <t> </t>
        </is>
      </c>
      <c r="F232" s="391" t="inlineStr">
        <is>
          <t> </t>
        </is>
      </c>
      <c r="G232" s="391" t="inlineStr">
        <is>
          <t> </t>
        </is>
      </c>
      <c r="H232" s="391" t="inlineStr">
        <is>
          <t> </t>
        </is>
      </c>
      <c r="I232" s="391" t="inlineStr">
        <is>
          <t> </t>
        </is>
      </c>
      <c r="J232" s="391" t="inlineStr">
        <is>
          <t> </t>
        </is>
      </c>
      <c r="K232" s="38" t="inlineStr">
        <is>
          <t> </t>
        </is>
      </c>
      <c r="L232" s="391" t="inlineStr">
        <is>
          <t> </t>
        </is>
      </c>
      <c r="M232" s="391" t="inlineStr">
        <is>
          <t> </t>
        </is>
      </c>
      <c r="N232" s="391" t="inlineStr">
        <is>
          <t> </t>
        </is>
      </c>
      <c r="O232" s="391" t="inlineStr">
        <is>
          <t> </t>
        </is>
      </c>
      <c r="P232" s="391" t="inlineStr">
        <is>
          <t> </t>
        </is>
      </c>
      <c r="Q232" s="391" t="inlineStr">
        <is>
          <t> </t>
        </is>
      </c>
      <c r="R232" s="38" t="inlineStr">
        <is>
          <t> </t>
        </is>
      </c>
      <c r="S232" s="391" t="inlineStr">
        <is>
          <t> </t>
        </is>
      </c>
      <c r="T232" s="391" t="inlineStr">
        <is>
          <t> </t>
        </is>
      </c>
      <c r="U232" s="391" t="inlineStr">
        <is>
          <t> </t>
        </is>
      </c>
      <c r="V232" s="391" t="inlineStr">
        <is>
          <t> </t>
        </is>
      </c>
      <c r="W232" s="391" t="inlineStr">
        <is>
          <t> </t>
        </is>
      </c>
      <c r="X232" s="391" t="inlineStr">
        <is>
          <t> </t>
        </is>
      </c>
      <c r="Y232" s="392" t="inlineStr">
        <is>
          <t> </t>
        </is>
      </c>
      <c r="Z232" s="391" t="inlineStr">
        <is>
          <t> </t>
        </is>
      </c>
      <c r="AA232" s="391" t="inlineStr">
        <is>
          <t> </t>
        </is>
      </c>
      <c r="AB232" s="391" t="inlineStr">
        <is>
          <t> </t>
        </is>
      </c>
      <c r="AC232" s="391" t="inlineStr">
        <is>
          <t> </t>
        </is>
      </c>
      <c r="AD232" s="391" t="inlineStr">
        <is>
          <t> </t>
        </is>
      </c>
      <c r="AE232" s="391" t="inlineStr">
        <is>
          <t> </t>
        </is>
      </c>
      <c r="AF232" s="38" t="inlineStr">
        <is>
          <t> </t>
        </is>
      </c>
      <c r="AG232" s="391" t="inlineStr">
        <is>
          <t> </t>
        </is>
      </c>
      <c r="AH232" s="391" t="n"/>
      <c r="AI232" s="391" t="inlineStr">
        <is>
          <t> </t>
        </is>
      </c>
      <c r="AJ232" s="391" t="inlineStr">
        <is>
          <t> </t>
        </is>
      </c>
      <c r="AK232" s="391" t="inlineStr">
        <is>
          <t> </t>
        </is>
      </c>
      <c r="AL232" s="391" t="inlineStr">
        <is>
          <t> </t>
        </is>
      </c>
      <c r="AM232" s="391" t="inlineStr">
        <is>
          <t> </t>
        </is>
      </c>
      <c r="AN232" s="391" t="inlineStr">
        <is>
          <t> </t>
        </is>
      </c>
      <c r="AO232" s="391" t="n"/>
      <c r="AP232" s="319" t="n"/>
      <c r="AQ232" s="319" t="n"/>
      <c r="AR232" s="319" t="n"/>
    </row>
    <row r="233" ht="15.75" customHeight="1" s="1264">
      <c r="A233" s="319" t="inlineStr">
        <is>
          <t> </t>
        </is>
      </c>
      <c r="B233" s="319" t="inlineStr">
        <is>
          <t> </t>
        </is>
      </c>
      <c r="C233" s="319" t="inlineStr">
        <is>
          <t> </t>
        </is>
      </c>
      <c r="D233" s="38" t="inlineStr">
        <is>
          <t> </t>
        </is>
      </c>
      <c r="E233" s="391" t="inlineStr">
        <is>
          <t> </t>
        </is>
      </c>
      <c r="F233" s="391" t="inlineStr">
        <is>
          <t> </t>
        </is>
      </c>
      <c r="G233" s="391" t="inlineStr">
        <is>
          <t> </t>
        </is>
      </c>
      <c r="H233" s="391" t="inlineStr">
        <is>
          <t> </t>
        </is>
      </c>
      <c r="I233" s="391" t="inlineStr">
        <is>
          <t> </t>
        </is>
      </c>
      <c r="J233" s="391" t="inlineStr">
        <is>
          <t> </t>
        </is>
      </c>
      <c r="K233" s="38" t="inlineStr">
        <is>
          <t> </t>
        </is>
      </c>
      <c r="L233" s="391" t="inlineStr">
        <is>
          <t> </t>
        </is>
      </c>
      <c r="M233" s="391" t="inlineStr">
        <is>
          <t> </t>
        </is>
      </c>
      <c r="N233" s="391" t="inlineStr">
        <is>
          <t> </t>
        </is>
      </c>
      <c r="O233" s="391" t="inlineStr">
        <is>
          <t> </t>
        </is>
      </c>
      <c r="P233" s="391" t="inlineStr">
        <is>
          <t> </t>
        </is>
      </c>
      <c r="Q233" s="391" t="inlineStr">
        <is>
          <t> </t>
        </is>
      </c>
      <c r="R233" s="38" t="inlineStr">
        <is>
          <t> </t>
        </is>
      </c>
      <c r="S233" s="391" t="inlineStr">
        <is>
          <t> </t>
        </is>
      </c>
      <c r="T233" s="391" t="inlineStr">
        <is>
          <t> </t>
        </is>
      </c>
      <c r="U233" s="391" t="inlineStr">
        <is>
          <t> </t>
        </is>
      </c>
      <c r="V233" s="391" t="inlineStr">
        <is>
          <t> </t>
        </is>
      </c>
      <c r="W233" s="391" t="inlineStr">
        <is>
          <t> </t>
        </is>
      </c>
      <c r="X233" s="391" t="inlineStr">
        <is>
          <t> </t>
        </is>
      </c>
      <c r="Y233" s="392" t="inlineStr">
        <is>
          <t> </t>
        </is>
      </c>
      <c r="Z233" s="391" t="inlineStr">
        <is>
          <t> </t>
        </is>
      </c>
      <c r="AA233" s="391" t="inlineStr">
        <is>
          <t> </t>
        </is>
      </c>
      <c r="AB233" s="391" t="inlineStr">
        <is>
          <t> </t>
        </is>
      </c>
      <c r="AC233" s="391" t="inlineStr">
        <is>
          <t> </t>
        </is>
      </c>
      <c r="AD233" s="391" t="inlineStr">
        <is>
          <t> </t>
        </is>
      </c>
      <c r="AE233" s="391" t="inlineStr">
        <is>
          <t> </t>
        </is>
      </c>
      <c r="AF233" s="38" t="inlineStr">
        <is>
          <t> </t>
        </is>
      </c>
      <c r="AG233" s="391" t="inlineStr">
        <is>
          <t> </t>
        </is>
      </c>
      <c r="AH233" s="391" t="n"/>
      <c r="AI233" s="391" t="inlineStr">
        <is>
          <t> </t>
        </is>
      </c>
      <c r="AJ233" s="391" t="inlineStr">
        <is>
          <t> </t>
        </is>
      </c>
      <c r="AK233" s="391" t="inlineStr">
        <is>
          <t> </t>
        </is>
      </c>
      <c r="AL233" s="391" t="inlineStr">
        <is>
          <t> </t>
        </is>
      </c>
      <c r="AM233" s="391" t="inlineStr">
        <is>
          <t> </t>
        </is>
      </c>
      <c r="AN233" s="391" t="inlineStr">
        <is>
          <t> </t>
        </is>
      </c>
      <c r="AO233" s="391" t="n"/>
      <c r="AP233" s="319" t="n"/>
      <c r="AQ233" s="319" t="n"/>
      <c r="AR233" s="319" t="n"/>
    </row>
    <row r="234" ht="15.75" customHeight="1" s="1264">
      <c r="A234" s="319" t="inlineStr">
        <is>
          <t> </t>
        </is>
      </c>
      <c r="B234" s="319" t="inlineStr">
        <is>
          <t> </t>
        </is>
      </c>
      <c r="C234" s="319" t="inlineStr">
        <is>
          <t> </t>
        </is>
      </c>
      <c r="D234" s="38" t="inlineStr">
        <is>
          <t> </t>
        </is>
      </c>
      <c r="E234" s="391" t="inlineStr">
        <is>
          <t> </t>
        </is>
      </c>
      <c r="F234" s="391" t="inlineStr">
        <is>
          <t> </t>
        </is>
      </c>
      <c r="G234" s="391" t="inlineStr">
        <is>
          <t> </t>
        </is>
      </c>
      <c r="H234" s="391" t="inlineStr">
        <is>
          <t> </t>
        </is>
      </c>
      <c r="I234" s="391" t="inlineStr">
        <is>
          <t> </t>
        </is>
      </c>
      <c r="J234" s="391" t="inlineStr">
        <is>
          <t> </t>
        </is>
      </c>
      <c r="K234" s="38" t="inlineStr">
        <is>
          <t> </t>
        </is>
      </c>
      <c r="L234" s="391" t="inlineStr">
        <is>
          <t> </t>
        </is>
      </c>
      <c r="M234" s="391" t="inlineStr">
        <is>
          <t> </t>
        </is>
      </c>
      <c r="N234" s="391" t="inlineStr">
        <is>
          <t> </t>
        </is>
      </c>
      <c r="O234" s="391" t="inlineStr">
        <is>
          <t> </t>
        </is>
      </c>
      <c r="P234" s="391" t="inlineStr">
        <is>
          <t> </t>
        </is>
      </c>
      <c r="Q234" s="391" t="inlineStr">
        <is>
          <t> </t>
        </is>
      </c>
      <c r="R234" s="38" t="inlineStr">
        <is>
          <t> </t>
        </is>
      </c>
      <c r="S234" s="391" t="inlineStr">
        <is>
          <t> </t>
        </is>
      </c>
      <c r="T234" s="391" t="inlineStr">
        <is>
          <t> </t>
        </is>
      </c>
      <c r="U234" s="391" t="inlineStr">
        <is>
          <t> </t>
        </is>
      </c>
      <c r="V234" s="391" t="inlineStr">
        <is>
          <t> </t>
        </is>
      </c>
      <c r="W234" s="391" t="inlineStr">
        <is>
          <t> </t>
        </is>
      </c>
      <c r="X234" s="391" t="inlineStr">
        <is>
          <t> </t>
        </is>
      </c>
      <c r="Y234" s="392" t="inlineStr">
        <is>
          <t> </t>
        </is>
      </c>
      <c r="Z234" s="391" t="inlineStr">
        <is>
          <t> </t>
        </is>
      </c>
      <c r="AA234" s="391" t="inlineStr">
        <is>
          <t> </t>
        </is>
      </c>
      <c r="AB234" s="391" t="inlineStr">
        <is>
          <t> </t>
        </is>
      </c>
      <c r="AC234" s="391" t="inlineStr">
        <is>
          <t> </t>
        </is>
      </c>
      <c r="AD234" s="391" t="inlineStr">
        <is>
          <t> </t>
        </is>
      </c>
      <c r="AE234" s="391" t="inlineStr">
        <is>
          <t> </t>
        </is>
      </c>
      <c r="AF234" s="38" t="inlineStr">
        <is>
          <t> </t>
        </is>
      </c>
      <c r="AG234" s="391" t="inlineStr">
        <is>
          <t> </t>
        </is>
      </c>
      <c r="AH234" s="391" t="n"/>
      <c r="AI234" s="391" t="inlineStr">
        <is>
          <t> </t>
        </is>
      </c>
      <c r="AJ234" s="391" t="inlineStr">
        <is>
          <t> </t>
        </is>
      </c>
      <c r="AK234" s="391" t="inlineStr">
        <is>
          <t> </t>
        </is>
      </c>
      <c r="AL234" s="391" t="inlineStr">
        <is>
          <t> </t>
        </is>
      </c>
      <c r="AM234" s="391" t="inlineStr">
        <is>
          <t> </t>
        </is>
      </c>
      <c r="AN234" s="391" t="inlineStr">
        <is>
          <t> </t>
        </is>
      </c>
      <c r="AO234" s="391" t="n"/>
      <c r="AP234" s="319" t="n"/>
      <c r="AQ234" s="319" t="n"/>
      <c r="AR234" s="319" t="n"/>
    </row>
    <row r="235" ht="15.75" customHeight="1" s="1264">
      <c r="A235" s="319" t="inlineStr">
        <is>
          <t> </t>
        </is>
      </c>
      <c r="B235" s="319" t="inlineStr">
        <is>
          <t> </t>
        </is>
      </c>
      <c r="C235" s="319" t="inlineStr">
        <is>
          <t> </t>
        </is>
      </c>
      <c r="D235" s="38" t="inlineStr">
        <is>
          <t> </t>
        </is>
      </c>
      <c r="E235" s="391" t="inlineStr">
        <is>
          <t> </t>
        </is>
      </c>
      <c r="F235" s="391" t="inlineStr">
        <is>
          <t> </t>
        </is>
      </c>
      <c r="G235" s="391" t="inlineStr">
        <is>
          <t> </t>
        </is>
      </c>
      <c r="H235" s="391" t="inlineStr">
        <is>
          <t> </t>
        </is>
      </c>
      <c r="I235" s="391" t="inlineStr">
        <is>
          <t> </t>
        </is>
      </c>
      <c r="J235" s="391" t="inlineStr">
        <is>
          <t> </t>
        </is>
      </c>
      <c r="K235" s="38" t="inlineStr">
        <is>
          <t> </t>
        </is>
      </c>
      <c r="L235" s="391" t="inlineStr">
        <is>
          <t> </t>
        </is>
      </c>
      <c r="M235" s="391" t="inlineStr">
        <is>
          <t> </t>
        </is>
      </c>
      <c r="N235" s="391" t="inlineStr">
        <is>
          <t> </t>
        </is>
      </c>
      <c r="O235" s="391" t="inlineStr">
        <is>
          <t> </t>
        </is>
      </c>
      <c r="P235" s="391" t="inlineStr">
        <is>
          <t> </t>
        </is>
      </c>
      <c r="Q235" s="391" t="inlineStr">
        <is>
          <t> </t>
        </is>
      </c>
      <c r="R235" s="38" t="inlineStr">
        <is>
          <t> </t>
        </is>
      </c>
      <c r="S235" s="391" t="inlineStr">
        <is>
          <t> </t>
        </is>
      </c>
      <c r="T235" s="391" t="inlineStr">
        <is>
          <t> </t>
        </is>
      </c>
      <c r="U235" s="391" t="inlineStr">
        <is>
          <t> </t>
        </is>
      </c>
      <c r="V235" s="391" t="inlineStr">
        <is>
          <t> </t>
        </is>
      </c>
      <c r="W235" s="391" t="inlineStr">
        <is>
          <t> </t>
        </is>
      </c>
      <c r="X235" s="391" t="inlineStr">
        <is>
          <t> </t>
        </is>
      </c>
      <c r="Y235" s="392" t="inlineStr">
        <is>
          <t> </t>
        </is>
      </c>
      <c r="Z235" s="391" t="inlineStr">
        <is>
          <t> </t>
        </is>
      </c>
      <c r="AA235" s="391" t="inlineStr">
        <is>
          <t> </t>
        </is>
      </c>
      <c r="AB235" s="391" t="inlineStr">
        <is>
          <t> </t>
        </is>
      </c>
      <c r="AC235" s="391" t="inlineStr">
        <is>
          <t> </t>
        </is>
      </c>
      <c r="AD235" s="391" t="inlineStr">
        <is>
          <t> </t>
        </is>
      </c>
      <c r="AE235" s="391" t="inlineStr">
        <is>
          <t> </t>
        </is>
      </c>
      <c r="AF235" s="38" t="inlineStr">
        <is>
          <t> </t>
        </is>
      </c>
      <c r="AG235" s="391" t="inlineStr">
        <is>
          <t> </t>
        </is>
      </c>
      <c r="AH235" s="391" t="n"/>
      <c r="AI235" s="391" t="inlineStr">
        <is>
          <t> </t>
        </is>
      </c>
      <c r="AJ235" s="391" t="inlineStr">
        <is>
          <t> </t>
        </is>
      </c>
      <c r="AK235" s="391" t="inlineStr">
        <is>
          <t> </t>
        </is>
      </c>
      <c r="AL235" s="391" t="inlineStr">
        <is>
          <t> </t>
        </is>
      </c>
      <c r="AM235" s="391" t="inlineStr">
        <is>
          <t> </t>
        </is>
      </c>
      <c r="AN235" s="391" t="inlineStr">
        <is>
          <t> </t>
        </is>
      </c>
      <c r="AO235" s="391" t="n"/>
      <c r="AP235" s="319" t="n"/>
      <c r="AQ235" s="319" t="n"/>
      <c r="AR235" s="319" t="n"/>
    </row>
    <row r="236" ht="15.75" customHeight="1" s="1264">
      <c r="A236" s="319" t="inlineStr">
        <is>
          <t> </t>
        </is>
      </c>
      <c r="B236" s="319" t="inlineStr">
        <is>
          <t> </t>
        </is>
      </c>
      <c r="C236" s="319" t="inlineStr">
        <is>
          <t> </t>
        </is>
      </c>
      <c r="D236" s="38" t="inlineStr">
        <is>
          <t> </t>
        </is>
      </c>
      <c r="E236" s="391" t="inlineStr">
        <is>
          <t> </t>
        </is>
      </c>
      <c r="F236" s="391" t="inlineStr">
        <is>
          <t> </t>
        </is>
      </c>
      <c r="G236" s="391" t="inlineStr">
        <is>
          <t> </t>
        </is>
      </c>
      <c r="H236" s="391" t="inlineStr">
        <is>
          <t> </t>
        </is>
      </c>
      <c r="I236" s="391" t="inlineStr">
        <is>
          <t> </t>
        </is>
      </c>
      <c r="J236" s="391" t="inlineStr">
        <is>
          <t> </t>
        </is>
      </c>
      <c r="K236" s="38" t="inlineStr">
        <is>
          <t> </t>
        </is>
      </c>
      <c r="L236" s="391" t="inlineStr">
        <is>
          <t> </t>
        </is>
      </c>
      <c r="M236" s="391" t="inlineStr">
        <is>
          <t> </t>
        </is>
      </c>
      <c r="N236" s="391" t="inlineStr">
        <is>
          <t> </t>
        </is>
      </c>
      <c r="O236" s="391" t="inlineStr">
        <is>
          <t> </t>
        </is>
      </c>
      <c r="P236" s="391" t="inlineStr">
        <is>
          <t> </t>
        </is>
      </c>
      <c r="Q236" s="391" t="inlineStr">
        <is>
          <t> </t>
        </is>
      </c>
      <c r="R236" s="38" t="inlineStr">
        <is>
          <t> </t>
        </is>
      </c>
      <c r="S236" s="391" t="inlineStr">
        <is>
          <t> </t>
        </is>
      </c>
      <c r="T236" s="391" t="inlineStr">
        <is>
          <t> </t>
        </is>
      </c>
      <c r="U236" s="391" t="inlineStr">
        <is>
          <t> </t>
        </is>
      </c>
      <c r="V236" s="391" t="inlineStr">
        <is>
          <t> </t>
        </is>
      </c>
      <c r="W236" s="391" t="inlineStr">
        <is>
          <t> </t>
        </is>
      </c>
      <c r="X236" s="391" t="inlineStr">
        <is>
          <t> </t>
        </is>
      </c>
      <c r="Y236" s="392" t="inlineStr">
        <is>
          <t> </t>
        </is>
      </c>
      <c r="Z236" s="391" t="inlineStr">
        <is>
          <t> </t>
        </is>
      </c>
      <c r="AA236" s="391" t="inlineStr">
        <is>
          <t> </t>
        </is>
      </c>
      <c r="AB236" s="391" t="inlineStr">
        <is>
          <t> </t>
        </is>
      </c>
      <c r="AC236" s="391" t="inlineStr">
        <is>
          <t> </t>
        </is>
      </c>
      <c r="AD236" s="391" t="inlineStr">
        <is>
          <t> </t>
        </is>
      </c>
      <c r="AE236" s="391" t="inlineStr">
        <is>
          <t> </t>
        </is>
      </c>
      <c r="AF236" s="38" t="inlineStr">
        <is>
          <t> </t>
        </is>
      </c>
      <c r="AG236" s="391" t="inlineStr">
        <is>
          <t> </t>
        </is>
      </c>
      <c r="AH236" s="391" t="n"/>
      <c r="AI236" s="391" t="inlineStr">
        <is>
          <t> </t>
        </is>
      </c>
      <c r="AJ236" s="391" t="inlineStr">
        <is>
          <t> </t>
        </is>
      </c>
      <c r="AK236" s="391" t="inlineStr">
        <is>
          <t> </t>
        </is>
      </c>
      <c r="AL236" s="391" t="inlineStr">
        <is>
          <t> </t>
        </is>
      </c>
      <c r="AM236" s="391" t="inlineStr">
        <is>
          <t> </t>
        </is>
      </c>
      <c r="AN236" s="391" t="inlineStr">
        <is>
          <t> </t>
        </is>
      </c>
      <c r="AO236" s="391" t="n"/>
      <c r="AP236" s="319" t="n"/>
      <c r="AQ236" s="319" t="n"/>
      <c r="AR236" s="319" t="n"/>
    </row>
    <row r="237" ht="15.75" customHeight="1" s="1264">
      <c r="A237" s="319" t="inlineStr">
        <is>
          <t> </t>
        </is>
      </c>
      <c r="B237" s="319" t="inlineStr">
        <is>
          <t> </t>
        </is>
      </c>
      <c r="C237" s="319" t="inlineStr">
        <is>
          <t> </t>
        </is>
      </c>
      <c r="D237" s="38" t="inlineStr">
        <is>
          <t> </t>
        </is>
      </c>
      <c r="E237" s="391" t="inlineStr">
        <is>
          <t> </t>
        </is>
      </c>
      <c r="F237" s="391" t="inlineStr">
        <is>
          <t> </t>
        </is>
      </c>
      <c r="G237" s="391" t="inlineStr">
        <is>
          <t> </t>
        </is>
      </c>
      <c r="H237" s="391" t="inlineStr">
        <is>
          <t> </t>
        </is>
      </c>
      <c r="I237" s="391" t="inlineStr">
        <is>
          <t> </t>
        </is>
      </c>
      <c r="J237" s="391" t="inlineStr">
        <is>
          <t> </t>
        </is>
      </c>
      <c r="K237" s="38" t="inlineStr">
        <is>
          <t> </t>
        </is>
      </c>
      <c r="L237" s="391" t="inlineStr">
        <is>
          <t> </t>
        </is>
      </c>
      <c r="M237" s="391" t="inlineStr">
        <is>
          <t> </t>
        </is>
      </c>
      <c r="N237" s="391" t="inlineStr">
        <is>
          <t> </t>
        </is>
      </c>
      <c r="O237" s="391" t="inlineStr">
        <is>
          <t> </t>
        </is>
      </c>
      <c r="P237" s="391" t="inlineStr">
        <is>
          <t> </t>
        </is>
      </c>
      <c r="Q237" s="391" t="inlineStr">
        <is>
          <t> </t>
        </is>
      </c>
      <c r="R237" s="38" t="inlineStr">
        <is>
          <t> </t>
        </is>
      </c>
      <c r="S237" s="391" t="inlineStr">
        <is>
          <t> </t>
        </is>
      </c>
      <c r="T237" s="391" t="inlineStr">
        <is>
          <t> </t>
        </is>
      </c>
      <c r="U237" s="391" t="inlineStr">
        <is>
          <t> </t>
        </is>
      </c>
      <c r="V237" s="391" t="inlineStr">
        <is>
          <t> </t>
        </is>
      </c>
      <c r="W237" s="391" t="inlineStr">
        <is>
          <t> </t>
        </is>
      </c>
      <c r="X237" s="391" t="inlineStr">
        <is>
          <t> </t>
        </is>
      </c>
      <c r="Y237" s="392" t="inlineStr">
        <is>
          <t> </t>
        </is>
      </c>
      <c r="Z237" s="391" t="inlineStr">
        <is>
          <t> </t>
        </is>
      </c>
      <c r="AA237" s="391" t="inlineStr">
        <is>
          <t> </t>
        </is>
      </c>
      <c r="AB237" s="391" t="inlineStr">
        <is>
          <t> </t>
        </is>
      </c>
      <c r="AC237" s="391" t="inlineStr">
        <is>
          <t> </t>
        </is>
      </c>
      <c r="AD237" s="391" t="inlineStr">
        <is>
          <t> </t>
        </is>
      </c>
      <c r="AE237" s="391" t="inlineStr">
        <is>
          <t> </t>
        </is>
      </c>
      <c r="AF237" s="38" t="inlineStr">
        <is>
          <t> </t>
        </is>
      </c>
      <c r="AG237" s="391" t="inlineStr">
        <is>
          <t> </t>
        </is>
      </c>
      <c r="AH237" s="391" t="n"/>
      <c r="AI237" s="391" t="inlineStr">
        <is>
          <t> </t>
        </is>
      </c>
      <c r="AJ237" s="391" t="inlineStr">
        <is>
          <t> </t>
        </is>
      </c>
      <c r="AK237" s="391" t="inlineStr">
        <is>
          <t> </t>
        </is>
      </c>
      <c r="AL237" s="391" t="inlineStr">
        <is>
          <t> </t>
        </is>
      </c>
      <c r="AM237" s="391" t="inlineStr">
        <is>
          <t> </t>
        </is>
      </c>
      <c r="AN237" s="391" t="inlineStr">
        <is>
          <t> </t>
        </is>
      </c>
      <c r="AO237" s="391" t="n"/>
      <c r="AP237" s="319" t="n"/>
      <c r="AQ237" s="319" t="n"/>
      <c r="AR237" s="319" t="n"/>
    </row>
    <row r="238" ht="15.75" customHeight="1" s="1264">
      <c r="A238" s="319" t="inlineStr">
        <is>
          <t> </t>
        </is>
      </c>
      <c r="B238" s="319" t="inlineStr">
        <is>
          <t> </t>
        </is>
      </c>
      <c r="C238" s="319" t="inlineStr">
        <is>
          <t> </t>
        </is>
      </c>
      <c r="D238" s="38" t="inlineStr">
        <is>
          <t> </t>
        </is>
      </c>
      <c r="E238" s="391" t="inlineStr">
        <is>
          <t> </t>
        </is>
      </c>
      <c r="F238" s="391" t="inlineStr">
        <is>
          <t> </t>
        </is>
      </c>
      <c r="G238" s="391" t="inlineStr">
        <is>
          <t> </t>
        </is>
      </c>
      <c r="H238" s="391" t="inlineStr">
        <is>
          <t> </t>
        </is>
      </c>
      <c r="I238" s="391" t="inlineStr">
        <is>
          <t> </t>
        </is>
      </c>
      <c r="J238" s="391" t="inlineStr">
        <is>
          <t> </t>
        </is>
      </c>
      <c r="K238" s="38" t="inlineStr">
        <is>
          <t> </t>
        </is>
      </c>
      <c r="L238" s="391" t="inlineStr">
        <is>
          <t> </t>
        </is>
      </c>
      <c r="M238" s="391" t="inlineStr">
        <is>
          <t> </t>
        </is>
      </c>
      <c r="N238" s="391" t="inlineStr">
        <is>
          <t> </t>
        </is>
      </c>
      <c r="O238" s="391" t="inlineStr">
        <is>
          <t> </t>
        </is>
      </c>
      <c r="P238" s="391" t="inlineStr">
        <is>
          <t> </t>
        </is>
      </c>
      <c r="Q238" s="391" t="inlineStr">
        <is>
          <t> </t>
        </is>
      </c>
      <c r="R238" s="38" t="inlineStr">
        <is>
          <t> </t>
        </is>
      </c>
      <c r="S238" s="391" t="inlineStr">
        <is>
          <t> </t>
        </is>
      </c>
      <c r="T238" s="391" t="inlineStr">
        <is>
          <t> </t>
        </is>
      </c>
      <c r="U238" s="391" t="inlineStr">
        <is>
          <t> </t>
        </is>
      </c>
      <c r="V238" s="391" t="inlineStr">
        <is>
          <t> </t>
        </is>
      </c>
      <c r="W238" s="391" t="inlineStr">
        <is>
          <t> </t>
        </is>
      </c>
      <c r="X238" s="391" t="inlineStr">
        <is>
          <t> </t>
        </is>
      </c>
      <c r="Y238" s="392" t="inlineStr">
        <is>
          <t> </t>
        </is>
      </c>
      <c r="Z238" s="391" t="inlineStr">
        <is>
          <t> </t>
        </is>
      </c>
      <c r="AA238" s="391" t="inlineStr">
        <is>
          <t> </t>
        </is>
      </c>
      <c r="AB238" s="391" t="inlineStr">
        <is>
          <t> </t>
        </is>
      </c>
      <c r="AC238" s="391" t="inlineStr">
        <is>
          <t> </t>
        </is>
      </c>
      <c r="AD238" s="391" t="inlineStr">
        <is>
          <t> </t>
        </is>
      </c>
      <c r="AE238" s="391" t="inlineStr">
        <is>
          <t> </t>
        </is>
      </c>
      <c r="AF238" s="38" t="inlineStr">
        <is>
          <t> </t>
        </is>
      </c>
      <c r="AG238" s="391" t="inlineStr">
        <is>
          <t> </t>
        </is>
      </c>
      <c r="AH238" s="391" t="n"/>
      <c r="AI238" s="391" t="inlineStr">
        <is>
          <t> </t>
        </is>
      </c>
      <c r="AJ238" s="391" t="inlineStr">
        <is>
          <t> </t>
        </is>
      </c>
      <c r="AK238" s="391" t="inlineStr">
        <is>
          <t> </t>
        </is>
      </c>
      <c r="AL238" s="391" t="inlineStr">
        <is>
          <t> </t>
        </is>
      </c>
      <c r="AM238" s="391" t="inlineStr">
        <is>
          <t> </t>
        </is>
      </c>
      <c r="AN238" s="391" t="inlineStr">
        <is>
          <t> </t>
        </is>
      </c>
      <c r="AO238" s="391" t="n"/>
      <c r="AP238" s="319" t="n"/>
      <c r="AQ238" s="319" t="n"/>
      <c r="AR238" s="319" t="n"/>
    </row>
    <row r="239" ht="15.75" customHeight="1" s="1264">
      <c r="A239" s="319" t="inlineStr">
        <is>
          <t> </t>
        </is>
      </c>
      <c r="B239" s="319" t="inlineStr">
        <is>
          <t> </t>
        </is>
      </c>
      <c r="C239" s="319" t="inlineStr">
        <is>
          <t> </t>
        </is>
      </c>
      <c r="D239" s="38" t="inlineStr">
        <is>
          <t> </t>
        </is>
      </c>
      <c r="E239" s="391" t="inlineStr">
        <is>
          <t> </t>
        </is>
      </c>
      <c r="F239" s="391" t="inlineStr">
        <is>
          <t> </t>
        </is>
      </c>
      <c r="G239" s="391" t="inlineStr">
        <is>
          <t> </t>
        </is>
      </c>
      <c r="H239" s="391" t="inlineStr">
        <is>
          <t> </t>
        </is>
      </c>
      <c r="I239" s="391" t="inlineStr">
        <is>
          <t> </t>
        </is>
      </c>
      <c r="J239" s="391" t="inlineStr">
        <is>
          <t> </t>
        </is>
      </c>
      <c r="K239" s="38" t="inlineStr">
        <is>
          <t> </t>
        </is>
      </c>
      <c r="L239" s="391" t="inlineStr">
        <is>
          <t> </t>
        </is>
      </c>
      <c r="M239" s="391" t="inlineStr">
        <is>
          <t> </t>
        </is>
      </c>
      <c r="N239" s="391" t="inlineStr">
        <is>
          <t> </t>
        </is>
      </c>
      <c r="O239" s="391" t="inlineStr">
        <is>
          <t> </t>
        </is>
      </c>
      <c r="P239" s="391" t="inlineStr">
        <is>
          <t> </t>
        </is>
      </c>
      <c r="Q239" s="391" t="inlineStr">
        <is>
          <t> </t>
        </is>
      </c>
      <c r="R239" s="38" t="inlineStr">
        <is>
          <t> </t>
        </is>
      </c>
      <c r="S239" s="391" t="inlineStr">
        <is>
          <t> </t>
        </is>
      </c>
      <c r="T239" s="391" t="inlineStr">
        <is>
          <t> </t>
        </is>
      </c>
      <c r="U239" s="391" t="inlineStr">
        <is>
          <t> </t>
        </is>
      </c>
      <c r="V239" s="391" t="inlineStr">
        <is>
          <t> </t>
        </is>
      </c>
      <c r="W239" s="391" t="inlineStr">
        <is>
          <t> </t>
        </is>
      </c>
      <c r="X239" s="391" t="inlineStr">
        <is>
          <t> </t>
        </is>
      </c>
      <c r="Y239" s="392" t="inlineStr">
        <is>
          <t> </t>
        </is>
      </c>
      <c r="Z239" s="391" t="inlineStr">
        <is>
          <t> </t>
        </is>
      </c>
      <c r="AA239" s="391" t="inlineStr">
        <is>
          <t> </t>
        </is>
      </c>
      <c r="AB239" s="391" t="inlineStr">
        <is>
          <t> </t>
        </is>
      </c>
      <c r="AC239" s="391" t="inlineStr">
        <is>
          <t> </t>
        </is>
      </c>
      <c r="AD239" s="391" t="inlineStr">
        <is>
          <t> </t>
        </is>
      </c>
      <c r="AE239" s="391" t="inlineStr">
        <is>
          <t> </t>
        </is>
      </c>
      <c r="AF239" s="38" t="inlineStr">
        <is>
          <t> </t>
        </is>
      </c>
      <c r="AG239" s="391" t="inlineStr">
        <is>
          <t> </t>
        </is>
      </c>
      <c r="AH239" s="391" t="n"/>
      <c r="AI239" s="391" t="inlineStr">
        <is>
          <t> </t>
        </is>
      </c>
      <c r="AJ239" s="391" t="inlineStr">
        <is>
          <t> </t>
        </is>
      </c>
      <c r="AK239" s="391" t="inlineStr">
        <is>
          <t> </t>
        </is>
      </c>
      <c r="AL239" s="391" t="inlineStr">
        <is>
          <t> </t>
        </is>
      </c>
      <c r="AM239" s="391" t="inlineStr">
        <is>
          <t> </t>
        </is>
      </c>
      <c r="AN239" s="391" t="inlineStr">
        <is>
          <t> </t>
        </is>
      </c>
      <c r="AO239" s="391" t="n"/>
      <c r="AP239" s="319" t="n"/>
      <c r="AQ239" s="319" t="n"/>
      <c r="AR239" s="319" t="n"/>
    </row>
    <row r="240" ht="15.75" customHeight="1" s="1264">
      <c r="A240" s="319" t="inlineStr">
        <is>
          <t> </t>
        </is>
      </c>
      <c r="B240" s="319" t="inlineStr">
        <is>
          <t> </t>
        </is>
      </c>
      <c r="C240" s="319" t="inlineStr">
        <is>
          <t> </t>
        </is>
      </c>
      <c r="D240" s="38" t="inlineStr">
        <is>
          <t> </t>
        </is>
      </c>
      <c r="E240" s="391" t="inlineStr">
        <is>
          <t> </t>
        </is>
      </c>
      <c r="F240" s="391" t="inlineStr">
        <is>
          <t> </t>
        </is>
      </c>
      <c r="G240" s="391" t="inlineStr">
        <is>
          <t> </t>
        </is>
      </c>
      <c r="H240" s="391" t="inlineStr">
        <is>
          <t> </t>
        </is>
      </c>
      <c r="I240" s="391" t="inlineStr">
        <is>
          <t> </t>
        </is>
      </c>
      <c r="J240" s="391" t="inlineStr">
        <is>
          <t> </t>
        </is>
      </c>
      <c r="K240" s="38" t="inlineStr">
        <is>
          <t> </t>
        </is>
      </c>
      <c r="L240" s="391" t="inlineStr">
        <is>
          <t> </t>
        </is>
      </c>
      <c r="M240" s="391" t="inlineStr">
        <is>
          <t> </t>
        </is>
      </c>
      <c r="N240" s="391" t="inlineStr">
        <is>
          <t> </t>
        </is>
      </c>
      <c r="O240" s="391" t="inlineStr">
        <is>
          <t> </t>
        </is>
      </c>
      <c r="P240" s="391" t="inlineStr">
        <is>
          <t> </t>
        </is>
      </c>
      <c r="Q240" s="391" t="inlineStr">
        <is>
          <t> </t>
        </is>
      </c>
      <c r="R240" s="38" t="inlineStr">
        <is>
          <t> </t>
        </is>
      </c>
      <c r="S240" s="391" t="inlineStr">
        <is>
          <t> </t>
        </is>
      </c>
      <c r="T240" s="391" t="inlineStr">
        <is>
          <t> </t>
        </is>
      </c>
      <c r="U240" s="391" t="inlineStr">
        <is>
          <t> </t>
        </is>
      </c>
      <c r="V240" s="391" t="inlineStr">
        <is>
          <t> </t>
        </is>
      </c>
      <c r="W240" s="391" t="inlineStr">
        <is>
          <t> </t>
        </is>
      </c>
      <c r="X240" s="391" t="inlineStr">
        <is>
          <t> </t>
        </is>
      </c>
      <c r="Y240" s="392" t="inlineStr">
        <is>
          <t> </t>
        </is>
      </c>
      <c r="Z240" s="391" t="inlineStr">
        <is>
          <t> </t>
        </is>
      </c>
      <c r="AA240" s="391" t="inlineStr">
        <is>
          <t> </t>
        </is>
      </c>
      <c r="AB240" s="391" t="inlineStr">
        <is>
          <t> </t>
        </is>
      </c>
      <c r="AC240" s="391" t="inlineStr">
        <is>
          <t> </t>
        </is>
      </c>
      <c r="AD240" s="391" t="inlineStr">
        <is>
          <t> </t>
        </is>
      </c>
      <c r="AE240" s="391" t="inlineStr">
        <is>
          <t> </t>
        </is>
      </c>
      <c r="AF240" s="38" t="inlineStr">
        <is>
          <t> </t>
        </is>
      </c>
      <c r="AG240" s="391" t="inlineStr">
        <is>
          <t> </t>
        </is>
      </c>
      <c r="AH240" s="391" t="n"/>
      <c r="AI240" s="391" t="inlineStr">
        <is>
          <t> </t>
        </is>
      </c>
      <c r="AJ240" s="391" t="inlineStr">
        <is>
          <t> </t>
        </is>
      </c>
      <c r="AK240" s="391" t="inlineStr">
        <is>
          <t> </t>
        </is>
      </c>
      <c r="AL240" s="391" t="inlineStr">
        <is>
          <t> </t>
        </is>
      </c>
      <c r="AM240" s="391" t="inlineStr">
        <is>
          <t> </t>
        </is>
      </c>
      <c r="AN240" s="391" t="inlineStr">
        <is>
          <t> </t>
        </is>
      </c>
      <c r="AO240" s="391" t="n"/>
      <c r="AP240" s="319" t="n"/>
      <c r="AQ240" s="319" t="n"/>
      <c r="AR240" s="319" t="n"/>
    </row>
    <row r="241" ht="15.75" customHeight="1" s="1264">
      <c r="A241" s="319" t="inlineStr">
        <is>
          <t> </t>
        </is>
      </c>
      <c r="B241" s="319" t="inlineStr">
        <is>
          <t> </t>
        </is>
      </c>
      <c r="C241" s="319" t="inlineStr">
        <is>
          <t> </t>
        </is>
      </c>
      <c r="D241" s="38" t="inlineStr">
        <is>
          <t> </t>
        </is>
      </c>
      <c r="E241" s="391" t="inlineStr">
        <is>
          <t> </t>
        </is>
      </c>
      <c r="F241" s="391" t="inlineStr">
        <is>
          <t> </t>
        </is>
      </c>
      <c r="G241" s="391" t="inlineStr">
        <is>
          <t> </t>
        </is>
      </c>
      <c r="H241" s="391" t="inlineStr">
        <is>
          <t> </t>
        </is>
      </c>
      <c r="I241" s="391" t="inlineStr">
        <is>
          <t> </t>
        </is>
      </c>
      <c r="J241" s="391" t="inlineStr">
        <is>
          <t> </t>
        </is>
      </c>
      <c r="K241" s="38" t="inlineStr">
        <is>
          <t> </t>
        </is>
      </c>
      <c r="L241" s="391" t="inlineStr">
        <is>
          <t> </t>
        </is>
      </c>
      <c r="M241" s="391" t="inlineStr">
        <is>
          <t> </t>
        </is>
      </c>
      <c r="N241" s="391" t="inlineStr">
        <is>
          <t> </t>
        </is>
      </c>
      <c r="O241" s="391" t="inlineStr">
        <is>
          <t> </t>
        </is>
      </c>
      <c r="P241" s="391" t="inlineStr">
        <is>
          <t> </t>
        </is>
      </c>
      <c r="Q241" s="391" t="inlineStr">
        <is>
          <t> </t>
        </is>
      </c>
      <c r="R241" s="38" t="inlineStr">
        <is>
          <t> </t>
        </is>
      </c>
      <c r="S241" s="391" t="inlineStr">
        <is>
          <t> </t>
        </is>
      </c>
      <c r="T241" s="391" t="inlineStr">
        <is>
          <t> </t>
        </is>
      </c>
      <c r="U241" s="391" t="inlineStr">
        <is>
          <t> </t>
        </is>
      </c>
      <c r="V241" s="391" t="inlineStr">
        <is>
          <t> </t>
        </is>
      </c>
      <c r="W241" s="391" t="inlineStr">
        <is>
          <t> </t>
        </is>
      </c>
      <c r="X241" s="391" t="inlineStr">
        <is>
          <t> </t>
        </is>
      </c>
      <c r="Y241" s="392" t="inlineStr">
        <is>
          <t> </t>
        </is>
      </c>
      <c r="Z241" s="391" t="inlineStr">
        <is>
          <t> </t>
        </is>
      </c>
      <c r="AA241" s="391" t="inlineStr">
        <is>
          <t> </t>
        </is>
      </c>
      <c r="AB241" s="391" t="inlineStr">
        <is>
          <t> </t>
        </is>
      </c>
      <c r="AC241" s="391" t="inlineStr">
        <is>
          <t> </t>
        </is>
      </c>
      <c r="AD241" s="391" t="inlineStr">
        <is>
          <t> </t>
        </is>
      </c>
      <c r="AE241" s="391" t="inlineStr">
        <is>
          <t> </t>
        </is>
      </c>
      <c r="AF241" s="38" t="inlineStr">
        <is>
          <t> </t>
        </is>
      </c>
      <c r="AG241" s="391" t="inlineStr">
        <is>
          <t> </t>
        </is>
      </c>
      <c r="AH241" s="391" t="n"/>
      <c r="AI241" s="391" t="inlineStr">
        <is>
          <t> </t>
        </is>
      </c>
      <c r="AJ241" s="391" t="inlineStr">
        <is>
          <t> </t>
        </is>
      </c>
      <c r="AK241" s="391" t="inlineStr">
        <is>
          <t> </t>
        </is>
      </c>
      <c r="AL241" s="391" t="inlineStr">
        <is>
          <t> </t>
        </is>
      </c>
      <c r="AM241" s="391" t="inlineStr">
        <is>
          <t> </t>
        </is>
      </c>
      <c r="AN241" s="391" t="inlineStr">
        <is>
          <t> </t>
        </is>
      </c>
      <c r="AO241" s="391" t="n"/>
      <c r="AP241" s="319" t="n"/>
      <c r="AQ241" s="319" t="n"/>
      <c r="AR241" s="319" t="n"/>
    </row>
    <row r="242" ht="15.75" customHeight="1" s="1264">
      <c r="A242" s="319" t="inlineStr">
        <is>
          <t> </t>
        </is>
      </c>
      <c r="B242" s="319" t="inlineStr">
        <is>
          <t> </t>
        </is>
      </c>
      <c r="C242" s="319" t="inlineStr">
        <is>
          <t> </t>
        </is>
      </c>
      <c r="D242" s="38" t="inlineStr">
        <is>
          <t> </t>
        </is>
      </c>
      <c r="E242" s="391" t="inlineStr">
        <is>
          <t> </t>
        </is>
      </c>
      <c r="F242" s="391" t="inlineStr">
        <is>
          <t> </t>
        </is>
      </c>
      <c r="G242" s="391" t="inlineStr">
        <is>
          <t> </t>
        </is>
      </c>
      <c r="H242" s="391" t="inlineStr">
        <is>
          <t> </t>
        </is>
      </c>
      <c r="I242" s="391" t="inlineStr">
        <is>
          <t> </t>
        </is>
      </c>
      <c r="J242" s="391" t="inlineStr">
        <is>
          <t> </t>
        </is>
      </c>
      <c r="K242" s="38" t="inlineStr">
        <is>
          <t> </t>
        </is>
      </c>
      <c r="L242" s="391" t="inlineStr">
        <is>
          <t> </t>
        </is>
      </c>
      <c r="M242" s="391" t="inlineStr">
        <is>
          <t> </t>
        </is>
      </c>
      <c r="N242" s="391" t="inlineStr">
        <is>
          <t> </t>
        </is>
      </c>
      <c r="O242" s="391" t="inlineStr">
        <is>
          <t> </t>
        </is>
      </c>
      <c r="P242" s="391" t="inlineStr">
        <is>
          <t> </t>
        </is>
      </c>
      <c r="Q242" s="391" t="inlineStr">
        <is>
          <t> </t>
        </is>
      </c>
      <c r="R242" s="38" t="inlineStr">
        <is>
          <t> </t>
        </is>
      </c>
      <c r="S242" s="391" t="inlineStr">
        <is>
          <t> </t>
        </is>
      </c>
      <c r="T242" s="391" t="inlineStr">
        <is>
          <t> </t>
        </is>
      </c>
      <c r="U242" s="391" t="inlineStr">
        <is>
          <t> </t>
        </is>
      </c>
      <c r="V242" s="391" t="inlineStr">
        <is>
          <t> </t>
        </is>
      </c>
      <c r="W242" s="391" t="inlineStr">
        <is>
          <t> </t>
        </is>
      </c>
      <c r="X242" s="391" t="inlineStr">
        <is>
          <t> </t>
        </is>
      </c>
      <c r="Y242" s="392" t="inlineStr">
        <is>
          <t> </t>
        </is>
      </c>
      <c r="Z242" s="391" t="inlineStr">
        <is>
          <t> </t>
        </is>
      </c>
      <c r="AA242" s="391" t="inlineStr">
        <is>
          <t> </t>
        </is>
      </c>
      <c r="AB242" s="391" t="inlineStr">
        <is>
          <t> </t>
        </is>
      </c>
      <c r="AC242" s="391" t="inlineStr">
        <is>
          <t> </t>
        </is>
      </c>
      <c r="AD242" s="391" t="inlineStr">
        <is>
          <t> </t>
        </is>
      </c>
      <c r="AE242" s="391" t="inlineStr">
        <is>
          <t> </t>
        </is>
      </c>
      <c r="AF242" s="38" t="inlineStr">
        <is>
          <t> </t>
        </is>
      </c>
      <c r="AG242" s="391" t="inlineStr">
        <is>
          <t> </t>
        </is>
      </c>
      <c r="AH242" s="391" t="n"/>
      <c r="AI242" s="391" t="inlineStr">
        <is>
          <t> </t>
        </is>
      </c>
      <c r="AJ242" s="391" t="inlineStr">
        <is>
          <t> </t>
        </is>
      </c>
      <c r="AK242" s="391" t="inlineStr">
        <is>
          <t> </t>
        </is>
      </c>
      <c r="AL242" s="391" t="inlineStr">
        <is>
          <t> </t>
        </is>
      </c>
      <c r="AM242" s="391" t="inlineStr">
        <is>
          <t> </t>
        </is>
      </c>
      <c r="AN242" s="391" t="inlineStr">
        <is>
          <t> </t>
        </is>
      </c>
      <c r="AO242" s="391" t="n"/>
      <c r="AP242" s="319" t="n"/>
      <c r="AQ242" s="319" t="n"/>
      <c r="AR242" s="319" t="n"/>
    </row>
    <row r="243" ht="15.75" customHeight="1" s="1264">
      <c r="A243" s="319" t="inlineStr">
        <is>
          <t> </t>
        </is>
      </c>
      <c r="B243" s="319" t="inlineStr">
        <is>
          <t> </t>
        </is>
      </c>
      <c r="C243" s="319" t="inlineStr">
        <is>
          <t> </t>
        </is>
      </c>
      <c r="D243" s="38" t="inlineStr">
        <is>
          <t> </t>
        </is>
      </c>
      <c r="E243" s="391" t="inlineStr">
        <is>
          <t> </t>
        </is>
      </c>
      <c r="F243" s="391" t="inlineStr">
        <is>
          <t> </t>
        </is>
      </c>
      <c r="G243" s="391" t="inlineStr">
        <is>
          <t> </t>
        </is>
      </c>
      <c r="H243" s="391" t="inlineStr">
        <is>
          <t> </t>
        </is>
      </c>
      <c r="I243" s="391" t="inlineStr">
        <is>
          <t> </t>
        </is>
      </c>
      <c r="J243" s="391" t="inlineStr">
        <is>
          <t> </t>
        </is>
      </c>
      <c r="K243" s="38" t="inlineStr">
        <is>
          <t> </t>
        </is>
      </c>
      <c r="L243" s="391" t="inlineStr">
        <is>
          <t> </t>
        </is>
      </c>
      <c r="M243" s="391" t="inlineStr">
        <is>
          <t> </t>
        </is>
      </c>
      <c r="N243" s="391" t="inlineStr">
        <is>
          <t> </t>
        </is>
      </c>
      <c r="O243" s="391" t="inlineStr">
        <is>
          <t> </t>
        </is>
      </c>
      <c r="P243" s="391" t="inlineStr">
        <is>
          <t> </t>
        </is>
      </c>
      <c r="Q243" s="391" t="inlineStr">
        <is>
          <t> </t>
        </is>
      </c>
      <c r="R243" s="38" t="inlineStr">
        <is>
          <t> </t>
        </is>
      </c>
      <c r="S243" s="391" t="inlineStr">
        <is>
          <t> </t>
        </is>
      </c>
      <c r="T243" s="391" t="inlineStr">
        <is>
          <t> </t>
        </is>
      </c>
      <c r="U243" s="391" t="inlineStr">
        <is>
          <t> </t>
        </is>
      </c>
      <c r="V243" s="391" t="inlineStr">
        <is>
          <t> </t>
        </is>
      </c>
      <c r="W243" s="391" t="inlineStr">
        <is>
          <t> </t>
        </is>
      </c>
      <c r="X243" s="391" t="inlineStr">
        <is>
          <t> </t>
        </is>
      </c>
      <c r="Y243" s="392" t="inlineStr">
        <is>
          <t> </t>
        </is>
      </c>
      <c r="Z243" s="391" t="inlineStr">
        <is>
          <t> </t>
        </is>
      </c>
      <c r="AA243" s="391" t="inlineStr">
        <is>
          <t> </t>
        </is>
      </c>
      <c r="AB243" s="391" t="inlineStr">
        <is>
          <t> </t>
        </is>
      </c>
      <c r="AC243" s="391" t="inlineStr">
        <is>
          <t> </t>
        </is>
      </c>
      <c r="AD243" s="391" t="inlineStr">
        <is>
          <t> </t>
        </is>
      </c>
      <c r="AE243" s="391" t="inlineStr">
        <is>
          <t> </t>
        </is>
      </c>
      <c r="AF243" s="38" t="inlineStr">
        <is>
          <t> </t>
        </is>
      </c>
      <c r="AG243" s="391" t="inlineStr">
        <is>
          <t> </t>
        </is>
      </c>
      <c r="AH243" s="391" t="n"/>
      <c r="AI243" s="391" t="inlineStr">
        <is>
          <t> </t>
        </is>
      </c>
      <c r="AJ243" s="391" t="inlineStr">
        <is>
          <t> </t>
        </is>
      </c>
      <c r="AK243" s="391" t="inlineStr">
        <is>
          <t> </t>
        </is>
      </c>
      <c r="AL243" s="391" t="inlineStr">
        <is>
          <t> </t>
        </is>
      </c>
      <c r="AM243" s="391" t="inlineStr">
        <is>
          <t> </t>
        </is>
      </c>
      <c r="AN243" s="391" t="inlineStr">
        <is>
          <t> </t>
        </is>
      </c>
      <c r="AO243" s="391" t="n"/>
      <c r="AP243" s="319" t="n"/>
      <c r="AQ243" s="319" t="n"/>
      <c r="AR243" s="319" t="n"/>
    </row>
    <row r="244" ht="15.75" customHeight="1" s="1264">
      <c r="A244" s="319" t="inlineStr">
        <is>
          <t> </t>
        </is>
      </c>
      <c r="B244" s="319" t="inlineStr">
        <is>
          <t> </t>
        </is>
      </c>
      <c r="C244" s="319" t="inlineStr">
        <is>
          <t> </t>
        </is>
      </c>
      <c r="D244" s="38" t="inlineStr">
        <is>
          <t> </t>
        </is>
      </c>
      <c r="E244" s="391" t="inlineStr">
        <is>
          <t> </t>
        </is>
      </c>
      <c r="F244" s="391" t="inlineStr">
        <is>
          <t> </t>
        </is>
      </c>
      <c r="G244" s="391" t="inlineStr">
        <is>
          <t> </t>
        </is>
      </c>
      <c r="H244" s="391" t="inlineStr">
        <is>
          <t> </t>
        </is>
      </c>
      <c r="I244" s="391" t="inlineStr">
        <is>
          <t> </t>
        </is>
      </c>
      <c r="J244" s="391" t="inlineStr">
        <is>
          <t> </t>
        </is>
      </c>
      <c r="K244" s="38" t="inlineStr">
        <is>
          <t> </t>
        </is>
      </c>
      <c r="L244" s="391" t="inlineStr">
        <is>
          <t> </t>
        </is>
      </c>
      <c r="M244" s="391" t="inlineStr">
        <is>
          <t> </t>
        </is>
      </c>
      <c r="N244" s="391" t="inlineStr">
        <is>
          <t> </t>
        </is>
      </c>
      <c r="O244" s="391" t="inlineStr">
        <is>
          <t> </t>
        </is>
      </c>
      <c r="P244" s="391" t="inlineStr">
        <is>
          <t> </t>
        </is>
      </c>
      <c r="Q244" s="391" t="inlineStr">
        <is>
          <t> </t>
        </is>
      </c>
      <c r="R244" s="38" t="inlineStr">
        <is>
          <t> </t>
        </is>
      </c>
      <c r="S244" s="391" t="inlineStr">
        <is>
          <t> </t>
        </is>
      </c>
      <c r="T244" s="391" t="inlineStr">
        <is>
          <t> </t>
        </is>
      </c>
      <c r="U244" s="391" t="inlineStr">
        <is>
          <t> </t>
        </is>
      </c>
      <c r="V244" s="391" t="inlineStr">
        <is>
          <t> </t>
        </is>
      </c>
      <c r="W244" s="391" t="inlineStr">
        <is>
          <t> </t>
        </is>
      </c>
      <c r="X244" s="391" t="inlineStr">
        <is>
          <t> </t>
        </is>
      </c>
      <c r="Y244" s="392" t="inlineStr">
        <is>
          <t> </t>
        </is>
      </c>
      <c r="Z244" s="391" t="inlineStr">
        <is>
          <t> </t>
        </is>
      </c>
      <c r="AA244" s="391" t="inlineStr">
        <is>
          <t> </t>
        </is>
      </c>
      <c r="AB244" s="391" t="inlineStr">
        <is>
          <t> </t>
        </is>
      </c>
      <c r="AC244" s="391" t="inlineStr">
        <is>
          <t> </t>
        </is>
      </c>
      <c r="AD244" s="391" t="inlineStr">
        <is>
          <t> </t>
        </is>
      </c>
      <c r="AE244" s="391" t="inlineStr">
        <is>
          <t> </t>
        </is>
      </c>
      <c r="AF244" s="38" t="inlineStr">
        <is>
          <t> </t>
        </is>
      </c>
      <c r="AG244" s="391" t="inlineStr">
        <is>
          <t> </t>
        </is>
      </c>
      <c r="AH244" s="391" t="n"/>
      <c r="AI244" s="391" t="inlineStr">
        <is>
          <t> </t>
        </is>
      </c>
      <c r="AJ244" s="391" t="inlineStr">
        <is>
          <t> </t>
        </is>
      </c>
      <c r="AK244" s="391" t="inlineStr">
        <is>
          <t> </t>
        </is>
      </c>
      <c r="AL244" s="391" t="inlineStr">
        <is>
          <t> </t>
        </is>
      </c>
      <c r="AM244" s="391" t="inlineStr">
        <is>
          <t> </t>
        </is>
      </c>
      <c r="AN244" s="391" t="inlineStr">
        <is>
          <t> </t>
        </is>
      </c>
      <c r="AO244" s="391" t="n"/>
      <c r="AP244" s="319" t="n"/>
      <c r="AQ244" s="319" t="n"/>
      <c r="AR244" s="319" t="n"/>
    </row>
    <row r="245" ht="15.75" customHeight="1" s="1264">
      <c r="A245" s="319" t="inlineStr">
        <is>
          <t> </t>
        </is>
      </c>
      <c r="B245" s="319" t="inlineStr">
        <is>
          <t> </t>
        </is>
      </c>
      <c r="C245" s="319" t="inlineStr">
        <is>
          <t> </t>
        </is>
      </c>
      <c r="D245" s="38" t="inlineStr">
        <is>
          <t> </t>
        </is>
      </c>
      <c r="E245" s="391" t="inlineStr">
        <is>
          <t> </t>
        </is>
      </c>
      <c r="F245" s="391" t="inlineStr">
        <is>
          <t> </t>
        </is>
      </c>
      <c r="G245" s="391" t="inlineStr">
        <is>
          <t> </t>
        </is>
      </c>
      <c r="H245" s="391" t="inlineStr">
        <is>
          <t> </t>
        </is>
      </c>
      <c r="I245" s="391" t="inlineStr">
        <is>
          <t> </t>
        </is>
      </c>
      <c r="J245" s="391" t="inlineStr">
        <is>
          <t> </t>
        </is>
      </c>
      <c r="K245" s="38" t="inlineStr">
        <is>
          <t> </t>
        </is>
      </c>
      <c r="L245" s="391" t="inlineStr">
        <is>
          <t> </t>
        </is>
      </c>
      <c r="M245" s="391" t="inlineStr">
        <is>
          <t> </t>
        </is>
      </c>
      <c r="N245" s="391" t="inlineStr">
        <is>
          <t> </t>
        </is>
      </c>
      <c r="O245" s="391" t="inlineStr">
        <is>
          <t> </t>
        </is>
      </c>
      <c r="P245" s="391" t="inlineStr">
        <is>
          <t> </t>
        </is>
      </c>
      <c r="Q245" s="391" t="inlineStr">
        <is>
          <t> </t>
        </is>
      </c>
      <c r="R245" s="38" t="inlineStr">
        <is>
          <t> </t>
        </is>
      </c>
      <c r="S245" s="391" t="inlineStr">
        <is>
          <t> </t>
        </is>
      </c>
      <c r="T245" s="391" t="inlineStr">
        <is>
          <t> </t>
        </is>
      </c>
      <c r="U245" s="391" t="inlineStr">
        <is>
          <t> </t>
        </is>
      </c>
      <c r="V245" s="391" t="inlineStr">
        <is>
          <t> </t>
        </is>
      </c>
      <c r="W245" s="391" t="inlineStr">
        <is>
          <t> </t>
        </is>
      </c>
      <c r="X245" s="391" t="inlineStr">
        <is>
          <t> </t>
        </is>
      </c>
      <c r="Y245" s="392" t="inlineStr">
        <is>
          <t> </t>
        </is>
      </c>
      <c r="Z245" s="391" t="inlineStr">
        <is>
          <t> </t>
        </is>
      </c>
      <c r="AA245" s="391" t="inlineStr">
        <is>
          <t> </t>
        </is>
      </c>
      <c r="AB245" s="391" t="inlineStr">
        <is>
          <t> </t>
        </is>
      </c>
      <c r="AC245" s="391" t="inlineStr">
        <is>
          <t> </t>
        </is>
      </c>
      <c r="AD245" s="391" t="inlineStr">
        <is>
          <t> </t>
        </is>
      </c>
      <c r="AE245" s="391" t="inlineStr">
        <is>
          <t> </t>
        </is>
      </c>
      <c r="AF245" s="38" t="inlineStr">
        <is>
          <t> </t>
        </is>
      </c>
      <c r="AG245" s="391" t="inlineStr">
        <is>
          <t> </t>
        </is>
      </c>
      <c r="AH245" s="391" t="n"/>
      <c r="AI245" s="391" t="inlineStr">
        <is>
          <t> </t>
        </is>
      </c>
      <c r="AJ245" s="391" t="inlineStr">
        <is>
          <t> </t>
        </is>
      </c>
      <c r="AK245" s="391" t="inlineStr">
        <is>
          <t> </t>
        </is>
      </c>
      <c r="AL245" s="391" t="inlineStr">
        <is>
          <t> </t>
        </is>
      </c>
      <c r="AM245" s="391" t="inlineStr">
        <is>
          <t> </t>
        </is>
      </c>
      <c r="AN245" s="391" t="inlineStr">
        <is>
          <t> </t>
        </is>
      </c>
      <c r="AO245" s="391" t="n"/>
      <c r="AP245" s="319" t="n"/>
      <c r="AQ245" s="319" t="n"/>
      <c r="AR245" s="319" t="n"/>
    </row>
    <row r="246" ht="15.75" customHeight="1" s="1264">
      <c r="A246" s="319" t="inlineStr">
        <is>
          <t> </t>
        </is>
      </c>
      <c r="B246" s="319" t="inlineStr">
        <is>
          <t> </t>
        </is>
      </c>
      <c r="C246" s="319" t="inlineStr">
        <is>
          <t> </t>
        </is>
      </c>
      <c r="D246" s="38" t="inlineStr">
        <is>
          <t> </t>
        </is>
      </c>
      <c r="E246" s="391" t="inlineStr">
        <is>
          <t> </t>
        </is>
      </c>
      <c r="F246" s="391" t="inlineStr">
        <is>
          <t> </t>
        </is>
      </c>
      <c r="G246" s="391" t="inlineStr">
        <is>
          <t> </t>
        </is>
      </c>
      <c r="H246" s="391" t="inlineStr">
        <is>
          <t> </t>
        </is>
      </c>
      <c r="I246" s="391" t="inlineStr">
        <is>
          <t> </t>
        </is>
      </c>
      <c r="J246" s="391" t="inlineStr">
        <is>
          <t> </t>
        </is>
      </c>
      <c r="K246" s="38" t="inlineStr">
        <is>
          <t> </t>
        </is>
      </c>
      <c r="L246" s="391" t="inlineStr">
        <is>
          <t> </t>
        </is>
      </c>
      <c r="M246" s="391" t="inlineStr">
        <is>
          <t> </t>
        </is>
      </c>
      <c r="N246" s="391" t="inlineStr">
        <is>
          <t> </t>
        </is>
      </c>
      <c r="O246" s="391" t="inlineStr">
        <is>
          <t> </t>
        </is>
      </c>
      <c r="P246" s="391" t="inlineStr">
        <is>
          <t> </t>
        </is>
      </c>
      <c r="Q246" s="391" t="inlineStr">
        <is>
          <t> </t>
        </is>
      </c>
      <c r="R246" s="38" t="inlineStr">
        <is>
          <t> </t>
        </is>
      </c>
      <c r="S246" s="391" t="inlineStr">
        <is>
          <t> </t>
        </is>
      </c>
      <c r="T246" s="391" t="inlineStr">
        <is>
          <t> </t>
        </is>
      </c>
      <c r="U246" s="391" t="inlineStr">
        <is>
          <t> </t>
        </is>
      </c>
      <c r="V246" s="391" t="inlineStr">
        <is>
          <t> </t>
        </is>
      </c>
      <c r="W246" s="391" t="inlineStr">
        <is>
          <t> </t>
        </is>
      </c>
      <c r="X246" s="391" t="inlineStr">
        <is>
          <t> </t>
        </is>
      </c>
      <c r="Y246" s="392" t="inlineStr">
        <is>
          <t> </t>
        </is>
      </c>
      <c r="Z246" s="391" t="inlineStr">
        <is>
          <t> </t>
        </is>
      </c>
      <c r="AA246" s="391" t="inlineStr">
        <is>
          <t> </t>
        </is>
      </c>
      <c r="AB246" s="391" t="inlineStr">
        <is>
          <t> </t>
        </is>
      </c>
      <c r="AC246" s="391" t="inlineStr">
        <is>
          <t> </t>
        </is>
      </c>
      <c r="AD246" s="391" t="inlineStr">
        <is>
          <t> </t>
        </is>
      </c>
      <c r="AE246" s="391" t="inlineStr">
        <is>
          <t> </t>
        </is>
      </c>
      <c r="AF246" s="38" t="inlineStr">
        <is>
          <t> </t>
        </is>
      </c>
      <c r="AG246" s="391" t="inlineStr">
        <is>
          <t> </t>
        </is>
      </c>
      <c r="AH246" s="391" t="n"/>
      <c r="AI246" s="391" t="inlineStr">
        <is>
          <t> </t>
        </is>
      </c>
      <c r="AJ246" s="391" t="inlineStr">
        <is>
          <t> </t>
        </is>
      </c>
      <c r="AK246" s="391" t="inlineStr">
        <is>
          <t> </t>
        </is>
      </c>
      <c r="AL246" s="391" t="inlineStr">
        <is>
          <t> </t>
        </is>
      </c>
      <c r="AM246" s="391" t="inlineStr">
        <is>
          <t> </t>
        </is>
      </c>
      <c r="AN246" s="391" t="inlineStr">
        <is>
          <t> </t>
        </is>
      </c>
      <c r="AO246" s="391" t="n"/>
      <c r="AP246" s="319" t="n"/>
      <c r="AQ246" s="319" t="n"/>
      <c r="AR246" s="319" t="n"/>
    </row>
    <row r="247" ht="15.75" customHeight="1" s="1264">
      <c r="A247" s="319" t="inlineStr">
        <is>
          <t> </t>
        </is>
      </c>
      <c r="B247" s="319" t="inlineStr">
        <is>
          <t> </t>
        </is>
      </c>
      <c r="C247" s="319" t="inlineStr">
        <is>
          <t> </t>
        </is>
      </c>
      <c r="D247" s="38" t="inlineStr">
        <is>
          <t> </t>
        </is>
      </c>
      <c r="E247" s="391" t="inlineStr">
        <is>
          <t> </t>
        </is>
      </c>
      <c r="F247" s="391" t="inlineStr">
        <is>
          <t> </t>
        </is>
      </c>
      <c r="G247" s="391" t="inlineStr">
        <is>
          <t> </t>
        </is>
      </c>
      <c r="H247" s="391" t="inlineStr">
        <is>
          <t> </t>
        </is>
      </c>
      <c r="I247" s="391" t="inlineStr">
        <is>
          <t> </t>
        </is>
      </c>
      <c r="J247" s="391" t="inlineStr">
        <is>
          <t> </t>
        </is>
      </c>
      <c r="K247" s="38" t="inlineStr">
        <is>
          <t> </t>
        </is>
      </c>
      <c r="L247" s="391" t="inlineStr">
        <is>
          <t> </t>
        </is>
      </c>
      <c r="M247" s="391" t="inlineStr">
        <is>
          <t> </t>
        </is>
      </c>
      <c r="N247" s="391" t="inlineStr">
        <is>
          <t> </t>
        </is>
      </c>
      <c r="O247" s="391" t="inlineStr">
        <is>
          <t> </t>
        </is>
      </c>
      <c r="P247" s="391" t="inlineStr">
        <is>
          <t> </t>
        </is>
      </c>
      <c r="Q247" s="391" t="inlineStr">
        <is>
          <t> </t>
        </is>
      </c>
      <c r="R247" s="38" t="inlineStr">
        <is>
          <t> </t>
        </is>
      </c>
      <c r="S247" s="391" t="inlineStr">
        <is>
          <t> </t>
        </is>
      </c>
      <c r="T247" s="391" t="inlineStr">
        <is>
          <t> </t>
        </is>
      </c>
      <c r="U247" s="391" t="inlineStr">
        <is>
          <t> </t>
        </is>
      </c>
      <c r="V247" s="391" t="inlineStr">
        <is>
          <t> </t>
        </is>
      </c>
      <c r="W247" s="391" t="inlineStr">
        <is>
          <t> </t>
        </is>
      </c>
      <c r="X247" s="391" t="inlineStr">
        <is>
          <t> </t>
        </is>
      </c>
      <c r="Y247" s="392" t="inlineStr">
        <is>
          <t> </t>
        </is>
      </c>
      <c r="Z247" s="391" t="inlineStr">
        <is>
          <t> </t>
        </is>
      </c>
      <c r="AA247" s="391" t="inlineStr">
        <is>
          <t> </t>
        </is>
      </c>
      <c r="AB247" s="391" t="inlineStr">
        <is>
          <t> </t>
        </is>
      </c>
      <c r="AC247" s="391" t="inlineStr">
        <is>
          <t> </t>
        </is>
      </c>
      <c r="AD247" s="391" t="inlineStr">
        <is>
          <t> </t>
        </is>
      </c>
      <c r="AE247" s="391" t="inlineStr">
        <is>
          <t> </t>
        </is>
      </c>
      <c r="AF247" s="38" t="inlineStr">
        <is>
          <t> </t>
        </is>
      </c>
      <c r="AG247" s="391" t="inlineStr">
        <is>
          <t> </t>
        </is>
      </c>
      <c r="AH247" s="391" t="n"/>
      <c r="AI247" s="391" t="inlineStr">
        <is>
          <t> </t>
        </is>
      </c>
      <c r="AJ247" s="391" t="inlineStr">
        <is>
          <t> </t>
        </is>
      </c>
      <c r="AK247" s="391" t="inlineStr">
        <is>
          <t> </t>
        </is>
      </c>
      <c r="AL247" s="391" t="inlineStr">
        <is>
          <t> </t>
        </is>
      </c>
      <c r="AM247" s="391" t="inlineStr">
        <is>
          <t> </t>
        </is>
      </c>
      <c r="AN247" s="391" t="inlineStr">
        <is>
          <t> </t>
        </is>
      </c>
      <c r="AO247" s="391" t="n"/>
      <c r="AP247" s="319" t="n"/>
      <c r="AQ247" s="319" t="n"/>
      <c r="AR247" s="319" t="n"/>
    </row>
    <row r="248" ht="15.75" customHeight="1" s="1264">
      <c r="A248" s="319" t="inlineStr">
        <is>
          <t> </t>
        </is>
      </c>
      <c r="B248" s="319" t="inlineStr">
        <is>
          <t> </t>
        </is>
      </c>
      <c r="C248" s="319" t="inlineStr">
        <is>
          <t> </t>
        </is>
      </c>
      <c r="D248" s="38" t="inlineStr">
        <is>
          <t> </t>
        </is>
      </c>
      <c r="E248" s="391" t="inlineStr">
        <is>
          <t> </t>
        </is>
      </c>
      <c r="F248" s="391" t="inlineStr">
        <is>
          <t> </t>
        </is>
      </c>
      <c r="G248" s="391" t="inlineStr">
        <is>
          <t> </t>
        </is>
      </c>
      <c r="H248" s="391" t="inlineStr">
        <is>
          <t> </t>
        </is>
      </c>
      <c r="I248" s="391" t="inlineStr">
        <is>
          <t> </t>
        </is>
      </c>
      <c r="J248" s="391" t="inlineStr">
        <is>
          <t> </t>
        </is>
      </c>
      <c r="K248" s="38" t="inlineStr">
        <is>
          <t> </t>
        </is>
      </c>
      <c r="L248" s="391" t="inlineStr">
        <is>
          <t> </t>
        </is>
      </c>
      <c r="M248" s="391" t="inlineStr">
        <is>
          <t> </t>
        </is>
      </c>
      <c r="N248" s="391" t="inlineStr">
        <is>
          <t> </t>
        </is>
      </c>
      <c r="O248" s="391" t="inlineStr">
        <is>
          <t> </t>
        </is>
      </c>
      <c r="P248" s="391" t="inlineStr">
        <is>
          <t> </t>
        </is>
      </c>
      <c r="Q248" s="391" t="inlineStr">
        <is>
          <t> </t>
        </is>
      </c>
      <c r="R248" s="38" t="inlineStr">
        <is>
          <t> </t>
        </is>
      </c>
      <c r="S248" s="391" t="inlineStr">
        <is>
          <t> </t>
        </is>
      </c>
      <c r="T248" s="391" t="inlineStr">
        <is>
          <t> </t>
        </is>
      </c>
      <c r="U248" s="391" t="inlineStr">
        <is>
          <t> </t>
        </is>
      </c>
      <c r="V248" s="391" t="inlineStr">
        <is>
          <t> </t>
        </is>
      </c>
      <c r="W248" s="391" t="inlineStr">
        <is>
          <t> </t>
        </is>
      </c>
      <c r="X248" s="391" t="inlineStr">
        <is>
          <t> </t>
        </is>
      </c>
      <c r="Y248" s="392" t="inlineStr">
        <is>
          <t> </t>
        </is>
      </c>
      <c r="Z248" s="391" t="inlineStr">
        <is>
          <t> </t>
        </is>
      </c>
      <c r="AA248" s="391" t="inlineStr">
        <is>
          <t> </t>
        </is>
      </c>
      <c r="AB248" s="391" t="inlineStr">
        <is>
          <t> </t>
        </is>
      </c>
      <c r="AC248" s="391" t="inlineStr">
        <is>
          <t> </t>
        </is>
      </c>
      <c r="AD248" s="391" t="inlineStr">
        <is>
          <t> </t>
        </is>
      </c>
      <c r="AE248" s="391" t="inlineStr">
        <is>
          <t> </t>
        </is>
      </c>
      <c r="AF248" s="38" t="inlineStr">
        <is>
          <t> </t>
        </is>
      </c>
      <c r="AG248" s="391" t="inlineStr">
        <is>
          <t> </t>
        </is>
      </c>
      <c r="AH248" s="391" t="n"/>
      <c r="AI248" s="391" t="inlineStr">
        <is>
          <t> </t>
        </is>
      </c>
      <c r="AJ248" s="391" t="inlineStr">
        <is>
          <t> </t>
        </is>
      </c>
      <c r="AK248" s="391" t="inlineStr">
        <is>
          <t> </t>
        </is>
      </c>
      <c r="AL248" s="391" t="inlineStr">
        <is>
          <t> </t>
        </is>
      </c>
      <c r="AM248" s="391" t="inlineStr">
        <is>
          <t> </t>
        </is>
      </c>
      <c r="AN248" s="391" t="inlineStr">
        <is>
          <t> </t>
        </is>
      </c>
      <c r="AO248" s="391" t="n"/>
      <c r="AP248" s="319" t="n"/>
      <c r="AQ248" s="319" t="n"/>
      <c r="AR248" s="319" t="n"/>
    </row>
    <row r="249" ht="15.75" customHeight="1" s="1264">
      <c r="A249" s="319" t="inlineStr">
        <is>
          <t> </t>
        </is>
      </c>
      <c r="B249" s="319" t="inlineStr">
        <is>
          <t> </t>
        </is>
      </c>
      <c r="C249" s="319" t="inlineStr">
        <is>
          <t> </t>
        </is>
      </c>
      <c r="D249" s="38" t="inlineStr">
        <is>
          <t> </t>
        </is>
      </c>
      <c r="E249" s="391" t="inlineStr">
        <is>
          <t> </t>
        </is>
      </c>
      <c r="F249" s="391" t="inlineStr">
        <is>
          <t> </t>
        </is>
      </c>
      <c r="G249" s="391" t="inlineStr">
        <is>
          <t> </t>
        </is>
      </c>
      <c r="H249" s="391" t="inlineStr">
        <is>
          <t> </t>
        </is>
      </c>
      <c r="I249" s="391" t="inlineStr">
        <is>
          <t> </t>
        </is>
      </c>
      <c r="J249" s="391" t="inlineStr">
        <is>
          <t> </t>
        </is>
      </c>
      <c r="K249" s="38" t="inlineStr">
        <is>
          <t> </t>
        </is>
      </c>
      <c r="L249" s="391" t="inlineStr">
        <is>
          <t> </t>
        </is>
      </c>
      <c r="M249" s="391" t="inlineStr">
        <is>
          <t> </t>
        </is>
      </c>
      <c r="N249" s="391" t="inlineStr">
        <is>
          <t> </t>
        </is>
      </c>
      <c r="O249" s="391" t="inlineStr">
        <is>
          <t> </t>
        </is>
      </c>
      <c r="P249" s="391" t="inlineStr">
        <is>
          <t> </t>
        </is>
      </c>
      <c r="Q249" s="391" t="inlineStr">
        <is>
          <t> </t>
        </is>
      </c>
      <c r="R249" s="38" t="inlineStr">
        <is>
          <t> </t>
        </is>
      </c>
      <c r="S249" s="391" t="inlineStr">
        <is>
          <t> </t>
        </is>
      </c>
      <c r="T249" s="391" t="inlineStr">
        <is>
          <t> </t>
        </is>
      </c>
      <c r="U249" s="391" t="inlineStr">
        <is>
          <t> </t>
        </is>
      </c>
      <c r="V249" s="391" t="inlineStr">
        <is>
          <t> </t>
        </is>
      </c>
      <c r="W249" s="391" t="inlineStr">
        <is>
          <t> </t>
        </is>
      </c>
      <c r="X249" s="391" t="inlineStr">
        <is>
          <t> </t>
        </is>
      </c>
      <c r="Y249" s="392" t="inlineStr">
        <is>
          <t> </t>
        </is>
      </c>
      <c r="Z249" s="391" t="inlineStr">
        <is>
          <t> </t>
        </is>
      </c>
      <c r="AA249" s="391" t="inlineStr">
        <is>
          <t> </t>
        </is>
      </c>
      <c r="AB249" s="391" t="inlineStr">
        <is>
          <t> </t>
        </is>
      </c>
      <c r="AC249" s="391" t="inlineStr">
        <is>
          <t> </t>
        </is>
      </c>
      <c r="AD249" s="391" t="inlineStr">
        <is>
          <t> </t>
        </is>
      </c>
      <c r="AE249" s="391" t="inlineStr">
        <is>
          <t> </t>
        </is>
      </c>
      <c r="AF249" s="38" t="inlineStr">
        <is>
          <t> </t>
        </is>
      </c>
      <c r="AG249" s="391" t="inlineStr">
        <is>
          <t> </t>
        </is>
      </c>
      <c r="AH249" s="391" t="n"/>
      <c r="AI249" s="391" t="inlineStr">
        <is>
          <t> </t>
        </is>
      </c>
      <c r="AJ249" s="391" t="inlineStr">
        <is>
          <t> </t>
        </is>
      </c>
      <c r="AK249" s="391" t="inlineStr">
        <is>
          <t> </t>
        </is>
      </c>
      <c r="AL249" s="391" t="inlineStr">
        <is>
          <t> </t>
        </is>
      </c>
      <c r="AM249" s="391" t="inlineStr">
        <is>
          <t> </t>
        </is>
      </c>
      <c r="AN249" s="391" t="inlineStr">
        <is>
          <t> </t>
        </is>
      </c>
      <c r="AO249" s="391" t="n"/>
      <c r="AP249" s="319" t="n"/>
      <c r="AQ249" s="319" t="n"/>
      <c r="AR249" s="319" t="n"/>
    </row>
    <row r="250" ht="15.75" customHeight="1" s="1264">
      <c r="A250" s="319" t="inlineStr">
        <is>
          <t> </t>
        </is>
      </c>
      <c r="B250" s="319" t="inlineStr">
        <is>
          <t> </t>
        </is>
      </c>
      <c r="C250" s="319" t="inlineStr">
        <is>
          <t> </t>
        </is>
      </c>
      <c r="D250" s="38" t="inlineStr">
        <is>
          <t> </t>
        </is>
      </c>
      <c r="E250" s="391" t="inlineStr">
        <is>
          <t> </t>
        </is>
      </c>
      <c r="F250" s="391" t="inlineStr">
        <is>
          <t> </t>
        </is>
      </c>
      <c r="G250" s="391" t="inlineStr">
        <is>
          <t> </t>
        </is>
      </c>
      <c r="H250" s="391" t="inlineStr">
        <is>
          <t> </t>
        </is>
      </c>
      <c r="I250" s="391" t="inlineStr">
        <is>
          <t> </t>
        </is>
      </c>
      <c r="J250" s="391" t="inlineStr">
        <is>
          <t> </t>
        </is>
      </c>
      <c r="K250" s="38" t="inlineStr">
        <is>
          <t> </t>
        </is>
      </c>
      <c r="L250" s="391" t="inlineStr">
        <is>
          <t> </t>
        </is>
      </c>
      <c r="M250" s="391" t="inlineStr">
        <is>
          <t> </t>
        </is>
      </c>
      <c r="N250" s="391" t="inlineStr">
        <is>
          <t> </t>
        </is>
      </c>
      <c r="O250" s="391" t="inlineStr">
        <is>
          <t> </t>
        </is>
      </c>
      <c r="P250" s="391" t="inlineStr">
        <is>
          <t> </t>
        </is>
      </c>
      <c r="Q250" s="391" t="inlineStr">
        <is>
          <t> </t>
        </is>
      </c>
      <c r="R250" s="38" t="inlineStr">
        <is>
          <t> </t>
        </is>
      </c>
      <c r="S250" s="391" t="inlineStr">
        <is>
          <t> </t>
        </is>
      </c>
      <c r="T250" s="391" t="inlineStr">
        <is>
          <t> </t>
        </is>
      </c>
      <c r="U250" s="391" t="inlineStr">
        <is>
          <t> </t>
        </is>
      </c>
      <c r="V250" s="391" t="inlineStr">
        <is>
          <t> </t>
        </is>
      </c>
      <c r="W250" s="391" t="inlineStr">
        <is>
          <t> </t>
        </is>
      </c>
      <c r="X250" s="391" t="inlineStr">
        <is>
          <t> </t>
        </is>
      </c>
      <c r="Y250" s="392" t="inlineStr">
        <is>
          <t> </t>
        </is>
      </c>
      <c r="Z250" s="391" t="inlineStr">
        <is>
          <t> </t>
        </is>
      </c>
      <c r="AA250" s="391" t="inlineStr">
        <is>
          <t> </t>
        </is>
      </c>
      <c r="AB250" s="391" t="inlineStr">
        <is>
          <t> </t>
        </is>
      </c>
      <c r="AC250" s="391" t="inlineStr">
        <is>
          <t> </t>
        </is>
      </c>
      <c r="AD250" s="391" t="inlineStr">
        <is>
          <t> </t>
        </is>
      </c>
      <c r="AE250" s="391" t="inlineStr">
        <is>
          <t> </t>
        </is>
      </c>
      <c r="AF250" s="38" t="inlineStr">
        <is>
          <t> </t>
        </is>
      </c>
      <c r="AG250" s="391" t="inlineStr">
        <is>
          <t> </t>
        </is>
      </c>
      <c r="AH250" s="391" t="n"/>
      <c r="AI250" s="391" t="inlineStr">
        <is>
          <t> </t>
        </is>
      </c>
      <c r="AJ250" s="391" t="inlineStr">
        <is>
          <t> </t>
        </is>
      </c>
      <c r="AK250" s="391" t="inlineStr">
        <is>
          <t> </t>
        </is>
      </c>
      <c r="AL250" s="391" t="inlineStr">
        <is>
          <t> </t>
        </is>
      </c>
      <c r="AM250" s="391" t="inlineStr">
        <is>
          <t> </t>
        </is>
      </c>
      <c r="AN250" s="391" t="inlineStr">
        <is>
          <t> </t>
        </is>
      </c>
      <c r="AO250" s="391" t="n"/>
      <c r="AP250" s="319" t="n"/>
      <c r="AQ250" s="319" t="n"/>
      <c r="AR250" s="319" t="n"/>
    </row>
    <row r="251" ht="15.75" customHeight="1" s="1264">
      <c r="A251" s="319" t="inlineStr">
        <is>
          <t> </t>
        </is>
      </c>
      <c r="B251" s="319" t="inlineStr">
        <is>
          <t> </t>
        </is>
      </c>
      <c r="C251" s="319" t="inlineStr">
        <is>
          <t> </t>
        </is>
      </c>
      <c r="D251" s="38" t="inlineStr">
        <is>
          <t> </t>
        </is>
      </c>
      <c r="E251" s="391" t="inlineStr">
        <is>
          <t> </t>
        </is>
      </c>
      <c r="F251" s="391" t="inlineStr">
        <is>
          <t> </t>
        </is>
      </c>
      <c r="G251" s="391" t="inlineStr">
        <is>
          <t> </t>
        </is>
      </c>
      <c r="H251" s="391" t="inlineStr">
        <is>
          <t> </t>
        </is>
      </c>
      <c r="I251" s="391" t="inlineStr">
        <is>
          <t> </t>
        </is>
      </c>
      <c r="J251" s="391" t="inlineStr">
        <is>
          <t> </t>
        </is>
      </c>
      <c r="K251" s="38" t="inlineStr">
        <is>
          <t> </t>
        </is>
      </c>
      <c r="L251" s="391" t="inlineStr">
        <is>
          <t> </t>
        </is>
      </c>
      <c r="M251" s="391" t="inlineStr">
        <is>
          <t> </t>
        </is>
      </c>
      <c r="N251" s="391" t="inlineStr">
        <is>
          <t> </t>
        </is>
      </c>
      <c r="O251" s="391" t="inlineStr">
        <is>
          <t> </t>
        </is>
      </c>
      <c r="P251" s="391" t="inlineStr">
        <is>
          <t> </t>
        </is>
      </c>
      <c r="Q251" s="391" t="inlineStr">
        <is>
          <t> </t>
        </is>
      </c>
      <c r="R251" s="38" t="inlineStr">
        <is>
          <t> </t>
        </is>
      </c>
      <c r="S251" s="391" t="inlineStr">
        <is>
          <t> </t>
        </is>
      </c>
      <c r="T251" s="391" t="inlineStr">
        <is>
          <t> </t>
        </is>
      </c>
      <c r="U251" s="391" t="inlineStr">
        <is>
          <t> </t>
        </is>
      </c>
      <c r="V251" s="391" t="inlineStr">
        <is>
          <t> </t>
        </is>
      </c>
      <c r="W251" s="391" t="inlineStr">
        <is>
          <t> </t>
        </is>
      </c>
      <c r="X251" s="391" t="inlineStr">
        <is>
          <t> </t>
        </is>
      </c>
      <c r="Y251" s="392" t="inlineStr">
        <is>
          <t> </t>
        </is>
      </c>
      <c r="Z251" s="391" t="inlineStr">
        <is>
          <t> </t>
        </is>
      </c>
      <c r="AA251" s="391" t="inlineStr">
        <is>
          <t> </t>
        </is>
      </c>
      <c r="AB251" s="391" t="inlineStr">
        <is>
          <t> </t>
        </is>
      </c>
      <c r="AC251" s="391" t="inlineStr">
        <is>
          <t> </t>
        </is>
      </c>
      <c r="AD251" s="391" t="inlineStr">
        <is>
          <t> </t>
        </is>
      </c>
      <c r="AE251" s="391" t="inlineStr">
        <is>
          <t> </t>
        </is>
      </c>
      <c r="AF251" s="38" t="inlineStr">
        <is>
          <t> </t>
        </is>
      </c>
      <c r="AG251" s="391" t="inlineStr">
        <is>
          <t> </t>
        </is>
      </c>
      <c r="AH251" s="391" t="n"/>
      <c r="AI251" s="391" t="inlineStr">
        <is>
          <t> </t>
        </is>
      </c>
      <c r="AJ251" s="391" t="inlineStr">
        <is>
          <t> </t>
        </is>
      </c>
      <c r="AK251" s="391" t="inlineStr">
        <is>
          <t> </t>
        </is>
      </c>
      <c r="AL251" s="391" t="inlineStr">
        <is>
          <t> </t>
        </is>
      </c>
      <c r="AM251" s="391" t="inlineStr">
        <is>
          <t> </t>
        </is>
      </c>
      <c r="AN251" s="391" t="inlineStr">
        <is>
          <t> </t>
        </is>
      </c>
      <c r="AO251" s="391" t="n"/>
      <c r="AP251" s="319" t="n"/>
      <c r="AQ251" s="319" t="n"/>
      <c r="AR251" s="319" t="n"/>
    </row>
    <row r="252" ht="15.75" customHeight="1" s="1264">
      <c r="A252" s="319" t="inlineStr">
        <is>
          <t> </t>
        </is>
      </c>
      <c r="B252" s="319" t="inlineStr">
        <is>
          <t> </t>
        </is>
      </c>
      <c r="C252" s="319" t="inlineStr">
        <is>
          <t> </t>
        </is>
      </c>
      <c r="D252" s="38" t="inlineStr">
        <is>
          <t> </t>
        </is>
      </c>
      <c r="E252" s="391" t="inlineStr">
        <is>
          <t> </t>
        </is>
      </c>
      <c r="F252" s="391" t="inlineStr">
        <is>
          <t> </t>
        </is>
      </c>
      <c r="G252" s="391" t="inlineStr">
        <is>
          <t> </t>
        </is>
      </c>
      <c r="H252" s="391" t="inlineStr">
        <is>
          <t> </t>
        </is>
      </c>
      <c r="I252" s="391" t="inlineStr">
        <is>
          <t> </t>
        </is>
      </c>
      <c r="J252" s="391" t="inlineStr">
        <is>
          <t> </t>
        </is>
      </c>
      <c r="K252" s="38" t="inlineStr">
        <is>
          <t> </t>
        </is>
      </c>
      <c r="L252" s="391" t="inlineStr">
        <is>
          <t> </t>
        </is>
      </c>
      <c r="M252" s="391" t="inlineStr">
        <is>
          <t> </t>
        </is>
      </c>
      <c r="N252" s="391" t="inlineStr">
        <is>
          <t> </t>
        </is>
      </c>
      <c r="O252" s="391" t="inlineStr">
        <is>
          <t> </t>
        </is>
      </c>
      <c r="P252" s="391" t="inlineStr">
        <is>
          <t> </t>
        </is>
      </c>
      <c r="Q252" s="391" t="inlineStr">
        <is>
          <t> </t>
        </is>
      </c>
      <c r="R252" s="38" t="inlineStr">
        <is>
          <t> </t>
        </is>
      </c>
      <c r="S252" s="391" t="inlineStr">
        <is>
          <t> </t>
        </is>
      </c>
      <c r="T252" s="391" t="inlineStr">
        <is>
          <t> </t>
        </is>
      </c>
      <c r="U252" s="391" t="inlineStr">
        <is>
          <t> </t>
        </is>
      </c>
      <c r="V252" s="391" t="inlineStr">
        <is>
          <t> </t>
        </is>
      </c>
      <c r="W252" s="391" t="inlineStr">
        <is>
          <t> </t>
        </is>
      </c>
      <c r="X252" s="391" t="inlineStr">
        <is>
          <t> </t>
        </is>
      </c>
      <c r="Y252" s="392" t="inlineStr">
        <is>
          <t> </t>
        </is>
      </c>
      <c r="Z252" s="391" t="inlineStr">
        <is>
          <t> </t>
        </is>
      </c>
      <c r="AA252" s="391" t="inlineStr">
        <is>
          <t> </t>
        </is>
      </c>
      <c r="AB252" s="391" t="inlineStr">
        <is>
          <t> </t>
        </is>
      </c>
      <c r="AC252" s="391" t="inlineStr">
        <is>
          <t> </t>
        </is>
      </c>
      <c r="AD252" s="391" t="inlineStr">
        <is>
          <t> </t>
        </is>
      </c>
      <c r="AE252" s="391" t="inlineStr">
        <is>
          <t> </t>
        </is>
      </c>
      <c r="AF252" s="38" t="inlineStr">
        <is>
          <t> </t>
        </is>
      </c>
      <c r="AG252" s="391" t="inlineStr">
        <is>
          <t> </t>
        </is>
      </c>
      <c r="AH252" s="391" t="n"/>
      <c r="AI252" s="391" t="inlineStr">
        <is>
          <t> </t>
        </is>
      </c>
      <c r="AJ252" s="391" t="inlineStr">
        <is>
          <t> </t>
        </is>
      </c>
      <c r="AK252" s="391" t="inlineStr">
        <is>
          <t> </t>
        </is>
      </c>
      <c r="AL252" s="391" t="inlineStr">
        <is>
          <t> </t>
        </is>
      </c>
      <c r="AM252" s="391" t="inlineStr">
        <is>
          <t> </t>
        </is>
      </c>
      <c r="AN252" s="391" t="inlineStr">
        <is>
          <t> </t>
        </is>
      </c>
      <c r="AO252" s="391" t="n"/>
      <c r="AP252" s="319" t="n"/>
      <c r="AQ252" s="319" t="n"/>
      <c r="AR252" s="319" t="n"/>
    </row>
    <row r="253" ht="15.75" customHeight="1" s="1264">
      <c r="A253" s="319" t="inlineStr">
        <is>
          <t> </t>
        </is>
      </c>
      <c r="B253" s="319" t="inlineStr">
        <is>
          <t> </t>
        </is>
      </c>
      <c r="C253" s="319" t="inlineStr">
        <is>
          <t> </t>
        </is>
      </c>
      <c r="D253" s="38" t="inlineStr">
        <is>
          <t> </t>
        </is>
      </c>
      <c r="E253" s="391" t="inlineStr">
        <is>
          <t> </t>
        </is>
      </c>
      <c r="F253" s="391" t="inlineStr">
        <is>
          <t> </t>
        </is>
      </c>
      <c r="G253" s="391" t="inlineStr">
        <is>
          <t> </t>
        </is>
      </c>
      <c r="H253" s="391" t="inlineStr">
        <is>
          <t> </t>
        </is>
      </c>
      <c r="I253" s="391" t="inlineStr">
        <is>
          <t> </t>
        </is>
      </c>
      <c r="J253" s="391" t="inlineStr">
        <is>
          <t> </t>
        </is>
      </c>
      <c r="K253" s="38" t="inlineStr">
        <is>
          <t> </t>
        </is>
      </c>
      <c r="L253" s="391" t="inlineStr">
        <is>
          <t> </t>
        </is>
      </c>
      <c r="M253" s="391" t="inlineStr">
        <is>
          <t> </t>
        </is>
      </c>
      <c r="N253" s="391" t="inlineStr">
        <is>
          <t> </t>
        </is>
      </c>
      <c r="O253" s="391" t="inlineStr">
        <is>
          <t> </t>
        </is>
      </c>
      <c r="P253" s="391" t="inlineStr">
        <is>
          <t> </t>
        </is>
      </c>
      <c r="Q253" s="391" t="inlineStr">
        <is>
          <t> </t>
        </is>
      </c>
      <c r="R253" s="38" t="inlineStr">
        <is>
          <t> </t>
        </is>
      </c>
      <c r="S253" s="391" t="inlineStr">
        <is>
          <t> </t>
        </is>
      </c>
      <c r="T253" s="391" t="inlineStr">
        <is>
          <t> </t>
        </is>
      </c>
      <c r="U253" s="391" t="inlineStr">
        <is>
          <t> </t>
        </is>
      </c>
      <c r="V253" s="391" t="inlineStr">
        <is>
          <t> </t>
        </is>
      </c>
      <c r="W253" s="391" t="inlineStr">
        <is>
          <t> </t>
        </is>
      </c>
      <c r="X253" s="391" t="inlineStr">
        <is>
          <t> </t>
        </is>
      </c>
      <c r="Y253" s="392" t="inlineStr">
        <is>
          <t> </t>
        </is>
      </c>
      <c r="Z253" s="391" t="inlineStr">
        <is>
          <t> </t>
        </is>
      </c>
      <c r="AA253" s="391" t="inlineStr">
        <is>
          <t> </t>
        </is>
      </c>
      <c r="AB253" s="391" t="inlineStr">
        <is>
          <t> </t>
        </is>
      </c>
      <c r="AC253" s="391" t="inlineStr">
        <is>
          <t> </t>
        </is>
      </c>
      <c r="AD253" s="391" t="inlineStr">
        <is>
          <t> </t>
        </is>
      </c>
      <c r="AE253" s="391" t="inlineStr">
        <is>
          <t> </t>
        </is>
      </c>
      <c r="AF253" s="38" t="inlineStr">
        <is>
          <t> </t>
        </is>
      </c>
      <c r="AG253" s="391" t="inlineStr">
        <is>
          <t> </t>
        </is>
      </c>
      <c r="AH253" s="391" t="n"/>
      <c r="AI253" s="391" t="inlineStr">
        <is>
          <t> </t>
        </is>
      </c>
      <c r="AJ253" s="391" t="inlineStr">
        <is>
          <t> </t>
        </is>
      </c>
      <c r="AK253" s="391" t="inlineStr">
        <is>
          <t> </t>
        </is>
      </c>
      <c r="AL253" s="391" t="inlineStr">
        <is>
          <t> </t>
        </is>
      </c>
      <c r="AM253" s="391" t="inlineStr">
        <is>
          <t> </t>
        </is>
      </c>
      <c r="AN253" s="391" t="inlineStr">
        <is>
          <t> </t>
        </is>
      </c>
      <c r="AO253" s="391" t="n"/>
      <c r="AP253" s="319" t="n"/>
      <c r="AQ253" s="319" t="n"/>
      <c r="AR253" s="319" t="n"/>
    </row>
    <row r="254" ht="15.75" customHeight="1" s="1264">
      <c r="A254" s="319" t="inlineStr">
        <is>
          <t> </t>
        </is>
      </c>
      <c r="B254" s="319" t="inlineStr">
        <is>
          <t> </t>
        </is>
      </c>
      <c r="C254" s="319" t="inlineStr">
        <is>
          <t> </t>
        </is>
      </c>
      <c r="D254" s="38" t="inlineStr">
        <is>
          <t> </t>
        </is>
      </c>
      <c r="E254" s="391" t="inlineStr">
        <is>
          <t> </t>
        </is>
      </c>
      <c r="F254" s="391" t="inlineStr">
        <is>
          <t> </t>
        </is>
      </c>
      <c r="G254" s="391" t="inlineStr">
        <is>
          <t> </t>
        </is>
      </c>
      <c r="H254" s="391" t="inlineStr">
        <is>
          <t> </t>
        </is>
      </c>
      <c r="I254" s="391" t="inlineStr">
        <is>
          <t> </t>
        </is>
      </c>
      <c r="J254" s="391" t="inlineStr">
        <is>
          <t> </t>
        </is>
      </c>
      <c r="K254" s="38" t="inlineStr">
        <is>
          <t> </t>
        </is>
      </c>
      <c r="L254" s="391" t="inlineStr">
        <is>
          <t> </t>
        </is>
      </c>
      <c r="M254" s="391" t="inlineStr">
        <is>
          <t> </t>
        </is>
      </c>
      <c r="N254" s="391" t="inlineStr">
        <is>
          <t> </t>
        </is>
      </c>
      <c r="O254" s="391" t="inlineStr">
        <is>
          <t> </t>
        </is>
      </c>
      <c r="P254" s="391" t="inlineStr">
        <is>
          <t> </t>
        </is>
      </c>
      <c r="Q254" s="391" t="inlineStr">
        <is>
          <t> </t>
        </is>
      </c>
      <c r="R254" s="38" t="inlineStr">
        <is>
          <t> </t>
        </is>
      </c>
      <c r="S254" s="391" t="inlineStr">
        <is>
          <t> </t>
        </is>
      </c>
      <c r="T254" s="391" t="inlineStr">
        <is>
          <t> </t>
        </is>
      </c>
      <c r="U254" s="391" t="inlineStr">
        <is>
          <t> </t>
        </is>
      </c>
      <c r="V254" s="391" t="inlineStr">
        <is>
          <t> </t>
        </is>
      </c>
      <c r="W254" s="391" t="inlineStr">
        <is>
          <t> </t>
        </is>
      </c>
      <c r="X254" s="391" t="inlineStr">
        <is>
          <t> </t>
        </is>
      </c>
      <c r="Y254" s="392" t="inlineStr">
        <is>
          <t> </t>
        </is>
      </c>
      <c r="Z254" s="391" t="inlineStr">
        <is>
          <t> </t>
        </is>
      </c>
      <c r="AA254" s="391" t="inlineStr">
        <is>
          <t> </t>
        </is>
      </c>
      <c r="AB254" s="391" t="inlineStr">
        <is>
          <t> </t>
        </is>
      </c>
      <c r="AC254" s="391" t="inlineStr">
        <is>
          <t> </t>
        </is>
      </c>
      <c r="AD254" s="391" t="inlineStr">
        <is>
          <t> </t>
        </is>
      </c>
      <c r="AE254" s="391" t="inlineStr">
        <is>
          <t> </t>
        </is>
      </c>
      <c r="AF254" s="38" t="inlineStr">
        <is>
          <t> </t>
        </is>
      </c>
      <c r="AG254" s="391" t="inlineStr">
        <is>
          <t> </t>
        </is>
      </c>
      <c r="AH254" s="391" t="n"/>
      <c r="AI254" s="391" t="inlineStr">
        <is>
          <t> </t>
        </is>
      </c>
      <c r="AJ254" s="391" t="inlineStr">
        <is>
          <t> </t>
        </is>
      </c>
      <c r="AK254" s="391" t="inlineStr">
        <is>
          <t> </t>
        </is>
      </c>
      <c r="AL254" s="391" t="inlineStr">
        <is>
          <t> </t>
        </is>
      </c>
      <c r="AM254" s="391" t="inlineStr">
        <is>
          <t> </t>
        </is>
      </c>
      <c r="AN254" s="391" t="inlineStr">
        <is>
          <t> </t>
        </is>
      </c>
      <c r="AO254" s="391" t="n"/>
      <c r="AP254" s="319" t="n"/>
      <c r="AQ254" s="319" t="n"/>
      <c r="AR254" s="319" t="n"/>
    </row>
    <row r="255" ht="15.75" customHeight="1" s="1264">
      <c r="A255" s="319" t="inlineStr">
        <is>
          <t> </t>
        </is>
      </c>
      <c r="B255" s="319" t="inlineStr">
        <is>
          <t> </t>
        </is>
      </c>
      <c r="C255" s="319" t="inlineStr">
        <is>
          <t> </t>
        </is>
      </c>
      <c r="D255" s="38" t="inlineStr">
        <is>
          <t> </t>
        </is>
      </c>
      <c r="E255" s="391" t="inlineStr">
        <is>
          <t> </t>
        </is>
      </c>
      <c r="F255" s="391" t="inlineStr">
        <is>
          <t> </t>
        </is>
      </c>
      <c r="G255" s="391" t="inlineStr">
        <is>
          <t> </t>
        </is>
      </c>
      <c r="H255" s="391" t="inlineStr">
        <is>
          <t> </t>
        </is>
      </c>
      <c r="I255" s="391" t="inlineStr">
        <is>
          <t> </t>
        </is>
      </c>
      <c r="J255" s="391" t="inlineStr">
        <is>
          <t> </t>
        </is>
      </c>
      <c r="K255" s="38" t="inlineStr">
        <is>
          <t> </t>
        </is>
      </c>
      <c r="L255" s="391" t="inlineStr">
        <is>
          <t> </t>
        </is>
      </c>
      <c r="M255" s="391" t="inlineStr">
        <is>
          <t> </t>
        </is>
      </c>
      <c r="N255" s="391" t="inlineStr">
        <is>
          <t> </t>
        </is>
      </c>
      <c r="O255" s="391" t="inlineStr">
        <is>
          <t> </t>
        </is>
      </c>
      <c r="P255" s="391" t="inlineStr">
        <is>
          <t> </t>
        </is>
      </c>
      <c r="Q255" s="391" t="inlineStr">
        <is>
          <t> </t>
        </is>
      </c>
      <c r="R255" s="38" t="inlineStr">
        <is>
          <t> </t>
        </is>
      </c>
      <c r="S255" s="391" t="inlineStr">
        <is>
          <t> </t>
        </is>
      </c>
      <c r="T255" s="391" t="inlineStr">
        <is>
          <t> </t>
        </is>
      </c>
      <c r="U255" s="391" t="inlineStr">
        <is>
          <t> </t>
        </is>
      </c>
      <c r="V255" s="391" t="inlineStr">
        <is>
          <t> </t>
        </is>
      </c>
      <c r="W255" s="391" t="inlineStr">
        <is>
          <t> </t>
        </is>
      </c>
      <c r="X255" s="391" t="inlineStr">
        <is>
          <t> </t>
        </is>
      </c>
      <c r="Y255" s="392" t="inlineStr">
        <is>
          <t> </t>
        </is>
      </c>
      <c r="Z255" s="391" t="inlineStr">
        <is>
          <t> </t>
        </is>
      </c>
      <c r="AA255" s="391" t="inlineStr">
        <is>
          <t> </t>
        </is>
      </c>
      <c r="AB255" s="391" t="inlineStr">
        <is>
          <t> </t>
        </is>
      </c>
      <c r="AC255" s="391" t="inlineStr">
        <is>
          <t> </t>
        </is>
      </c>
      <c r="AD255" s="391" t="inlineStr">
        <is>
          <t> </t>
        </is>
      </c>
      <c r="AE255" s="391" t="inlineStr">
        <is>
          <t> </t>
        </is>
      </c>
      <c r="AF255" s="38" t="inlineStr">
        <is>
          <t> </t>
        </is>
      </c>
      <c r="AG255" s="391" t="inlineStr">
        <is>
          <t> </t>
        </is>
      </c>
      <c r="AH255" s="391" t="n"/>
      <c r="AI255" s="391" t="inlineStr">
        <is>
          <t> </t>
        </is>
      </c>
      <c r="AJ255" s="391" t="inlineStr">
        <is>
          <t> </t>
        </is>
      </c>
      <c r="AK255" s="391" t="inlineStr">
        <is>
          <t> </t>
        </is>
      </c>
      <c r="AL255" s="391" t="inlineStr">
        <is>
          <t> </t>
        </is>
      </c>
      <c r="AM255" s="391" t="inlineStr">
        <is>
          <t> </t>
        </is>
      </c>
      <c r="AN255" s="391" t="inlineStr">
        <is>
          <t> </t>
        </is>
      </c>
      <c r="AO255" s="391" t="n"/>
      <c r="AP255" s="319" t="n"/>
      <c r="AQ255" s="319" t="n"/>
      <c r="AR255" s="319" t="n"/>
    </row>
    <row r="256" ht="15.75" customHeight="1" s="1264">
      <c r="A256" s="319" t="inlineStr">
        <is>
          <t> </t>
        </is>
      </c>
      <c r="B256" s="319" t="inlineStr">
        <is>
          <t> </t>
        </is>
      </c>
      <c r="C256" s="319" t="inlineStr">
        <is>
          <t> </t>
        </is>
      </c>
      <c r="D256" s="38" t="inlineStr">
        <is>
          <t> </t>
        </is>
      </c>
      <c r="E256" s="391" t="inlineStr">
        <is>
          <t> </t>
        </is>
      </c>
      <c r="F256" s="391" t="inlineStr">
        <is>
          <t> </t>
        </is>
      </c>
      <c r="G256" s="391" t="inlineStr">
        <is>
          <t> </t>
        </is>
      </c>
      <c r="H256" s="391" t="inlineStr">
        <is>
          <t> </t>
        </is>
      </c>
      <c r="I256" s="391" t="inlineStr">
        <is>
          <t> </t>
        </is>
      </c>
      <c r="J256" s="391" t="inlineStr">
        <is>
          <t> </t>
        </is>
      </c>
      <c r="K256" s="38" t="inlineStr">
        <is>
          <t> </t>
        </is>
      </c>
      <c r="L256" s="391" t="inlineStr">
        <is>
          <t> </t>
        </is>
      </c>
      <c r="M256" s="391" t="inlineStr">
        <is>
          <t> </t>
        </is>
      </c>
      <c r="N256" s="391" t="inlineStr">
        <is>
          <t> </t>
        </is>
      </c>
      <c r="O256" s="391" t="inlineStr">
        <is>
          <t> </t>
        </is>
      </c>
      <c r="P256" s="391" t="inlineStr">
        <is>
          <t> </t>
        </is>
      </c>
      <c r="Q256" s="391" t="inlineStr">
        <is>
          <t> </t>
        </is>
      </c>
      <c r="R256" s="38" t="inlineStr">
        <is>
          <t> </t>
        </is>
      </c>
      <c r="S256" s="391" t="inlineStr">
        <is>
          <t> </t>
        </is>
      </c>
      <c r="T256" s="391" t="inlineStr">
        <is>
          <t> </t>
        </is>
      </c>
      <c r="U256" s="391" t="inlineStr">
        <is>
          <t> </t>
        </is>
      </c>
      <c r="V256" s="391" t="inlineStr">
        <is>
          <t> </t>
        </is>
      </c>
      <c r="W256" s="391" t="inlineStr">
        <is>
          <t> </t>
        </is>
      </c>
      <c r="X256" s="391" t="inlineStr">
        <is>
          <t> </t>
        </is>
      </c>
      <c r="Y256" s="392" t="inlineStr">
        <is>
          <t> </t>
        </is>
      </c>
      <c r="Z256" s="391" t="inlineStr">
        <is>
          <t> </t>
        </is>
      </c>
      <c r="AA256" s="391" t="inlineStr">
        <is>
          <t> </t>
        </is>
      </c>
      <c r="AB256" s="391" t="inlineStr">
        <is>
          <t> </t>
        </is>
      </c>
      <c r="AC256" s="391" t="inlineStr">
        <is>
          <t> </t>
        </is>
      </c>
      <c r="AD256" s="391" t="inlineStr">
        <is>
          <t> </t>
        </is>
      </c>
      <c r="AE256" s="391" t="inlineStr">
        <is>
          <t> </t>
        </is>
      </c>
      <c r="AF256" s="38" t="inlineStr">
        <is>
          <t> </t>
        </is>
      </c>
      <c r="AG256" s="391" t="inlineStr">
        <is>
          <t> </t>
        </is>
      </c>
      <c r="AH256" s="391" t="n"/>
      <c r="AI256" s="391" t="inlineStr">
        <is>
          <t> </t>
        </is>
      </c>
      <c r="AJ256" s="391" t="inlineStr">
        <is>
          <t> </t>
        </is>
      </c>
      <c r="AK256" s="391" t="inlineStr">
        <is>
          <t> </t>
        </is>
      </c>
      <c r="AL256" s="391" t="inlineStr">
        <is>
          <t> </t>
        </is>
      </c>
      <c r="AM256" s="391" t="inlineStr">
        <is>
          <t> </t>
        </is>
      </c>
      <c r="AN256" s="391" t="inlineStr">
        <is>
          <t> </t>
        </is>
      </c>
      <c r="AO256" s="391" t="n"/>
      <c r="AP256" s="319" t="n"/>
      <c r="AQ256" s="319" t="n"/>
      <c r="AR256" s="319" t="n"/>
    </row>
    <row r="257" ht="15.75" customHeight="1" s="1264">
      <c r="A257" s="319" t="inlineStr">
        <is>
          <t> </t>
        </is>
      </c>
      <c r="B257" s="319" t="inlineStr">
        <is>
          <t> </t>
        </is>
      </c>
      <c r="C257" s="319" t="inlineStr">
        <is>
          <t> </t>
        </is>
      </c>
      <c r="D257" s="38" t="inlineStr">
        <is>
          <t> </t>
        </is>
      </c>
      <c r="E257" s="391" t="inlineStr">
        <is>
          <t> </t>
        </is>
      </c>
      <c r="F257" s="391" t="inlineStr">
        <is>
          <t> </t>
        </is>
      </c>
      <c r="G257" s="391" t="inlineStr">
        <is>
          <t> </t>
        </is>
      </c>
      <c r="H257" s="391" t="inlineStr">
        <is>
          <t> </t>
        </is>
      </c>
      <c r="I257" s="391" t="inlineStr">
        <is>
          <t> </t>
        </is>
      </c>
      <c r="J257" s="391" t="inlineStr">
        <is>
          <t> </t>
        </is>
      </c>
      <c r="K257" s="38" t="inlineStr">
        <is>
          <t> </t>
        </is>
      </c>
      <c r="L257" s="391" t="inlineStr">
        <is>
          <t> </t>
        </is>
      </c>
      <c r="M257" s="391" t="inlineStr">
        <is>
          <t> </t>
        </is>
      </c>
      <c r="N257" s="391" t="inlineStr">
        <is>
          <t> </t>
        </is>
      </c>
      <c r="O257" s="391" t="inlineStr">
        <is>
          <t> </t>
        </is>
      </c>
      <c r="P257" s="391" t="inlineStr">
        <is>
          <t> </t>
        </is>
      </c>
      <c r="Q257" s="391" t="inlineStr">
        <is>
          <t> </t>
        </is>
      </c>
      <c r="R257" s="38" t="inlineStr">
        <is>
          <t> </t>
        </is>
      </c>
      <c r="S257" s="391" t="inlineStr">
        <is>
          <t> </t>
        </is>
      </c>
      <c r="T257" s="391" t="inlineStr">
        <is>
          <t> </t>
        </is>
      </c>
      <c r="U257" s="391" t="inlineStr">
        <is>
          <t> </t>
        </is>
      </c>
      <c r="V257" s="391" t="inlineStr">
        <is>
          <t> </t>
        </is>
      </c>
      <c r="W257" s="391" t="inlineStr">
        <is>
          <t> </t>
        </is>
      </c>
      <c r="X257" s="391" t="inlineStr">
        <is>
          <t> </t>
        </is>
      </c>
      <c r="Y257" s="392" t="inlineStr">
        <is>
          <t> </t>
        </is>
      </c>
      <c r="Z257" s="391" t="inlineStr">
        <is>
          <t> </t>
        </is>
      </c>
      <c r="AA257" s="391" t="inlineStr">
        <is>
          <t> </t>
        </is>
      </c>
      <c r="AB257" s="391" t="inlineStr">
        <is>
          <t> </t>
        </is>
      </c>
      <c r="AC257" s="391" t="inlineStr">
        <is>
          <t> </t>
        </is>
      </c>
      <c r="AD257" s="391" t="inlineStr">
        <is>
          <t> </t>
        </is>
      </c>
      <c r="AE257" s="391" t="inlineStr">
        <is>
          <t> </t>
        </is>
      </c>
      <c r="AF257" s="38" t="inlineStr">
        <is>
          <t> </t>
        </is>
      </c>
      <c r="AG257" s="391" t="inlineStr">
        <is>
          <t> </t>
        </is>
      </c>
      <c r="AH257" s="391" t="n"/>
      <c r="AI257" s="391" t="inlineStr">
        <is>
          <t> </t>
        </is>
      </c>
      <c r="AJ257" s="391" t="inlineStr">
        <is>
          <t> </t>
        </is>
      </c>
      <c r="AK257" s="391" t="inlineStr">
        <is>
          <t> </t>
        </is>
      </c>
      <c r="AL257" s="391" t="inlineStr">
        <is>
          <t> </t>
        </is>
      </c>
      <c r="AM257" s="391" t="inlineStr">
        <is>
          <t> </t>
        </is>
      </c>
      <c r="AN257" s="391" t="inlineStr">
        <is>
          <t> </t>
        </is>
      </c>
      <c r="AO257" s="391" t="n"/>
      <c r="AP257" s="319" t="n"/>
      <c r="AQ257" s="319" t="n"/>
      <c r="AR257" s="319" t="n"/>
    </row>
    <row r="258" ht="15.75" customHeight="1" s="1264">
      <c r="A258" s="319" t="inlineStr">
        <is>
          <t> </t>
        </is>
      </c>
      <c r="B258" s="319" t="inlineStr">
        <is>
          <t> </t>
        </is>
      </c>
      <c r="C258" s="319" t="inlineStr">
        <is>
          <t> </t>
        </is>
      </c>
      <c r="D258" s="38" t="inlineStr">
        <is>
          <t> </t>
        </is>
      </c>
      <c r="E258" s="391" t="inlineStr">
        <is>
          <t> </t>
        </is>
      </c>
      <c r="F258" s="391" t="inlineStr">
        <is>
          <t> </t>
        </is>
      </c>
      <c r="G258" s="391" t="inlineStr">
        <is>
          <t> </t>
        </is>
      </c>
      <c r="H258" s="391" t="inlineStr">
        <is>
          <t> </t>
        </is>
      </c>
      <c r="I258" s="391" t="inlineStr">
        <is>
          <t> </t>
        </is>
      </c>
      <c r="J258" s="391" t="inlineStr">
        <is>
          <t> </t>
        </is>
      </c>
      <c r="K258" s="38" t="inlineStr">
        <is>
          <t> </t>
        </is>
      </c>
      <c r="L258" s="391" t="inlineStr">
        <is>
          <t> </t>
        </is>
      </c>
      <c r="M258" s="391" t="inlineStr">
        <is>
          <t> </t>
        </is>
      </c>
      <c r="N258" s="391" t="inlineStr">
        <is>
          <t> </t>
        </is>
      </c>
      <c r="O258" s="391" t="inlineStr">
        <is>
          <t> </t>
        </is>
      </c>
      <c r="P258" s="391" t="inlineStr">
        <is>
          <t> </t>
        </is>
      </c>
      <c r="Q258" s="391" t="inlineStr">
        <is>
          <t> </t>
        </is>
      </c>
      <c r="R258" s="38" t="inlineStr">
        <is>
          <t> </t>
        </is>
      </c>
      <c r="S258" s="391" t="inlineStr">
        <is>
          <t> </t>
        </is>
      </c>
      <c r="T258" s="391" t="inlineStr">
        <is>
          <t> </t>
        </is>
      </c>
      <c r="U258" s="391" t="inlineStr">
        <is>
          <t> </t>
        </is>
      </c>
      <c r="V258" s="391" t="inlineStr">
        <is>
          <t> </t>
        </is>
      </c>
      <c r="W258" s="391" t="inlineStr">
        <is>
          <t> </t>
        </is>
      </c>
      <c r="X258" s="391" t="inlineStr">
        <is>
          <t> </t>
        </is>
      </c>
      <c r="Y258" s="392" t="inlineStr">
        <is>
          <t> </t>
        </is>
      </c>
      <c r="Z258" s="391" t="inlineStr">
        <is>
          <t> </t>
        </is>
      </c>
      <c r="AA258" s="391" t="inlineStr">
        <is>
          <t> </t>
        </is>
      </c>
      <c r="AB258" s="391" t="inlineStr">
        <is>
          <t> </t>
        </is>
      </c>
      <c r="AC258" s="391" t="inlineStr">
        <is>
          <t> </t>
        </is>
      </c>
      <c r="AD258" s="391" t="inlineStr">
        <is>
          <t> </t>
        </is>
      </c>
      <c r="AE258" s="391" t="inlineStr">
        <is>
          <t> </t>
        </is>
      </c>
      <c r="AF258" s="38" t="inlineStr">
        <is>
          <t> </t>
        </is>
      </c>
      <c r="AG258" s="391" t="inlineStr">
        <is>
          <t> </t>
        </is>
      </c>
      <c r="AH258" s="391" t="n"/>
      <c r="AI258" s="391" t="inlineStr">
        <is>
          <t> </t>
        </is>
      </c>
      <c r="AJ258" s="391" t="inlineStr">
        <is>
          <t> </t>
        </is>
      </c>
      <c r="AK258" s="391" t="inlineStr">
        <is>
          <t> </t>
        </is>
      </c>
      <c r="AL258" s="391" t="inlineStr">
        <is>
          <t> </t>
        </is>
      </c>
      <c r="AM258" s="391" t="inlineStr">
        <is>
          <t> </t>
        </is>
      </c>
      <c r="AN258" s="391" t="inlineStr">
        <is>
          <t> </t>
        </is>
      </c>
      <c r="AO258" s="391" t="n"/>
      <c r="AP258" s="319" t="n"/>
      <c r="AQ258" s="319" t="n"/>
      <c r="AR258" s="319" t="n"/>
    </row>
    <row r="259" ht="15.75" customHeight="1" s="1264">
      <c r="A259" s="319" t="inlineStr">
        <is>
          <t> </t>
        </is>
      </c>
      <c r="B259" s="319" t="inlineStr">
        <is>
          <t> </t>
        </is>
      </c>
      <c r="C259" s="319" t="inlineStr">
        <is>
          <t> </t>
        </is>
      </c>
      <c r="D259" s="38" t="inlineStr">
        <is>
          <t> </t>
        </is>
      </c>
      <c r="E259" s="391" t="inlineStr">
        <is>
          <t> </t>
        </is>
      </c>
      <c r="F259" s="391" t="inlineStr">
        <is>
          <t> </t>
        </is>
      </c>
      <c r="G259" s="391" t="inlineStr">
        <is>
          <t> </t>
        </is>
      </c>
      <c r="H259" s="391" t="inlineStr">
        <is>
          <t> </t>
        </is>
      </c>
      <c r="I259" s="391" t="inlineStr">
        <is>
          <t> </t>
        </is>
      </c>
      <c r="J259" s="391" t="inlineStr">
        <is>
          <t> </t>
        </is>
      </c>
      <c r="K259" s="38" t="inlineStr">
        <is>
          <t> </t>
        </is>
      </c>
      <c r="L259" s="391" t="inlineStr">
        <is>
          <t> </t>
        </is>
      </c>
      <c r="M259" s="391" t="inlineStr">
        <is>
          <t> </t>
        </is>
      </c>
      <c r="N259" s="391" t="inlineStr">
        <is>
          <t> </t>
        </is>
      </c>
      <c r="O259" s="391" t="inlineStr">
        <is>
          <t> </t>
        </is>
      </c>
      <c r="P259" s="391" t="inlineStr">
        <is>
          <t> </t>
        </is>
      </c>
      <c r="Q259" s="391" t="inlineStr">
        <is>
          <t> </t>
        </is>
      </c>
      <c r="R259" s="38" t="inlineStr">
        <is>
          <t> </t>
        </is>
      </c>
      <c r="S259" s="391" t="inlineStr">
        <is>
          <t> </t>
        </is>
      </c>
      <c r="T259" s="391" t="inlineStr">
        <is>
          <t> </t>
        </is>
      </c>
      <c r="U259" s="391" t="inlineStr">
        <is>
          <t> </t>
        </is>
      </c>
      <c r="V259" s="391" t="inlineStr">
        <is>
          <t> </t>
        </is>
      </c>
      <c r="W259" s="391" t="inlineStr">
        <is>
          <t> </t>
        </is>
      </c>
      <c r="X259" s="391" t="inlineStr">
        <is>
          <t> </t>
        </is>
      </c>
      <c r="Y259" s="392" t="inlineStr">
        <is>
          <t> </t>
        </is>
      </c>
      <c r="Z259" s="391" t="inlineStr">
        <is>
          <t> </t>
        </is>
      </c>
      <c r="AA259" s="391" t="inlineStr">
        <is>
          <t> </t>
        </is>
      </c>
      <c r="AB259" s="391" t="inlineStr">
        <is>
          <t> </t>
        </is>
      </c>
      <c r="AC259" s="391" t="inlineStr">
        <is>
          <t> </t>
        </is>
      </c>
      <c r="AD259" s="391" t="inlineStr">
        <is>
          <t> </t>
        </is>
      </c>
      <c r="AE259" s="391" t="inlineStr">
        <is>
          <t> </t>
        </is>
      </c>
      <c r="AF259" s="38" t="inlineStr">
        <is>
          <t> </t>
        </is>
      </c>
      <c r="AG259" s="391" t="inlineStr">
        <is>
          <t> </t>
        </is>
      </c>
      <c r="AH259" s="391" t="n"/>
      <c r="AI259" s="391" t="inlineStr">
        <is>
          <t> </t>
        </is>
      </c>
      <c r="AJ259" s="391" t="inlineStr">
        <is>
          <t> </t>
        </is>
      </c>
      <c r="AK259" s="391" t="inlineStr">
        <is>
          <t> </t>
        </is>
      </c>
      <c r="AL259" s="391" t="inlineStr">
        <is>
          <t> </t>
        </is>
      </c>
      <c r="AM259" s="391" t="inlineStr">
        <is>
          <t> </t>
        </is>
      </c>
      <c r="AN259" s="391" t="inlineStr">
        <is>
          <t> </t>
        </is>
      </c>
      <c r="AO259" s="391" t="n"/>
      <c r="AP259" s="319" t="n"/>
      <c r="AQ259" s="319" t="n"/>
      <c r="AR259" s="319" t="n"/>
    </row>
    <row r="260" ht="15.75" customHeight="1" s="1264">
      <c r="A260" s="319" t="inlineStr">
        <is>
          <t> </t>
        </is>
      </c>
      <c r="B260" s="319" t="inlineStr">
        <is>
          <t> </t>
        </is>
      </c>
      <c r="C260" s="319" t="inlineStr">
        <is>
          <t> </t>
        </is>
      </c>
      <c r="D260" s="38" t="inlineStr">
        <is>
          <t> </t>
        </is>
      </c>
      <c r="E260" s="391" t="inlineStr">
        <is>
          <t> </t>
        </is>
      </c>
      <c r="F260" s="391" t="inlineStr">
        <is>
          <t> </t>
        </is>
      </c>
      <c r="G260" s="391" t="inlineStr">
        <is>
          <t> </t>
        </is>
      </c>
      <c r="H260" s="391" t="inlineStr">
        <is>
          <t> </t>
        </is>
      </c>
      <c r="I260" s="391" t="inlineStr">
        <is>
          <t> </t>
        </is>
      </c>
      <c r="J260" s="391" t="inlineStr">
        <is>
          <t> </t>
        </is>
      </c>
      <c r="K260" s="38" t="inlineStr">
        <is>
          <t> </t>
        </is>
      </c>
      <c r="L260" s="391" t="inlineStr">
        <is>
          <t> </t>
        </is>
      </c>
      <c r="M260" s="391" t="inlineStr">
        <is>
          <t> </t>
        </is>
      </c>
      <c r="N260" s="391" t="inlineStr">
        <is>
          <t> </t>
        </is>
      </c>
      <c r="O260" s="391" t="inlineStr">
        <is>
          <t> </t>
        </is>
      </c>
      <c r="P260" s="391" t="inlineStr">
        <is>
          <t> </t>
        </is>
      </c>
      <c r="Q260" s="391" t="inlineStr">
        <is>
          <t> </t>
        </is>
      </c>
      <c r="R260" s="38" t="inlineStr">
        <is>
          <t> </t>
        </is>
      </c>
      <c r="S260" s="391" t="inlineStr">
        <is>
          <t> </t>
        </is>
      </c>
      <c r="T260" s="391" t="inlineStr">
        <is>
          <t> </t>
        </is>
      </c>
      <c r="U260" s="391" t="inlineStr">
        <is>
          <t> </t>
        </is>
      </c>
      <c r="V260" s="391" t="inlineStr">
        <is>
          <t> </t>
        </is>
      </c>
      <c r="W260" s="391" t="inlineStr">
        <is>
          <t> </t>
        </is>
      </c>
      <c r="X260" s="391" t="inlineStr">
        <is>
          <t> </t>
        </is>
      </c>
      <c r="Y260" s="392" t="inlineStr">
        <is>
          <t> </t>
        </is>
      </c>
      <c r="Z260" s="391" t="inlineStr">
        <is>
          <t> </t>
        </is>
      </c>
      <c r="AA260" s="391" t="inlineStr">
        <is>
          <t> </t>
        </is>
      </c>
      <c r="AB260" s="391" t="inlineStr">
        <is>
          <t> </t>
        </is>
      </c>
      <c r="AC260" s="391" t="inlineStr">
        <is>
          <t> </t>
        </is>
      </c>
      <c r="AD260" s="391" t="inlineStr">
        <is>
          <t> </t>
        </is>
      </c>
      <c r="AE260" s="391" t="inlineStr">
        <is>
          <t> </t>
        </is>
      </c>
      <c r="AF260" s="38" t="inlineStr">
        <is>
          <t> </t>
        </is>
      </c>
      <c r="AG260" s="391" t="inlineStr">
        <is>
          <t> </t>
        </is>
      </c>
      <c r="AH260" s="391" t="n"/>
      <c r="AI260" s="391" t="inlineStr">
        <is>
          <t> </t>
        </is>
      </c>
      <c r="AJ260" s="391" t="inlineStr">
        <is>
          <t> </t>
        </is>
      </c>
      <c r="AK260" s="391" t="inlineStr">
        <is>
          <t> </t>
        </is>
      </c>
      <c r="AL260" s="391" t="inlineStr">
        <is>
          <t> </t>
        </is>
      </c>
      <c r="AM260" s="391" t="inlineStr">
        <is>
          <t> </t>
        </is>
      </c>
      <c r="AN260" s="391" t="inlineStr">
        <is>
          <t> </t>
        </is>
      </c>
      <c r="AO260" s="391" t="n"/>
      <c r="AP260" s="319" t="n"/>
      <c r="AQ260" s="319" t="n"/>
      <c r="AR260" s="319" t="n"/>
    </row>
    <row r="261" ht="15.75" customHeight="1" s="1264">
      <c r="A261" s="319" t="inlineStr">
        <is>
          <t> </t>
        </is>
      </c>
      <c r="B261" s="319" t="inlineStr">
        <is>
          <t> </t>
        </is>
      </c>
      <c r="C261" s="319" t="inlineStr">
        <is>
          <t> </t>
        </is>
      </c>
      <c r="D261" s="38" t="inlineStr">
        <is>
          <t> </t>
        </is>
      </c>
      <c r="E261" s="391" t="inlineStr">
        <is>
          <t> </t>
        </is>
      </c>
      <c r="F261" s="391" t="inlineStr">
        <is>
          <t> </t>
        </is>
      </c>
      <c r="G261" s="391" t="inlineStr">
        <is>
          <t> </t>
        </is>
      </c>
      <c r="H261" s="391" t="inlineStr">
        <is>
          <t> </t>
        </is>
      </c>
      <c r="I261" s="391" t="inlineStr">
        <is>
          <t> </t>
        </is>
      </c>
      <c r="J261" s="391" t="inlineStr">
        <is>
          <t> </t>
        </is>
      </c>
      <c r="K261" s="38" t="inlineStr">
        <is>
          <t> </t>
        </is>
      </c>
      <c r="L261" s="391" t="inlineStr">
        <is>
          <t> </t>
        </is>
      </c>
      <c r="M261" s="391" t="inlineStr">
        <is>
          <t> </t>
        </is>
      </c>
      <c r="N261" s="391" t="inlineStr">
        <is>
          <t> </t>
        </is>
      </c>
      <c r="O261" s="391" t="inlineStr">
        <is>
          <t> </t>
        </is>
      </c>
      <c r="P261" s="391" t="inlineStr">
        <is>
          <t> </t>
        </is>
      </c>
      <c r="Q261" s="391" t="inlineStr">
        <is>
          <t> </t>
        </is>
      </c>
      <c r="R261" s="38" t="inlineStr">
        <is>
          <t> </t>
        </is>
      </c>
      <c r="S261" s="391" t="inlineStr">
        <is>
          <t> </t>
        </is>
      </c>
      <c r="T261" s="391" t="inlineStr">
        <is>
          <t> </t>
        </is>
      </c>
      <c r="U261" s="391" t="inlineStr">
        <is>
          <t> </t>
        </is>
      </c>
      <c r="V261" s="391" t="inlineStr">
        <is>
          <t> </t>
        </is>
      </c>
      <c r="W261" s="391" t="inlineStr">
        <is>
          <t> </t>
        </is>
      </c>
      <c r="X261" s="391" t="inlineStr">
        <is>
          <t> </t>
        </is>
      </c>
      <c r="Y261" s="392" t="inlineStr">
        <is>
          <t> </t>
        </is>
      </c>
      <c r="Z261" s="391" t="inlineStr">
        <is>
          <t> </t>
        </is>
      </c>
      <c r="AA261" s="391" t="inlineStr">
        <is>
          <t> </t>
        </is>
      </c>
      <c r="AB261" s="391" t="inlineStr">
        <is>
          <t> </t>
        </is>
      </c>
      <c r="AC261" s="391" t="inlineStr">
        <is>
          <t> </t>
        </is>
      </c>
      <c r="AD261" s="391" t="inlineStr">
        <is>
          <t> </t>
        </is>
      </c>
      <c r="AE261" s="391" t="inlineStr">
        <is>
          <t> </t>
        </is>
      </c>
      <c r="AF261" s="38" t="inlineStr">
        <is>
          <t> </t>
        </is>
      </c>
      <c r="AG261" s="391" t="inlineStr">
        <is>
          <t> </t>
        </is>
      </c>
      <c r="AH261" s="391" t="n"/>
      <c r="AI261" s="391" t="inlineStr">
        <is>
          <t> </t>
        </is>
      </c>
      <c r="AJ261" s="391" t="inlineStr">
        <is>
          <t> </t>
        </is>
      </c>
      <c r="AK261" s="391" t="inlineStr">
        <is>
          <t> </t>
        </is>
      </c>
      <c r="AL261" s="391" t="inlineStr">
        <is>
          <t> </t>
        </is>
      </c>
      <c r="AM261" s="391" t="inlineStr">
        <is>
          <t> </t>
        </is>
      </c>
      <c r="AN261" s="391" t="inlineStr">
        <is>
          <t> </t>
        </is>
      </c>
      <c r="AO261" s="391" t="n"/>
      <c r="AP261" s="319" t="n"/>
      <c r="AQ261" s="319" t="n"/>
      <c r="AR261" s="319" t="n"/>
    </row>
    <row r="262" ht="15.75" customHeight="1" s="1264">
      <c r="A262" s="319" t="inlineStr">
        <is>
          <t> </t>
        </is>
      </c>
      <c r="B262" s="319" t="inlineStr">
        <is>
          <t> </t>
        </is>
      </c>
      <c r="C262" s="319" t="inlineStr">
        <is>
          <t> </t>
        </is>
      </c>
      <c r="D262" s="38" t="inlineStr">
        <is>
          <t> </t>
        </is>
      </c>
      <c r="E262" s="391" t="inlineStr">
        <is>
          <t> </t>
        </is>
      </c>
      <c r="F262" s="391" t="inlineStr">
        <is>
          <t> </t>
        </is>
      </c>
      <c r="G262" s="391" t="inlineStr">
        <is>
          <t> </t>
        </is>
      </c>
      <c r="H262" s="391" t="inlineStr">
        <is>
          <t> </t>
        </is>
      </c>
      <c r="I262" s="391" t="inlineStr">
        <is>
          <t> </t>
        </is>
      </c>
      <c r="J262" s="391" t="inlineStr">
        <is>
          <t> </t>
        </is>
      </c>
      <c r="K262" s="38" t="inlineStr">
        <is>
          <t> </t>
        </is>
      </c>
      <c r="L262" s="391" t="inlineStr">
        <is>
          <t> </t>
        </is>
      </c>
      <c r="M262" s="391" t="inlineStr">
        <is>
          <t> </t>
        </is>
      </c>
      <c r="N262" s="391" t="inlineStr">
        <is>
          <t> </t>
        </is>
      </c>
      <c r="O262" s="391" t="inlineStr">
        <is>
          <t> </t>
        </is>
      </c>
      <c r="P262" s="391" t="inlineStr">
        <is>
          <t> </t>
        </is>
      </c>
      <c r="Q262" s="391" t="inlineStr">
        <is>
          <t> </t>
        </is>
      </c>
      <c r="R262" s="38" t="inlineStr">
        <is>
          <t> </t>
        </is>
      </c>
      <c r="S262" s="391" t="inlineStr">
        <is>
          <t> </t>
        </is>
      </c>
      <c r="T262" s="391" t="inlineStr">
        <is>
          <t> </t>
        </is>
      </c>
      <c r="U262" s="391" t="inlineStr">
        <is>
          <t> </t>
        </is>
      </c>
      <c r="V262" s="391" t="inlineStr">
        <is>
          <t> </t>
        </is>
      </c>
      <c r="W262" s="391" t="inlineStr">
        <is>
          <t> </t>
        </is>
      </c>
      <c r="X262" s="391" t="inlineStr">
        <is>
          <t> </t>
        </is>
      </c>
      <c r="Y262" s="392" t="inlineStr">
        <is>
          <t> </t>
        </is>
      </c>
      <c r="Z262" s="391" t="inlineStr">
        <is>
          <t> </t>
        </is>
      </c>
      <c r="AA262" s="391" t="inlineStr">
        <is>
          <t> </t>
        </is>
      </c>
      <c r="AB262" s="391" t="inlineStr">
        <is>
          <t> </t>
        </is>
      </c>
      <c r="AC262" s="391" t="inlineStr">
        <is>
          <t> </t>
        </is>
      </c>
      <c r="AD262" s="391" t="inlineStr">
        <is>
          <t> </t>
        </is>
      </c>
      <c r="AE262" s="391" t="inlineStr">
        <is>
          <t> </t>
        </is>
      </c>
      <c r="AF262" s="38" t="inlineStr">
        <is>
          <t> </t>
        </is>
      </c>
      <c r="AG262" s="391" t="inlineStr">
        <is>
          <t> </t>
        </is>
      </c>
      <c r="AH262" s="391" t="n"/>
      <c r="AI262" s="391" t="inlineStr">
        <is>
          <t> </t>
        </is>
      </c>
      <c r="AJ262" s="391" t="inlineStr">
        <is>
          <t> </t>
        </is>
      </c>
      <c r="AK262" s="391" t="inlineStr">
        <is>
          <t> </t>
        </is>
      </c>
      <c r="AL262" s="391" t="inlineStr">
        <is>
          <t> </t>
        </is>
      </c>
      <c r="AM262" s="391" t="inlineStr">
        <is>
          <t> </t>
        </is>
      </c>
      <c r="AN262" s="391" t="inlineStr">
        <is>
          <t> </t>
        </is>
      </c>
      <c r="AO262" s="391" t="n"/>
      <c r="AP262" s="319" t="n"/>
      <c r="AQ262" s="319" t="n"/>
      <c r="AR262" s="319" t="n"/>
    </row>
    <row r="263" ht="15.75" customHeight="1" s="1264">
      <c r="A263" s="319" t="inlineStr">
        <is>
          <t> </t>
        </is>
      </c>
      <c r="B263" s="319" t="inlineStr">
        <is>
          <t> </t>
        </is>
      </c>
      <c r="C263" s="319" t="inlineStr">
        <is>
          <t> </t>
        </is>
      </c>
      <c r="D263" s="38" t="inlineStr">
        <is>
          <t> </t>
        </is>
      </c>
      <c r="E263" s="391" t="inlineStr">
        <is>
          <t> </t>
        </is>
      </c>
      <c r="F263" s="391" t="inlineStr">
        <is>
          <t> </t>
        </is>
      </c>
      <c r="G263" s="391" t="inlineStr">
        <is>
          <t> </t>
        </is>
      </c>
      <c r="H263" s="391" t="inlineStr">
        <is>
          <t> </t>
        </is>
      </c>
      <c r="I263" s="391" t="inlineStr">
        <is>
          <t> </t>
        </is>
      </c>
      <c r="J263" s="391" t="inlineStr">
        <is>
          <t> </t>
        </is>
      </c>
      <c r="K263" s="38" t="inlineStr">
        <is>
          <t> </t>
        </is>
      </c>
      <c r="L263" s="391" t="inlineStr">
        <is>
          <t> </t>
        </is>
      </c>
      <c r="M263" s="391" t="inlineStr">
        <is>
          <t> </t>
        </is>
      </c>
      <c r="N263" s="391" t="inlineStr">
        <is>
          <t> </t>
        </is>
      </c>
      <c r="O263" s="391" t="inlineStr">
        <is>
          <t> </t>
        </is>
      </c>
      <c r="P263" s="391" t="inlineStr">
        <is>
          <t> </t>
        </is>
      </c>
      <c r="Q263" s="391" t="inlineStr">
        <is>
          <t> </t>
        </is>
      </c>
      <c r="R263" s="38" t="inlineStr">
        <is>
          <t> </t>
        </is>
      </c>
      <c r="S263" s="391" t="inlineStr">
        <is>
          <t> </t>
        </is>
      </c>
      <c r="T263" s="391" t="inlineStr">
        <is>
          <t> </t>
        </is>
      </c>
      <c r="U263" s="391" t="inlineStr">
        <is>
          <t> </t>
        </is>
      </c>
      <c r="V263" s="391" t="inlineStr">
        <is>
          <t> </t>
        </is>
      </c>
      <c r="W263" s="391" t="inlineStr">
        <is>
          <t> </t>
        </is>
      </c>
      <c r="X263" s="391" t="inlineStr">
        <is>
          <t> </t>
        </is>
      </c>
      <c r="Y263" s="392" t="inlineStr">
        <is>
          <t> </t>
        </is>
      </c>
      <c r="Z263" s="391" t="inlineStr">
        <is>
          <t> </t>
        </is>
      </c>
      <c r="AA263" s="391" t="inlineStr">
        <is>
          <t> </t>
        </is>
      </c>
      <c r="AB263" s="391" t="inlineStr">
        <is>
          <t> </t>
        </is>
      </c>
      <c r="AC263" s="391" t="inlineStr">
        <is>
          <t> </t>
        </is>
      </c>
      <c r="AD263" s="391" t="inlineStr">
        <is>
          <t> </t>
        </is>
      </c>
      <c r="AE263" s="391" t="inlineStr">
        <is>
          <t> </t>
        </is>
      </c>
      <c r="AF263" s="38" t="inlineStr">
        <is>
          <t> </t>
        </is>
      </c>
      <c r="AG263" s="391" t="inlineStr">
        <is>
          <t> </t>
        </is>
      </c>
      <c r="AH263" s="391" t="n"/>
      <c r="AI263" s="391" t="inlineStr">
        <is>
          <t> </t>
        </is>
      </c>
      <c r="AJ263" s="391" t="inlineStr">
        <is>
          <t> </t>
        </is>
      </c>
      <c r="AK263" s="391" t="inlineStr">
        <is>
          <t> </t>
        </is>
      </c>
      <c r="AL263" s="391" t="inlineStr">
        <is>
          <t> </t>
        </is>
      </c>
      <c r="AM263" s="391" t="inlineStr">
        <is>
          <t> </t>
        </is>
      </c>
      <c r="AN263" s="391" t="inlineStr">
        <is>
          <t> </t>
        </is>
      </c>
      <c r="AO263" s="391" t="n"/>
      <c r="AP263" s="319" t="n"/>
      <c r="AQ263" s="319" t="n"/>
      <c r="AR263" s="319" t="n"/>
    </row>
    <row r="264" ht="15.75" customHeight="1" s="1264">
      <c r="A264" s="319" t="inlineStr">
        <is>
          <t> </t>
        </is>
      </c>
      <c r="B264" s="319" t="inlineStr">
        <is>
          <t> </t>
        </is>
      </c>
      <c r="C264" s="319" t="inlineStr">
        <is>
          <t> </t>
        </is>
      </c>
      <c r="D264" s="38" t="inlineStr">
        <is>
          <t> </t>
        </is>
      </c>
      <c r="E264" s="391" t="inlineStr">
        <is>
          <t> </t>
        </is>
      </c>
      <c r="F264" s="391" t="inlineStr">
        <is>
          <t> </t>
        </is>
      </c>
      <c r="G264" s="391" t="inlineStr">
        <is>
          <t> </t>
        </is>
      </c>
      <c r="H264" s="391" t="inlineStr">
        <is>
          <t> </t>
        </is>
      </c>
      <c r="I264" s="391" t="inlineStr">
        <is>
          <t> </t>
        </is>
      </c>
      <c r="J264" s="391" t="inlineStr">
        <is>
          <t> </t>
        </is>
      </c>
      <c r="K264" s="38" t="inlineStr">
        <is>
          <t> </t>
        </is>
      </c>
      <c r="L264" s="391" t="inlineStr">
        <is>
          <t> </t>
        </is>
      </c>
      <c r="M264" s="391" t="inlineStr">
        <is>
          <t> </t>
        </is>
      </c>
      <c r="N264" s="391" t="inlineStr">
        <is>
          <t> </t>
        </is>
      </c>
      <c r="O264" s="391" t="inlineStr">
        <is>
          <t> </t>
        </is>
      </c>
      <c r="P264" s="391" t="inlineStr">
        <is>
          <t> </t>
        </is>
      </c>
      <c r="Q264" s="391" t="inlineStr">
        <is>
          <t> </t>
        </is>
      </c>
      <c r="R264" s="38" t="inlineStr">
        <is>
          <t> </t>
        </is>
      </c>
      <c r="S264" s="391" t="inlineStr">
        <is>
          <t> </t>
        </is>
      </c>
      <c r="T264" s="391" t="inlineStr">
        <is>
          <t> </t>
        </is>
      </c>
      <c r="U264" s="391" t="inlineStr">
        <is>
          <t> </t>
        </is>
      </c>
      <c r="V264" s="391" t="inlineStr">
        <is>
          <t> </t>
        </is>
      </c>
      <c r="W264" s="391" t="inlineStr">
        <is>
          <t> </t>
        </is>
      </c>
      <c r="X264" s="391" t="inlineStr">
        <is>
          <t> </t>
        </is>
      </c>
      <c r="Y264" s="392" t="inlineStr">
        <is>
          <t> </t>
        </is>
      </c>
      <c r="Z264" s="391" t="inlineStr">
        <is>
          <t> </t>
        </is>
      </c>
      <c r="AA264" s="391" t="inlineStr">
        <is>
          <t> </t>
        </is>
      </c>
      <c r="AB264" s="391" t="inlineStr">
        <is>
          <t> </t>
        </is>
      </c>
      <c r="AC264" s="391" t="inlineStr">
        <is>
          <t> </t>
        </is>
      </c>
      <c r="AD264" s="391" t="inlineStr">
        <is>
          <t> </t>
        </is>
      </c>
      <c r="AE264" s="391" t="inlineStr">
        <is>
          <t> </t>
        </is>
      </c>
      <c r="AF264" s="38" t="inlineStr">
        <is>
          <t> </t>
        </is>
      </c>
      <c r="AG264" s="391" t="inlineStr">
        <is>
          <t> </t>
        </is>
      </c>
      <c r="AH264" s="391" t="n"/>
      <c r="AI264" s="391" t="inlineStr">
        <is>
          <t> </t>
        </is>
      </c>
      <c r="AJ264" s="391" t="inlineStr">
        <is>
          <t> </t>
        </is>
      </c>
      <c r="AK264" s="391" t="inlineStr">
        <is>
          <t> </t>
        </is>
      </c>
      <c r="AL264" s="391" t="inlineStr">
        <is>
          <t> </t>
        </is>
      </c>
      <c r="AM264" s="391" t="inlineStr">
        <is>
          <t> </t>
        </is>
      </c>
      <c r="AN264" s="391" t="inlineStr">
        <is>
          <t> </t>
        </is>
      </c>
      <c r="AO264" s="391" t="n"/>
      <c r="AP264" s="319" t="n"/>
      <c r="AQ264" s="319" t="n"/>
      <c r="AR264" s="319" t="n"/>
    </row>
    <row r="265" ht="15.75" customHeight="1" s="1264">
      <c r="A265" s="319" t="inlineStr">
        <is>
          <t> </t>
        </is>
      </c>
      <c r="B265" s="319" t="inlineStr">
        <is>
          <t> </t>
        </is>
      </c>
      <c r="C265" s="319" t="inlineStr">
        <is>
          <t> </t>
        </is>
      </c>
      <c r="D265" s="38" t="inlineStr">
        <is>
          <t> </t>
        </is>
      </c>
      <c r="E265" s="391" t="inlineStr">
        <is>
          <t> </t>
        </is>
      </c>
      <c r="F265" s="391" t="inlineStr">
        <is>
          <t> </t>
        </is>
      </c>
      <c r="G265" s="391" t="inlineStr">
        <is>
          <t> </t>
        </is>
      </c>
      <c r="H265" s="391" t="inlineStr">
        <is>
          <t> </t>
        </is>
      </c>
      <c r="I265" s="391" t="inlineStr">
        <is>
          <t> </t>
        </is>
      </c>
      <c r="J265" s="391" t="inlineStr">
        <is>
          <t> </t>
        </is>
      </c>
      <c r="K265" s="38" t="inlineStr">
        <is>
          <t> </t>
        </is>
      </c>
      <c r="L265" s="391" t="inlineStr">
        <is>
          <t> </t>
        </is>
      </c>
      <c r="M265" s="391" t="inlineStr">
        <is>
          <t> </t>
        </is>
      </c>
      <c r="N265" s="391" t="inlineStr">
        <is>
          <t> </t>
        </is>
      </c>
      <c r="O265" s="391" t="inlineStr">
        <is>
          <t> </t>
        </is>
      </c>
      <c r="P265" s="391" t="inlineStr">
        <is>
          <t> </t>
        </is>
      </c>
      <c r="Q265" s="391" t="inlineStr">
        <is>
          <t> </t>
        </is>
      </c>
      <c r="R265" s="38" t="inlineStr">
        <is>
          <t> </t>
        </is>
      </c>
      <c r="S265" s="391" t="inlineStr">
        <is>
          <t> </t>
        </is>
      </c>
      <c r="T265" s="391" t="inlineStr">
        <is>
          <t> </t>
        </is>
      </c>
      <c r="U265" s="391" t="inlineStr">
        <is>
          <t> </t>
        </is>
      </c>
      <c r="V265" s="391" t="inlineStr">
        <is>
          <t> </t>
        </is>
      </c>
      <c r="W265" s="391" t="inlineStr">
        <is>
          <t> </t>
        </is>
      </c>
      <c r="X265" s="391" t="inlineStr">
        <is>
          <t> </t>
        </is>
      </c>
      <c r="Y265" s="392" t="inlineStr">
        <is>
          <t> </t>
        </is>
      </c>
      <c r="Z265" s="391" t="inlineStr">
        <is>
          <t> </t>
        </is>
      </c>
      <c r="AA265" s="391" t="inlineStr">
        <is>
          <t> </t>
        </is>
      </c>
      <c r="AB265" s="391" t="inlineStr">
        <is>
          <t> </t>
        </is>
      </c>
      <c r="AC265" s="391" t="inlineStr">
        <is>
          <t> </t>
        </is>
      </c>
      <c r="AD265" s="391" t="inlineStr">
        <is>
          <t> </t>
        </is>
      </c>
      <c r="AE265" s="391" t="inlineStr">
        <is>
          <t> </t>
        </is>
      </c>
      <c r="AF265" s="38" t="inlineStr">
        <is>
          <t> </t>
        </is>
      </c>
      <c r="AG265" s="391" t="inlineStr">
        <is>
          <t> </t>
        </is>
      </c>
      <c r="AH265" s="391" t="n"/>
      <c r="AI265" s="391" t="inlineStr">
        <is>
          <t> </t>
        </is>
      </c>
      <c r="AJ265" s="391" t="inlineStr">
        <is>
          <t> </t>
        </is>
      </c>
      <c r="AK265" s="391" t="inlineStr">
        <is>
          <t> </t>
        </is>
      </c>
      <c r="AL265" s="391" t="inlineStr">
        <is>
          <t> </t>
        </is>
      </c>
      <c r="AM265" s="391" t="inlineStr">
        <is>
          <t> </t>
        </is>
      </c>
      <c r="AN265" s="391" t="inlineStr">
        <is>
          <t> </t>
        </is>
      </c>
      <c r="AO265" s="391" t="n"/>
      <c r="AP265" s="319" t="n"/>
      <c r="AQ265" s="319" t="n"/>
      <c r="AR265" s="319" t="n"/>
    </row>
    <row r="266" ht="15.75" customHeight="1" s="1264">
      <c r="A266" s="319" t="inlineStr">
        <is>
          <t> </t>
        </is>
      </c>
      <c r="B266" s="319" t="inlineStr">
        <is>
          <t> </t>
        </is>
      </c>
      <c r="C266" s="319" t="inlineStr">
        <is>
          <t> </t>
        </is>
      </c>
      <c r="D266" s="38" t="inlineStr">
        <is>
          <t> </t>
        </is>
      </c>
      <c r="E266" s="391" t="inlineStr">
        <is>
          <t> </t>
        </is>
      </c>
      <c r="F266" s="391" t="inlineStr">
        <is>
          <t> </t>
        </is>
      </c>
      <c r="G266" s="391" t="inlineStr">
        <is>
          <t> </t>
        </is>
      </c>
      <c r="H266" s="391" t="inlineStr">
        <is>
          <t> </t>
        </is>
      </c>
      <c r="I266" s="391" t="inlineStr">
        <is>
          <t> </t>
        </is>
      </c>
      <c r="J266" s="391" t="inlineStr">
        <is>
          <t> </t>
        </is>
      </c>
      <c r="K266" s="38" t="inlineStr">
        <is>
          <t> </t>
        </is>
      </c>
      <c r="L266" s="391" t="inlineStr">
        <is>
          <t> </t>
        </is>
      </c>
      <c r="M266" s="391" t="inlineStr">
        <is>
          <t> </t>
        </is>
      </c>
      <c r="N266" s="391" t="inlineStr">
        <is>
          <t> </t>
        </is>
      </c>
      <c r="O266" s="391" t="inlineStr">
        <is>
          <t> </t>
        </is>
      </c>
      <c r="P266" s="391" t="inlineStr">
        <is>
          <t> </t>
        </is>
      </c>
      <c r="Q266" s="391" t="inlineStr">
        <is>
          <t> </t>
        </is>
      </c>
      <c r="R266" s="38" t="inlineStr">
        <is>
          <t> </t>
        </is>
      </c>
      <c r="S266" s="391" t="inlineStr">
        <is>
          <t> </t>
        </is>
      </c>
      <c r="T266" s="391" t="inlineStr">
        <is>
          <t> </t>
        </is>
      </c>
      <c r="U266" s="391" t="inlineStr">
        <is>
          <t> </t>
        </is>
      </c>
      <c r="V266" s="391" t="inlineStr">
        <is>
          <t> </t>
        </is>
      </c>
      <c r="W266" s="391" t="inlineStr">
        <is>
          <t> </t>
        </is>
      </c>
      <c r="X266" s="391" t="inlineStr">
        <is>
          <t> </t>
        </is>
      </c>
      <c r="Y266" s="392" t="inlineStr">
        <is>
          <t> </t>
        </is>
      </c>
      <c r="Z266" s="391" t="inlineStr">
        <is>
          <t> </t>
        </is>
      </c>
      <c r="AA266" s="391" t="inlineStr">
        <is>
          <t> </t>
        </is>
      </c>
      <c r="AB266" s="391" t="inlineStr">
        <is>
          <t> </t>
        </is>
      </c>
      <c r="AC266" s="391" t="inlineStr">
        <is>
          <t> </t>
        </is>
      </c>
      <c r="AD266" s="391" t="inlineStr">
        <is>
          <t> </t>
        </is>
      </c>
      <c r="AE266" s="391" t="inlineStr">
        <is>
          <t> </t>
        </is>
      </c>
      <c r="AF266" s="38" t="inlineStr">
        <is>
          <t> </t>
        </is>
      </c>
      <c r="AG266" s="391" t="inlineStr">
        <is>
          <t> </t>
        </is>
      </c>
      <c r="AH266" s="391" t="n"/>
      <c r="AI266" s="391" t="inlineStr">
        <is>
          <t> </t>
        </is>
      </c>
      <c r="AJ266" s="391" t="inlineStr">
        <is>
          <t> </t>
        </is>
      </c>
      <c r="AK266" s="391" t="inlineStr">
        <is>
          <t> </t>
        </is>
      </c>
      <c r="AL266" s="391" t="inlineStr">
        <is>
          <t> </t>
        </is>
      </c>
      <c r="AM266" s="391" t="inlineStr">
        <is>
          <t> </t>
        </is>
      </c>
      <c r="AN266" s="391" t="inlineStr">
        <is>
          <t> </t>
        </is>
      </c>
      <c r="AO266" s="391" t="n"/>
      <c r="AP266" s="319" t="n"/>
      <c r="AQ266" s="319" t="n"/>
      <c r="AR266" s="319" t="n"/>
    </row>
    <row r="267" ht="15.75" customHeight="1" s="1264">
      <c r="A267" s="319" t="inlineStr">
        <is>
          <t> </t>
        </is>
      </c>
      <c r="B267" s="319" t="inlineStr">
        <is>
          <t> </t>
        </is>
      </c>
      <c r="C267" s="319" t="inlineStr">
        <is>
          <t> </t>
        </is>
      </c>
      <c r="D267" s="38" t="inlineStr">
        <is>
          <t> </t>
        </is>
      </c>
      <c r="E267" s="391" t="inlineStr">
        <is>
          <t> </t>
        </is>
      </c>
      <c r="F267" s="391" t="inlineStr">
        <is>
          <t> </t>
        </is>
      </c>
      <c r="G267" s="391" t="inlineStr">
        <is>
          <t> </t>
        </is>
      </c>
      <c r="H267" s="391" t="inlineStr">
        <is>
          <t> </t>
        </is>
      </c>
      <c r="I267" s="391" t="inlineStr">
        <is>
          <t> </t>
        </is>
      </c>
      <c r="J267" s="391" t="inlineStr">
        <is>
          <t> </t>
        </is>
      </c>
      <c r="K267" s="38" t="inlineStr">
        <is>
          <t> </t>
        </is>
      </c>
      <c r="L267" s="391" t="inlineStr">
        <is>
          <t> </t>
        </is>
      </c>
      <c r="M267" s="391" t="inlineStr">
        <is>
          <t> </t>
        </is>
      </c>
      <c r="N267" s="391" t="inlineStr">
        <is>
          <t> </t>
        </is>
      </c>
      <c r="O267" s="391" t="inlineStr">
        <is>
          <t> </t>
        </is>
      </c>
      <c r="P267" s="391" t="inlineStr">
        <is>
          <t> </t>
        </is>
      </c>
      <c r="Q267" s="391" t="inlineStr">
        <is>
          <t> </t>
        </is>
      </c>
      <c r="R267" s="38" t="inlineStr">
        <is>
          <t> </t>
        </is>
      </c>
      <c r="S267" s="391" t="inlineStr">
        <is>
          <t> </t>
        </is>
      </c>
      <c r="T267" s="391" t="inlineStr">
        <is>
          <t> </t>
        </is>
      </c>
      <c r="U267" s="391" t="inlineStr">
        <is>
          <t> </t>
        </is>
      </c>
      <c r="V267" s="391" t="inlineStr">
        <is>
          <t> </t>
        </is>
      </c>
      <c r="W267" s="391" t="inlineStr">
        <is>
          <t> </t>
        </is>
      </c>
      <c r="X267" s="391" t="inlineStr">
        <is>
          <t> </t>
        </is>
      </c>
      <c r="Y267" s="392" t="inlineStr">
        <is>
          <t> </t>
        </is>
      </c>
      <c r="Z267" s="391" t="inlineStr">
        <is>
          <t> </t>
        </is>
      </c>
      <c r="AA267" s="391" t="inlineStr">
        <is>
          <t> </t>
        </is>
      </c>
      <c r="AB267" s="391" t="inlineStr">
        <is>
          <t> </t>
        </is>
      </c>
      <c r="AC267" s="391" t="inlineStr">
        <is>
          <t> </t>
        </is>
      </c>
      <c r="AD267" s="391" t="inlineStr">
        <is>
          <t> </t>
        </is>
      </c>
      <c r="AE267" s="391" t="inlineStr">
        <is>
          <t> </t>
        </is>
      </c>
      <c r="AF267" s="38" t="inlineStr">
        <is>
          <t> </t>
        </is>
      </c>
      <c r="AG267" s="391" t="inlineStr">
        <is>
          <t> </t>
        </is>
      </c>
      <c r="AH267" s="391" t="n"/>
      <c r="AI267" s="391" t="inlineStr">
        <is>
          <t> </t>
        </is>
      </c>
      <c r="AJ267" s="391" t="inlineStr">
        <is>
          <t> </t>
        </is>
      </c>
      <c r="AK267" s="391" t="inlineStr">
        <is>
          <t> </t>
        </is>
      </c>
      <c r="AL267" s="391" t="inlineStr">
        <is>
          <t> </t>
        </is>
      </c>
      <c r="AM267" s="391" t="inlineStr">
        <is>
          <t> </t>
        </is>
      </c>
      <c r="AN267" s="391" t="inlineStr">
        <is>
          <t> </t>
        </is>
      </c>
      <c r="AO267" s="391" t="n"/>
      <c r="AP267" s="319" t="n"/>
      <c r="AQ267" s="319" t="n"/>
      <c r="AR267" s="319" t="n"/>
    </row>
    <row r="268" ht="15.75" customHeight="1" s="1264">
      <c r="A268" s="319" t="inlineStr">
        <is>
          <t> </t>
        </is>
      </c>
      <c r="B268" s="319" t="inlineStr">
        <is>
          <t> </t>
        </is>
      </c>
      <c r="C268" s="319" t="inlineStr">
        <is>
          <t> </t>
        </is>
      </c>
      <c r="D268" s="38" t="inlineStr">
        <is>
          <t> </t>
        </is>
      </c>
      <c r="E268" s="391" t="inlineStr">
        <is>
          <t> </t>
        </is>
      </c>
      <c r="F268" s="391" t="inlineStr">
        <is>
          <t> </t>
        </is>
      </c>
      <c r="G268" s="391" t="inlineStr">
        <is>
          <t> </t>
        </is>
      </c>
      <c r="H268" s="391" t="inlineStr">
        <is>
          <t> </t>
        </is>
      </c>
      <c r="I268" s="391" t="inlineStr">
        <is>
          <t> </t>
        </is>
      </c>
      <c r="J268" s="391" t="inlineStr">
        <is>
          <t> </t>
        </is>
      </c>
      <c r="K268" s="38" t="inlineStr">
        <is>
          <t> </t>
        </is>
      </c>
      <c r="L268" s="391" t="inlineStr">
        <is>
          <t> </t>
        </is>
      </c>
      <c r="M268" s="391" t="inlineStr">
        <is>
          <t> </t>
        </is>
      </c>
      <c r="N268" s="391" t="inlineStr">
        <is>
          <t> </t>
        </is>
      </c>
      <c r="O268" s="391" t="inlineStr">
        <is>
          <t> </t>
        </is>
      </c>
      <c r="P268" s="391" t="inlineStr">
        <is>
          <t> </t>
        </is>
      </c>
      <c r="Q268" s="391" t="inlineStr">
        <is>
          <t> </t>
        </is>
      </c>
      <c r="R268" s="38" t="inlineStr">
        <is>
          <t> </t>
        </is>
      </c>
      <c r="S268" s="391" t="inlineStr">
        <is>
          <t> </t>
        </is>
      </c>
      <c r="T268" s="391" t="inlineStr">
        <is>
          <t> </t>
        </is>
      </c>
      <c r="U268" s="391" t="inlineStr">
        <is>
          <t> </t>
        </is>
      </c>
      <c r="V268" s="391" t="inlineStr">
        <is>
          <t> </t>
        </is>
      </c>
      <c r="W268" s="391" t="inlineStr">
        <is>
          <t> </t>
        </is>
      </c>
      <c r="X268" s="391" t="inlineStr">
        <is>
          <t> </t>
        </is>
      </c>
      <c r="Y268" s="392" t="inlineStr">
        <is>
          <t> </t>
        </is>
      </c>
      <c r="Z268" s="391" t="inlineStr">
        <is>
          <t> </t>
        </is>
      </c>
      <c r="AA268" s="391" t="inlineStr">
        <is>
          <t> </t>
        </is>
      </c>
      <c r="AB268" s="391" t="inlineStr">
        <is>
          <t> </t>
        </is>
      </c>
      <c r="AC268" s="391" t="inlineStr">
        <is>
          <t> </t>
        </is>
      </c>
      <c r="AD268" s="391" t="inlineStr">
        <is>
          <t> </t>
        </is>
      </c>
      <c r="AE268" s="391" t="inlineStr">
        <is>
          <t> </t>
        </is>
      </c>
      <c r="AF268" s="38" t="inlineStr">
        <is>
          <t> </t>
        </is>
      </c>
      <c r="AG268" s="391" t="inlineStr">
        <is>
          <t> </t>
        </is>
      </c>
      <c r="AH268" s="391" t="n"/>
      <c r="AI268" s="391" t="inlineStr">
        <is>
          <t> </t>
        </is>
      </c>
      <c r="AJ268" s="391" t="inlineStr">
        <is>
          <t> </t>
        </is>
      </c>
      <c r="AK268" s="391" t="inlineStr">
        <is>
          <t> </t>
        </is>
      </c>
      <c r="AL268" s="391" t="inlineStr">
        <is>
          <t> </t>
        </is>
      </c>
      <c r="AM268" s="391" t="inlineStr">
        <is>
          <t> </t>
        </is>
      </c>
      <c r="AN268" s="391" t="inlineStr">
        <is>
          <t> </t>
        </is>
      </c>
      <c r="AO268" s="391" t="n"/>
      <c r="AP268" s="319" t="n"/>
      <c r="AQ268" s="319" t="n"/>
      <c r="AR268" s="319" t="n"/>
    </row>
    <row r="269" ht="15.75" customHeight="1" s="1264">
      <c r="A269" s="319" t="inlineStr">
        <is>
          <t> </t>
        </is>
      </c>
      <c r="B269" s="319" t="inlineStr">
        <is>
          <t> </t>
        </is>
      </c>
      <c r="C269" s="319" t="inlineStr">
        <is>
          <t> </t>
        </is>
      </c>
      <c r="D269" s="38" t="inlineStr">
        <is>
          <t> </t>
        </is>
      </c>
      <c r="E269" s="391" t="inlineStr">
        <is>
          <t> </t>
        </is>
      </c>
      <c r="F269" s="391" t="inlineStr">
        <is>
          <t> </t>
        </is>
      </c>
      <c r="G269" s="391" t="inlineStr">
        <is>
          <t> </t>
        </is>
      </c>
      <c r="H269" s="391" t="inlineStr">
        <is>
          <t> </t>
        </is>
      </c>
      <c r="I269" s="391" t="inlineStr">
        <is>
          <t> </t>
        </is>
      </c>
      <c r="J269" s="391" t="inlineStr">
        <is>
          <t> </t>
        </is>
      </c>
      <c r="K269" s="38" t="inlineStr">
        <is>
          <t> </t>
        </is>
      </c>
      <c r="L269" s="391" t="inlineStr">
        <is>
          <t> </t>
        </is>
      </c>
      <c r="M269" s="391" t="inlineStr">
        <is>
          <t> </t>
        </is>
      </c>
      <c r="N269" s="391" t="inlineStr">
        <is>
          <t> </t>
        </is>
      </c>
      <c r="O269" s="391" t="inlineStr">
        <is>
          <t> </t>
        </is>
      </c>
      <c r="P269" s="391" t="inlineStr">
        <is>
          <t> </t>
        </is>
      </c>
      <c r="Q269" s="391" t="inlineStr">
        <is>
          <t> </t>
        </is>
      </c>
      <c r="R269" s="38" t="inlineStr">
        <is>
          <t> </t>
        </is>
      </c>
      <c r="S269" s="391" t="inlineStr">
        <is>
          <t> </t>
        </is>
      </c>
      <c r="T269" s="391" t="inlineStr">
        <is>
          <t> </t>
        </is>
      </c>
      <c r="U269" s="391" t="inlineStr">
        <is>
          <t> </t>
        </is>
      </c>
      <c r="V269" s="391" t="inlineStr">
        <is>
          <t> </t>
        </is>
      </c>
      <c r="W269" s="391" t="inlineStr">
        <is>
          <t> </t>
        </is>
      </c>
      <c r="X269" s="391" t="inlineStr">
        <is>
          <t> </t>
        </is>
      </c>
      <c r="Y269" s="392" t="inlineStr">
        <is>
          <t> </t>
        </is>
      </c>
      <c r="Z269" s="391" t="inlineStr">
        <is>
          <t> </t>
        </is>
      </c>
      <c r="AA269" s="391" t="inlineStr">
        <is>
          <t> </t>
        </is>
      </c>
      <c r="AB269" s="391" t="inlineStr">
        <is>
          <t> </t>
        </is>
      </c>
      <c r="AC269" s="391" t="inlineStr">
        <is>
          <t> </t>
        </is>
      </c>
      <c r="AD269" s="391" t="inlineStr">
        <is>
          <t> </t>
        </is>
      </c>
      <c r="AE269" s="391" t="inlineStr">
        <is>
          <t> </t>
        </is>
      </c>
      <c r="AF269" s="38" t="inlineStr">
        <is>
          <t> </t>
        </is>
      </c>
      <c r="AG269" s="391" t="inlineStr">
        <is>
          <t> </t>
        </is>
      </c>
      <c r="AH269" s="391" t="n"/>
      <c r="AI269" s="391" t="inlineStr">
        <is>
          <t> </t>
        </is>
      </c>
      <c r="AJ269" s="391" t="inlineStr">
        <is>
          <t> </t>
        </is>
      </c>
      <c r="AK269" s="391" t="inlineStr">
        <is>
          <t> </t>
        </is>
      </c>
      <c r="AL269" s="391" t="inlineStr">
        <is>
          <t> </t>
        </is>
      </c>
      <c r="AM269" s="391" t="inlineStr">
        <is>
          <t> </t>
        </is>
      </c>
      <c r="AN269" s="391" t="inlineStr">
        <is>
          <t> </t>
        </is>
      </c>
      <c r="AO269" s="391" t="n"/>
      <c r="AP269" s="319" t="n"/>
      <c r="AQ269" s="319" t="n"/>
      <c r="AR269" s="319" t="n"/>
    </row>
    <row r="270" ht="15.75" customHeight="1" s="1264">
      <c r="A270" s="319" t="inlineStr">
        <is>
          <t> </t>
        </is>
      </c>
      <c r="B270" s="319" t="inlineStr">
        <is>
          <t> </t>
        </is>
      </c>
      <c r="C270" s="319" t="inlineStr">
        <is>
          <t> </t>
        </is>
      </c>
      <c r="D270" s="38" t="inlineStr">
        <is>
          <t> </t>
        </is>
      </c>
      <c r="E270" s="391" t="inlineStr">
        <is>
          <t> </t>
        </is>
      </c>
      <c r="F270" s="391" t="inlineStr">
        <is>
          <t> </t>
        </is>
      </c>
      <c r="G270" s="391" t="inlineStr">
        <is>
          <t> </t>
        </is>
      </c>
      <c r="H270" s="391" t="inlineStr">
        <is>
          <t> </t>
        </is>
      </c>
      <c r="I270" s="391" t="inlineStr">
        <is>
          <t> </t>
        </is>
      </c>
      <c r="J270" s="391" t="inlineStr">
        <is>
          <t> </t>
        </is>
      </c>
      <c r="K270" s="38" t="inlineStr">
        <is>
          <t> </t>
        </is>
      </c>
      <c r="L270" s="391" t="inlineStr">
        <is>
          <t> </t>
        </is>
      </c>
      <c r="M270" s="391" t="inlineStr">
        <is>
          <t> </t>
        </is>
      </c>
      <c r="N270" s="391" t="inlineStr">
        <is>
          <t> </t>
        </is>
      </c>
      <c r="O270" s="391" t="inlineStr">
        <is>
          <t> </t>
        </is>
      </c>
      <c r="P270" s="391" t="inlineStr">
        <is>
          <t> </t>
        </is>
      </c>
      <c r="Q270" s="391" t="inlineStr">
        <is>
          <t> </t>
        </is>
      </c>
      <c r="R270" s="38" t="inlineStr">
        <is>
          <t> </t>
        </is>
      </c>
      <c r="S270" s="391" t="inlineStr">
        <is>
          <t> </t>
        </is>
      </c>
      <c r="T270" s="391" t="inlineStr">
        <is>
          <t> </t>
        </is>
      </c>
      <c r="U270" s="391" t="inlineStr">
        <is>
          <t> </t>
        </is>
      </c>
      <c r="V270" s="391" t="inlineStr">
        <is>
          <t> </t>
        </is>
      </c>
      <c r="W270" s="391" t="inlineStr">
        <is>
          <t> </t>
        </is>
      </c>
      <c r="X270" s="391" t="inlineStr">
        <is>
          <t> </t>
        </is>
      </c>
      <c r="Y270" s="392" t="inlineStr">
        <is>
          <t> </t>
        </is>
      </c>
      <c r="Z270" s="391" t="inlineStr">
        <is>
          <t> </t>
        </is>
      </c>
      <c r="AA270" s="391" t="inlineStr">
        <is>
          <t> </t>
        </is>
      </c>
      <c r="AB270" s="391" t="inlineStr">
        <is>
          <t> </t>
        </is>
      </c>
      <c r="AC270" s="391" t="inlineStr">
        <is>
          <t> </t>
        </is>
      </c>
      <c r="AD270" s="391" t="inlineStr">
        <is>
          <t> </t>
        </is>
      </c>
      <c r="AE270" s="391" t="inlineStr">
        <is>
          <t> </t>
        </is>
      </c>
      <c r="AF270" s="38" t="inlineStr">
        <is>
          <t> </t>
        </is>
      </c>
      <c r="AG270" s="391" t="inlineStr">
        <is>
          <t> </t>
        </is>
      </c>
      <c r="AH270" s="391" t="n"/>
      <c r="AI270" s="391" t="inlineStr">
        <is>
          <t> </t>
        </is>
      </c>
      <c r="AJ270" s="391" t="inlineStr">
        <is>
          <t> </t>
        </is>
      </c>
      <c r="AK270" s="391" t="inlineStr">
        <is>
          <t> </t>
        </is>
      </c>
      <c r="AL270" s="391" t="inlineStr">
        <is>
          <t> </t>
        </is>
      </c>
      <c r="AM270" s="391" t="inlineStr">
        <is>
          <t> </t>
        </is>
      </c>
      <c r="AN270" s="391" t="inlineStr">
        <is>
          <t> </t>
        </is>
      </c>
      <c r="AO270" s="391" t="n"/>
      <c r="AP270" s="319" t="n"/>
      <c r="AQ270" s="319" t="n"/>
      <c r="AR270" s="319" t="n"/>
    </row>
    <row r="271" ht="15.75" customHeight="1" s="1264">
      <c r="A271" s="319" t="inlineStr">
        <is>
          <t> </t>
        </is>
      </c>
      <c r="B271" s="319" t="inlineStr">
        <is>
          <t> </t>
        </is>
      </c>
      <c r="C271" s="319" t="inlineStr">
        <is>
          <t> </t>
        </is>
      </c>
      <c r="D271" s="38" t="inlineStr">
        <is>
          <t> </t>
        </is>
      </c>
      <c r="E271" s="391" t="inlineStr">
        <is>
          <t> </t>
        </is>
      </c>
      <c r="F271" s="391" t="inlineStr">
        <is>
          <t> </t>
        </is>
      </c>
      <c r="G271" s="391" t="inlineStr">
        <is>
          <t> </t>
        </is>
      </c>
      <c r="H271" s="391" t="inlineStr">
        <is>
          <t> </t>
        </is>
      </c>
      <c r="I271" s="391" t="inlineStr">
        <is>
          <t> </t>
        </is>
      </c>
      <c r="J271" s="391" t="inlineStr">
        <is>
          <t> </t>
        </is>
      </c>
      <c r="K271" s="38" t="inlineStr">
        <is>
          <t> </t>
        </is>
      </c>
      <c r="L271" s="391" t="inlineStr">
        <is>
          <t> </t>
        </is>
      </c>
      <c r="M271" s="391" t="inlineStr">
        <is>
          <t> </t>
        </is>
      </c>
      <c r="N271" s="391" t="inlineStr">
        <is>
          <t> </t>
        </is>
      </c>
      <c r="O271" s="391" t="inlineStr">
        <is>
          <t> </t>
        </is>
      </c>
      <c r="P271" s="391" t="inlineStr">
        <is>
          <t> </t>
        </is>
      </c>
      <c r="Q271" s="391" t="inlineStr">
        <is>
          <t> </t>
        </is>
      </c>
      <c r="R271" s="38" t="inlineStr">
        <is>
          <t> </t>
        </is>
      </c>
      <c r="S271" s="391" t="inlineStr">
        <is>
          <t> </t>
        </is>
      </c>
      <c r="T271" s="391" t="inlineStr">
        <is>
          <t> </t>
        </is>
      </c>
      <c r="U271" s="391" t="inlineStr">
        <is>
          <t> </t>
        </is>
      </c>
      <c r="V271" s="391" t="inlineStr">
        <is>
          <t> </t>
        </is>
      </c>
      <c r="W271" s="391" t="inlineStr">
        <is>
          <t> </t>
        </is>
      </c>
      <c r="X271" s="391" t="inlineStr">
        <is>
          <t> </t>
        </is>
      </c>
      <c r="Y271" s="392" t="inlineStr">
        <is>
          <t> </t>
        </is>
      </c>
      <c r="Z271" s="391" t="inlineStr">
        <is>
          <t> </t>
        </is>
      </c>
      <c r="AA271" s="391" t="inlineStr">
        <is>
          <t> </t>
        </is>
      </c>
      <c r="AB271" s="391" t="inlineStr">
        <is>
          <t> </t>
        </is>
      </c>
      <c r="AC271" s="391" t="inlineStr">
        <is>
          <t> </t>
        </is>
      </c>
      <c r="AD271" s="391" t="inlineStr">
        <is>
          <t> </t>
        </is>
      </c>
      <c r="AE271" s="391" t="inlineStr">
        <is>
          <t> </t>
        </is>
      </c>
      <c r="AF271" s="38" t="inlineStr">
        <is>
          <t> </t>
        </is>
      </c>
      <c r="AG271" s="391" t="inlineStr">
        <is>
          <t> </t>
        </is>
      </c>
      <c r="AH271" s="391" t="n"/>
      <c r="AI271" s="391" t="inlineStr">
        <is>
          <t> </t>
        </is>
      </c>
      <c r="AJ271" s="391" t="inlineStr">
        <is>
          <t> </t>
        </is>
      </c>
      <c r="AK271" s="391" t="inlineStr">
        <is>
          <t> </t>
        </is>
      </c>
      <c r="AL271" s="391" t="inlineStr">
        <is>
          <t> </t>
        </is>
      </c>
      <c r="AM271" s="391" t="inlineStr">
        <is>
          <t> </t>
        </is>
      </c>
      <c r="AN271" s="391" t="inlineStr">
        <is>
          <t> </t>
        </is>
      </c>
      <c r="AO271" s="391" t="n"/>
      <c r="AP271" s="319" t="n"/>
      <c r="AQ271" s="319" t="n"/>
      <c r="AR271" s="319" t="n"/>
    </row>
    <row r="272" ht="15.75" customHeight="1" s="1264">
      <c r="A272" s="319" t="inlineStr">
        <is>
          <t> </t>
        </is>
      </c>
      <c r="B272" s="319" t="inlineStr">
        <is>
          <t> </t>
        </is>
      </c>
      <c r="C272" s="319" t="inlineStr">
        <is>
          <t> </t>
        </is>
      </c>
      <c r="D272" s="38" t="inlineStr">
        <is>
          <t> </t>
        </is>
      </c>
      <c r="E272" s="391" t="inlineStr">
        <is>
          <t> </t>
        </is>
      </c>
      <c r="F272" s="391" t="inlineStr">
        <is>
          <t> </t>
        </is>
      </c>
      <c r="G272" s="391" t="inlineStr">
        <is>
          <t> </t>
        </is>
      </c>
      <c r="H272" s="391" t="inlineStr">
        <is>
          <t> </t>
        </is>
      </c>
      <c r="I272" s="391" t="inlineStr">
        <is>
          <t> </t>
        </is>
      </c>
      <c r="J272" s="391" t="inlineStr">
        <is>
          <t> </t>
        </is>
      </c>
      <c r="K272" s="38" t="inlineStr">
        <is>
          <t> </t>
        </is>
      </c>
      <c r="L272" s="391" t="inlineStr">
        <is>
          <t> </t>
        </is>
      </c>
      <c r="M272" s="391" t="inlineStr">
        <is>
          <t> </t>
        </is>
      </c>
      <c r="N272" s="391" t="inlineStr">
        <is>
          <t> </t>
        </is>
      </c>
      <c r="O272" s="391" t="inlineStr">
        <is>
          <t> </t>
        </is>
      </c>
      <c r="P272" s="391" t="inlineStr">
        <is>
          <t> </t>
        </is>
      </c>
      <c r="Q272" s="391" t="inlineStr">
        <is>
          <t> </t>
        </is>
      </c>
      <c r="R272" s="38" t="inlineStr">
        <is>
          <t> </t>
        </is>
      </c>
      <c r="S272" s="391" t="inlineStr">
        <is>
          <t> </t>
        </is>
      </c>
      <c r="T272" s="391" t="inlineStr">
        <is>
          <t> </t>
        </is>
      </c>
      <c r="U272" s="391" t="inlineStr">
        <is>
          <t> </t>
        </is>
      </c>
      <c r="V272" s="391" t="inlineStr">
        <is>
          <t> </t>
        </is>
      </c>
      <c r="W272" s="391" t="inlineStr">
        <is>
          <t> </t>
        </is>
      </c>
      <c r="X272" s="391" t="inlineStr">
        <is>
          <t> </t>
        </is>
      </c>
      <c r="Y272" s="392" t="inlineStr">
        <is>
          <t> </t>
        </is>
      </c>
      <c r="Z272" s="391" t="inlineStr">
        <is>
          <t> </t>
        </is>
      </c>
      <c r="AA272" s="391" t="inlineStr">
        <is>
          <t> </t>
        </is>
      </c>
      <c r="AB272" s="391" t="inlineStr">
        <is>
          <t> </t>
        </is>
      </c>
      <c r="AC272" s="391" t="inlineStr">
        <is>
          <t> </t>
        </is>
      </c>
      <c r="AD272" s="391" t="inlineStr">
        <is>
          <t> </t>
        </is>
      </c>
      <c r="AE272" s="391" t="inlineStr">
        <is>
          <t> </t>
        </is>
      </c>
      <c r="AF272" s="38" t="inlineStr">
        <is>
          <t> </t>
        </is>
      </c>
      <c r="AG272" s="391" t="inlineStr">
        <is>
          <t> </t>
        </is>
      </c>
      <c r="AH272" s="391" t="n"/>
      <c r="AI272" s="391" t="inlineStr">
        <is>
          <t> </t>
        </is>
      </c>
      <c r="AJ272" s="391" t="inlineStr">
        <is>
          <t> </t>
        </is>
      </c>
      <c r="AK272" s="391" t="inlineStr">
        <is>
          <t> </t>
        </is>
      </c>
      <c r="AL272" s="391" t="inlineStr">
        <is>
          <t> </t>
        </is>
      </c>
      <c r="AM272" s="391" t="inlineStr">
        <is>
          <t> </t>
        </is>
      </c>
      <c r="AN272" s="391" t="inlineStr">
        <is>
          <t> </t>
        </is>
      </c>
      <c r="AO272" s="391" t="n"/>
      <c r="AP272" s="319" t="n"/>
      <c r="AQ272" s="319" t="n"/>
      <c r="AR272" s="319" t="n"/>
    </row>
    <row r="273" ht="15.75" customHeight="1" s="1264">
      <c r="A273" s="319" t="inlineStr">
        <is>
          <t> </t>
        </is>
      </c>
      <c r="B273" s="319" t="inlineStr">
        <is>
          <t> </t>
        </is>
      </c>
      <c r="C273" s="319" t="inlineStr">
        <is>
          <t> </t>
        </is>
      </c>
      <c r="D273" s="38" t="inlineStr">
        <is>
          <t> </t>
        </is>
      </c>
      <c r="E273" s="391" t="inlineStr">
        <is>
          <t> </t>
        </is>
      </c>
      <c r="F273" s="391" t="inlineStr">
        <is>
          <t> </t>
        </is>
      </c>
      <c r="G273" s="391" t="inlineStr">
        <is>
          <t> </t>
        </is>
      </c>
      <c r="H273" s="391" t="inlineStr">
        <is>
          <t> </t>
        </is>
      </c>
      <c r="I273" s="391" t="inlineStr">
        <is>
          <t> </t>
        </is>
      </c>
      <c r="J273" s="391" t="inlineStr">
        <is>
          <t> </t>
        </is>
      </c>
      <c r="K273" s="38" t="inlineStr">
        <is>
          <t> </t>
        </is>
      </c>
      <c r="L273" s="391" t="inlineStr">
        <is>
          <t> </t>
        </is>
      </c>
      <c r="M273" s="391" t="inlineStr">
        <is>
          <t> </t>
        </is>
      </c>
      <c r="N273" s="391" t="inlineStr">
        <is>
          <t> </t>
        </is>
      </c>
      <c r="O273" s="391" t="inlineStr">
        <is>
          <t> </t>
        </is>
      </c>
      <c r="P273" s="391" t="inlineStr">
        <is>
          <t> </t>
        </is>
      </c>
      <c r="Q273" s="391" t="inlineStr">
        <is>
          <t> </t>
        </is>
      </c>
      <c r="R273" s="38" t="inlineStr">
        <is>
          <t> </t>
        </is>
      </c>
      <c r="S273" s="391" t="inlineStr">
        <is>
          <t> </t>
        </is>
      </c>
      <c r="T273" s="391" t="inlineStr">
        <is>
          <t> </t>
        </is>
      </c>
      <c r="U273" s="391" t="inlineStr">
        <is>
          <t> </t>
        </is>
      </c>
      <c r="V273" s="391" t="inlineStr">
        <is>
          <t> </t>
        </is>
      </c>
      <c r="W273" s="391" t="inlineStr">
        <is>
          <t> </t>
        </is>
      </c>
      <c r="X273" s="391" t="inlineStr">
        <is>
          <t> </t>
        </is>
      </c>
      <c r="Y273" s="392" t="inlineStr">
        <is>
          <t> </t>
        </is>
      </c>
      <c r="Z273" s="391" t="inlineStr">
        <is>
          <t> </t>
        </is>
      </c>
      <c r="AA273" s="391" t="inlineStr">
        <is>
          <t> </t>
        </is>
      </c>
      <c r="AB273" s="391" t="inlineStr">
        <is>
          <t> </t>
        </is>
      </c>
      <c r="AC273" s="391" t="inlineStr">
        <is>
          <t> </t>
        </is>
      </c>
      <c r="AD273" s="391" t="inlineStr">
        <is>
          <t> </t>
        </is>
      </c>
      <c r="AE273" s="391" t="inlineStr">
        <is>
          <t> </t>
        </is>
      </c>
      <c r="AF273" s="38" t="inlineStr">
        <is>
          <t> </t>
        </is>
      </c>
      <c r="AG273" s="391" t="inlineStr">
        <is>
          <t> </t>
        </is>
      </c>
      <c r="AH273" s="391" t="n"/>
      <c r="AI273" s="391" t="inlineStr">
        <is>
          <t> </t>
        </is>
      </c>
      <c r="AJ273" s="391" t="inlineStr">
        <is>
          <t> </t>
        </is>
      </c>
      <c r="AK273" s="391" t="inlineStr">
        <is>
          <t> </t>
        </is>
      </c>
      <c r="AL273" s="391" t="inlineStr">
        <is>
          <t> </t>
        </is>
      </c>
      <c r="AM273" s="391" t="inlineStr">
        <is>
          <t> </t>
        </is>
      </c>
      <c r="AN273" s="391" t="inlineStr">
        <is>
          <t> </t>
        </is>
      </c>
      <c r="AO273" s="391" t="n"/>
      <c r="AP273" s="319" t="n"/>
      <c r="AQ273" s="319" t="n"/>
      <c r="AR273" s="319" t="n"/>
    </row>
    <row r="274" ht="15.75" customHeight="1" s="1264">
      <c r="A274" s="319" t="inlineStr">
        <is>
          <t> </t>
        </is>
      </c>
      <c r="B274" s="319" t="inlineStr">
        <is>
          <t> </t>
        </is>
      </c>
      <c r="C274" s="319" t="inlineStr">
        <is>
          <t> </t>
        </is>
      </c>
      <c r="D274" s="38" t="inlineStr">
        <is>
          <t> </t>
        </is>
      </c>
      <c r="E274" s="391" t="inlineStr">
        <is>
          <t> </t>
        </is>
      </c>
      <c r="F274" s="391" t="inlineStr">
        <is>
          <t> </t>
        </is>
      </c>
      <c r="G274" s="391" t="inlineStr">
        <is>
          <t> </t>
        </is>
      </c>
      <c r="H274" s="391" t="inlineStr">
        <is>
          <t> </t>
        </is>
      </c>
      <c r="I274" s="391" t="inlineStr">
        <is>
          <t> </t>
        </is>
      </c>
      <c r="J274" s="391" t="inlineStr">
        <is>
          <t> </t>
        </is>
      </c>
      <c r="K274" s="38" t="inlineStr">
        <is>
          <t> </t>
        </is>
      </c>
      <c r="L274" s="391" t="inlineStr">
        <is>
          <t> </t>
        </is>
      </c>
      <c r="M274" s="391" t="inlineStr">
        <is>
          <t> </t>
        </is>
      </c>
      <c r="N274" s="391" t="inlineStr">
        <is>
          <t> </t>
        </is>
      </c>
      <c r="O274" s="391" t="inlineStr">
        <is>
          <t> </t>
        </is>
      </c>
      <c r="P274" s="391" t="inlineStr">
        <is>
          <t> </t>
        </is>
      </c>
      <c r="Q274" s="391" t="inlineStr">
        <is>
          <t> </t>
        </is>
      </c>
      <c r="R274" s="38" t="inlineStr">
        <is>
          <t> </t>
        </is>
      </c>
      <c r="S274" s="391" t="inlineStr">
        <is>
          <t> </t>
        </is>
      </c>
      <c r="T274" s="391" t="inlineStr">
        <is>
          <t> </t>
        </is>
      </c>
      <c r="U274" s="391" t="inlineStr">
        <is>
          <t> </t>
        </is>
      </c>
      <c r="V274" s="391" t="inlineStr">
        <is>
          <t> </t>
        </is>
      </c>
      <c r="W274" s="391" t="inlineStr">
        <is>
          <t> </t>
        </is>
      </c>
      <c r="X274" s="391" t="inlineStr">
        <is>
          <t> </t>
        </is>
      </c>
      <c r="Y274" s="392" t="inlineStr">
        <is>
          <t> </t>
        </is>
      </c>
      <c r="Z274" s="391" t="inlineStr">
        <is>
          <t> </t>
        </is>
      </c>
      <c r="AA274" s="391" t="inlineStr">
        <is>
          <t> </t>
        </is>
      </c>
      <c r="AB274" s="391" t="inlineStr">
        <is>
          <t> </t>
        </is>
      </c>
      <c r="AC274" s="391" t="inlineStr">
        <is>
          <t> </t>
        </is>
      </c>
      <c r="AD274" s="391" t="inlineStr">
        <is>
          <t> </t>
        </is>
      </c>
      <c r="AE274" s="391" t="inlineStr">
        <is>
          <t> </t>
        </is>
      </c>
      <c r="AF274" s="38" t="inlineStr">
        <is>
          <t> </t>
        </is>
      </c>
      <c r="AG274" s="391" t="inlineStr">
        <is>
          <t> </t>
        </is>
      </c>
      <c r="AH274" s="391" t="n"/>
      <c r="AI274" s="391" t="inlineStr">
        <is>
          <t> </t>
        </is>
      </c>
      <c r="AJ274" s="391" t="inlineStr">
        <is>
          <t> </t>
        </is>
      </c>
      <c r="AK274" s="391" t="inlineStr">
        <is>
          <t> </t>
        </is>
      </c>
      <c r="AL274" s="391" t="inlineStr">
        <is>
          <t> </t>
        </is>
      </c>
      <c r="AM274" s="391" t="inlineStr">
        <is>
          <t> </t>
        </is>
      </c>
      <c r="AN274" s="391" t="inlineStr">
        <is>
          <t> </t>
        </is>
      </c>
      <c r="AO274" s="391" t="n"/>
      <c r="AP274" s="319" t="n"/>
      <c r="AQ274" s="319" t="n"/>
      <c r="AR274" s="319" t="n"/>
    </row>
    <row r="275" ht="15.75" customHeight="1" s="1264">
      <c r="A275" s="319" t="inlineStr">
        <is>
          <t> </t>
        </is>
      </c>
      <c r="B275" s="319" t="inlineStr">
        <is>
          <t> </t>
        </is>
      </c>
      <c r="C275" s="319" t="inlineStr">
        <is>
          <t> </t>
        </is>
      </c>
      <c r="D275" s="38" t="inlineStr">
        <is>
          <t> </t>
        </is>
      </c>
      <c r="E275" s="391" t="inlineStr">
        <is>
          <t> </t>
        </is>
      </c>
      <c r="F275" s="391" t="inlineStr">
        <is>
          <t> </t>
        </is>
      </c>
      <c r="G275" s="391" t="inlineStr">
        <is>
          <t> </t>
        </is>
      </c>
      <c r="H275" s="391" t="inlineStr">
        <is>
          <t> </t>
        </is>
      </c>
      <c r="I275" s="391" t="inlineStr">
        <is>
          <t> </t>
        </is>
      </c>
      <c r="J275" s="391" t="inlineStr">
        <is>
          <t> </t>
        </is>
      </c>
      <c r="K275" s="38" t="inlineStr">
        <is>
          <t> </t>
        </is>
      </c>
      <c r="L275" s="391" t="inlineStr">
        <is>
          <t> </t>
        </is>
      </c>
      <c r="M275" s="391" t="inlineStr">
        <is>
          <t> </t>
        </is>
      </c>
      <c r="N275" s="391" t="inlineStr">
        <is>
          <t> </t>
        </is>
      </c>
      <c r="O275" s="391" t="inlineStr">
        <is>
          <t> </t>
        </is>
      </c>
      <c r="P275" s="391" t="inlineStr">
        <is>
          <t> </t>
        </is>
      </c>
      <c r="Q275" s="391" t="inlineStr">
        <is>
          <t> </t>
        </is>
      </c>
      <c r="R275" s="38" t="inlineStr">
        <is>
          <t> </t>
        </is>
      </c>
      <c r="S275" s="391" t="inlineStr">
        <is>
          <t> </t>
        </is>
      </c>
      <c r="T275" s="391" t="inlineStr">
        <is>
          <t> </t>
        </is>
      </c>
      <c r="U275" s="391" t="inlineStr">
        <is>
          <t> </t>
        </is>
      </c>
      <c r="V275" s="391" t="inlineStr">
        <is>
          <t> </t>
        </is>
      </c>
      <c r="W275" s="391" t="inlineStr">
        <is>
          <t> </t>
        </is>
      </c>
      <c r="X275" s="391" t="inlineStr">
        <is>
          <t> </t>
        </is>
      </c>
      <c r="Y275" s="392" t="inlineStr">
        <is>
          <t> </t>
        </is>
      </c>
      <c r="Z275" s="391" t="inlineStr">
        <is>
          <t> </t>
        </is>
      </c>
      <c r="AA275" s="391" t="inlineStr">
        <is>
          <t> </t>
        </is>
      </c>
      <c r="AB275" s="391" t="inlineStr">
        <is>
          <t> </t>
        </is>
      </c>
      <c r="AC275" s="391" t="inlineStr">
        <is>
          <t> </t>
        </is>
      </c>
      <c r="AD275" s="391" t="inlineStr">
        <is>
          <t> </t>
        </is>
      </c>
      <c r="AE275" s="391" t="inlineStr">
        <is>
          <t> </t>
        </is>
      </c>
      <c r="AF275" s="38" t="inlineStr">
        <is>
          <t> </t>
        </is>
      </c>
      <c r="AG275" s="391" t="inlineStr">
        <is>
          <t> </t>
        </is>
      </c>
      <c r="AH275" s="391" t="n"/>
      <c r="AI275" s="391" t="inlineStr">
        <is>
          <t> </t>
        </is>
      </c>
      <c r="AJ275" s="391" t="inlineStr">
        <is>
          <t> </t>
        </is>
      </c>
      <c r="AK275" s="391" t="inlineStr">
        <is>
          <t> </t>
        </is>
      </c>
      <c r="AL275" s="391" t="inlineStr">
        <is>
          <t> </t>
        </is>
      </c>
      <c r="AM275" s="391" t="inlineStr">
        <is>
          <t> </t>
        </is>
      </c>
      <c r="AN275" s="391" t="inlineStr">
        <is>
          <t> </t>
        </is>
      </c>
      <c r="AO275" s="391" t="n"/>
      <c r="AP275" s="319" t="n"/>
      <c r="AQ275" s="319" t="n"/>
      <c r="AR275" s="319" t="n"/>
    </row>
    <row r="276" ht="15.75" customHeight="1" s="1264">
      <c r="A276" s="319" t="inlineStr">
        <is>
          <t> </t>
        </is>
      </c>
      <c r="B276" s="319" t="inlineStr">
        <is>
          <t> </t>
        </is>
      </c>
      <c r="C276" s="319" t="inlineStr">
        <is>
          <t> </t>
        </is>
      </c>
      <c r="D276" s="38" t="inlineStr">
        <is>
          <t> </t>
        </is>
      </c>
      <c r="E276" s="391" t="inlineStr">
        <is>
          <t> </t>
        </is>
      </c>
      <c r="F276" s="391" t="inlineStr">
        <is>
          <t> </t>
        </is>
      </c>
      <c r="G276" s="391" t="inlineStr">
        <is>
          <t> </t>
        </is>
      </c>
      <c r="H276" s="391" t="inlineStr">
        <is>
          <t> </t>
        </is>
      </c>
      <c r="I276" s="391" t="inlineStr">
        <is>
          <t> </t>
        </is>
      </c>
      <c r="J276" s="391" t="inlineStr">
        <is>
          <t> </t>
        </is>
      </c>
      <c r="K276" s="38" t="inlineStr">
        <is>
          <t> </t>
        </is>
      </c>
      <c r="L276" s="391" t="inlineStr">
        <is>
          <t> </t>
        </is>
      </c>
      <c r="M276" s="391" t="inlineStr">
        <is>
          <t> </t>
        </is>
      </c>
      <c r="N276" s="391" t="inlineStr">
        <is>
          <t> </t>
        </is>
      </c>
      <c r="O276" s="391" t="inlineStr">
        <is>
          <t> </t>
        </is>
      </c>
      <c r="P276" s="391" t="inlineStr">
        <is>
          <t> </t>
        </is>
      </c>
      <c r="Q276" s="391" t="inlineStr">
        <is>
          <t> </t>
        </is>
      </c>
      <c r="R276" s="38" t="inlineStr">
        <is>
          <t> </t>
        </is>
      </c>
      <c r="S276" s="391" t="inlineStr">
        <is>
          <t> </t>
        </is>
      </c>
      <c r="T276" s="391" t="inlineStr">
        <is>
          <t> </t>
        </is>
      </c>
      <c r="U276" s="391" t="inlineStr">
        <is>
          <t> </t>
        </is>
      </c>
      <c r="V276" s="391" t="inlineStr">
        <is>
          <t> </t>
        </is>
      </c>
      <c r="W276" s="391" t="inlineStr">
        <is>
          <t> </t>
        </is>
      </c>
      <c r="X276" s="391" t="inlineStr">
        <is>
          <t> </t>
        </is>
      </c>
      <c r="Y276" s="392" t="inlineStr">
        <is>
          <t> </t>
        </is>
      </c>
      <c r="Z276" s="391" t="inlineStr">
        <is>
          <t> </t>
        </is>
      </c>
      <c r="AA276" s="391" t="inlineStr">
        <is>
          <t> </t>
        </is>
      </c>
      <c r="AB276" s="391" t="inlineStr">
        <is>
          <t> </t>
        </is>
      </c>
      <c r="AC276" s="391" t="inlineStr">
        <is>
          <t> </t>
        </is>
      </c>
      <c r="AD276" s="391" t="inlineStr">
        <is>
          <t> </t>
        </is>
      </c>
      <c r="AE276" s="391" t="inlineStr">
        <is>
          <t> </t>
        </is>
      </c>
      <c r="AF276" s="38" t="inlineStr">
        <is>
          <t> </t>
        </is>
      </c>
      <c r="AG276" s="391" t="inlineStr">
        <is>
          <t> </t>
        </is>
      </c>
      <c r="AH276" s="391" t="n"/>
      <c r="AI276" s="391" t="inlineStr">
        <is>
          <t> </t>
        </is>
      </c>
      <c r="AJ276" s="391" t="inlineStr">
        <is>
          <t> </t>
        </is>
      </c>
      <c r="AK276" s="391" t="inlineStr">
        <is>
          <t> </t>
        </is>
      </c>
      <c r="AL276" s="391" t="inlineStr">
        <is>
          <t> </t>
        </is>
      </c>
      <c r="AM276" s="391" t="inlineStr">
        <is>
          <t> </t>
        </is>
      </c>
      <c r="AN276" s="391" t="inlineStr">
        <is>
          <t> </t>
        </is>
      </c>
      <c r="AO276" s="391" t="n"/>
      <c r="AP276" s="319" t="n"/>
      <c r="AQ276" s="319" t="n"/>
      <c r="AR276" s="319" t="n"/>
    </row>
    <row r="277" ht="15.75" customHeight="1" s="1264">
      <c r="A277" s="319" t="inlineStr">
        <is>
          <t> </t>
        </is>
      </c>
      <c r="B277" s="319" t="inlineStr">
        <is>
          <t> </t>
        </is>
      </c>
      <c r="C277" s="319" t="inlineStr">
        <is>
          <t> </t>
        </is>
      </c>
      <c r="D277" s="38" t="inlineStr">
        <is>
          <t> </t>
        </is>
      </c>
      <c r="E277" s="391" t="inlineStr">
        <is>
          <t> </t>
        </is>
      </c>
      <c r="F277" s="391" t="inlineStr">
        <is>
          <t> </t>
        </is>
      </c>
      <c r="G277" s="391" t="inlineStr">
        <is>
          <t> </t>
        </is>
      </c>
      <c r="H277" s="391" t="inlineStr">
        <is>
          <t> </t>
        </is>
      </c>
      <c r="I277" s="391" t="inlineStr">
        <is>
          <t> </t>
        </is>
      </c>
      <c r="J277" s="391" t="inlineStr">
        <is>
          <t> </t>
        </is>
      </c>
      <c r="K277" s="38" t="inlineStr">
        <is>
          <t> </t>
        </is>
      </c>
      <c r="L277" s="391" t="inlineStr">
        <is>
          <t> </t>
        </is>
      </c>
      <c r="M277" s="391" t="inlineStr">
        <is>
          <t> </t>
        </is>
      </c>
      <c r="N277" s="391" t="inlineStr">
        <is>
          <t> </t>
        </is>
      </c>
      <c r="O277" s="391" t="inlineStr">
        <is>
          <t> </t>
        </is>
      </c>
      <c r="P277" s="391" t="inlineStr">
        <is>
          <t> </t>
        </is>
      </c>
      <c r="Q277" s="391" t="inlineStr">
        <is>
          <t> </t>
        </is>
      </c>
      <c r="R277" s="38" t="inlineStr">
        <is>
          <t> </t>
        </is>
      </c>
      <c r="S277" s="391" t="inlineStr">
        <is>
          <t> </t>
        </is>
      </c>
      <c r="T277" s="391" t="inlineStr">
        <is>
          <t> </t>
        </is>
      </c>
      <c r="U277" s="391" t="inlineStr">
        <is>
          <t> </t>
        </is>
      </c>
      <c r="V277" s="391" t="inlineStr">
        <is>
          <t> </t>
        </is>
      </c>
      <c r="W277" s="391" t="inlineStr">
        <is>
          <t> </t>
        </is>
      </c>
      <c r="X277" s="391" t="inlineStr">
        <is>
          <t> </t>
        </is>
      </c>
      <c r="Y277" s="392" t="inlineStr">
        <is>
          <t> </t>
        </is>
      </c>
      <c r="Z277" s="391" t="inlineStr">
        <is>
          <t> </t>
        </is>
      </c>
      <c r="AA277" s="391" t="inlineStr">
        <is>
          <t> </t>
        </is>
      </c>
      <c r="AB277" s="391" t="inlineStr">
        <is>
          <t> </t>
        </is>
      </c>
      <c r="AC277" s="391" t="inlineStr">
        <is>
          <t> </t>
        </is>
      </c>
      <c r="AD277" s="391" t="inlineStr">
        <is>
          <t> </t>
        </is>
      </c>
      <c r="AE277" s="391" t="inlineStr">
        <is>
          <t> </t>
        </is>
      </c>
      <c r="AF277" s="38" t="inlineStr">
        <is>
          <t> </t>
        </is>
      </c>
      <c r="AG277" s="391" t="inlineStr">
        <is>
          <t> </t>
        </is>
      </c>
      <c r="AH277" s="391" t="n"/>
      <c r="AI277" s="391" t="inlineStr">
        <is>
          <t> </t>
        </is>
      </c>
      <c r="AJ277" s="391" t="inlineStr">
        <is>
          <t> </t>
        </is>
      </c>
      <c r="AK277" s="391" t="inlineStr">
        <is>
          <t> </t>
        </is>
      </c>
      <c r="AL277" s="391" t="inlineStr">
        <is>
          <t> </t>
        </is>
      </c>
      <c r="AM277" s="391" t="inlineStr">
        <is>
          <t> </t>
        </is>
      </c>
      <c r="AN277" s="391" t="inlineStr">
        <is>
          <t> </t>
        </is>
      </c>
      <c r="AO277" s="391" t="n"/>
      <c r="AP277" s="319" t="n"/>
      <c r="AQ277" s="319" t="n"/>
      <c r="AR277" s="319" t="n"/>
    </row>
    <row r="278" ht="15.75" customHeight="1" s="1264">
      <c r="A278" s="319" t="inlineStr">
        <is>
          <t> </t>
        </is>
      </c>
      <c r="B278" s="319" t="inlineStr">
        <is>
          <t> </t>
        </is>
      </c>
      <c r="C278" s="319" t="inlineStr">
        <is>
          <t> </t>
        </is>
      </c>
      <c r="D278" s="38" t="inlineStr">
        <is>
          <t> </t>
        </is>
      </c>
      <c r="E278" s="391" t="inlineStr">
        <is>
          <t> </t>
        </is>
      </c>
      <c r="F278" s="391" t="inlineStr">
        <is>
          <t> </t>
        </is>
      </c>
      <c r="G278" s="391" t="inlineStr">
        <is>
          <t> </t>
        </is>
      </c>
      <c r="H278" s="391" t="inlineStr">
        <is>
          <t> </t>
        </is>
      </c>
      <c r="I278" s="391" t="inlineStr">
        <is>
          <t> </t>
        </is>
      </c>
      <c r="J278" s="391" t="inlineStr">
        <is>
          <t> </t>
        </is>
      </c>
      <c r="K278" s="38" t="inlineStr">
        <is>
          <t> </t>
        </is>
      </c>
      <c r="L278" s="391" t="inlineStr">
        <is>
          <t> </t>
        </is>
      </c>
      <c r="M278" s="391" t="inlineStr">
        <is>
          <t> </t>
        </is>
      </c>
      <c r="N278" s="391" t="inlineStr">
        <is>
          <t> </t>
        </is>
      </c>
      <c r="O278" s="391" t="inlineStr">
        <is>
          <t> </t>
        </is>
      </c>
      <c r="P278" s="391" t="inlineStr">
        <is>
          <t> </t>
        </is>
      </c>
      <c r="Q278" s="391" t="inlineStr">
        <is>
          <t> </t>
        </is>
      </c>
      <c r="R278" s="38" t="inlineStr">
        <is>
          <t> </t>
        </is>
      </c>
      <c r="S278" s="391" t="inlineStr">
        <is>
          <t> </t>
        </is>
      </c>
      <c r="T278" s="391" t="inlineStr">
        <is>
          <t> </t>
        </is>
      </c>
      <c r="U278" s="391" t="inlineStr">
        <is>
          <t> </t>
        </is>
      </c>
      <c r="V278" s="391" t="inlineStr">
        <is>
          <t> </t>
        </is>
      </c>
      <c r="W278" s="391" t="inlineStr">
        <is>
          <t> </t>
        </is>
      </c>
      <c r="X278" s="391" t="inlineStr">
        <is>
          <t> </t>
        </is>
      </c>
      <c r="Y278" s="392" t="inlineStr">
        <is>
          <t> </t>
        </is>
      </c>
      <c r="Z278" s="391" t="inlineStr">
        <is>
          <t> </t>
        </is>
      </c>
      <c r="AA278" s="391" t="inlineStr">
        <is>
          <t> </t>
        </is>
      </c>
      <c r="AB278" s="391" t="inlineStr">
        <is>
          <t> </t>
        </is>
      </c>
      <c r="AC278" s="391" t="inlineStr">
        <is>
          <t> </t>
        </is>
      </c>
      <c r="AD278" s="391" t="inlineStr">
        <is>
          <t> </t>
        </is>
      </c>
      <c r="AE278" s="391" t="inlineStr">
        <is>
          <t> </t>
        </is>
      </c>
      <c r="AF278" s="38" t="inlineStr">
        <is>
          <t> </t>
        </is>
      </c>
      <c r="AG278" s="391" t="inlineStr">
        <is>
          <t> </t>
        </is>
      </c>
      <c r="AH278" s="391" t="n"/>
      <c r="AI278" s="391" t="inlineStr">
        <is>
          <t> </t>
        </is>
      </c>
      <c r="AJ278" s="391" t="inlineStr">
        <is>
          <t> </t>
        </is>
      </c>
      <c r="AK278" s="391" t="inlineStr">
        <is>
          <t> </t>
        </is>
      </c>
      <c r="AL278" s="391" t="inlineStr">
        <is>
          <t> </t>
        </is>
      </c>
      <c r="AM278" s="391" t="inlineStr">
        <is>
          <t> </t>
        </is>
      </c>
      <c r="AN278" s="391" t="inlineStr">
        <is>
          <t> </t>
        </is>
      </c>
      <c r="AO278" s="391" t="n"/>
      <c r="AP278" s="319" t="n"/>
      <c r="AQ278" s="319" t="n"/>
      <c r="AR278" s="319" t="n"/>
    </row>
    <row r="279" ht="15.75" customHeight="1" s="1264">
      <c r="A279" s="319" t="inlineStr">
        <is>
          <t> </t>
        </is>
      </c>
      <c r="B279" s="319" t="inlineStr">
        <is>
          <t> </t>
        </is>
      </c>
      <c r="C279" s="319" t="inlineStr">
        <is>
          <t> </t>
        </is>
      </c>
      <c r="D279" s="38" t="inlineStr">
        <is>
          <t> </t>
        </is>
      </c>
      <c r="E279" s="391" t="inlineStr">
        <is>
          <t> </t>
        </is>
      </c>
      <c r="F279" s="391" t="inlineStr">
        <is>
          <t> </t>
        </is>
      </c>
      <c r="G279" s="391" t="inlineStr">
        <is>
          <t> </t>
        </is>
      </c>
      <c r="H279" s="391" t="inlineStr">
        <is>
          <t> </t>
        </is>
      </c>
      <c r="I279" s="391" t="inlineStr">
        <is>
          <t> </t>
        </is>
      </c>
      <c r="J279" s="391" t="inlineStr">
        <is>
          <t> </t>
        </is>
      </c>
      <c r="K279" s="38" t="inlineStr">
        <is>
          <t> </t>
        </is>
      </c>
      <c r="L279" s="391" t="inlineStr">
        <is>
          <t> </t>
        </is>
      </c>
      <c r="M279" s="391" t="inlineStr">
        <is>
          <t> </t>
        </is>
      </c>
      <c r="N279" s="391" t="inlineStr">
        <is>
          <t> </t>
        </is>
      </c>
      <c r="O279" s="391" t="inlineStr">
        <is>
          <t> </t>
        </is>
      </c>
      <c r="P279" s="391" t="inlineStr">
        <is>
          <t> </t>
        </is>
      </c>
      <c r="Q279" s="391" t="inlineStr">
        <is>
          <t> </t>
        </is>
      </c>
      <c r="R279" s="38" t="inlineStr">
        <is>
          <t> </t>
        </is>
      </c>
      <c r="S279" s="391" t="inlineStr">
        <is>
          <t> </t>
        </is>
      </c>
      <c r="T279" s="391" t="inlineStr">
        <is>
          <t> </t>
        </is>
      </c>
      <c r="U279" s="391" t="inlineStr">
        <is>
          <t> </t>
        </is>
      </c>
      <c r="V279" s="391" t="inlineStr">
        <is>
          <t> </t>
        </is>
      </c>
      <c r="W279" s="391" t="inlineStr">
        <is>
          <t> </t>
        </is>
      </c>
      <c r="X279" s="391" t="inlineStr">
        <is>
          <t> </t>
        </is>
      </c>
      <c r="Y279" s="392" t="inlineStr">
        <is>
          <t> </t>
        </is>
      </c>
      <c r="Z279" s="391" t="inlineStr">
        <is>
          <t> </t>
        </is>
      </c>
      <c r="AA279" s="391" t="inlineStr">
        <is>
          <t> </t>
        </is>
      </c>
      <c r="AB279" s="391" t="inlineStr">
        <is>
          <t> </t>
        </is>
      </c>
      <c r="AC279" s="391" t="inlineStr">
        <is>
          <t> </t>
        </is>
      </c>
      <c r="AD279" s="391" t="inlineStr">
        <is>
          <t> </t>
        </is>
      </c>
      <c r="AE279" s="391" t="inlineStr">
        <is>
          <t> </t>
        </is>
      </c>
      <c r="AF279" s="38" t="inlineStr">
        <is>
          <t> </t>
        </is>
      </c>
      <c r="AG279" s="391" t="inlineStr">
        <is>
          <t> </t>
        </is>
      </c>
      <c r="AH279" s="391" t="n"/>
      <c r="AI279" s="391" t="inlineStr">
        <is>
          <t> </t>
        </is>
      </c>
      <c r="AJ279" s="391" t="inlineStr">
        <is>
          <t> </t>
        </is>
      </c>
      <c r="AK279" s="391" t="inlineStr">
        <is>
          <t> </t>
        </is>
      </c>
      <c r="AL279" s="391" t="inlineStr">
        <is>
          <t> </t>
        </is>
      </c>
      <c r="AM279" s="391" t="inlineStr">
        <is>
          <t> </t>
        </is>
      </c>
      <c r="AN279" s="391" t="inlineStr">
        <is>
          <t> </t>
        </is>
      </c>
      <c r="AO279" s="391" t="n"/>
      <c r="AP279" s="319" t="n"/>
      <c r="AQ279" s="319" t="n"/>
      <c r="AR279" s="319" t="n"/>
    </row>
    <row r="280" ht="15.75" customHeight="1" s="1264">
      <c r="A280" s="319" t="inlineStr">
        <is>
          <t> </t>
        </is>
      </c>
      <c r="B280" s="319" t="inlineStr">
        <is>
          <t> </t>
        </is>
      </c>
      <c r="C280" s="319" t="inlineStr">
        <is>
          <t> </t>
        </is>
      </c>
      <c r="D280" s="38" t="inlineStr">
        <is>
          <t> </t>
        </is>
      </c>
      <c r="E280" s="391" t="inlineStr">
        <is>
          <t> </t>
        </is>
      </c>
      <c r="F280" s="391" t="inlineStr">
        <is>
          <t> </t>
        </is>
      </c>
      <c r="G280" s="391" t="inlineStr">
        <is>
          <t> </t>
        </is>
      </c>
      <c r="H280" s="391" t="inlineStr">
        <is>
          <t> </t>
        </is>
      </c>
      <c r="I280" s="391" t="inlineStr">
        <is>
          <t> </t>
        </is>
      </c>
      <c r="J280" s="391" t="inlineStr">
        <is>
          <t> </t>
        </is>
      </c>
      <c r="K280" s="38" t="inlineStr">
        <is>
          <t> </t>
        </is>
      </c>
      <c r="L280" s="391" t="inlineStr">
        <is>
          <t> </t>
        </is>
      </c>
      <c r="M280" s="391" t="inlineStr">
        <is>
          <t> </t>
        </is>
      </c>
      <c r="N280" s="391" t="inlineStr">
        <is>
          <t> </t>
        </is>
      </c>
      <c r="O280" s="391" t="inlineStr">
        <is>
          <t> </t>
        </is>
      </c>
      <c r="P280" s="391" t="inlineStr">
        <is>
          <t> </t>
        </is>
      </c>
      <c r="Q280" s="391" t="inlineStr">
        <is>
          <t> </t>
        </is>
      </c>
      <c r="R280" s="38" t="inlineStr">
        <is>
          <t> </t>
        </is>
      </c>
      <c r="S280" s="391" t="inlineStr">
        <is>
          <t> </t>
        </is>
      </c>
      <c r="T280" s="391" t="inlineStr">
        <is>
          <t> </t>
        </is>
      </c>
      <c r="U280" s="391" t="inlineStr">
        <is>
          <t> </t>
        </is>
      </c>
      <c r="V280" s="391" t="inlineStr">
        <is>
          <t> </t>
        </is>
      </c>
      <c r="W280" s="391" t="inlineStr">
        <is>
          <t> </t>
        </is>
      </c>
      <c r="X280" s="391" t="inlineStr">
        <is>
          <t> </t>
        </is>
      </c>
      <c r="Y280" s="392" t="inlineStr">
        <is>
          <t> </t>
        </is>
      </c>
      <c r="Z280" s="391" t="inlineStr">
        <is>
          <t> </t>
        </is>
      </c>
      <c r="AA280" s="391" t="inlineStr">
        <is>
          <t> </t>
        </is>
      </c>
      <c r="AB280" s="391" t="inlineStr">
        <is>
          <t> </t>
        </is>
      </c>
      <c r="AC280" s="391" t="inlineStr">
        <is>
          <t> </t>
        </is>
      </c>
      <c r="AD280" s="391" t="inlineStr">
        <is>
          <t> </t>
        </is>
      </c>
      <c r="AE280" s="391" t="inlineStr">
        <is>
          <t> </t>
        </is>
      </c>
      <c r="AF280" s="38" t="inlineStr">
        <is>
          <t> </t>
        </is>
      </c>
      <c r="AG280" s="391" t="inlineStr">
        <is>
          <t> </t>
        </is>
      </c>
      <c r="AH280" s="391" t="n"/>
      <c r="AI280" s="391" t="inlineStr">
        <is>
          <t> </t>
        </is>
      </c>
      <c r="AJ280" s="391" t="inlineStr">
        <is>
          <t> </t>
        </is>
      </c>
      <c r="AK280" s="391" t="inlineStr">
        <is>
          <t> </t>
        </is>
      </c>
      <c r="AL280" s="391" t="inlineStr">
        <is>
          <t> </t>
        </is>
      </c>
      <c r="AM280" s="391" t="inlineStr">
        <is>
          <t> </t>
        </is>
      </c>
      <c r="AN280" s="391" t="inlineStr">
        <is>
          <t> </t>
        </is>
      </c>
      <c r="AO280" s="391" t="n"/>
      <c r="AP280" s="319" t="n"/>
      <c r="AQ280" s="319" t="n"/>
      <c r="AR280" s="319" t="n"/>
    </row>
    <row r="281" ht="15.75" customHeight="1" s="1264">
      <c r="A281" s="319" t="inlineStr">
        <is>
          <t> </t>
        </is>
      </c>
      <c r="B281" s="319" t="inlineStr">
        <is>
          <t> </t>
        </is>
      </c>
      <c r="C281" s="319" t="inlineStr">
        <is>
          <t> </t>
        </is>
      </c>
      <c r="D281" s="38" t="inlineStr">
        <is>
          <t> </t>
        </is>
      </c>
      <c r="E281" s="391" t="inlineStr">
        <is>
          <t> </t>
        </is>
      </c>
      <c r="F281" s="391" t="inlineStr">
        <is>
          <t> </t>
        </is>
      </c>
      <c r="G281" s="391" t="inlineStr">
        <is>
          <t> </t>
        </is>
      </c>
      <c r="H281" s="391" t="inlineStr">
        <is>
          <t> </t>
        </is>
      </c>
      <c r="I281" s="391" t="inlineStr">
        <is>
          <t> </t>
        </is>
      </c>
      <c r="J281" s="391" t="inlineStr">
        <is>
          <t> </t>
        </is>
      </c>
      <c r="K281" s="38" t="inlineStr">
        <is>
          <t> </t>
        </is>
      </c>
      <c r="L281" s="391" t="inlineStr">
        <is>
          <t> </t>
        </is>
      </c>
      <c r="M281" s="391" t="inlineStr">
        <is>
          <t> </t>
        </is>
      </c>
      <c r="N281" s="391" t="inlineStr">
        <is>
          <t> </t>
        </is>
      </c>
      <c r="O281" s="391" t="inlineStr">
        <is>
          <t> </t>
        </is>
      </c>
      <c r="P281" s="391" t="inlineStr">
        <is>
          <t> </t>
        </is>
      </c>
      <c r="Q281" s="391" t="inlineStr">
        <is>
          <t> </t>
        </is>
      </c>
      <c r="R281" s="38" t="inlineStr">
        <is>
          <t> </t>
        </is>
      </c>
      <c r="S281" s="391" t="inlineStr">
        <is>
          <t> </t>
        </is>
      </c>
      <c r="T281" s="391" t="inlineStr">
        <is>
          <t> </t>
        </is>
      </c>
      <c r="U281" s="391" t="inlineStr">
        <is>
          <t> </t>
        </is>
      </c>
      <c r="V281" s="391" t="inlineStr">
        <is>
          <t> </t>
        </is>
      </c>
      <c r="W281" s="391" t="inlineStr">
        <is>
          <t> </t>
        </is>
      </c>
      <c r="X281" s="391" t="inlineStr">
        <is>
          <t> </t>
        </is>
      </c>
      <c r="Y281" s="392" t="inlineStr">
        <is>
          <t> </t>
        </is>
      </c>
      <c r="Z281" s="391" t="inlineStr">
        <is>
          <t> </t>
        </is>
      </c>
      <c r="AA281" s="391" t="inlineStr">
        <is>
          <t> </t>
        </is>
      </c>
      <c r="AB281" s="391" t="inlineStr">
        <is>
          <t> </t>
        </is>
      </c>
      <c r="AC281" s="391" t="inlineStr">
        <is>
          <t> </t>
        </is>
      </c>
      <c r="AD281" s="391" t="inlineStr">
        <is>
          <t> </t>
        </is>
      </c>
      <c r="AE281" s="391" t="inlineStr">
        <is>
          <t> </t>
        </is>
      </c>
      <c r="AF281" s="38" t="inlineStr">
        <is>
          <t> </t>
        </is>
      </c>
      <c r="AG281" s="391" t="inlineStr">
        <is>
          <t> </t>
        </is>
      </c>
      <c r="AH281" s="391" t="n"/>
      <c r="AI281" s="391" t="inlineStr">
        <is>
          <t> </t>
        </is>
      </c>
      <c r="AJ281" s="391" t="inlineStr">
        <is>
          <t> </t>
        </is>
      </c>
      <c r="AK281" s="391" t="inlineStr">
        <is>
          <t> </t>
        </is>
      </c>
      <c r="AL281" s="391" t="inlineStr">
        <is>
          <t> </t>
        </is>
      </c>
      <c r="AM281" s="391" t="inlineStr">
        <is>
          <t> </t>
        </is>
      </c>
      <c r="AN281" s="391" t="inlineStr">
        <is>
          <t> </t>
        </is>
      </c>
      <c r="AO281" s="391" t="n"/>
      <c r="AP281" s="319" t="n"/>
      <c r="AQ281" s="319" t="n"/>
      <c r="AR281" s="319" t="n"/>
    </row>
    <row r="282" ht="15.75" customHeight="1" s="1264">
      <c r="A282" s="319" t="inlineStr">
        <is>
          <t> </t>
        </is>
      </c>
      <c r="B282" s="319" t="inlineStr">
        <is>
          <t> </t>
        </is>
      </c>
      <c r="C282" s="319" t="inlineStr">
        <is>
          <t> </t>
        </is>
      </c>
      <c r="D282" s="38" t="inlineStr">
        <is>
          <t> </t>
        </is>
      </c>
      <c r="E282" s="391" t="inlineStr">
        <is>
          <t> </t>
        </is>
      </c>
      <c r="F282" s="391" t="inlineStr">
        <is>
          <t> </t>
        </is>
      </c>
      <c r="G282" s="391" t="inlineStr">
        <is>
          <t> </t>
        </is>
      </c>
      <c r="H282" s="391" t="inlineStr">
        <is>
          <t> </t>
        </is>
      </c>
      <c r="I282" s="391" t="inlineStr">
        <is>
          <t> </t>
        </is>
      </c>
      <c r="J282" s="391" t="inlineStr">
        <is>
          <t> </t>
        </is>
      </c>
      <c r="K282" s="38" t="inlineStr">
        <is>
          <t> </t>
        </is>
      </c>
      <c r="L282" s="391" t="inlineStr">
        <is>
          <t> </t>
        </is>
      </c>
      <c r="M282" s="391" t="inlineStr">
        <is>
          <t> </t>
        </is>
      </c>
      <c r="N282" s="391" t="inlineStr">
        <is>
          <t> </t>
        </is>
      </c>
      <c r="O282" s="391" t="inlineStr">
        <is>
          <t> </t>
        </is>
      </c>
      <c r="P282" s="391" t="inlineStr">
        <is>
          <t> </t>
        </is>
      </c>
      <c r="Q282" s="391" t="inlineStr">
        <is>
          <t> </t>
        </is>
      </c>
      <c r="R282" s="38" t="inlineStr">
        <is>
          <t> </t>
        </is>
      </c>
      <c r="S282" s="391" t="inlineStr">
        <is>
          <t> </t>
        </is>
      </c>
      <c r="T282" s="391" t="inlineStr">
        <is>
          <t> </t>
        </is>
      </c>
      <c r="U282" s="391" t="inlineStr">
        <is>
          <t> </t>
        </is>
      </c>
      <c r="V282" s="391" t="inlineStr">
        <is>
          <t> </t>
        </is>
      </c>
      <c r="W282" s="391" t="inlineStr">
        <is>
          <t> </t>
        </is>
      </c>
      <c r="X282" s="391" t="inlineStr">
        <is>
          <t> </t>
        </is>
      </c>
      <c r="Y282" s="392" t="inlineStr">
        <is>
          <t> </t>
        </is>
      </c>
      <c r="Z282" s="391" t="inlineStr">
        <is>
          <t> </t>
        </is>
      </c>
      <c r="AA282" s="391" t="inlineStr">
        <is>
          <t> </t>
        </is>
      </c>
      <c r="AB282" s="391" t="inlineStr">
        <is>
          <t> </t>
        </is>
      </c>
      <c r="AC282" s="391" t="inlineStr">
        <is>
          <t> </t>
        </is>
      </c>
      <c r="AD282" s="391" t="inlineStr">
        <is>
          <t> </t>
        </is>
      </c>
      <c r="AE282" s="391" t="inlineStr">
        <is>
          <t> </t>
        </is>
      </c>
      <c r="AF282" s="38" t="inlineStr">
        <is>
          <t> </t>
        </is>
      </c>
      <c r="AG282" s="391" t="inlineStr">
        <is>
          <t> </t>
        </is>
      </c>
      <c r="AH282" s="391" t="n"/>
      <c r="AI282" s="391" t="inlineStr">
        <is>
          <t> </t>
        </is>
      </c>
      <c r="AJ282" s="391" t="inlineStr">
        <is>
          <t> </t>
        </is>
      </c>
      <c r="AK282" s="391" t="inlineStr">
        <is>
          <t> </t>
        </is>
      </c>
      <c r="AL282" s="391" t="inlineStr">
        <is>
          <t> </t>
        </is>
      </c>
      <c r="AM282" s="391" t="inlineStr">
        <is>
          <t> </t>
        </is>
      </c>
      <c r="AN282" s="391" t="inlineStr">
        <is>
          <t> </t>
        </is>
      </c>
      <c r="AO282" s="391" t="n"/>
      <c r="AP282" s="319" t="n"/>
      <c r="AQ282" s="319" t="n"/>
      <c r="AR282" s="319" t="n"/>
    </row>
    <row r="283" ht="15.75" customHeight="1" s="1264">
      <c r="A283" s="319" t="inlineStr">
        <is>
          <t> </t>
        </is>
      </c>
      <c r="B283" s="319" t="inlineStr">
        <is>
          <t> </t>
        </is>
      </c>
      <c r="C283" s="319" t="inlineStr">
        <is>
          <t> </t>
        </is>
      </c>
      <c r="D283" s="38" t="inlineStr">
        <is>
          <t> </t>
        </is>
      </c>
      <c r="E283" s="391" t="inlineStr">
        <is>
          <t> </t>
        </is>
      </c>
      <c r="F283" s="391" t="inlineStr">
        <is>
          <t> </t>
        </is>
      </c>
      <c r="G283" s="391" t="inlineStr">
        <is>
          <t> </t>
        </is>
      </c>
      <c r="H283" s="391" t="inlineStr">
        <is>
          <t> </t>
        </is>
      </c>
      <c r="I283" s="391" t="inlineStr">
        <is>
          <t> </t>
        </is>
      </c>
      <c r="J283" s="391" t="inlineStr">
        <is>
          <t> </t>
        </is>
      </c>
      <c r="K283" s="38" t="inlineStr">
        <is>
          <t> </t>
        </is>
      </c>
      <c r="L283" s="391" t="inlineStr">
        <is>
          <t> </t>
        </is>
      </c>
      <c r="M283" s="391" t="inlineStr">
        <is>
          <t> </t>
        </is>
      </c>
      <c r="N283" s="391" t="inlineStr">
        <is>
          <t> </t>
        </is>
      </c>
      <c r="O283" s="391" t="inlineStr">
        <is>
          <t> </t>
        </is>
      </c>
      <c r="P283" s="391" t="inlineStr">
        <is>
          <t> </t>
        </is>
      </c>
      <c r="Q283" s="391" t="inlineStr">
        <is>
          <t> </t>
        </is>
      </c>
      <c r="R283" s="38" t="inlineStr">
        <is>
          <t> </t>
        </is>
      </c>
      <c r="S283" s="391" t="inlineStr">
        <is>
          <t> </t>
        </is>
      </c>
      <c r="T283" s="391" t="inlineStr">
        <is>
          <t> </t>
        </is>
      </c>
      <c r="U283" s="391" t="inlineStr">
        <is>
          <t> </t>
        </is>
      </c>
      <c r="V283" s="391" t="inlineStr">
        <is>
          <t> </t>
        </is>
      </c>
      <c r="W283" s="391" t="inlineStr">
        <is>
          <t> </t>
        </is>
      </c>
      <c r="X283" s="391" t="inlineStr">
        <is>
          <t> </t>
        </is>
      </c>
      <c r="Y283" s="392" t="inlineStr">
        <is>
          <t> </t>
        </is>
      </c>
      <c r="Z283" s="391" t="inlineStr">
        <is>
          <t> </t>
        </is>
      </c>
      <c r="AA283" s="391" t="inlineStr">
        <is>
          <t> </t>
        </is>
      </c>
      <c r="AB283" s="391" t="inlineStr">
        <is>
          <t> </t>
        </is>
      </c>
      <c r="AC283" s="391" t="inlineStr">
        <is>
          <t> </t>
        </is>
      </c>
      <c r="AD283" s="391" t="inlineStr">
        <is>
          <t> </t>
        </is>
      </c>
      <c r="AE283" s="391" t="inlineStr">
        <is>
          <t> </t>
        </is>
      </c>
      <c r="AF283" s="38" t="inlineStr">
        <is>
          <t> </t>
        </is>
      </c>
      <c r="AG283" s="391" t="inlineStr">
        <is>
          <t> </t>
        </is>
      </c>
      <c r="AH283" s="391" t="n"/>
      <c r="AI283" s="391" t="inlineStr">
        <is>
          <t> </t>
        </is>
      </c>
      <c r="AJ283" s="391" t="inlineStr">
        <is>
          <t> </t>
        </is>
      </c>
      <c r="AK283" s="391" t="inlineStr">
        <is>
          <t> </t>
        </is>
      </c>
      <c r="AL283" s="391" t="inlineStr">
        <is>
          <t> </t>
        </is>
      </c>
      <c r="AM283" s="391" t="inlineStr">
        <is>
          <t> </t>
        </is>
      </c>
      <c r="AN283" s="391" t="inlineStr">
        <is>
          <t> </t>
        </is>
      </c>
      <c r="AO283" s="391" t="n"/>
      <c r="AP283" s="319" t="n"/>
      <c r="AQ283" s="319" t="n"/>
      <c r="AR283" s="319" t="n"/>
    </row>
    <row r="284" ht="15.75" customHeight="1" s="1264">
      <c r="A284" s="319" t="inlineStr">
        <is>
          <t> </t>
        </is>
      </c>
      <c r="B284" s="319" t="inlineStr">
        <is>
          <t> </t>
        </is>
      </c>
      <c r="C284" s="319" t="inlineStr">
        <is>
          <t> </t>
        </is>
      </c>
      <c r="D284" s="38" t="inlineStr">
        <is>
          <t> </t>
        </is>
      </c>
      <c r="E284" s="391" t="inlineStr">
        <is>
          <t> </t>
        </is>
      </c>
      <c r="F284" s="391" t="inlineStr">
        <is>
          <t> </t>
        </is>
      </c>
      <c r="G284" s="391" t="inlineStr">
        <is>
          <t> </t>
        </is>
      </c>
      <c r="H284" s="391" t="inlineStr">
        <is>
          <t> </t>
        </is>
      </c>
      <c r="I284" s="391" t="inlineStr">
        <is>
          <t> </t>
        </is>
      </c>
      <c r="J284" s="391" t="inlineStr">
        <is>
          <t> </t>
        </is>
      </c>
      <c r="K284" s="38" t="inlineStr">
        <is>
          <t> </t>
        </is>
      </c>
      <c r="L284" s="391" t="inlineStr">
        <is>
          <t> </t>
        </is>
      </c>
      <c r="M284" s="391" t="inlineStr">
        <is>
          <t> </t>
        </is>
      </c>
      <c r="N284" s="391" t="inlineStr">
        <is>
          <t> </t>
        </is>
      </c>
      <c r="O284" s="391" t="inlineStr">
        <is>
          <t> </t>
        </is>
      </c>
      <c r="P284" s="391" t="inlineStr">
        <is>
          <t> </t>
        </is>
      </c>
      <c r="Q284" s="391" t="inlineStr">
        <is>
          <t> </t>
        </is>
      </c>
      <c r="R284" s="38" t="inlineStr">
        <is>
          <t> </t>
        </is>
      </c>
      <c r="S284" s="391" t="inlineStr">
        <is>
          <t> </t>
        </is>
      </c>
      <c r="T284" s="391" t="inlineStr">
        <is>
          <t> </t>
        </is>
      </c>
      <c r="U284" s="391" t="inlineStr">
        <is>
          <t> </t>
        </is>
      </c>
      <c r="V284" s="391" t="inlineStr">
        <is>
          <t> </t>
        </is>
      </c>
      <c r="W284" s="391" t="inlineStr">
        <is>
          <t> </t>
        </is>
      </c>
      <c r="X284" s="391" t="inlineStr">
        <is>
          <t> </t>
        </is>
      </c>
      <c r="Y284" s="392" t="inlineStr">
        <is>
          <t> </t>
        </is>
      </c>
      <c r="Z284" s="391" t="inlineStr">
        <is>
          <t> </t>
        </is>
      </c>
      <c r="AA284" s="391" t="inlineStr">
        <is>
          <t> </t>
        </is>
      </c>
      <c r="AB284" s="391" t="inlineStr">
        <is>
          <t> </t>
        </is>
      </c>
      <c r="AC284" s="391" t="inlineStr">
        <is>
          <t> </t>
        </is>
      </c>
      <c r="AD284" s="391" t="inlineStr">
        <is>
          <t> </t>
        </is>
      </c>
      <c r="AE284" s="391" t="inlineStr">
        <is>
          <t> </t>
        </is>
      </c>
      <c r="AF284" s="38" t="inlineStr">
        <is>
          <t> </t>
        </is>
      </c>
      <c r="AG284" s="391" t="inlineStr">
        <is>
          <t> </t>
        </is>
      </c>
      <c r="AH284" s="391" t="n"/>
      <c r="AI284" s="391" t="inlineStr">
        <is>
          <t> </t>
        </is>
      </c>
      <c r="AJ284" s="391" t="inlineStr">
        <is>
          <t> </t>
        </is>
      </c>
      <c r="AK284" s="391" t="inlineStr">
        <is>
          <t> </t>
        </is>
      </c>
      <c r="AL284" s="391" t="inlineStr">
        <is>
          <t> </t>
        </is>
      </c>
      <c r="AM284" s="391" t="inlineStr">
        <is>
          <t> </t>
        </is>
      </c>
      <c r="AN284" s="391" t="inlineStr">
        <is>
          <t> </t>
        </is>
      </c>
      <c r="AO284" s="391" t="n"/>
      <c r="AP284" s="319" t="n"/>
      <c r="AQ284" s="319" t="n"/>
      <c r="AR284" s="319" t="n"/>
    </row>
    <row r="285" ht="15.75" customHeight="1" s="1264">
      <c r="A285" s="319" t="inlineStr">
        <is>
          <t> </t>
        </is>
      </c>
      <c r="B285" s="319" t="inlineStr">
        <is>
          <t> </t>
        </is>
      </c>
      <c r="C285" s="319" t="inlineStr">
        <is>
          <t> </t>
        </is>
      </c>
      <c r="D285" s="38" t="inlineStr">
        <is>
          <t> </t>
        </is>
      </c>
      <c r="E285" s="391" t="inlineStr">
        <is>
          <t> </t>
        </is>
      </c>
      <c r="F285" s="391" t="inlineStr">
        <is>
          <t> </t>
        </is>
      </c>
      <c r="G285" s="391" t="inlineStr">
        <is>
          <t> </t>
        </is>
      </c>
      <c r="H285" s="391" t="inlineStr">
        <is>
          <t> </t>
        </is>
      </c>
      <c r="I285" s="391" t="inlineStr">
        <is>
          <t> </t>
        </is>
      </c>
      <c r="J285" s="391" t="inlineStr">
        <is>
          <t> </t>
        </is>
      </c>
      <c r="K285" s="38" t="inlineStr">
        <is>
          <t> </t>
        </is>
      </c>
      <c r="L285" s="391" t="inlineStr">
        <is>
          <t> </t>
        </is>
      </c>
      <c r="M285" s="391" t="inlineStr">
        <is>
          <t> </t>
        </is>
      </c>
      <c r="N285" s="391" t="inlineStr">
        <is>
          <t> </t>
        </is>
      </c>
      <c r="O285" s="391" t="inlineStr">
        <is>
          <t> </t>
        </is>
      </c>
      <c r="P285" s="391" t="inlineStr">
        <is>
          <t> </t>
        </is>
      </c>
      <c r="Q285" s="391" t="inlineStr">
        <is>
          <t> </t>
        </is>
      </c>
      <c r="R285" s="38" t="inlineStr">
        <is>
          <t> </t>
        </is>
      </c>
      <c r="S285" s="391" t="inlineStr">
        <is>
          <t> </t>
        </is>
      </c>
      <c r="T285" s="391" t="inlineStr">
        <is>
          <t> </t>
        </is>
      </c>
      <c r="U285" s="391" t="inlineStr">
        <is>
          <t> </t>
        </is>
      </c>
      <c r="V285" s="391" t="inlineStr">
        <is>
          <t> </t>
        </is>
      </c>
      <c r="W285" s="391" t="inlineStr">
        <is>
          <t> </t>
        </is>
      </c>
      <c r="X285" s="391" t="inlineStr">
        <is>
          <t> </t>
        </is>
      </c>
      <c r="Y285" s="392" t="inlineStr">
        <is>
          <t> </t>
        </is>
      </c>
      <c r="Z285" s="391" t="inlineStr">
        <is>
          <t> </t>
        </is>
      </c>
      <c r="AA285" s="391" t="inlineStr">
        <is>
          <t> </t>
        </is>
      </c>
      <c r="AB285" s="391" t="inlineStr">
        <is>
          <t> </t>
        </is>
      </c>
      <c r="AC285" s="391" t="inlineStr">
        <is>
          <t> </t>
        </is>
      </c>
      <c r="AD285" s="391" t="inlineStr">
        <is>
          <t> </t>
        </is>
      </c>
      <c r="AE285" s="391" t="inlineStr">
        <is>
          <t> </t>
        </is>
      </c>
      <c r="AF285" s="38" t="inlineStr">
        <is>
          <t> </t>
        </is>
      </c>
      <c r="AG285" s="391" t="inlineStr">
        <is>
          <t> </t>
        </is>
      </c>
      <c r="AH285" s="391" t="n"/>
      <c r="AI285" s="391" t="inlineStr">
        <is>
          <t> </t>
        </is>
      </c>
      <c r="AJ285" s="391" t="inlineStr">
        <is>
          <t> </t>
        </is>
      </c>
      <c r="AK285" s="391" t="inlineStr">
        <is>
          <t> </t>
        </is>
      </c>
      <c r="AL285" s="391" t="inlineStr">
        <is>
          <t> </t>
        </is>
      </c>
      <c r="AM285" s="391" t="inlineStr">
        <is>
          <t> </t>
        </is>
      </c>
      <c r="AN285" s="391" t="inlineStr">
        <is>
          <t> </t>
        </is>
      </c>
      <c r="AO285" s="391" t="n"/>
      <c r="AP285" s="319" t="n"/>
      <c r="AQ285" s="319" t="n"/>
      <c r="AR285" s="319" t="n"/>
    </row>
    <row r="286" ht="15.75" customHeight="1" s="1264">
      <c r="A286" s="319" t="inlineStr">
        <is>
          <t> </t>
        </is>
      </c>
      <c r="B286" s="319" t="inlineStr">
        <is>
          <t> </t>
        </is>
      </c>
      <c r="C286" s="319" t="inlineStr">
        <is>
          <t> </t>
        </is>
      </c>
      <c r="D286" s="38" t="inlineStr">
        <is>
          <t> </t>
        </is>
      </c>
      <c r="E286" s="391" t="inlineStr">
        <is>
          <t> </t>
        </is>
      </c>
      <c r="F286" s="391" t="inlineStr">
        <is>
          <t> </t>
        </is>
      </c>
      <c r="G286" s="391" t="inlineStr">
        <is>
          <t> </t>
        </is>
      </c>
      <c r="H286" s="391" t="inlineStr">
        <is>
          <t> </t>
        </is>
      </c>
      <c r="I286" s="391" t="inlineStr">
        <is>
          <t> </t>
        </is>
      </c>
      <c r="J286" s="391" t="inlineStr">
        <is>
          <t> </t>
        </is>
      </c>
      <c r="K286" s="38" t="inlineStr">
        <is>
          <t> </t>
        </is>
      </c>
      <c r="L286" s="391" t="inlineStr">
        <is>
          <t> </t>
        </is>
      </c>
      <c r="M286" s="391" t="inlineStr">
        <is>
          <t> </t>
        </is>
      </c>
      <c r="N286" s="391" t="inlineStr">
        <is>
          <t> </t>
        </is>
      </c>
      <c r="O286" s="391" t="inlineStr">
        <is>
          <t> </t>
        </is>
      </c>
      <c r="P286" s="391" t="inlineStr">
        <is>
          <t> </t>
        </is>
      </c>
      <c r="Q286" s="391" t="inlineStr">
        <is>
          <t> </t>
        </is>
      </c>
      <c r="R286" s="38" t="inlineStr">
        <is>
          <t> </t>
        </is>
      </c>
      <c r="S286" s="391" t="inlineStr">
        <is>
          <t> </t>
        </is>
      </c>
      <c r="T286" s="391" t="inlineStr">
        <is>
          <t> </t>
        </is>
      </c>
      <c r="U286" s="391" t="inlineStr">
        <is>
          <t> </t>
        </is>
      </c>
      <c r="V286" s="391" t="inlineStr">
        <is>
          <t> </t>
        </is>
      </c>
      <c r="W286" s="391" t="inlineStr">
        <is>
          <t> </t>
        </is>
      </c>
      <c r="X286" s="391" t="inlineStr">
        <is>
          <t> </t>
        </is>
      </c>
      <c r="Y286" s="392" t="inlineStr">
        <is>
          <t> </t>
        </is>
      </c>
      <c r="Z286" s="391" t="inlineStr">
        <is>
          <t> </t>
        </is>
      </c>
      <c r="AA286" s="391" t="inlineStr">
        <is>
          <t> </t>
        </is>
      </c>
      <c r="AB286" s="391" t="inlineStr">
        <is>
          <t> </t>
        </is>
      </c>
      <c r="AC286" s="391" t="inlineStr">
        <is>
          <t> </t>
        </is>
      </c>
      <c r="AD286" s="391" t="inlineStr">
        <is>
          <t> </t>
        </is>
      </c>
      <c r="AE286" s="391" t="inlineStr">
        <is>
          <t> </t>
        </is>
      </c>
      <c r="AF286" s="38" t="inlineStr">
        <is>
          <t> </t>
        </is>
      </c>
      <c r="AG286" s="391" t="inlineStr">
        <is>
          <t> </t>
        </is>
      </c>
      <c r="AH286" s="391" t="n"/>
      <c r="AI286" s="391" t="inlineStr">
        <is>
          <t> </t>
        </is>
      </c>
      <c r="AJ286" s="391" t="inlineStr">
        <is>
          <t> </t>
        </is>
      </c>
      <c r="AK286" s="391" t="inlineStr">
        <is>
          <t> </t>
        </is>
      </c>
      <c r="AL286" s="391" t="inlineStr">
        <is>
          <t> </t>
        </is>
      </c>
      <c r="AM286" s="391" t="inlineStr">
        <is>
          <t> </t>
        </is>
      </c>
      <c r="AN286" s="391" t="inlineStr">
        <is>
          <t> </t>
        </is>
      </c>
      <c r="AO286" s="391" t="n"/>
      <c r="AP286" s="319" t="n"/>
      <c r="AQ286" s="319" t="n"/>
      <c r="AR286" s="319" t="n"/>
    </row>
    <row r="287" ht="15.75" customHeight="1" s="1264">
      <c r="A287" s="319" t="inlineStr">
        <is>
          <t> </t>
        </is>
      </c>
      <c r="B287" s="319" t="inlineStr">
        <is>
          <t> </t>
        </is>
      </c>
      <c r="C287" s="319" t="inlineStr">
        <is>
          <t> </t>
        </is>
      </c>
      <c r="D287" s="38" t="inlineStr">
        <is>
          <t> </t>
        </is>
      </c>
      <c r="E287" s="391" t="inlineStr">
        <is>
          <t> </t>
        </is>
      </c>
      <c r="F287" s="391" t="inlineStr">
        <is>
          <t> </t>
        </is>
      </c>
      <c r="G287" s="391" t="inlineStr">
        <is>
          <t> </t>
        </is>
      </c>
      <c r="H287" s="391" t="inlineStr">
        <is>
          <t> </t>
        </is>
      </c>
      <c r="I287" s="391" t="inlineStr">
        <is>
          <t> </t>
        </is>
      </c>
      <c r="J287" s="391" t="inlineStr">
        <is>
          <t> </t>
        </is>
      </c>
      <c r="K287" s="38" t="inlineStr">
        <is>
          <t> </t>
        </is>
      </c>
      <c r="L287" s="391" t="inlineStr">
        <is>
          <t> </t>
        </is>
      </c>
      <c r="M287" s="391" t="inlineStr">
        <is>
          <t> </t>
        </is>
      </c>
      <c r="N287" s="391" t="inlineStr">
        <is>
          <t> </t>
        </is>
      </c>
      <c r="O287" s="391" t="inlineStr">
        <is>
          <t> </t>
        </is>
      </c>
      <c r="P287" s="391" t="inlineStr">
        <is>
          <t> </t>
        </is>
      </c>
      <c r="Q287" s="391" t="inlineStr">
        <is>
          <t> </t>
        </is>
      </c>
      <c r="R287" s="38" t="inlineStr">
        <is>
          <t> </t>
        </is>
      </c>
      <c r="S287" s="391" t="inlineStr">
        <is>
          <t> </t>
        </is>
      </c>
      <c r="T287" s="391" t="inlineStr">
        <is>
          <t> </t>
        </is>
      </c>
      <c r="U287" s="391" t="inlineStr">
        <is>
          <t> </t>
        </is>
      </c>
      <c r="V287" s="391" t="inlineStr">
        <is>
          <t> </t>
        </is>
      </c>
      <c r="W287" s="391" t="inlineStr">
        <is>
          <t> </t>
        </is>
      </c>
      <c r="X287" s="391" t="inlineStr">
        <is>
          <t> </t>
        </is>
      </c>
      <c r="Y287" s="392" t="inlineStr">
        <is>
          <t> </t>
        </is>
      </c>
      <c r="Z287" s="391" t="inlineStr">
        <is>
          <t> </t>
        </is>
      </c>
      <c r="AA287" s="391" t="inlineStr">
        <is>
          <t> </t>
        </is>
      </c>
      <c r="AB287" s="391" t="inlineStr">
        <is>
          <t> </t>
        </is>
      </c>
      <c r="AC287" s="391" t="inlineStr">
        <is>
          <t> </t>
        </is>
      </c>
      <c r="AD287" s="391" t="inlineStr">
        <is>
          <t> </t>
        </is>
      </c>
      <c r="AE287" s="391" t="inlineStr">
        <is>
          <t> </t>
        </is>
      </c>
      <c r="AF287" s="38" t="inlineStr">
        <is>
          <t> </t>
        </is>
      </c>
      <c r="AG287" s="391" t="inlineStr">
        <is>
          <t> </t>
        </is>
      </c>
      <c r="AH287" s="391" t="n"/>
      <c r="AI287" s="391" t="inlineStr">
        <is>
          <t> </t>
        </is>
      </c>
      <c r="AJ287" s="391" t="inlineStr">
        <is>
          <t> </t>
        </is>
      </c>
      <c r="AK287" s="391" t="inlineStr">
        <is>
          <t> </t>
        </is>
      </c>
      <c r="AL287" s="391" t="inlineStr">
        <is>
          <t> </t>
        </is>
      </c>
      <c r="AM287" s="391" t="inlineStr">
        <is>
          <t> </t>
        </is>
      </c>
      <c r="AN287" s="391" t="inlineStr">
        <is>
          <t> </t>
        </is>
      </c>
      <c r="AO287" s="391" t="n"/>
      <c r="AP287" s="319" t="n"/>
      <c r="AQ287" s="319" t="n"/>
      <c r="AR287" s="319" t="n"/>
    </row>
    <row r="288" ht="15.75" customHeight="1" s="1264">
      <c r="A288" s="319" t="inlineStr">
        <is>
          <t> </t>
        </is>
      </c>
      <c r="B288" s="319" t="inlineStr">
        <is>
          <t> </t>
        </is>
      </c>
      <c r="C288" s="319" t="inlineStr">
        <is>
          <t> </t>
        </is>
      </c>
      <c r="D288" s="38" t="inlineStr">
        <is>
          <t> </t>
        </is>
      </c>
      <c r="E288" s="391" t="inlineStr">
        <is>
          <t> </t>
        </is>
      </c>
      <c r="F288" s="391" t="inlineStr">
        <is>
          <t> </t>
        </is>
      </c>
      <c r="G288" s="391" t="inlineStr">
        <is>
          <t> </t>
        </is>
      </c>
      <c r="H288" s="391" t="inlineStr">
        <is>
          <t> </t>
        </is>
      </c>
      <c r="I288" s="391" t="inlineStr">
        <is>
          <t> </t>
        </is>
      </c>
      <c r="J288" s="391" t="inlineStr">
        <is>
          <t> </t>
        </is>
      </c>
      <c r="K288" s="38" t="inlineStr">
        <is>
          <t> </t>
        </is>
      </c>
      <c r="L288" s="391" t="inlineStr">
        <is>
          <t> </t>
        </is>
      </c>
      <c r="M288" s="391" t="inlineStr">
        <is>
          <t> </t>
        </is>
      </c>
      <c r="N288" s="391" t="inlineStr">
        <is>
          <t> </t>
        </is>
      </c>
      <c r="O288" s="391" t="inlineStr">
        <is>
          <t> </t>
        </is>
      </c>
      <c r="P288" s="391" t="inlineStr">
        <is>
          <t> </t>
        </is>
      </c>
      <c r="Q288" s="391" t="inlineStr">
        <is>
          <t> </t>
        </is>
      </c>
      <c r="R288" s="38" t="inlineStr">
        <is>
          <t> </t>
        </is>
      </c>
      <c r="S288" s="391" t="inlineStr">
        <is>
          <t> </t>
        </is>
      </c>
      <c r="T288" s="391" t="inlineStr">
        <is>
          <t> </t>
        </is>
      </c>
      <c r="U288" s="391" t="inlineStr">
        <is>
          <t> </t>
        </is>
      </c>
      <c r="V288" s="391" t="inlineStr">
        <is>
          <t> </t>
        </is>
      </c>
      <c r="W288" s="391" t="inlineStr">
        <is>
          <t> </t>
        </is>
      </c>
      <c r="X288" s="391" t="inlineStr">
        <is>
          <t> </t>
        </is>
      </c>
      <c r="Y288" s="392" t="inlineStr">
        <is>
          <t> </t>
        </is>
      </c>
      <c r="Z288" s="391" t="inlineStr">
        <is>
          <t> </t>
        </is>
      </c>
      <c r="AA288" s="391" t="inlineStr">
        <is>
          <t> </t>
        </is>
      </c>
      <c r="AB288" s="391" t="inlineStr">
        <is>
          <t> </t>
        </is>
      </c>
      <c r="AC288" s="391" t="inlineStr">
        <is>
          <t> </t>
        </is>
      </c>
      <c r="AD288" s="391" t="inlineStr">
        <is>
          <t> </t>
        </is>
      </c>
      <c r="AE288" s="391" t="inlineStr">
        <is>
          <t> </t>
        </is>
      </c>
      <c r="AF288" s="38" t="inlineStr">
        <is>
          <t> </t>
        </is>
      </c>
      <c r="AG288" s="391" t="inlineStr">
        <is>
          <t> </t>
        </is>
      </c>
      <c r="AH288" s="391" t="n"/>
      <c r="AI288" s="391" t="inlineStr">
        <is>
          <t> </t>
        </is>
      </c>
      <c r="AJ288" s="391" t="inlineStr">
        <is>
          <t> </t>
        </is>
      </c>
      <c r="AK288" s="391" t="inlineStr">
        <is>
          <t> </t>
        </is>
      </c>
      <c r="AL288" s="391" t="inlineStr">
        <is>
          <t> </t>
        </is>
      </c>
      <c r="AM288" s="391" t="inlineStr">
        <is>
          <t> </t>
        </is>
      </c>
      <c r="AN288" s="391" t="inlineStr">
        <is>
          <t> </t>
        </is>
      </c>
      <c r="AO288" s="391" t="n"/>
      <c r="AP288" s="319" t="n"/>
      <c r="AQ288" s="319" t="n"/>
      <c r="AR288" s="319" t="n"/>
    </row>
    <row r="289" ht="15.75" customHeight="1" s="1264">
      <c r="A289" s="319" t="inlineStr">
        <is>
          <t> </t>
        </is>
      </c>
      <c r="B289" s="319" t="inlineStr">
        <is>
          <t> </t>
        </is>
      </c>
      <c r="C289" s="319" t="inlineStr">
        <is>
          <t> </t>
        </is>
      </c>
      <c r="D289" s="38" t="inlineStr">
        <is>
          <t> </t>
        </is>
      </c>
      <c r="E289" s="391" t="inlineStr">
        <is>
          <t> </t>
        </is>
      </c>
      <c r="F289" s="391" t="inlineStr">
        <is>
          <t> </t>
        </is>
      </c>
      <c r="G289" s="391" t="inlineStr">
        <is>
          <t> </t>
        </is>
      </c>
      <c r="H289" s="391" t="inlineStr">
        <is>
          <t> </t>
        </is>
      </c>
      <c r="I289" s="391" t="inlineStr">
        <is>
          <t> </t>
        </is>
      </c>
      <c r="J289" s="391" t="inlineStr">
        <is>
          <t> </t>
        </is>
      </c>
      <c r="K289" s="38" t="inlineStr">
        <is>
          <t> </t>
        </is>
      </c>
      <c r="L289" s="391" t="inlineStr">
        <is>
          <t> </t>
        </is>
      </c>
      <c r="M289" s="391" t="inlineStr">
        <is>
          <t> </t>
        </is>
      </c>
      <c r="N289" s="391" t="inlineStr">
        <is>
          <t> </t>
        </is>
      </c>
      <c r="O289" s="391" t="inlineStr">
        <is>
          <t> </t>
        </is>
      </c>
      <c r="P289" s="391" t="inlineStr">
        <is>
          <t> </t>
        </is>
      </c>
      <c r="Q289" s="391" t="inlineStr">
        <is>
          <t> </t>
        </is>
      </c>
      <c r="R289" s="38" t="inlineStr">
        <is>
          <t> </t>
        </is>
      </c>
      <c r="S289" s="391" t="inlineStr">
        <is>
          <t> </t>
        </is>
      </c>
      <c r="T289" s="391" t="inlineStr">
        <is>
          <t> </t>
        </is>
      </c>
      <c r="U289" s="391" t="inlineStr">
        <is>
          <t> </t>
        </is>
      </c>
      <c r="V289" s="391" t="inlineStr">
        <is>
          <t> </t>
        </is>
      </c>
      <c r="W289" s="391" t="inlineStr">
        <is>
          <t> </t>
        </is>
      </c>
      <c r="X289" s="391" t="inlineStr">
        <is>
          <t> </t>
        </is>
      </c>
      <c r="Y289" s="392" t="inlineStr">
        <is>
          <t> </t>
        </is>
      </c>
      <c r="Z289" s="391" t="inlineStr">
        <is>
          <t> </t>
        </is>
      </c>
      <c r="AA289" s="391" t="inlineStr">
        <is>
          <t> </t>
        </is>
      </c>
      <c r="AB289" s="391" t="inlineStr">
        <is>
          <t> </t>
        </is>
      </c>
      <c r="AC289" s="391" t="inlineStr">
        <is>
          <t> </t>
        </is>
      </c>
      <c r="AD289" s="391" t="inlineStr">
        <is>
          <t> </t>
        </is>
      </c>
      <c r="AE289" s="391" t="inlineStr">
        <is>
          <t> </t>
        </is>
      </c>
      <c r="AF289" s="38" t="inlineStr">
        <is>
          <t> </t>
        </is>
      </c>
      <c r="AG289" s="391" t="inlineStr">
        <is>
          <t> </t>
        </is>
      </c>
      <c r="AH289" s="391" t="n"/>
      <c r="AI289" s="391" t="inlineStr">
        <is>
          <t> </t>
        </is>
      </c>
      <c r="AJ289" s="391" t="inlineStr">
        <is>
          <t> </t>
        </is>
      </c>
      <c r="AK289" s="391" t="inlineStr">
        <is>
          <t> </t>
        </is>
      </c>
      <c r="AL289" s="391" t="inlineStr">
        <is>
          <t> </t>
        </is>
      </c>
      <c r="AM289" s="391" t="inlineStr">
        <is>
          <t> </t>
        </is>
      </c>
      <c r="AN289" s="391" t="inlineStr">
        <is>
          <t> </t>
        </is>
      </c>
      <c r="AO289" s="391" t="n"/>
      <c r="AP289" s="319" t="n"/>
      <c r="AQ289" s="319" t="n"/>
      <c r="AR289" s="319" t="n"/>
    </row>
    <row r="290" ht="15.75" customHeight="1" s="1264">
      <c r="A290" s="319" t="inlineStr">
        <is>
          <t> </t>
        </is>
      </c>
      <c r="B290" s="319" t="inlineStr">
        <is>
          <t> </t>
        </is>
      </c>
      <c r="C290" s="319" t="inlineStr">
        <is>
          <t> </t>
        </is>
      </c>
      <c r="D290" s="38" t="inlineStr">
        <is>
          <t> </t>
        </is>
      </c>
      <c r="E290" s="391" t="inlineStr">
        <is>
          <t> </t>
        </is>
      </c>
      <c r="F290" s="391" t="inlineStr">
        <is>
          <t> </t>
        </is>
      </c>
      <c r="G290" s="391" t="inlineStr">
        <is>
          <t> </t>
        </is>
      </c>
      <c r="H290" s="391" t="inlineStr">
        <is>
          <t> </t>
        </is>
      </c>
      <c r="I290" s="391" t="inlineStr">
        <is>
          <t> </t>
        </is>
      </c>
      <c r="J290" s="391" t="inlineStr">
        <is>
          <t> </t>
        </is>
      </c>
      <c r="K290" s="38" t="inlineStr">
        <is>
          <t> </t>
        </is>
      </c>
      <c r="L290" s="391" t="inlineStr">
        <is>
          <t> </t>
        </is>
      </c>
      <c r="M290" s="391" t="inlineStr">
        <is>
          <t> </t>
        </is>
      </c>
      <c r="N290" s="391" t="inlineStr">
        <is>
          <t> </t>
        </is>
      </c>
      <c r="O290" s="391" t="inlineStr">
        <is>
          <t> </t>
        </is>
      </c>
      <c r="P290" s="391" t="inlineStr">
        <is>
          <t> </t>
        </is>
      </c>
      <c r="Q290" s="391" t="inlineStr">
        <is>
          <t> </t>
        </is>
      </c>
      <c r="R290" s="38" t="inlineStr">
        <is>
          <t> </t>
        </is>
      </c>
      <c r="S290" s="391" t="inlineStr">
        <is>
          <t> </t>
        </is>
      </c>
      <c r="T290" s="391" t="inlineStr">
        <is>
          <t> </t>
        </is>
      </c>
      <c r="U290" s="391" t="inlineStr">
        <is>
          <t> </t>
        </is>
      </c>
      <c r="V290" s="391" t="inlineStr">
        <is>
          <t> </t>
        </is>
      </c>
      <c r="W290" s="391" t="inlineStr">
        <is>
          <t> </t>
        </is>
      </c>
      <c r="X290" s="391" t="inlineStr">
        <is>
          <t> </t>
        </is>
      </c>
      <c r="Y290" s="392" t="inlineStr">
        <is>
          <t> </t>
        </is>
      </c>
      <c r="Z290" s="391" t="inlineStr">
        <is>
          <t> </t>
        </is>
      </c>
      <c r="AA290" s="391" t="inlineStr">
        <is>
          <t> </t>
        </is>
      </c>
      <c r="AB290" s="391" t="inlineStr">
        <is>
          <t> </t>
        </is>
      </c>
      <c r="AC290" s="391" t="inlineStr">
        <is>
          <t> </t>
        </is>
      </c>
      <c r="AD290" s="391" t="inlineStr">
        <is>
          <t> </t>
        </is>
      </c>
      <c r="AE290" s="391" t="inlineStr">
        <is>
          <t> </t>
        </is>
      </c>
      <c r="AF290" s="38" t="inlineStr">
        <is>
          <t> </t>
        </is>
      </c>
      <c r="AG290" s="391" t="inlineStr">
        <is>
          <t> </t>
        </is>
      </c>
      <c r="AH290" s="391" t="n"/>
      <c r="AI290" s="391" t="inlineStr">
        <is>
          <t> </t>
        </is>
      </c>
      <c r="AJ290" s="391" t="inlineStr">
        <is>
          <t> </t>
        </is>
      </c>
      <c r="AK290" s="391" t="inlineStr">
        <is>
          <t> </t>
        </is>
      </c>
      <c r="AL290" s="391" t="inlineStr">
        <is>
          <t> </t>
        </is>
      </c>
      <c r="AM290" s="391" t="inlineStr">
        <is>
          <t> </t>
        </is>
      </c>
      <c r="AN290" s="391" t="inlineStr">
        <is>
          <t> </t>
        </is>
      </c>
      <c r="AO290" s="391" t="n"/>
      <c r="AP290" s="319" t="n"/>
      <c r="AQ290" s="319" t="n"/>
      <c r="AR290" s="319" t="n"/>
    </row>
    <row r="291" ht="15.75" customHeight="1" s="1264">
      <c r="A291" s="319" t="inlineStr">
        <is>
          <t> </t>
        </is>
      </c>
      <c r="B291" s="319" t="inlineStr">
        <is>
          <t> </t>
        </is>
      </c>
      <c r="C291" s="319" t="inlineStr">
        <is>
          <t> </t>
        </is>
      </c>
      <c r="D291" s="38" t="inlineStr">
        <is>
          <t> </t>
        </is>
      </c>
      <c r="E291" s="391" t="inlineStr">
        <is>
          <t> </t>
        </is>
      </c>
      <c r="F291" s="391" t="inlineStr">
        <is>
          <t> </t>
        </is>
      </c>
      <c r="G291" s="391" t="inlineStr">
        <is>
          <t> </t>
        </is>
      </c>
      <c r="H291" s="391" t="inlineStr">
        <is>
          <t> </t>
        </is>
      </c>
      <c r="I291" s="391" t="inlineStr">
        <is>
          <t> </t>
        </is>
      </c>
      <c r="J291" s="391" t="inlineStr">
        <is>
          <t> </t>
        </is>
      </c>
      <c r="K291" s="38" t="inlineStr">
        <is>
          <t> </t>
        </is>
      </c>
      <c r="L291" s="391" t="inlineStr">
        <is>
          <t> </t>
        </is>
      </c>
      <c r="M291" s="391" t="inlineStr">
        <is>
          <t> </t>
        </is>
      </c>
      <c r="N291" s="391" t="inlineStr">
        <is>
          <t> </t>
        </is>
      </c>
      <c r="O291" s="391" t="inlineStr">
        <is>
          <t> </t>
        </is>
      </c>
      <c r="P291" s="391" t="inlineStr">
        <is>
          <t> </t>
        </is>
      </c>
      <c r="Q291" s="391" t="inlineStr">
        <is>
          <t> </t>
        </is>
      </c>
      <c r="R291" s="38" t="inlineStr">
        <is>
          <t> </t>
        </is>
      </c>
      <c r="S291" s="391" t="inlineStr">
        <is>
          <t> </t>
        </is>
      </c>
      <c r="T291" s="391" t="inlineStr">
        <is>
          <t> </t>
        </is>
      </c>
      <c r="U291" s="391" t="inlineStr">
        <is>
          <t> </t>
        </is>
      </c>
      <c r="V291" s="391" t="inlineStr">
        <is>
          <t> </t>
        </is>
      </c>
      <c r="W291" s="391" t="inlineStr">
        <is>
          <t> </t>
        </is>
      </c>
      <c r="X291" s="391" t="inlineStr">
        <is>
          <t> </t>
        </is>
      </c>
      <c r="Y291" s="392" t="inlineStr">
        <is>
          <t> </t>
        </is>
      </c>
      <c r="Z291" s="391" t="inlineStr">
        <is>
          <t> </t>
        </is>
      </c>
      <c r="AA291" s="391" t="inlineStr">
        <is>
          <t> </t>
        </is>
      </c>
      <c r="AB291" s="391" t="inlineStr">
        <is>
          <t> </t>
        </is>
      </c>
      <c r="AC291" s="391" t="inlineStr">
        <is>
          <t> </t>
        </is>
      </c>
      <c r="AD291" s="391" t="inlineStr">
        <is>
          <t> </t>
        </is>
      </c>
      <c r="AE291" s="391" t="inlineStr">
        <is>
          <t> </t>
        </is>
      </c>
      <c r="AF291" s="38" t="inlineStr">
        <is>
          <t> </t>
        </is>
      </c>
      <c r="AG291" s="391" t="inlineStr">
        <is>
          <t> </t>
        </is>
      </c>
      <c r="AH291" s="391" t="n"/>
      <c r="AI291" s="391" t="inlineStr">
        <is>
          <t> </t>
        </is>
      </c>
      <c r="AJ291" s="391" t="inlineStr">
        <is>
          <t> </t>
        </is>
      </c>
      <c r="AK291" s="391" t="inlineStr">
        <is>
          <t> </t>
        </is>
      </c>
      <c r="AL291" s="391" t="inlineStr">
        <is>
          <t> </t>
        </is>
      </c>
      <c r="AM291" s="391" t="inlineStr">
        <is>
          <t> </t>
        </is>
      </c>
      <c r="AN291" s="391" t="inlineStr">
        <is>
          <t> </t>
        </is>
      </c>
      <c r="AO291" s="391" t="n"/>
      <c r="AP291" s="319" t="n"/>
      <c r="AQ291" s="319" t="n"/>
      <c r="AR291" s="319" t="n"/>
    </row>
    <row r="292" ht="15.75" customHeight="1" s="1264">
      <c r="A292" s="319" t="inlineStr">
        <is>
          <t> </t>
        </is>
      </c>
      <c r="B292" s="319" t="inlineStr">
        <is>
          <t> </t>
        </is>
      </c>
      <c r="C292" s="319" t="inlineStr">
        <is>
          <t> </t>
        </is>
      </c>
      <c r="D292" s="38" t="inlineStr">
        <is>
          <t> </t>
        </is>
      </c>
      <c r="E292" s="391" t="inlineStr">
        <is>
          <t> </t>
        </is>
      </c>
      <c r="F292" s="391" t="inlineStr">
        <is>
          <t> </t>
        </is>
      </c>
      <c r="G292" s="391" t="inlineStr">
        <is>
          <t> </t>
        </is>
      </c>
      <c r="H292" s="391" t="inlineStr">
        <is>
          <t> </t>
        </is>
      </c>
      <c r="I292" s="391" t="inlineStr">
        <is>
          <t> </t>
        </is>
      </c>
      <c r="J292" s="391" t="inlineStr">
        <is>
          <t> </t>
        </is>
      </c>
      <c r="K292" s="38" t="inlineStr">
        <is>
          <t> </t>
        </is>
      </c>
      <c r="L292" s="391" t="inlineStr">
        <is>
          <t> </t>
        </is>
      </c>
      <c r="M292" s="391" t="inlineStr">
        <is>
          <t> </t>
        </is>
      </c>
      <c r="N292" s="391" t="inlineStr">
        <is>
          <t> </t>
        </is>
      </c>
      <c r="O292" s="391" t="inlineStr">
        <is>
          <t> </t>
        </is>
      </c>
      <c r="P292" s="391" t="inlineStr">
        <is>
          <t> </t>
        </is>
      </c>
      <c r="Q292" s="391" t="inlineStr">
        <is>
          <t> </t>
        </is>
      </c>
      <c r="R292" s="38" t="inlineStr">
        <is>
          <t> </t>
        </is>
      </c>
      <c r="S292" s="391" t="inlineStr">
        <is>
          <t> </t>
        </is>
      </c>
      <c r="T292" s="391" t="inlineStr">
        <is>
          <t> </t>
        </is>
      </c>
      <c r="U292" s="391" t="inlineStr">
        <is>
          <t> </t>
        </is>
      </c>
      <c r="V292" s="391" t="inlineStr">
        <is>
          <t> </t>
        </is>
      </c>
      <c r="W292" s="391" t="inlineStr">
        <is>
          <t> </t>
        </is>
      </c>
      <c r="X292" s="391" t="inlineStr">
        <is>
          <t> </t>
        </is>
      </c>
      <c r="Y292" s="392" t="inlineStr">
        <is>
          <t> </t>
        </is>
      </c>
      <c r="Z292" s="391" t="inlineStr">
        <is>
          <t> </t>
        </is>
      </c>
      <c r="AA292" s="391" t="inlineStr">
        <is>
          <t> </t>
        </is>
      </c>
      <c r="AB292" s="391" t="inlineStr">
        <is>
          <t> </t>
        </is>
      </c>
      <c r="AC292" s="391" t="inlineStr">
        <is>
          <t> </t>
        </is>
      </c>
      <c r="AD292" s="391" t="inlineStr">
        <is>
          <t> </t>
        </is>
      </c>
      <c r="AE292" s="391" t="inlineStr">
        <is>
          <t> </t>
        </is>
      </c>
      <c r="AF292" s="38" t="inlineStr">
        <is>
          <t> </t>
        </is>
      </c>
      <c r="AG292" s="391" t="inlineStr">
        <is>
          <t> </t>
        </is>
      </c>
      <c r="AH292" s="391" t="n"/>
      <c r="AI292" s="391" t="inlineStr">
        <is>
          <t> </t>
        </is>
      </c>
      <c r="AJ292" s="391" t="inlineStr">
        <is>
          <t> </t>
        </is>
      </c>
      <c r="AK292" s="391" t="inlineStr">
        <is>
          <t> </t>
        </is>
      </c>
      <c r="AL292" s="391" t="inlineStr">
        <is>
          <t> </t>
        </is>
      </c>
      <c r="AM292" s="391" t="inlineStr">
        <is>
          <t> </t>
        </is>
      </c>
      <c r="AN292" s="391" t="inlineStr">
        <is>
          <t> </t>
        </is>
      </c>
      <c r="AO292" s="391" t="n"/>
      <c r="AP292" s="319" t="n"/>
      <c r="AQ292" s="319" t="n"/>
      <c r="AR292" s="319" t="n"/>
    </row>
    <row r="293" ht="15.75" customHeight="1" s="1264">
      <c r="A293" s="319" t="inlineStr">
        <is>
          <t> </t>
        </is>
      </c>
      <c r="B293" s="319" t="inlineStr">
        <is>
          <t> </t>
        </is>
      </c>
      <c r="C293" s="319" t="inlineStr">
        <is>
          <t> </t>
        </is>
      </c>
      <c r="D293" s="38" t="inlineStr">
        <is>
          <t> </t>
        </is>
      </c>
      <c r="E293" s="391" t="inlineStr">
        <is>
          <t> </t>
        </is>
      </c>
      <c r="F293" s="391" t="inlineStr">
        <is>
          <t> </t>
        </is>
      </c>
      <c r="G293" s="391" t="inlineStr">
        <is>
          <t> </t>
        </is>
      </c>
      <c r="H293" s="391" t="inlineStr">
        <is>
          <t> </t>
        </is>
      </c>
      <c r="I293" s="391" t="inlineStr">
        <is>
          <t> </t>
        </is>
      </c>
      <c r="J293" s="391" t="inlineStr">
        <is>
          <t> </t>
        </is>
      </c>
      <c r="K293" s="38" t="inlineStr">
        <is>
          <t> </t>
        </is>
      </c>
      <c r="L293" s="391" t="inlineStr">
        <is>
          <t> </t>
        </is>
      </c>
      <c r="M293" s="391" t="inlineStr">
        <is>
          <t> </t>
        </is>
      </c>
      <c r="N293" s="391" t="inlineStr">
        <is>
          <t> </t>
        </is>
      </c>
      <c r="O293" s="391" t="inlineStr">
        <is>
          <t> </t>
        </is>
      </c>
      <c r="P293" s="391" t="inlineStr">
        <is>
          <t> </t>
        </is>
      </c>
      <c r="Q293" s="391" t="inlineStr">
        <is>
          <t> </t>
        </is>
      </c>
      <c r="R293" s="38" t="inlineStr">
        <is>
          <t> </t>
        </is>
      </c>
      <c r="S293" s="391" t="inlineStr">
        <is>
          <t> </t>
        </is>
      </c>
      <c r="T293" s="391" t="inlineStr">
        <is>
          <t> </t>
        </is>
      </c>
      <c r="U293" s="391" t="inlineStr">
        <is>
          <t> </t>
        </is>
      </c>
      <c r="V293" s="391" t="inlineStr">
        <is>
          <t> </t>
        </is>
      </c>
      <c r="W293" s="391" t="inlineStr">
        <is>
          <t> </t>
        </is>
      </c>
      <c r="X293" s="391" t="inlineStr">
        <is>
          <t> </t>
        </is>
      </c>
      <c r="Y293" s="392" t="inlineStr">
        <is>
          <t> </t>
        </is>
      </c>
      <c r="Z293" s="391" t="inlineStr">
        <is>
          <t> </t>
        </is>
      </c>
      <c r="AA293" s="391" t="inlineStr">
        <is>
          <t> </t>
        </is>
      </c>
      <c r="AB293" s="391" t="inlineStr">
        <is>
          <t> </t>
        </is>
      </c>
      <c r="AC293" s="391" t="inlineStr">
        <is>
          <t> </t>
        </is>
      </c>
      <c r="AD293" s="391" t="inlineStr">
        <is>
          <t> </t>
        </is>
      </c>
      <c r="AE293" s="391" t="inlineStr">
        <is>
          <t> </t>
        </is>
      </c>
      <c r="AF293" s="38" t="inlineStr">
        <is>
          <t> </t>
        </is>
      </c>
      <c r="AG293" s="391" t="inlineStr">
        <is>
          <t> </t>
        </is>
      </c>
      <c r="AH293" s="391" t="n"/>
      <c r="AI293" s="391" t="inlineStr">
        <is>
          <t> </t>
        </is>
      </c>
      <c r="AJ293" s="391" t="inlineStr">
        <is>
          <t> </t>
        </is>
      </c>
      <c r="AK293" s="391" t="inlineStr">
        <is>
          <t> </t>
        </is>
      </c>
      <c r="AL293" s="391" t="inlineStr">
        <is>
          <t> </t>
        </is>
      </c>
      <c r="AM293" s="391" t="inlineStr">
        <is>
          <t> </t>
        </is>
      </c>
      <c r="AN293" s="391" t="inlineStr">
        <is>
          <t> </t>
        </is>
      </c>
      <c r="AO293" s="391" t="n"/>
      <c r="AP293" s="319" t="n"/>
      <c r="AQ293" s="319" t="n"/>
      <c r="AR293" s="319" t="n"/>
    </row>
    <row r="294" ht="15.75" customHeight="1" s="1264">
      <c r="A294" s="319" t="inlineStr">
        <is>
          <t> </t>
        </is>
      </c>
      <c r="B294" s="319" t="inlineStr">
        <is>
          <t> </t>
        </is>
      </c>
      <c r="C294" s="319" t="inlineStr">
        <is>
          <t> </t>
        </is>
      </c>
      <c r="D294" s="38" t="inlineStr">
        <is>
          <t> </t>
        </is>
      </c>
      <c r="E294" s="391" t="inlineStr">
        <is>
          <t> </t>
        </is>
      </c>
      <c r="F294" s="391" t="inlineStr">
        <is>
          <t> </t>
        </is>
      </c>
      <c r="G294" s="391" t="inlineStr">
        <is>
          <t> </t>
        </is>
      </c>
      <c r="H294" s="391" t="inlineStr">
        <is>
          <t> </t>
        </is>
      </c>
      <c r="I294" s="391" t="inlineStr">
        <is>
          <t> </t>
        </is>
      </c>
      <c r="J294" s="391" t="inlineStr">
        <is>
          <t> </t>
        </is>
      </c>
      <c r="K294" s="38" t="inlineStr">
        <is>
          <t> </t>
        </is>
      </c>
      <c r="L294" s="391" t="inlineStr">
        <is>
          <t> </t>
        </is>
      </c>
      <c r="M294" s="391" t="inlineStr">
        <is>
          <t> </t>
        </is>
      </c>
      <c r="N294" s="391" t="inlineStr">
        <is>
          <t> </t>
        </is>
      </c>
      <c r="O294" s="391" t="inlineStr">
        <is>
          <t> </t>
        </is>
      </c>
      <c r="P294" s="391" t="inlineStr">
        <is>
          <t> </t>
        </is>
      </c>
      <c r="Q294" s="391" t="inlineStr">
        <is>
          <t> </t>
        </is>
      </c>
      <c r="R294" s="38" t="inlineStr">
        <is>
          <t> </t>
        </is>
      </c>
      <c r="S294" s="391" t="inlineStr">
        <is>
          <t> </t>
        </is>
      </c>
      <c r="T294" s="391" t="inlineStr">
        <is>
          <t> </t>
        </is>
      </c>
      <c r="U294" s="391" t="inlineStr">
        <is>
          <t> </t>
        </is>
      </c>
      <c r="V294" s="391" t="inlineStr">
        <is>
          <t> </t>
        </is>
      </c>
      <c r="W294" s="391" t="inlineStr">
        <is>
          <t> </t>
        </is>
      </c>
      <c r="X294" s="391" t="inlineStr">
        <is>
          <t> </t>
        </is>
      </c>
      <c r="Y294" s="392" t="inlineStr">
        <is>
          <t> </t>
        </is>
      </c>
      <c r="Z294" s="391" t="inlineStr">
        <is>
          <t> </t>
        </is>
      </c>
      <c r="AA294" s="391" t="inlineStr">
        <is>
          <t> </t>
        </is>
      </c>
      <c r="AB294" s="391" t="inlineStr">
        <is>
          <t> </t>
        </is>
      </c>
      <c r="AC294" s="391" t="inlineStr">
        <is>
          <t> </t>
        </is>
      </c>
      <c r="AD294" s="391" t="inlineStr">
        <is>
          <t> </t>
        </is>
      </c>
      <c r="AE294" s="391" t="inlineStr">
        <is>
          <t> </t>
        </is>
      </c>
      <c r="AF294" s="38" t="inlineStr">
        <is>
          <t> </t>
        </is>
      </c>
      <c r="AG294" s="391" t="inlineStr">
        <is>
          <t> </t>
        </is>
      </c>
      <c r="AH294" s="391" t="n"/>
      <c r="AI294" s="391" t="inlineStr">
        <is>
          <t> </t>
        </is>
      </c>
      <c r="AJ294" s="391" t="inlineStr">
        <is>
          <t> </t>
        </is>
      </c>
      <c r="AK294" s="391" t="inlineStr">
        <is>
          <t> </t>
        </is>
      </c>
      <c r="AL294" s="391" t="inlineStr">
        <is>
          <t> </t>
        </is>
      </c>
      <c r="AM294" s="391" t="inlineStr">
        <is>
          <t> </t>
        </is>
      </c>
      <c r="AN294" s="391" t="inlineStr">
        <is>
          <t> </t>
        </is>
      </c>
      <c r="AO294" s="391" t="n"/>
      <c r="AP294" s="319" t="n"/>
      <c r="AQ294" s="319" t="n"/>
      <c r="AR294" s="319" t="n"/>
    </row>
    <row r="295" ht="15.75" customHeight="1" s="1264">
      <c r="A295" s="319" t="inlineStr">
        <is>
          <t> </t>
        </is>
      </c>
      <c r="B295" s="319" t="inlineStr">
        <is>
          <t> </t>
        </is>
      </c>
      <c r="C295" s="319" t="inlineStr">
        <is>
          <t> </t>
        </is>
      </c>
      <c r="D295" s="38" t="inlineStr">
        <is>
          <t> </t>
        </is>
      </c>
      <c r="E295" s="391" t="inlineStr">
        <is>
          <t> </t>
        </is>
      </c>
      <c r="F295" s="391" t="inlineStr">
        <is>
          <t> </t>
        </is>
      </c>
      <c r="G295" s="391" t="inlineStr">
        <is>
          <t> </t>
        </is>
      </c>
      <c r="H295" s="391" t="inlineStr">
        <is>
          <t> </t>
        </is>
      </c>
      <c r="I295" s="391" t="inlineStr">
        <is>
          <t> </t>
        </is>
      </c>
      <c r="J295" s="391" t="inlineStr">
        <is>
          <t> </t>
        </is>
      </c>
      <c r="K295" s="38" t="inlineStr">
        <is>
          <t> </t>
        </is>
      </c>
      <c r="L295" s="391" t="inlineStr">
        <is>
          <t> </t>
        </is>
      </c>
      <c r="M295" s="391" t="inlineStr">
        <is>
          <t> </t>
        </is>
      </c>
      <c r="N295" s="391" t="inlineStr">
        <is>
          <t> </t>
        </is>
      </c>
      <c r="O295" s="391" t="inlineStr">
        <is>
          <t> </t>
        </is>
      </c>
      <c r="P295" s="391" t="inlineStr">
        <is>
          <t> </t>
        </is>
      </c>
      <c r="Q295" s="391" t="inlineStr">
        <is>
          <t> </t>
        </is>
      </c>
      <c r="R295" s="38" t="inlineStr">
        <is>
          <t> </t>
        </is>
      </c>
      <c r="S295" s="391" t="inlineStr">
        <is>
          <t> </t>
        </is>
      </c>
      <c r="T295" s="391" t="inlineStr">
        <is>
          <t> </t>
        </is>
      </c>
      <c r="U295" s="391" t="inlineStr">
        <is>
          <t> </t>
        </is>
      </c>
      <c r="V295" s="391" t="inlineStr">
        <is>
          <t> </t>
        </is>
      </c>
      <c r="W295" s="391" t="inlineStr">
        <is>
          <t> </t>
        </is>
      </c>
      <c r="X295" s="391" t="inlineStr">
        <is>
          <t> </t>
        </is>
      </c>
      <c r="Y295" s="392" t="inlineStr">
        <is>
          <t> </t>
        </is>
      </c>
      <c r="Z295" s="391" t="inlineStr">
        <is>
          <t> </t>
        </is>
      </c>
      <c r="AA295" s="391" t="inlineStr">
        <is>
          <t> </t>
        </is>
      </c>
      <c r="AB295" s="391" t="inlineStr">
        <is>
          <t> </t>
        </is>
      </c>
      <c r="AC295" s="391" t="inlineStr">
        <is>
          <t> </t>
        </is>
      </c>
      <c r="AD295" s="391" t="inlineStr">
        <is>
          <t> </t>
        </is>
      </c>
      <c r="AE295" s="391" t="inlineStr">
        <is>
          <t> </t>
        </is>
      </c>
      <c r="AF295" s="38" t="inlineStr">
        <is>
          <t> </t>
        </is>
      </c>
      <c r="AG295" s="391" t="inlineStr">
        <is>
          <t> </t>
        </is>
      </c>
      <c r="AH295" s="391" t="n"/>
      <c r="AI295" s="391" t="inlineStr">
        <is>
          <t> </t>
        </is>
      </c>
      <c r="AJ295" s="391" t="inlineStr">
        <is>
          <t> </t>
        </is>
      </c>
      <c r="AK295" s="391" t="inlineStr">
        <is>
          <t> </t>
        </is>
      </c>
      <c r="AL295" s="391" t="inlineStr">
        <is>
          <t> </t>
        </is>
      </c>
      <c r="AM295" s="391" t="inlineStr">
        <is>
          <t> </t>
        </is>
      </c>
      <c r="AN295" s="391" t="inlineStr">
        <is>
          <t> </t>
        </is>
      </c>
      <c r="AO295" s="391" t="n"/>
      <c r="AP295" s="319" t="n"/>
      <c r="AQ295" s="319" t="n"/>
      <c r="AR295" s="319" t="n"/>
    </row>
    <row r="296" ht="15.75" customHeight="1" s="1264">
      <c r="A296" s="319" t="inlineStr">
        <is>
          <t> </t>
        </is>
      </c>
      <c r="B296" s="319" t="inlineStr">
        <is>
          <t> </t>
        </is>
      </c>
      <c r="C296" s="319" t="inlineStr">
        <is>
          <t> </t>
        </is>
      </c>
      <c r="D296" s="38" t="inlineStr">
        <is>
          <t> </t>
        </is>
      </c>
      <c r="E296" s="391" t="inlineStr">
        <is>
          <t> </t>
        </is>
      </c>
      <c r="F296" s="391" t="inlineStr">
        <is>
          <t> </t>
        </is>
      </c>
      <c r="G296" s="391" t="inlineStr">
        <is>
          <t> </t>
        </is>
      </c>
      <c r="H296" s="391" t="inlineStr">
        <is>
          <t> </t>
        </is>
      </c>
      <c r="I296" s="391" t="inlineStr">
        <is>
          <t> </t>
        </is>
      </c>
      <c r="J296" s="391" t="inlineStr">
        <is>
          <t> </t>
        </is>
      </c>
      <c r="K296" s="38" t="inlineStr">
        <is>
          <t> </t>
        </is>
      </c>
      <c r="L296" s="391" t="inlineStr">
        <is>
          <t> </t>
        </is>
      </c>
      <c r="M296" s="391" t="inlineStr">
        <is>
          <t> </t>
        </is>
      </c>
      <c r="N296" s="391" t="inlineStr">
        <is>
          <t> </t>
        </is>
      </c>
      <c r="O296" s="391" t="inlineStr">
        <is>
          <t> </t>
        </is>
      </c>
      <c r="P296" s="391" t="inlineStr">
        <is>
          <t> </t>
        </is>
      </c>
      <c r="Q296" s="391" t="inlineStr">
        <is>
          <t> </t>
        </is>
      </c>
      <c r="R296" s="38" t="inlineStr">
        <is>
          <t> </t>
        </is>
      </c>
      <c r="S296" s="391" t="inlineStr">
        <is>
          <t> </t>
        </is>
      </c>
      <c r="T296" s="391" t="inlineStr">
        <is>
          <t> </t>
        </is>
      </c>
      <c r="U296" s="391" t="inlineStr">
        <is>
          <t> </t>
        </is>
      </c>
      <c r="V296" s="391" t="inlineStr">
        <is>
          <t> </t>
        </is>
      </c>
      <c r="W296" s="391" t="inlineStr">
        <is>
          <t> </t>
        </is>
      </c>
      <c r="X296" s="391" t="inlineStr">
        <is>
          <t> </t>
        </is>
      </c>
      <c r="Y296" s="392" t="inlineStr">
        <is>
          <t> </t>
        </is>
      </c>
      <c r="Z296" s="391" t="inlineStr">
        <is>
          <t> </t>
        </is>
      </c>
      <c r="AA296" s="391" t="inlineStr">
        <is>
          <t> </t>
        </is>
      </c>
      <c r="AB296" s="391" t="inlineStr">
        <is>
          <t> </t>
        </is>
      </c>
      <c r="AC296" s="391" t="inlineStr">
        <is>
          <t> </t>
        </is>
      </c>
      <c r="AD296" s="391" t="inlineStr">
        <is>
          <t> </t>
        </is>
      </c>
      <c r="AE296" s="391" t="inlineStr">
        <is>
          <t> </t>
        </is>
      </c>
      <c r="AF296" s="38" t="inlineStr">
        <is>
          <t> </t>
        </is>
      </c>
      <c r="AG296" s="391" t="inlineStr">
        <is>
          <t> </t>
        </is>
      </c>
      <c r="AH296" s="391" t="n"/>
      <c r="AI296" s="391" t="inlineStr">
        <is>
          <t> </t>
        </is>
      </c>
      <c r="AJ296" s="391" t="inlineStr">
        <is>
          <t> </t>
        </is>
      </c>
      <c r="AK296" s="391" t="inlineStr">
        <is>
          <t> </t>
        </is>
      </c>
      <c r="AL296" s="391" t="inlineStr">
        <is>
          <t> </t>
        </is>
      </c>
      <c r="AM296" s="391" t="inlineStr">
        <is>
          <t> </t>
        </is>
      </c>
      <c r="AN296" s="391" t="inlineStr">
        <is>
          <t> </t>
        </is>
      </c>
      <c r="AO296" s="391" t="n"/>
      <c r="AP296" s="319" t="n"/>
      <c r="AQ296" s="319" t="n"/>
      <c r="AR296" s="319" t="n"/>
    </row>
    <row r="297" ht="15.75" customHeight="1" s="1264">
      <c r="A297" s="319" t="inlineStr">
        <is>
          <t> </t>
        </is>
      </c>
      <c r="B297" s="319" t="inlineStr">
        <is>
          <t> </t>
        </is>
      </c>
      <c r="C297" s="319" t="inlineStr">
        <is>
          <t> </t>
        </is>
      </c>
      <c r="D297" s="38" t="inlineStr">
        <is>
          <t> </t>
        </is>
      </c>
      <c r="E297" s="391" t="inlineStr">
        <is>
          <t> </t>
        </is>
      </c>
      <c r="F297" s="391" t="inlineStr">
        <is>
          <t> </t>
        </is>
      </c>
      <c r="G297" s="391" t="inlineStr">
        <is>
          <t> </t>
        </is>
      </c>
      <c r="H297" s="391" t="inlineStr">
        <is>
          <t> </t>
        </is>
      </c>
      <c r="I297" s="391" t="inlineStr">
        <is>
          <t> </t>
        </is>
      </c>
      <c r="J297" s="391" t="inlineStr">
        <is>
          <t> </t>
        </is>
      </c>
      <c r="K297" s="38" t="inlineStr">
        <is>
          <t> </t>
        </is>
      </c>
      <c r="L297" s="391" t="inlineStr">
        <is>
          <t> </t>
        </is>
      </c>
      <c r="M297" s="391" t="inlineStr">
        <is>
          <t> </t>
        </is>
      </c>
      <c r="N297" s="391" t="inlineStr">
        <is>
          <t> </t>
        </is>
      </c>
      <c r="O297" s="391" t="inlineStr">
        <is>
          <t> </t>
        </is>
      </c>
      <c r="P297" s="391" t="inlineStr">
        <is>
          <t> </t>
        </is>
      </c>
      <c r="Q297" s="391" t="inlineStr">
        <is>
          <t> </t>
        </is>
      </c>
      <c r="R297" s="38" t="inlineStr">
        <is>
          <t> </t>
        </is>
      </c>
      <c r="S297" s="391" t="inlineStr">
        <is>
          <t> </t>
        </is>
      </c>
      <c r="T297" s="391" t="inlineStr">
        <is>
          <t> </t>
        </is>
      </c>
      <c r="U297" s="391" t="inlineStr">
        <is>
          <t> </t>
        </is>
      </c>
      <c r="V297" s="391" t="inlineStr">
        <is>
          <t> </t>
        </is>
      </c>
      <c r="W297" s="391" t="inlineStr">
        <is>
          <t> </t>
        </is>
      </c>
      <c r="X297" s="391" t="inlineStr">
        <is>
          <t> </t>
        </is>
      </c>
      <c r="Y297" s="392" t="inlineStr">
        <is>
          <t> </t>
        </is>
      </c>
      <c r="Z297" s="391" t="inlineStr">
        <is>
          <t> </t>
        </is>
      </c>
      <c r="AA297" s="391" t="inlineStr">
        <is>
          <t> </t>
        </is>
      </c>
      <c r="AB297" s="391" t="inlineStr">
        <is>
          <t> </t>
        </is>
      </c>
      <c r="AC297" s="391" t="inlineStr">
        <is>
          <t> </t>
        </is>
      </c>
      <c r="AD297" s="391" t="inlineStr">
        <is>
          <t> </t>
        </is>
      </c>
      <c r="AE297" s="391" t="inlineStr">
        <is>
          <t> </t>
        </is>
      </c>
      <c r="AF297" s="38" t="inlineStr">
        <is>
          <t> </t>
        </is>
      </c>
      <c r="AG297" s="391" t="inlineStr">
        <is>
          <t> </t>
        </is>
      </c>
      <c r="AH297" s="391" t="n"/>
      <c r="AI297" s="391" t="inlineStr">
        <is>
          <t> </t>
        </is>
      </c>
      <c r="AJ297" s="391" t="inlineStr">
        <is>
          <t> </t>
        </is>
      </c>
      <c r="AK297" s="391" t="inlineStr">
        <is>
          <t> </t>
        </is>
      </c>
      <c r="AL297" s="391" t="inlineStr">
        <is>
          <t> </t>
        </is>
      </c>
      <c r="AM297" s="391" t="inlineStr">
        <is>
          <t> </t>
        </is>
      </c>
      <c r="AN297" s="391" t="inlineStr">
        <is>
          <t> </t>
        </is>
      </c>
      <c r="AO297" s="391" t="n"/>
      <c r="AP297" s="319" t="n"/>
      <c r="AQ297" s="319" t="n"/>
      <c r="AR297" s="319" t="n"/>
    </row>
    <row r="298" ht="15.75" customHeight="1" s="1264">
      <c r="A298" s="319" t="inlineStr">
        <is>
          <t> </t>
        </is>
      </c>
      <c r="B298" s="319" t="inlineStr">
        <is>
          <t> </t>
        </is>
      </c>
      <c r="C298" s="319" t="inlineStr">
        <is>
          <t> </t>
        </is>
      </c>
      <c r="D298" s="38" t="inlineStr">
        <is>
          <t> </t>
        </is>
      </c>
      <c r="E298" s="391" t="inlineStr">
        <is>
          <t> </t>
        </is>
      </c>
      <c r="F298" s="391" t="inlineStr">
        <is>
          <t> </t>
        </is>
      </c>
      <c r="G298" s="391" t="inlineStr">
        <is>
          <t> </t>
        </is>
      </c>
      <c r="H298" s="391" t="inlineStr">
        <is>
          <t> </t>
        </is>
      </c>
      <c r="I298" s="391" t="inlineStr">
        <is>
          <t> </t>
        </is>
      </c>
      <c r="J298" s="391" t="inlineStr">
        <is>
          <t> </t>
        </is>
      </c>
      <c r="K298" s="38" t="inlineStr">
        <is>
          <t> </t>
        </is>
      </c>
      <c r="L298" s="391" t="inlineStr">
        <is>
          <t> </t>
        </is>
      </c>
      <c r="M298" s="391" t="inlineStr">
        <is>
          <t> </t>
        </is>
      </c>
      <c r="N298" s="391" t="inlineStr">
        <is>
          <t> </t>
        </is>
      </c>
      <c r="O298" s="391" t="inlineStr">
        <is>
          <t> </t>
        </is>
      </c>
      <c r="P298" s="391" t="inlineStr">
        <is>
          <t> </t>
        </is>
      </c>
      <c r="Q298" s="391" t="inlineStr">
        <is>
          <t> </t>
        </is>
      </c>
      <c r="R298" s="38" t="inlineStr">
        <is>
          <t> </t>
        </is>
      </c>
      <c r="S298" s="391" t="inlineStr">
        <is>
          <t> </t>
        </is>
      </c>
      <c r="T298" s="391" t="inlineStr">
        <is>
          <t> </t>
        </is>
      </c>
      <c r="U298" s="391" t="inlineStr">
        <is>
          <t> </t>
        </is>
      </c>
      <c r="V298" s="391" t="inlineStr">
        <is>
          <t> </t>
        </is>
      </c>
      <c r="W298" s="391" t="inlineStr">
        <is>
          <t> </t>
        </is>
      </c>
      <c r="X298" s="391" t="inlineStr">
        <is>
          <t> </t>
        </is>
      </c>
      <c r="Y298" s="392" t="inlineStr">
        <is>
          <t> </t>
        </is>
      </c>
      <c r="Z298" s="391" t="inlineStr">
        <is>
          <t> </t>
        </is>
      </c>
      <c r="AA298" s="391" t="inlineStr">
        <is>
          <t> </t>
        </is>
      </c>
      <c r="AB298" s="391" t="inlineStr">
        <is>
          <t> </t>
        </is>
      </c>
      <c r="AC298" s="391" t="inlineStr">
        <is>
          <t> </t>
        </is>
      </c>
      <c r="AD298" s="391" t="inlineStr">
        <is>
          <t> </t>
        </is>
      </c>
      <c r="AE298" s="391" t="inlineStr">
        <is>
          <t> </t>
        </is>
      </c>
      <c r="AF298" s="38" t="inlineStr">
        <is>
          <t> </t>
        </is>
      </c>
      <c r="AG298" s="391" t="inlineStr">
        <is>
          <t> </t>
        </is>
      </c>
      <c r="AH298" s="391" t="n"/>
      <c r="AI298" s="391" t="inlineStr">
        <is>
          <t> </t>
        </is>
      </c>
      <c r="AJ298" s="391" t="inlineStr">
        <is>
          <t> </t>
        </is>
      </c>
      <c r="AK298" s="391" t="inlineStr">
        <is>
          <t> </t>
        </is>
      </c>
      <c r="AL298" s="391" t="inlineStr">
        <is>
          <t> </t>
        </is>
      </c>
      <c r="AM298" s="391" t="inlineStr">
        <is>
          <t> </t>
        </is>
      </c>
      <c r="AN298" s="391" t="inlineStr">
        <is>
          <t> </t>
        </is>
      </c>
      <c r="AO298" s="391" t="n"/>
      <c r="AP298" s="319" t="n"/>
      <c r="AQ298" s="319" t="n"/>
      <c r="AR298" s="319" t="n"/>
    </row>
    <row r="299" ht="15.75" customHeight="1" s="1264">
      <c r="A299" s="319" t="inlineStr">
        <is>
          <t> </t>
        </is>
      </c>
      <c r="B299" s="319" t="inlineStr">
        <is>
          <t> </t>
        </is>
      </c>
      <c r="C299" s="319" t="inlineStr">
        <is>
          <t> </t>
        </is>
      </c>
      <c r="D299" s="38" t="inlineStr">
        <is>
          <t> </t>
        </is>
      </c>
      <c r="E299" s="391" t="inlineStr">
        <is>
          <t> </t>
        </is>
      </c>
      <c r="F299" s="391" t="inlineStr">
        <is>
          <t> </t>
        </is>
      </c>
      <c r="G299" s="391" t="inlineStr">
        <is>
          <t> </t>
        </is>
      </c>
      <c r="H299" s="391" t="inlineStr">
        <is>
          <t> </t>
        </is>
      </c>
      <c r="I299" s="391" t="inlineStr">
        <is>
          <t> </t>
        </is>
      </c>
      <c r="J299" s="391" t="inlineStr">
        <is>
          <t> </t>
        </is>
      </c>
      <c r="K299" s="38" t="inlineStr">
        <is>
          <t> </t>
        </is>
      </c>
      <c r="L299" s="391" t="inlineStr">
        <is>
          <t> </t>
        </is>
      </c>
      <c r="M299" s="391" t="inlineStr">
        <is>
          <t> </t>
        </is>
      </c>
      <c r="N299" s="391" t="inlineStr">
        <is>
          <t> </t>
        </is>
      </c>
      <c r="O299" s="391" t="inlineStr">
        <is>
          <t> </t>
        </is>
      </c>
      <c r="P299" s="391" t="inlineStr">
        <is>
          <t> </t>
        </is>
      </c>
      <c r="Q299" s="391" t="inlineStr">
        <is>
          <t> </t>
        </is>
      </c>
      <c r="R299" s="38" t="inlineStr">
        <is>
          <t> </t>
        </is>
      </c>
      <c r="S299" s="391" t="inlineStr">
        <is>
          <t> </t>
        </is>
      </c>
      <c r="T299" s="391" t="inlineStr">
        <is>
          <t> </t>
        </is>
      </c>
      <c r="U299" s="391" t="inlineStr">
        <is>
          <t> </t>
        </is>
      </c>
      <c r="V299" s="391" t="inlineStr">
        <is>
          <t> </t>
        </is>
      </c>
      <c r="W299" s="391" t="inlineStr">
        <is>
          <t> </t>
        </is>
      </c>
      <c r="X299" s="391" t="inlineStr">
        <is>
          <t> </t>
        </is>
      </c>
      <c r="Y299" s="392" t="inlineStr">
        <is>
          <t> </t>
        </is>
      </c>
      <c r="Z299" s="391" t="inlineStr">
        <is>
          <t> </t>
        </is>
      </c>
      <c r="AA299" s="391" t="inlineStr">
        <is>
          <t> </t>
        </is>
      </c>
      <c r="AB299" s="391" t="inlineStr">
        <is>
          <t> </t>
        </is>
      </c>
      <c r="AC299" s="391" t="inlineStr">
        <is>
          <t> </t>
        </is>
      </c>
      <c r="AD299" s="391" t="inlineStr">
        <is>
          <t> </t>
        </is>
      </c>
      <c r="AE299" s="391" t="inlineStr">
        <is>
          <t> </t>
        </is>
      </c>
      <c r="AF299" s="38" t="inlineStr">
        <is>
          <t> </t>
        </is>
      </c>
      <c r="AG299" s="391" t="inlineStr">
        <is>
          <t> </t>
        </is>
      </c>
      <c r="AH299" s="391" t="n"/>
      <c r="AI299" s="391" t="inlineStr">
        <is>
          <t> </t>
        </is>
      </c>
      <c r="AJ299" s="391" t="inlineStr">
        <is>
          <t> </t>
        </is>
      </c>
      <c r="AK299" s="391" t="inlineStr">
        <is>
          <t> </t>
        </is>
      </c>
      <c r="AL299" s="391" t="inlineStr">
        <is>
          <t> </t>
        </is>
      </c>
      <c r="AM299" s="391" t="inlineStr">
        <is>
          <t> </t>
        </is>
      </c>
      <c r="AN299" s="391" t="inlineStr">
        <is>
          <t> </t>
        </is>
      </c>
      <c r="AO299" s="391" t="n"/>
      <c r="AP299" s="319" t="n"/>
      <c r="AQ299" s="319" t="n"/>
      <c r="AR299" s="319" t="n"/>
    </row>
    <row r="300" ht="15.75" customHeight="1" s="1264">
      <c r="A300" s="319" t="inlineStr">
        <is>
          <t> </t>
        </is>
      </c>
      <c r="B300" s="319" t="inlineStr">
        <is>
          <t> </t>
        </is>
      </c>
      <c r="C300" s="319" t="inlineStr">
        <is>
          <t> </t>
        </is>
      </c>
      <c r="D300" s="38" t="inlineStr">
        <is>
          <t> </t>
        </is>
      </c>
      <c r="E300" s="391" t="inlineStr">
        <is>
          <t> </t>
        </is>
      </c>
      <c r="F300" s="391" t="inlineStr">
        <is>
          <t> </t>
        </is>
      </c>
      <c r="G300" s="391" t="inlineStr">
        <is>
          <t> </t>
        </is>
      </c>
      <c r="H300" s="391" t="inlineStr">
        <is>
          <t> </t>
        </is>
      </c>
      <c r="I300" s="391" t="inlineStr">
        <is>
          <t> </t>
        </is>
      </c>
      <c r="J300" s="391" t="inlineStr">
        <is>
          <t> </t>
        </is>
      </c>
      <c r="K300" s="38" t="inlineStr">
        <is>
          <t> </t>
        </is>
      </c>
      <c r="L300" s="391" t="inlineStr">
        <is>
          <t> </t>
        </is>
      </c>
      <c r="M300" s="391" t="inlineStr">
        <is>
          <t> </t>
        </is>
      </c>
      <c r="N300" s="391" t="inlineStr">
        <is>
          <t> </t>
        </is>
      </c>
      <c r="O300" s="391" t="inlineStr">
        <is>
          <t> </t>
        </is>
      </c>
      <c r="P300" s="391" t="inlineStr">
        <is>
          <t> </t>
        </is>
      </c>
      <c r="Q300" s="391" t="inlineStr">
        <is>
          <t> </t>
        </is>
      </c>
      <c r="R300" s="38" t="inlineStr">
        <is>
          <t> </t>
        </is>
      </c>
      <c r="S300" s="391" t="inlineStr">
        <is>
          <t> </t>
        </is>
      </c>
      <c r="T300" s="391" t="inlineStr">
        <is>
          <t> </t>
        </is>
      </c>
      <c r="U300" s="391" t="inlineStr">
        <is>
          <t> </t>
        </is>
      </c>
      <c r="V300" s="391" t="inlineStr">
        <is>
          <t> </t>
        </is>
      </c>
      <c r="W300" s="391" t="inlineStr">
        <is>
          <t> </t>
        </is>
      </c>
      <c r="X300" s="391" t="inlineStr">
        <is>
          <t> </t>
        </is>
      </c>
      <c r="Y300" s="392" t="inlineStr">
        <is>
          <t> </t>
        </is>
      </c>
      <c r="Z300" s="391" t="inlineStr">
        <is>
          <t> </t>
        </is>
      </c>
      <c r="AA300" s="391" t="inlineStr">
        <is>
          <t> </t>
        </is>
      </c>
      <c r="AB300" s="391" t="inlineStr">
        <is>
          <t> </t>
        </is>
      </c>
      <c r="AC300" s="391" t="inlineStr">
        <is>
          <t> </t>
        </is>
      </c>
      <c r="AD300" s="391" t="inlineStr">
        <is>
          <t> </t>
        </is>
      </c>
      <c r="AE300" s="391" t="inlineStr">
        <is>
          <t> </t>
        </is>
      </c>
      <c r="AF300" s="38" t="inlineStr">
        <is>
          <t> </t>
        </is>
      </c>
      <c r="AG300" s="391" t="inlineStr">
        <is>
          <t> </t>
        </is>
      </c>
      <c r="AH300" s="391" t="n"/>
      <c r="AI300" s="391" t="inlineStr">
        <is>
          <t> </t>
        </is>
      </c>
      <c r="AJ300" s="391" t="inlineStr">
        <is>
          <t> </t>
        </is>
      </c>
      <c r="AK300" s="391" t="inlineStr">
        <is>
          <t> </t>
        </is>
      </c>
      <c r="AL300" s="391" t="inlineStr">
        <is>
          <t> </t>
        </is>
      </c>
      <c r="AM300" s="391" t="inlineStr">
        <is>
          <t> </t>
        </is>
      </c>
      <c r="AN300" s="391" t="inlineStr">
        <is>
          <t> </t>
        </is>
      </c>
      <c r="AO300" s="391" t="n"/>
      <c r="AP300" s="319" t="n"/>
      <c r="AQ300" s="319" t="n"/>
      <c r="AR300" s="319" t="n"/>
    </row>
    <row r="301" ht="15.75" customHeight="1" s="1264">
      <c r="A301" s="319" t="inlineStr">
        <is>
          <t> </t>
        </is>
      </c>
      <c r="B301" s="319" t="inlineStr">
        <is>
          <t> </t>
        </is>
      </c>
      <c r="C301" s="319" t="inlineStr">
        <is>
          <t> </t>
        </is>
      </c>
      <c r="D301" s="38" t="inlineStr">
        <is>
          <t> </t>
        </is>
      </c>
      <c r="E301" s="391" t="inlineStr">
        <is>
          <t> </t>
        </is>
      </c>
      <c r="F301" s="391" t="inlineStr">
        <is>
          <t> </t>
        </is>
      </c>
      <c r="G301" s="391" t="inlineStr">
        <is>
          <t> </t>
        </is>
      </c>
      <c r="H301" s="391" t="inlineStr">
        <is>
          <t> </t>
        </is>
      </c>
      <c r="I301" s="391" t="inlineStr">
        <is>
          <t> </t>
        </is>
      </c>
      <c r="J301" s="391" t="inlineStr">
        <is>
          <t> </t>
        </is>
      </c>
      <c r="K301" s="38" t="inlineStr">
        <is>
          <t> </t>
        </is>
      </c>
      <c r="L301" s="391" t="inlineStr">
        <is>
          <t> </t>
        </is>
      </c>
      <c r="M301" s="391" t="inlineStr">
        <is>
          <t> </t>
        </is>
      </c>
      <c r="N301" s="391" t="inlineStr">
        <is>
          <t> </t>
        </is>
      </c>
      <c r="O301" s="391" t="inlineStr">
        <is>
          <t> </t>
        </is>
      </c>
      <c r="P301" s="391" t="inlineStr">
        <is>
          <t> </t>
        </is>
      </c>
      <c r="Q301" s="391" t="inlineStr">
        <is>
          <t> </t>
        </is>
      </c>
      <c r="R301" s="38" t="inlineStr">
        <is>
          <t> </t>
        </is>
      </c>
      <c r="S301" s="391" t="inlineStr">
        <is>
          <t> </t>
        </is>
      </c>
      <c r="T301" s="391" t="inlineStr">
        <is>
          <t> </t>
        </is>
      </c>
      <c r="U301" s="391" t="inlineStr">
        <is>
          <t> </t>
        </is>
      </c>
      <c r="V301" s="391" t="inlineStr">
        <is>
          <t> </t>
        </is>
      </c>
      <c r="W301" s="391" t="inlineStr">
        <is>
          <t> </t>
        </is>
      </c>
      <c r="X301" s="391" t="inlineStr">
        <is>
          <t> </t>
        </is>
      </c>
      <c r="Y301" s="392" t="inlineStr">
        <is>
          <t> </t>
        </is>
      </c>
      <c r="Z301" s="391" t="inlineStr">
        <is>
          <t> </t>
        </is>
      </c>
      <c r="AA301" s="391" t="inlineStr">
        <is>
          <t> </t>
        </is>
      </c>
      <c r="AB301" s="391" t="inlineStr">
        <is>
          <t> </t>
        </is>
      </c>
      <c r="AC301" s="391" t="inlineStr">
        <is>
          <t> </t>
        </is>
      </c>
      <c r="AD301" s="391" t="inlineStr">
        <is>
          <t> </t>
        </is>
      </c>
      <c r="AE301" s="391" t="inlineStr">
        <is>
          <t> </t>
        </is>
      </c>
      <c r="AF301" s="38" t="inlineStr">
        <is>
          <t> </t>
        </is>
      </c>
      <c r="AG301" s="391" t="inlineStr">
        <is>
          <t> </t>
        </is>
      </c>
      <c r="AH301" s="391" t="n"/>
      <c r="AI301" s="391" t="inlineStr">
        <is>
          <t> </t>
        </is>
      </c>
      <c r="AJ301" s="391" t="inlineStr">
        <is>
          <t> </t>
        </is>
      </c>
      <c r="AK301" s="391" t="inlineStr">
        <is>
          <t> </t>
        </is>
      </c>
      <c r="AL301" s="391" t="inlineStr">
        <is>
          <t> </t>
        </is>
      </c>
      <c r="AM301" s="391" t="inlineStr">
        <is>
          <t> </t>
        </is>
      </c>
      <c r="AN301" s="391" t="inlineStr">
        <is>
          <t> </t>
        </is>
      </c>
      <c r="AO301" s="391" t="n"/>
      <c r="AP301" s="319" t="n"/>
      <c r="AQ301" s="319" t="n"/>
      <c r="AR301" s="319" t="n"/>
    </row>
    <row r="302" ht="15.75" customHeight="1" s="1264">
      <c r="A302" s="319" t="inlineStr">
        <is>
          <t> </t>
        </is>
      </c>
      <c r="B302" s="319" t="inlineStr">
        <is>
          <t> </t>
        </is>
      </c>
      <c r="C302" s="319" t="inlineStr">
        <is>
          <t> </t>
        </is>
      </c>
      <c r="D302" s="38" t="inlineStr">
        <is>
          <t> </t>
        </is>
      </c>
      <c r="E302" s="391" t="inlineStr">
        <is>
          <t> </t>
        </is>
      </c>
      <c r="F302" s="391" t="inlineStr">
        <is>
          <t> </t>
        </is>
      </c>
      <c r="G302" s="391" t="inlineStr">
        <is>
          <t> </t>
        </is>
      </c>
      <c r="H302" s="391" t="inlineStr">
        <is>
          <t> </t>
        </is>
      </c>
      <c r="I302" s="391" t="inlineStr">
        <is>
          <t> </t>
        </is>
      </c>
      <c r="J302" s="391" t="inlineStr">
        <is>
          <t> </t>
        </is>
      </c>
      <c r="K302" s="38" t="inlineStr">
        <is>
          <t> </t>
        </is>
      </c>
      <c r="L302" s="391" t="inlineStr">
        <is>
          <t> </t>
        </is>
      </c>
      <c r="M302" s="391" t="inlineStr">
        <is>
          <t> </t>
        </is>
      </c>
      <c r="N302" s="391" t="inlineStr">
        <is>
          <t> </t>
        </is>
      </c>
      <c r="O302" s="391" t="inlineStr">
        <is>
          <t> </t>
        </is>
      </c>
      <c r="P302" s="391" t="inlineStr">
        <is>
          <t> </t>
        </is>
      </c>
      <c r="Q302" s="391" t="inlineStr">
        <is>
          <t> </t>
        </is>
      </c>
      <c r="R302" s="38" t="inlineStr">
        <is>
          <t> </t>
        </is>
      </c>
      <c r="S302" s="391" t="inlineStr">
        <is>
          <t> </t>
        </is>
      </c>
      <c r="T302" s="391" t="inlineStr">
        <is>
          <t> </t>
        </is>
      </c>
      <c r="U302" s="391" t="inlineStr">
        <is>
          <t> </t>
        </is>
      </c>
      <c r="V302" s="391" t="inlineStr">
        <is>
          <t> </t>
        </is>
      </c>
      <c r="W302" s="391" t="inlineStr">
        <is>
          <t> </t>
        </is>
      </c>
      <c r="X302" s="391" t="inlineStr">
        <is>
          <t> </t>
        </is>
      </c>
      <c r="Y302" s="392" t="inlineStr">
        <is>
          <t> </t>
        </is>
      </c>
      <c r="Z302" s="391" t="inlineStr">
        <is>
          <t> </t>
        </is>
      </c>
      <c r="AA302" s="391" t="inlineStr">
        <is>
          <t> </t>
        </is>
      </c>
      <c r="AB302" s="391" t="inlineStr">
        <is>
          <t> </t>
        </is>
      </c>
      <c r="AC302" s="391" t="inlineStr">
        <is>
          <t> </t>
        </is>
      </c>
      <c r="AD302" s="391" t="inlineStr">
        <is>
          <t> </t>
        </is>
      </c>
      <c r="AE302" s="391" t="inlineStr">
        <is>
          <t> </t>
        </is>
      </c>
      <c r="AF302" s="38" t="inlineStr">
        <is>
          <t> </t>
        </is>
      </c>
      <c r="AG302" s="391" t="inlineStr">
        <is>
          <t> </t>
        </is>
      </c>
      <c r="AH302" s="391" t="n"/>
      <c r="AI302" s="391" t="inlineStr">
        <is>
          <t> </t>
        </is>
      </c>
      <c r="AJ302" s="391" t="inlineStr">
        <is>
          <t> </t>
        </is>
      </c>
      <c r="AK302" s="391" t="inlineStr">
        <is>
          <t> </t>
        </is>
      </c>
      <c r="AL302" s="391" t="inlineStr">
        <is>
          <t> </t>
        </is>
      </c>
      <c r="AM302" s="391" t="inlineStr">
        <is>
          <t> </t>
        </is>
      </c>
      <c r="AN302" s="391" t="inlineStr">
        <is>
          <t> </t>
        </is>
      </c>
      <c r="AO302" s="391" t="n"/>
      <c r="AP302" s="319" t="n"/>
      <c r="AQ302" s="319" t="n"/>
      <c r="AR302" s="319" t="n"/>
    </row>
    <row r="303" ht="15.75" customHeight="1" s="1264">
      <c r="A303" s="319" t="inlineStr">
        <is>
          <t> </t>
        </is>
      </c>
      <c r="B303" s="319" t="inlineStr">
        <is>
          <t> </t>
        </is>
      </c>
      <c r="C303" s="319" t="inlineStr">
        <is>
          <t> </t>
        </is>
      </c>
      <c r="D303" s="38" t="inlineStr">
        <is>
          <t> </t>
        </is>
      </c>
      <c r="E303" s="391" t="inlineStr">
        <is>
          <t> </t>
        </is>
      </c>
      <c r="F303" s="391" t="inlineStr">
        <is>
          <t> </t>
        </is>
      </c>
      <c r="G303" s="391" t="inlineStr">
        <is>
          <t> </t>
        </is>
      </c>
      <c r="H303" s="391" t="inlineStr">
        <is>
          <t> </t>
        </is>
      </c>
      <c r="I303" s="391" t="inlineStr">
        <is>
          <t> </t>
        </is>
      </c>
      <c r="J303" s="391" t="inlineStr">
        <is>
          <t> </t>
        </is>
      </c>
      <c r="K303" s="38" t="inlineStr">
        <is>
          <t> </t>
        </is>
      </c>
      <c r="L303" s="391" t="inlineStr">
        <is>
          <t> </t>
        </is>
      </c>
      <c r="M303" s="391" t="inlineStr">
        <is>
          <t> </t>
        </is>
      </c>
      <c r="N303" s="391" t="inlineStr">
        <is>
          <t> </t>
        </is>
      </c>
      <c r="O303" s="391" t="inlineStr">
        <is>
          <t> </t>
        </is>
      </c>
      <c r="P303" s="391" t="inlineStr">
        <is>
          <t> </t>
        </is>
      </c>
      <c r="Q303" s="391" t="inlineStr">
        <is>
          <t> </t>
        </is>
      </c>
      <c r="R303" s="38" t="inlineStr">
        <is>
          <t> </t>
        </is>
      </c>
      <c r="S303" s="391" t="inlineStr">
        <is>
          <t> </t>
        </is>
      </c>
      <c r="T303" s="391" t="inlineStr">
        <is>
          <t> </t>
        </is>
      </c>
      <c r="U303" s="391" t="inlineStr">
        <is>
          <t> </t>
        </is>
      </c>
      <c r="V303" s="391" t="inlineStr">
        <is>
          <t> </t>
        </is>
      </c>
      <c r="W303" s="391" t="inlineStr">
        <is>
          <t> </t>
        </is>
      </c>
      <c r="X303" s="391" t="inlineStr">
        <is>
          <t> </t>
        </is>
      </c>
      <c r="Y303" s="392" t="inlineStr">
        <is>
          <t> </t>
        </is>
      </c>
      <c r="Z303" s="391" t="inlineStr">
        <is>
          <t> </t>
        </is>
      </c>
      <c r="AA303" s="391" t="inlineStr">
        <is>
          <t> </t>
        </is>
      </c>
      <c r="AB303" s="391" t="inlineStr">
        <is>
          <t> </t>
        </is>
      </c>
      <c r="AC303" s="391" t="inlineStr">
        <is>
          <t> </t>
        </is>
      </c>
      <c r="AD303" s="391" t="inlineStr">
        <is>
          <t> </t>
        </is>
      </c>
      <c r="AE303" s="391" t="inlineStr">
        <is>
          <t> </t>
        </is>
      </c>
      <c r="AF303" s="38" t="inlineStr">
        <is>
          <t> </t>
        </is>
      </c>
      <c r="AG303" s="391" t="inlineStr">
        <is>
          <t> </t>
        </is>
      </c>
      <c r="AH303" s="391" t="n"/>
      <c r="AI303" s="391" t="inlineStr">
        <is>
          <t> </t>
        </is>
      </c>
      <c r="AJ303" s="391" t="inlineStr">
        <is>
          <t> </t>
        </is>
      </c>
      <c r="AK303" s="391" t="inlineStr">
        <is>
          <t> </t>
        </is>
      </c>
      <c r="AL303" s="391" t="inlineStr">
        <is>
          <t> </t>
        </is>
      </c>
      <c r="AM303" s="391" t="inlineStr">
        <is>
          <t> </t>
        </is>
      </c>
      <c r="AN303" s="391" t="inlineStr">
        <is>
          <t> </t>
        </is>
      </c>
      <c r="AO303" s="391" t="n"/>
      <c r="AP303" s="319" t="n"/>
      <c r="AQ303" s="319" t="n"/>
      <c r="AR303" s="319" t="n"/>
    </row>
    <row r="304" ht="15.75" customHeight="1" s="1264">
      <c r="A304" s="319" t="inlineStr">
        <is>
          <t> </t>
        </is>
      </c>
      <c r="B304" s="319" t="inlineStr">
        <is>
          <t> </t>
        </is>
      </c>
      <c r="C304" s="319" t="inlineStr">
        <is>
          <t> </t>
        </is>
      </c>
      <c r="D304" s="38" t="inlineStr">
        <is>
          <t> </t>
        </is>
      </c>
      <c r="E304" s="391" t="inlineStr">
        <is>
          <t> </t>
        </is>
      </c>
      <c r="F304" s="391" t="inlineStr">
        <is>
          <t> </t>
        </is>
      </c>
      <c r="G304" s="391" t="inlineStr">
        <is>
          <t> </t>
        </is>
      </c>
      <c r="H304" s="391" t="inlineStr">
        <is>
          <t> </t>
        </is>
      </c>
      <c r="I304" s="391" t="inlineStr">
        <is>
          <t> </t>
        </is>
      </c>
      <c r="J304" s="391" t="inlineStr">
        <is>
          <t> </t>
        </is>
      </c>
      <c r="K304" s="38" t="inlineStr">
        <is>
          <t> </t>
        </is>
      </c>
      <c r="L304" s="391" t="inlineStr">
        <is>
          <t> </t>
        </is>
      </c>
      <c r="M304" s="391" t="inlineStr">
        <is>
          <t> </t>
        </is>
      </c>
      <c r="N304" s="391" t="inlineStr">
        <is>
          <t> </t>
        </is>
      </c>
      <c r="O304" s="391" t="inlineStr">
        <is>
          <t> </t>
        </is>
      </c>
      <c r="P304" s="391" t="inlineStr">
        <is>
          <t> </t>
        </is>
      </c>
      <c r="Q304" s="391" t="inlineStr">
        <is>
          <t> </t>
        </is>
      </c>
      <c r="R304" s="38" t="inlineStr">
        <is>
          <t> </t>
        </is>
      </c>
      <c r="S304" s="391" t="inlineStr">
        <is>
          <t> </t>
        </is>
      </c>
      <c r="T304" s="391" t="inlineStr">
        <is>
          <t> </t>
        </is>
      </c>
      <c r="U304" s="391" t="inlineStr">
        <is>
          <t> </t>
        </is>
      </c>
      <c r="V304" s="391" t="inlineStr">
        <is>
          <t> </t>
        </is>
      </c>
      <c r="W304" s="391" t="inlineStr">
        <is>
          <t> </t>
        </is>
      </c>
      <c r="X304" s="391" t="inlineStr">
        <is>
          <t> </t>
        </is>
      </c>
      <c r="Y304" s="392" t="inlineStr">
        <is>
          <t> </t>
        </is>
      </c>
      <c r="Z304" s="391" t="inlineStr">
        <is>
          <t> </t>
        </is>
      </c>
      <c r="AA304" s="391" t="inlineStr">
        <is>
          <t> </t>
        </is>
      </c>
      <c r="AB304" s="391" t="inlineStr">
        <is>
          <t> </t>
        </is>
      </c>
      <c r="AC304" s="391" t="inlineStr">
        <is>
          <t> </t>
        </is>
      </c>
      <c r="AD304" s="391" t="inlineStr">
        <is>
          <t> </t>
        </is>
      </c>
      <c r="AE304" s="391" t="inlineStr">
        <is>
          <t> </t>
        </is>
      </c>
      <c r="AF304" s="38" t="inlineStr">
        <is>
          <t> </t>
        </is>
      </c>
      <c r="AG304" s="391" t="inlineStr">
        <is>
          <t> </t>
        </is>
      </c>
      <c r="AH304" s="391" t="n"/>
      <c r="AI304" s="391" t="inlineStr">
        <is>
          <t> </t>
        </is>
      </c>
      <c r="AJ304" s="391" t="inlineStr">
        <is>
          <t> </t>
        </is>
      </c>
      <c r="AK304" s="391" t="inlineStr">
        <is>
          <t> </t>
        </is>
      </c>
      <c r="AL304" s="391" t="inlineStr">
        <is>
          <t> </t>
        </is>
      </c>
      <c r="AM304" s="391" t="inlineStr">
        <is>
          <t> </t>
        </is>
      </c>
      <c r="AN304" s="391" t="inlineStr">
        <is>
          <t> </t>
        </is>
      </c>
      <c r="AO304" s="391" t="n"/>
      <c r="AP304" s="319" t="n"/>
      <c r="AQ304" s="319" t="n"/>
      <c r="AR304" s="319" t="n"/>
    </row>
    <row r="305" ht="15.75" customHeight="1" s="1264">
      <c r="A305" s="319" t="inlineStr">
        <is>
          <t> </t>
        </is>
      </c>
      <c r="B305" s="319" t="inlineStr">
        <is>
          <t> </t>
        </is>
      </c>
      <c r="C305" s="319" t="inlineStr">
        <is>
          <t> </t>
        </is>
      </c>
      <c r="D305" s="38" t="inlineStr">
        <is>
          <t> </t>
        </is>
      </c>
      <c r="E305" s="391" t="inlineStr">
        <is>
          <t> </t>
        </is>
      </c>
      <c r="F305" s="391" t="inlineStr">
        <is>
          <t> </t>
        </is>
      </c>
      <c r="G305" s="391" t="inlineStr">
        <is>
          <t> </t>
        </is>
      </c>
      <c r="H305" s="391" t="inlineStr">
        <is>
          <t> </t>
        </is>
      </c>
      <c r="I305" s="391" t="inlineStr">
        <is>
          <t> </t>
        </is>
      </c>
      <c r="J305" s="391" t="inlineStr">
        <is>
          <t> </t>
        </is>
      </c>
      <c r="K305" s="38" t="inlineStr">
        <is>
          <t> </t>
        </is>
      </c>
      <c r="L305" s="391" t="inlineStr">
        <is>
          <t> </t>
        </is>
      </c>
      <c r="M305" s="391" t="inlineStr">
        <is>
          <t> </t>
        </is>
      </c>
      <c r="N305" s="391" t="inlineStr">
        <is>
          <t> </t>
        </is>
      </c>
      <c r="O305" s="391" t="inlineStr">
        <is>
          <t> </t>
        </is>
      </c>
      <c r="P305" s="391" t="inlineStr">
        <is>
          <t> </t>
        </is>
      </c>
      <c r="Q305" s="391" t="inlineStr">
        <is>
          <t> </t>
        </is>
      </c>
      <c r="R305" s="38" t="inlineStr">
        <is>
          <t> </t>
        </is>
      </c>
      <c r="S305" s="391" t="inlineStr">
        <is>
          <t> </t>
        </is>
      </c>
      <c r="T305" s="391" t="inlineStr">
        <is>
          <t> </t>
        </is>
      </c>
      <c r="U305" s="391" t="inlineStr">
        <is>
          <t> </t>
        </is>
      </c>
      <c r="V305" s="391" t="inlineStr">
        <is>
          <t> </t>
        </is>
      </c>
      <c r="W305" s="391" t="inlineStr">
        <is>
          <t> </t>
        </is>
      </c>
      <c r="X305" s="391" t="inlineStr">
        <is>
          <t> </t>
        </is>
      </c>
      <c r="Y305" s="392" t="inlineStr">
        <is>
          <t> </t>
        </is>
      </c>
      <c r="Z305" s="391" t="inlineStr">
        <is>
          <t> </t>
        </is>
      </c>
      <c r="AA305" s="391" t="inlineStr">
        <is>
          <t> </t>
        </is>
      </c>
      <c r="AB305" s="391" t="inlineStr">
        <is>
          <t> </t>
        </is>
      </c>
      <c r="AC305" s="391" t="inlineStr">
        <is>
          <t> </t>
        </is>
      </c>
      <c r="AD305" s="391" t="inlineStr">
        <is>
          <t> </t>
        </is>
      </c>
      <c r="AE305" s="391" t="inlineStr">
        <is>
          <t> </t>
        </is>
      </c>
      <c r="AF305" s="38" t="inlineStr">
        <is>
          <t> </t>
        </is>
      </c>
      <c r="AG305" s="391" t="inlineStr">
        <is>
          <t> </t>
        </is>
      </c>
      <c r="AH305" s="391" t="n"/>
      <c r="AI305" s="391" t="inlineStr">
        <is>
          <t> </t>
        </is>
      </c>
      <c r="AJ305" s="391" t="inlineStr">
        <is>
          <t> </t>
        </is>
      </c>
      <c r="AK305" s="391" t="inlineStr">
        <is>
          <t> </t>
        </is>
      </c>
      <c r="AL305" s="391" t="inlineStr">
        <is>
          <t> </t>
        </is>
      </c>
      <c r="AM305" s="391" t="inlineStr">
        <is>
          <t> </t>
        </is>
      </c>
      <c r="AN305" s="391" t="inlineStr">
        <is>
          <t> </t>
        </is>
      </c>
      <c r="AO305" s="391" t="n"/>
      <c r="AP305" s="319" t="n"/>
      <c r="AQ305" s="319" t="n"/>
      <c r="AR305" s="319" t="n"/>
    </row>
    <row r="306" ht="15.75" customHeight="1" s="1264">
      <c r="A306" s="319" t="inlineStr">
        <is>
          <t> </t>
        </is>
      </c>
      <c r="B306" s="319" t="inlineStr">
        <is>
          <t> </t>
        </is>
      </c>
      <c r="C306" s="319" t="inlineStr">
        <is>
          <t> </t>
        </is>
      </c>
      <c r="D306" s="38" t="inlineStr">
        <is>
          <t> </t>
        </is>
      </c>
      <c r="E306" s="391" t="inlineStr">
        <is>
          <t> </t>
        </is>
      </c>
      <c r="F306" s="391" t="inlineStr">
        <is>
          <t> </t>
        </is>
      </c>
      <c r="G306" s="391" t="inlineStr">
        <is>
          <t> </t>
        </is>
      </c>
      <c r="H306" s="391" t="inlineStr">
        <is>
          <t> </t>
        </is>
      </c>
      <c r="I306" s="391" t="inlineStr">
        <is>
          <t> </t>
        </is>
      </c>
      <c r="J306" s="391" t="inlineStr">
        <is>
          <t> </t>
        </is>
      </c>
      <c r="K306" s="38" t="inlineStr">
        <is>
          <t> </t>
        </is>
      </c>
      <c r="L306" s="391" t="inlineStr">
        <is>
          <t> </t>
        </is>
      </c>
      <c r="M306" s="391" t="inlineStr">
        <is>
          <t> </t>
        </is>
      </c>
      <c r="N306" s="391" t="inlineStr">
        <is>
          <t> </t>
        </is>
      </c>
      <c r="O306" s="391" t="inlineStr">
        <is>
          <t> </t>
        </is>
      </c>
      <c r="P306" s="391" t="inlineStr">
        <is>
          <t> </t>
        </is>
      </c>
      <c r="Q306" s="391" t="inlineStr">
        <is>
          <t> </t>
        </is>
      </c>
      <c r="R306" s="38" t="inlineStr">
        <is>
          <t> </t>
        </is>
      </c>
      <c r="S306" s="391" t="inlineStr">
        <is>
          <t> </t>
        </is>
      </c>
      <c r="T306" s="391" t="inlineStr">
        <is>
          <t> </t>
        </is>
      </c>
      <c r="U306" s="391" t="inlineStr">
        <is>
          <t> </t>
        </is>
      </c>
      <c r="V306" s="391" t="inlineStr">
        <is>
          <t> </t>
        </is>
      </c>
      <c r="W306" s="391" t="inlineStr">
        <is>
          <t> </t>
        </is>
      </c>
      <c r="X306" s="391" t="inlineStr">
        <is>
          <t> </t>
        </is>
      </c>
      <c r="Y306" s="392" t="inlineStr">
        <is>
          <t> </t>
        </is>
      </c>
      <c r="Z306" s="391" t="inlineStr">
        <is>
          <t> </t>
        </is>
      </c>
      <c r="AA306" s="391" t="inlineStr">
        <is>
          <t> </t>
        </is>
      </c>
      <c r="AB306" s="391" t="inlineStr">
        <is>
          <t> </t>
        </is>
      </c>
      <c r="AC306" s="391" t="inlineStr">
        <is>
          <t> </t>
        </is>
      </c>
      <c r="AD306" s="391" t="inlineStr">
        <is>
          <t> </t>
        </is>
      </c>
      <c r="AE306" s="391" t="inlineStr">
        <is>
          <t> </t>
        </is>
      </c>
      <c r="AF306" s="38" t="inlineStr">
        <is>
          <t> </t>
        </is>
      </c>
      <c r="AG306" s="391" t="inlineStr">
        <is>
          <t> </t>
        </is>
      </c>
      <c r="AH306" s="391" t="n"/>
      <c r="AI306" s="391" t="inlineStr">
        <is>
          <t> </t>
        </is>
      </c>
      <c r="AJ306" s="391" t="inlineStr">
        <is>
          <t> </t>
        </is>
      </c>
      <c r="AK306" s="391" t="inlineStr">
        <is>
          <t> </t>
        </is>
      </c>
      <c r="AL306" s="391" t="inlineStr">
        <is>
          <t> </t>
        </is>
      </c>
      <c r="AM306" s="391" t="inlineStr">
        <is>
          <t> </t>
        </is>
      </c>
      <c r="AN306" s="391" t="inlineStr">
        <is>
          <t> </t>
        </is>
      </c>
      <c r="AO306" s="391" t="n"/>
      <c r="AP306" s="319" t="n"/>
      <c r="AQ306" s="319" t="n"/>
      <c r="AR306" s="319" t="n"/>
    </row>
    <row r="307" ht="15.75" customHeight="1" s="1264">
      <c r="A307" s="319" t="inlineStr">
        <is>
          <t> </t>
        </is>
      </c>
      <c r="B307" s="319" t="inlineStr">
        <is>
          <t> </t>
        </is>
      </c>
      <c r="C307" s="319" t="inlineStr">
        <is>
          <t> </t>
        </is>
      </c>
      <c r="D307" s="38" t="inlineStr">
        <is>
          <t> </t>
        </is>
      </c>
      <c r="E307" s="391" t="inlineStr">
        <is>
          <t> </t>
        </is>
      </c>
      <c r="F307" s="391" t="inlineStr">
        <is>
          <t> </t>
        </is>
      </c>
      <c r="G307" s="391" t="inlineStr">
        <is>
          <t> </t>
        </is>
      </c>
      <c r="H307" s="391" t="inlineStr">
        <is>
          <t> </t>
        </is>
      </c>
      <c r="I307" s="391" t="inlineStr">
        <is>
          <t> </t>
        </is>
      </c>
      <c r="J307" s="391" t="inlineStr">
        <is>
          <t> </t>
        </is>
      </c>
      <c r="K307" s="38" t="inlineStr">
        <is>
          <t> </t>
        </is>
      </c>
      <c r="L307" s="391" t="inlineStr">
        <is>
          <t> </t>
        </is>
      </c>
      <c r="M307" s="391" t="inlineStr">
        <is>
          <t> </t>
        </is>
      </c>
      <c r="N307" s="391" t="inlineStr">
        <is>
          <t> </t>
        </is>
      </c>
      <c r="O307" s="391" t="inlineStr">
        <is>
          <t> </t>
        </is>
      </c>
      <c r="P307" s="391" t="inlineStr">
        <is>
          <t> </t>
        </is>
      </c>
      <c r="Q307" s="391" t="inlineStr">
        <is>
          <t> </t>
        </is>
      </c>
      <c r="R307" s="38" t="inlineStr">
        <is>
          <t> </t>
        </is>
      </c>
      <c r="S307" s="391" t="inlineStr">
        <is>
          <t> </t>
        </is>
      </c>
      <c r="T307" s="391" t="inlineStr">
        <is>
          <t> </t>
        </is>
      </c>
      <c r="U307" s="391" t="inlineStr">
        <is>
          <t> </t>
        </is>
      </c>
      <c r="V307" s="391" t="inlineStr">
        <is>
          <t> </t>
        </is>
      </c>
      <c r="W307" s="391" t="inlineStr">
        <is>
          <t> </t>
        </is>
      </c>
      <c r="X307" s="391" t="inlineStr">
        <is>
          <t> </t>
        </is>
      </c>
      <c r="Y307" s="392" t="inlineStr">
        <is>
          <t> </t>
        </is>
      </c>
      <c r="Z307" s="391" t="inlineStr">
        <is>
          <t> </t>
        </is>
      </c>
      <c r="AA307" s="391" t="inlineStr">
        <is>
          <t> </t>
        </is>
      </c>
      <c r="AB307" s="391" t="inlineStr">
        <is>
          <t> </t>
        </is>
      </c>
      <c r="AC307" s="391" t="inlineStr">
        <is>
          <t> </t>
        </is>
      </c>
      <c r="AD307" s="391" t="inlineStr">
        <is>
          <t> </t>
        </is>
      </c>
      <c r="AE307" s="391" t="inlineStr">
        <is>
          <t> </t>
        </is>
      </c>
      <c r="AF307" s="38" t="inlineStr">
        <is>
          <t> </t>
        </is>
      </c>
      <c r="AG307" s="391" t="inlineStr">
        <is>
          <t> </t>
        </is>
      </c>
      <c r="AH307" s="391" t="n"/>
      <c r="AI307" s="391" t="inlineStr">
        <is>
          <t> </t>
        </is>
      </c>
      <c r="AJ307" s="391" t="inlineStr">
        <is>
          <t> </t>
        </is>
      </c>
      <c r="AK307" s="391" t="inlineStr">
        <is>
          <t> </t>
        </is>
      </c>
      <c r="AL307" s="391" t="inlineStr">
        <is>
          <t> </t>
        </is>
      </c>
      <c r="AM307" s="391" t="inlineStr">
        <is>
          <t> </t>
        </is>
      </c>
      <c r="AN307" s="391" t="inlineStr">
        <is>
          <t> </t>
        </is>
      </c>
      <c r="AO307" s="391" t="n"/>
      <c r="AP307" s="319" t="n"/>
      <c r="AQ307" s="319" t="n"/>
      <c r="AR307" s="319" t="n"/>
    </row>
    <row r="308" ht="15.75" customHeight="1" s="1264">
      <c r="A308" s="319" t="inlineStr">
        <is>
          <t> </t>
        </is>
      </c>
      <c r="B308" s="319" t="inlineStr">
        <is>
          <t> </t>
        </is>
      </c>
      <c r="C308" s="319" t="inlineStr">
        <is>
          <t> </t>
        </is>
      </c>
      <c r="D308" s="38" t="inlineStr">
        <is>
          <t> </t>
        </is>
      </c>
      <c r="E308" s="391" t="inlineStr">
        <is>
          <t> </t>
        </is>
      </c>
      <c r="F308" s="391" t="inlineStr">
        <is>
          <t> </t>
        </is>
      </c>
      <c r="G308" s="391" t="inlineStr">
        <is>
          <t> </t>
        </is>
      </c>
      <c r="H308" s="391" t="inlineStr">
        <is>
          <t> </t>
        </is>
      </c>
      <c r="I308" s="391" t="inlineStr">
        <is>
          <t> </t>
        </is>
      </c>
      <c r="J308" s="391" t="inlineStr">
        <is>
          <t> </t>
        </is>
      </c>
      <c r="K308" s="38" t="inlineStr">
        <is>
          <t> </t>
        </is>
      </c>
      <c r="L308" s="391" t="inlineStr">
        <is>
          <t> </t>
        </is>
      </c>
      <c r="M308" s="391" t="inlineStr">
        <is>
          <t> </t>
        </is>
      </c>
      <c r="N308" s="391" t="inlineStr">
        <is>
          <t> </t>
        </is>
      </c>
      <c r="O308" s="391" t="inlineStr">
        <is>
          <t> </t>
        </is>
      </c>
      <c r="P308" s="391" t="inlineStr">
        <is>
          <t> </t>
        </is>
      </c>
      <c r="Q308" s="391" t="inlineStr">
        <is>
          <t> </t>
        </is>
      </c>
      <c r="R308" s="38" t="inlineStr">
        <is>
          <t> </t>
        </is>
      </c>
      <c r="S308" s="391" t="inlineStr">
        <is>
          <t> </t>
        </is>
      </c>
      <c r="T308" s="391" t="inlineStr">
        <is>
          <t> </t>
        </is>
      </c>
      <c r="U308" s="391" t="inlineStr">
        <is>
          <t> </t>
        </is>
      </c>
      <c r="V308" s="391" t="inlineStr">
        <is>
          <t> </t>
        </is>
      </c>
      <c r="W308" s="391" t="inlineStr">
        <is>
          <t> </t>
        </is>
      </c>
      <c r="X308" s="391" t="inlineStr">
        <is>
          <t> </t>
        </is>
      </c>
      <c r="Y308" s="392" t="inlineStr">
        <is>
          <t> </t>
        </is>
      </c>
      <c r="Z308" s="391" t="inlineStr">
        <is>
          <t> </t>
        </is>
      </c>
      <c r="AA308" s="391" t="inlineStr">
        <is>
          <t> </t>
        </is>
      </c>
      <c r="AB308" s="391" t="inlineStr">
        <is>
          <t> </t>
        </is>
      </c>
      <c r="AC308" s="391" t="inlineStr">
        <is>
          <t> </t>
        </is>
      </c>
      <c r="AD308" s="391" t="inlineStr">
        <is>
          <t> </t>
        </is>
      </c>
      <c r="AE308" s="391" t="inlineStr">
        <is>
          <t> </t>
        </is>
      </c>
      <c r="AF308" s="38" t="inlineStr">
        <is>
          <t> </t>
        </is>
      </c>
      <c r="AG308" s="391" t="inlineStr">
        <is>
          <t> </t>
        </is>
      </c>
      <c r="AH308" s="391" t="n"/>
      <c r="AI308" s="391" t="inlineStr">
        <is>
          <t> </t>
        </is>
      </c>
      <c r="AJ308" s="391" t="inlineStr">
        <is>
          <t> </t>
        </is>
      </c>
      <c r="AK308" s="391" t="inlineStr">
        <is>
          <t> </t>
        </is>
      </c>
      <c r="AL308" s="391" t="inlineStr">
        <is>
          <t> </t>
        </is>
      </c>
      <c r="AM308" s="391" t="inlineStr">
        <is>
          <t> </t>
        </is>
      </c>
      <c r="AN308" s="391" t="inlineStr">
        <is>
          <t> </t>
        </is>
      </c>
      <c r="AO308" s="391" t="n"/>
      <c r="AP308" s="319" t="n"/>
      <c r="AQ308" s="319" t="n"/>
      <c r="AR308" s="319" t="n"/>
    </row>
    <row r="309" ht="15.75" customHeight="1" s="1264">
      <c r="A309" s="319" t="inlineStr">
        <is>
          <t> </t>
        </is>
      </c>
      <c r="B309" s="319" t="inlineStr">
        <is>
          <t> </t>
        </is>
      </c>
      <c r="C309" s="319" t="inlineStr">
        <is>
          <t> </t>
        </is>
      </c>
      <c r="D309" s="38" t="inlineStr">
        <is>
          <t> </t>
        </is>
      </c>
      <c r="E309" s="391" t="inlineStr">
        <is>
          <t> </t>
        </is>
      </c>
      <c r="F309" s="391" t="inlineStr">
        <is>
          <t> </t>
        </is>
      </c>
      <c r="G309" s="391" t="inlineStr">
        <is>
          <t> </t>
        </is>
      </c>
      <c r="H309" s="391" t="inlineStr">
        <is>
          <t> </t>
        </is>
      </c>
      <c r="I309" s="391" t="inlineStr">
        <is>
          <t> </t>
        </is>
      </c>
      <c r="J309" s="391" t="inlineStr">
        <is>
          <t> </t>
        </is>
      </c>
      <c r="K309" s="38" t="inlineStr">
        <is>
          <t> </t>
        </is>
      </c>
      <c r="L309" s="391" t="inlineStr">
        <is>
          <t> </t>
        </is>
      </c>
      <c r="M309" s="391" t="inlineStr">
        <is>
          <t> </t>
        </is>
      </c>
      <c r="N309" s="391" t="inlineStr">
        <is>
          <t> </t>
        </is>
      </c>
      <c r="O309" s="391" t="inlineStr">
        <is>
          <t> </t>
        </is>
      </c>
      <c r="P309" s="391" t="inlineStr">
        <is>
          <t> </t>
        </is>
      </c>
      <c r="Q309" s="391" t="inlineStr">
        <is>
          <t> </t>
        </is>
      </c>
      <c r="R309" s="38" t="inlineStr">
        <is>
          <t> </t>
        </is>
      </c>
      <c r="S309" s="391" t="inlineStr">
        <is>
          <t> </t>
        </is>
      </c>
      <c r="T309" s="391" t="inlineStr">
        <is>
          <t> </t>
        </is>
      </c>
      <c r="U309" s="391" t="inlineStr">
        <is>
          <t> </t>
        </is>
      </c>
      <c r="V309" s="391" t="inlineStr">
        <is>
          <t> </t>
        </is>
      </c>
      <c r="W309" s="391" t="inlineStr">
        <is>
          <t> </t>
        </is>
      </c>
      <c r="X309" s="391" t="inlineStr">
        <is>
          <t> </t>
        </is>
      </c>
      <c r="Y309" s="392" t="inlineStr">
        <is>
          <t> </t>
        </is>
      </c>
      <c r="Z309" s="391" t="inlineStr">
        <is>
          <t> </t>
        </is>
      </c>
      <c r="AA309" s="391" t="inlineStr">
        <is>
          <t> </t>
        </is>
      </c>
      <c r="AB309" s="391" t="inlineStr">
        <is>
          <t> </t>
        </is>
      </c>
      <c r="AC309" s="391" t="inlineStr">
        <is>
          <t> </t>
        </is>
      </c>
      <c r="AD309" s="391" t="inlineStr">
        <is>
          <t> </t>
        </is>
      </c>
      <c r="AE309" s="391" t="inlineStr">
        <is>
          <t> </t>
        </is>
      </c>
      <c r="AF309" s="38" t="inlineStr">
        <is>
          <t> </t>
        </is>
      </c>
      <c r="AG309" s="391" t="inlineStr">
        <is>
          <t> </t>
        </is>
      </c>
      <c r="AH309" s="391" t="n"/>
      <c r="AI309" s="391" t="inlineStr">
        <is>
          <t> </t>
        </is>
      </c>
      <c r="AJ309" s="391" t="inlineStr">
        <is>
          <t> </t>
        </is>
      </c>
      <c r="AK309" s="391" t="inlineStr">
        <is>
          <t> </t>
        </is>
      </c>
      <c r="AL309" s="391" t="inlineStr">
        <is>
          <t> </t>
        </is>
      </c>
      <c r="AM309" s="391" t="inlineStr">
        <is>
          <t> </t>
        </is>
      </c>
      <c r="AN309" s="391" t="inlineStr">
        <is>
          <t> </t>
        </is>
      </c>
      <c r="AO309" s="391" t="n"/>
      <c r="AP309" s="319" t="n"/>
      <c r="AQ309" s="319" t="n"/>
      <c r="AR309" s="319" t="n"/>
    </row>
    <row r="310" ht="15.75" customHeight="1" s="1264">
      <c r="A310" s="319" t="inlineStr">
        <is>
          <t> </t>
        </is>
      </c>
      <c r="B310" s="319" t="inlineStr">
        <is>
          <t> </t>
        </is>
      </c>
      <c r="C310" s="319" t="inlineStr">
        <is>
          <t> </t>
        </is>
      </c>
      <c r="D310" s="38" t="inlineStr">
        <is>
          <t> </t>
        </is>
      </c>
      <c r="E310" s="391" t="inlineStr">
        <is>
          <t> </t>
        </is>
      </c>
      <c r="F310" s="391" t="inlineStr">
        <is>
          <t> </t>
        </is>
      </c>
      <c r="G310" s="391" t="inlineStr">
        <is>
          <t> </t>
        </is>
      </c>
      <c r="H310" s="391" t="inlineStr">
        <is>
          <t> </t>
        </is>
      </c>
      <c r="I310" s="391" t="inlineStr">
        <is>
          <t> </t>
        </is>
      </c>
      <c r="J310" s="391" t="inlineStr">
        <is>
          <t> </t>
        </is>
      </c>
      <c r="K310" s="38" t="inlineStr">
        <is>
          <t> </t>
        </is>
      </c>
      <c r="L310" s="391" t="inlineStr">
        <is>
          <t> </t>
        </is>
      </c>
      <c r="M310" s="391" t="inlineStr">
        <is>
          <t> </t>
        </is>
      </c>
      <c r="N310" s="391" t="inlineStr">
        <is>
          <t> </t>
        </is>
      </c>
      <c r="O310" s="391" t="inlineStr">
        <is>
          <t> </t>
        </is>
      </c>
      <c r="P310" s="391" t="inlineStr">
        <is>
          <t> </t>
        </is>
      </c>
      <c r="Q310" s="391" t="inlineStr">
        <is>
          <t> </t>
        </is>
      </c>
      <c r="R310" s="38" t="inlineStr">
        <is>
          <t> </t>
        </is>
      </c>
      <c r="S310" s="391" t="inlineStr">
        <is>
          <t> </t>
        </is>
      </c>
      <c r="T310" s="391" t="inlineStr">
        <is>
          <t> </t>
        </is>
      </c>
      <c r="U310" s="391" t="inlineStr">
        <is>
          <t> </t>
        </is>
      </c>
      <c r="V310" s="391" t="inlineStr">
        <is>
          <t> </t>
        </is>
      </c>
      <c r="W310" s="391" t="inlineStr">
        <is>
          <t> </t>
        </is>
      </c>
      <c r="X310" s="391" t="inlineStr">
        <is>
          <t> </t>
        </is>
      </c>
      <c r="Y310" s="392" t="inlineStr">
        <is>
          <t> </t>
        </is>
      </c>
      <c r="Z310" s="391" t="inlineStr">
        <is>
          <t> </t>
        </is>
      </c>
      <c r="AA310" s="391" t="inlineStr">
        <is>
          <t> </t>
        </is>
      </c>
      <c r="AB310" s="391" t="inlineStr">
        <is>
          <t> </t>
        </is>
      </c>
      <c r="AC310" s="391" t="inlineStr">
        <is>
          <t> </t>
        </is>
      </c>
      <c r="AD310" s="391" t="inlineStr">
        <is>
          <t> </t>
        </is>
      </c>
      <c r="AE310" s="391" t="inlineStr">
        <is>
          <t> </t>
        </is>
      </c>
      <c r="AF310" s="38" t="inlineStr">
        <is>
          <t> </t>
        </is>
      </c>
      <c r="AG310" s="391" t="inlineStr">
        <is>
          <t> </t>
        </is>
      </c>
      <c r="AH310" s="391" t="n"/>
      <c r="AI310" s="391" t="inlineStr">
        <is>
          <t> </t>
        </is>
      </c>
      <c r="AJ310" s="391" t="inlineStr">
        <is>
          <t> </t>
        </is>
      </c>
      <c r="AK310" s="391" t="inlineStr">
        <is>
          <t> </t>
        </is>
      </c>
      <c r="AL310" s="391" t="inlineStr">
        <is>
          <t> </t>
        </is>
      </c>
      <c r="AM310" s="391" t="inlineStr">
        <is>
          <t> </t>
        </is>
      </c>
      <c r="AN310" s="391" t="inlineStr">
        <is>
          <t> </t>
        </is>
      </c>
      <c r="AO310" s="391" t="n"/>
      <c r="AP310" s="319" t="n"/>
      <c r="AQ310" s="319" t="n"/>
      <c r="AR310" s="319" t="n"/>
    </row>
    <row r="311" ht="15.75" customHeight="1" s="1264">
      <c r="A311" s="319" t="inlineStr">
        <is>
          <t> </t>
        </is>
      </c>
      <c r="B311" s="319" t="inlineStr">
        <is>
          <t> </t>
        </is>
      </c>
      <c r="C311" s="319" t="inlineStr">
        <is>
          <t> </t>
        </is>
      </c>
      <c r="D311" s="38" t="inlineStr">
        <is>
          <t> </t>
        </is>
      </c>
      <c r="E311" s="391" t="inlineStr">
        <is>
          <t> </t>
        </is>
      </c>
      <c r="F311" s="391" t="inlineStr">
        <is>
          <t> </t>
        </is>
      </c>
      <c r="G311" s="391" t="inlineStr">
        <is>
          <t> </t>
        </is>
      </c>
      <c r="H311" s="391" t="inlineStr">
        <is>
          <t> </t>
        </is>
      </c>
      <c r="I311" s="391" t="inlineStr">
        <is>
          <t> </t>
        </is>
      </c>
      <c r="J311" s="391" t="inlineStr">
        <is>
          <t> </t>
        </is>
      </c>
      <c r="K311" s="38" t="inlineStr">
        <is>
          <t> </t>
        </is>
      </c>
      <c r="L311" s="391" t="inlineStr">
        <is>
          <t> </t>
        </is>
      </c>
      <c r="M311" s="391" t="inlineStr">
        <is>
          <t> </t>
        </is>
      </c>
      <c r="N311" s="391" t="inlineStr">
        <is>
          <t> </t>
        </is>
      </c>
      <c r="O311" s="391" t="inlineStr">
        <is>
          <t> </t>
        </is>
      </c>
      <c r="P311" s="391" t="inlineStr">
        <is>
          <t> </t>
        </is>
      </c>
      <c r="Q311" s="391" t="inlineStr">
        <is>
          <t> </t>
        </is>
      </c>
      <c r="R311" s="38" t="inlineStr">
        <is>
          <t> </t>
        </is>
      </c>
      <c r="S311" s="391" t="inlineStr">
        <is>
          <t> </t>
        </is>
      </c>
      <c r="T311" s="391" t="inlineStr">
        <is>
          <t> </t>
        </is>
      </c>
      <c r="U311" s="391" t="inlineStr">
        <is>
          <t> </t>
        </is>
      </c>
      <c r="V311" s="391" t="inlineStr">
        <is>
          <t> </t>
        </is>
      </c>
      <c r="W311" s="391" t="inlineStr">
        <is>
          <t> </t>
        </is>
      </c>
      <c r="X311" s="391" t="inlineStr">
        <is>
          <t> </t>
        </is>
      </c>
      <c r="Y311" s="392" t="inlineStr">
        <is>
          <t> </t>
        </is>
      </c>
      <c r="Z311" s="391" t="inlineStr">
        <is>
          <t> </t>
        </is>
      </c>
      <c r="AA311" s="391" t="inlineStr">
        <is>
          <t> </t>
        </is>
      </c>
      <c r="AB311" s="391" t="inlineStr">
        <is>
          <t> </t>
        </is>
      </c>
      <c r="AC311" s="391" t="inlineStr">
        <is>
          <t> </t>
        </is>
      </c>
      <c r="AD311" s="391" t="inlineStr">
        <is>
          <t> </t>
        </is>
      </c>
      <c r="AE311" s="391" t="inlineStr">
        <is>
          <t> </t>
        </is>
      </c>
      <c r="AF311" s="38" t="inlineStr">
        <is>
          <t> </t>
        </is>
      </c>
      <c r="AG311" s="391" t="inlineStr">
        <is>
          <t> </t>
        </is>
      </c>
      <c r="AH311" s="391" t="n"/>
      <c r="AI311" s="391" t="inlineStr">
        <is>
          <t> </t>
        </is>
      </c>
      <c r="AJ311" s="391" t="inlineStr">
        <is>
          <t> </t>
        </is>
      </c>
      <c r="AK311" s="391" t="inlineStr">
        <is>
          <t> </t>
        </is>
      </c>
      <c r="AL311" s="391" t="inlineStr">
        <is>
          <t> </t>
        </is>
      </c>
      <c r="AM311" s="391" t="inlineStr">
        <is>
          <t> </t>
        </is>
      </c>
      <c r="AN311" s="391" t="inlineStr">
        <is>
          <t> </t>
        </is>
      </c>
      <c r="AO311" s="391" t="n"/>
      <c r="AP311" s="319" t="n"/>
      <c r="AQ311" s="319" t="n"/>
      <c r="AR311" s="319" t="n"/>
    </row>
    <row r="312" ht="15.75" customHeight="1" s="1264">
      <c r="A312" s="319" t="inlineStr">
        <is>
          <t> </t>
        </is>
      </c>
      <c r="B312" s="319" t="inlineStr">
        <is>
          <t> </t>
        </is>
      </c>
      <c r="C312" s="319" t="inlineStr">
        <is>
          <t> </t>
        </is>
      </c>
      <c r="D312" s="38" t="inlineStr">
        <is>
          <t> </t>
        </is>
      </c>
      <c r="E312" s="391" t="inlineStr">
        <is>
          <t> </t>
        </is>
      </c>
      <c r="F312" s="391" t="inlineStr">
        <is>
          <t> </t>
        </is>
      </c>
      <c r="G312" s="391" t="inlineStr">
        <is>
          <t> </t>
        </is>
      </c>
      <c r="H312" s="391" t="inlineStr">
        <is>
          <t> </t>
        </is>
      </c>
      <c r="I312" s="391" t="inlineStr">
        <is>
          <t> </t>
        </is>
      </c>
      <c r="J312" s="391" t="inlineStr">
        <is>
          <t> </t>
        </is>
      </c>
      <c r="K312" s="38" t="inlineStr">
        <is>
          <t> </t>
        </is>
      </c>
      <c r="L312" s="391" t="inlineStr">
        <is>
          <t> </t>
        </is>
      </c>
      <c r="M312" s="391" t="inlineStr">
        <is>
          <t> </t>
        </is>
      </c>
      <c r="N312" s="391" t="inlineStr">
        <is>
          <t> </t>
        </is>
      </c>
      <c r="O312" s="391" t="inlineStr">
        <is>
          <t> </t>
        </is>
      </c>
      <c r="P312" s="391" t="inlineStr">
        <is>
          <t> </t>
        </is>
      </c>
      <c r="Q312" s="391" t="inlineStr">
        <is>
          <t> </t>
        </is>
      </c>
      <c r="R312" s="38" t="inlineStr">
        <is>
          <t> </t>
        </is>
      </c>
      <c r="S312" s="391" t="inlineStr">
        <is>
          <t> </t>
        </is>
      </c>
      <c r="T312" s="391" t="inlineStr">
        <is>
          <t> </t>
        </is>
      </c>
      <c r="U312" s="391" t="inlineStr">
        <is>
          <t> </t>
        </is>
      </c>
      <c r="V312" s="391" t="inlineStr">
        <is>
          <t> </t>
        </is>
      </c>
      <c r="W312" s="391" t="inlineStr">
        <is>
          <t> </t>
        </is>
      </c>
      <c r="X312" s="391" t="inlineStr">
        <is>
          <t> </t>
        </is>
      </c>
      <c r="Y312" s="392" t="inlineStr">
        <is>
          <t> </t>
        </is>
      </c>
      <c r="Z312" s="391" t="inlineStr">
        <is>
          <t> </t>
        </is>
      </c>
      <c r="AA312" s="391" t="inlineStr">
        <is>
          <t> </t>
        </is>
      </c>
      <c r="AB312" s="391" t="inlineStr">
        <is>
          <t> </t>
        </is>
      </c>
      <c r="AC312" s="391" t="inlineStr">
        <is>
          <t> </t>
        </is>
      </c>
      <c r="AD312" s="391" t="inlineStr">
        <is>
          <t> </t>
        </is>
      </c>
      <c r="AE312" s="391" t="inlineStr">
        <is>
          <t> </t>
        </is>
      </c>
      <c r="AF312" s="38" t="inlineStr">
        <is>
          <t> </t>
        </is>
      </c>
      <c r="AG312" s="391" t="inlineStr">
        <is>
          <t> </t>
        </is>
      </c>
      <c r="AH312" s="391" t="n"/>
      <c r="AI312" s="391" t="inlineStr">
        <is>
          <t> </t>
        </is>
      </c>
      <c r="AJ312" s="391" t="inlineStr">
        <is>
          <t> </t>
        </is>
      </c>
      <c r="AK312" s="391" t="inlineStr">
        <is>
          <t> </t>
        </is>
      </c>
      <c r="AL312" s="391" t="inlineStr">
        <is>
          <t> </t>
        </is>
      </c>
      <c r="AM312" s="391" t="inlineStr">
        <is>
          <t> </t>
        </is>
      </c>
      <c r="AN312" s="391" t="inlineStr">
        <is>
          <t> </t>
        </is>
      </c>
      <c r="AO312" s="391" t="n"/>
      <c r="AP312" s="319" t="n"/>
      <c r="AQ312" s="319" t="n"/>
      <c r="AR312" s="319" t="n"/>
    </row>
    <row r="313" ht="15.75" customHeight="1" s="1264">
      <c r="A313" s="319" t="inlineStr">
        <is>
          <t> </t>
        </is>
      </c>
      <c r="B313" s="319" t="inlineStr">
        <is>
          <t> </t>
        </is>
      </c>
      <c r="C313" s="319" t="inlineStr">
        <is>
          <t> </t>
        </is>
      </c>
      <c r="D313" s="38" t="inlineStr">
        <is>
          <t> </t>
        </is>
      </c>
      <c r="E313" s="391" t="inlineStr">
        <is>
          <t> </t>
        </is>
      </c>
      <c r="F313" s="391" t="inlineStr">
        <is>
          <t> </t>
        </is>
      </c>
      <c r="G313" s="391" t="inlineStr">
        <is>
          <t> </t>
        </is>
      </c>
      <c r="H313" s="391" t="inlineStr">
        <is>
          <t> </t>
        </is>
      </c>
      <c r="I313" s="391" t="inlineStr">
        <is>
          <t> </t>
        </is>
      </c>
      <c r="J313" s="391" t="inlineStr">
        <is>
          <t> </t>
        </is>
      </c>
      <c r="K313" s="38" t="inlineStr">
        <is>
          <t> </t>
        </is>
      </c>
      <c r="L313" s="391" t="inlineStr">
        <is>
          <t> </t>
        </is>
      </c>
      <c r="M313" s="391" t="inlineStr">
        <is>
          <t> </t>
        </is>
      </c>
      <c r="N313" s="391" t="inlineStr">
        <is>
          <t> </t>
        </is>
      </c>
      <c r="O313" s="391" t="inlineStr">
        <is>
          <t> </t>
        </is>
      </c>
      <c r="P313" s="391" t="inlineStr">
        <is>
          <t> </t>
        </is>
      </c>
      <c r="Q313" s="391" t="inlineStr">
        <is>
          <t> </t>
        </is>
      </c>
      <c r="R313" s="38" t="inlineStr">
        <is>
          <t> </t>
        </is>
      </c>
      <c r="S313" s="391" t="inlineStr">
        <is>
          <t> </t>
        </is>
      </c>
      <c r="T313" s="391" t="inlineStr">
        <is>
          <t> </t>
        </is>
      </c>
      <c r="U313" s="391" t="inlineStr">
        <is>
          <t> </t>
        </is>
      </c>
      <c r="V313" s="391" t="inlineStr">
        <is>
          <t> </t>
        </is>
      </c>
      <c r="W313" s="391" t="inlineStr">
        <is>
          <t> </t>
        </is>
      </c>
      <c r="X313" s="391" t="inlineStr">
        <is>
          <t> </t>
        </is>
      </c>
      <c r="Y313" s="392" t="inlineStr">
        <is>
          <t> </t>
        </is>
      </c>
      <c r="Z313" s="391" t="inlineStr">
        <is>
          <t> </t>
        </is>
      </c>
      <c r="AA313" s="391" t="inlineStr">
        <is>
          <t> </t>
        </is>
      </c>
      <c r="AB313" s="391" t="inlineStr">
        <is>
          <t> </t>
        </is>
      </c>
      <c r="AC313" s="391" t="inlineStr">
        <is>
          <t> </t>
        </is>
      </c>
      <c r="AD313" s="391" t="inlineStr">
        <is>
          <t> </t>
        </is>
      </c>
      <c r="AE313" s="391" t="inlineStr">
        <is>
          <t> </t>
        </is>
      </c>
      <c r="AF313" s="38" t="inlineStr">
        <is>
          <t> </t>
        </is>
      </c>
      <c r="AG313" s="391" t="inlineStr">
        <is>
          <t> </t>
        </is>
      </c>
      <c r="AH313" s="391" t="n"/>
      <c r="AI313" s="391" t="inlineStr">
        <is>
          <t> </t>
        </is>
      </c>
      <c r="AJ313" s="391" t="inlineStr">
        <is>
          <t> </t>
        </is>
      </c>
      <c r="AK313" s="391" t="inlineStr">
        <is>
          <t> </t>
        </is>
      </c>
      <c r="AL313" s="391" t="inlineStr">
        <is>
          <t> </t>
        </is>
      </c>
      <c r="AM313" s="391" t="inlineStr">
        <is>
          <t> </t>
        </is>
      </c>
      <c r="AN313" s="391" t="inlineStr">
        <is>
          <t> </t>
        </is>
      </c>
      <c r="AO313" s="391" t="n"/>
      <c r="AP313" s="319" t="n"/>
      <c r="AQ313" s="319" t="n"/>
      <c r="AR313" s="319" t="n"/>
    </row>
    <row r="314" ht="15.75" customHeight="1" s="1264">
      <c r="A314" s="319" t="inlineStr">
        <is>
          <t> </t>
        </is>
      </c>
      <c r="B314" s="319" t="inlineStr">
        <is>
          <t> </t>
        </is>
      </c>
      <c r="C314" s="319" t="inlineStr">
        <is>
          <t> </t>
        </is>
      </c>
      <c r="D314" s="38" t="inlineStr">
        <is>
          <t> </t>
        </is>
      </c>
      <c r="E314" s="391" t="inlineStr">
        <is>
          <t> </t>
        </is>
      </c>
      <c r="F314" s="391" t="inlineStr">
        <is>
          <t> </t>
        </is>
      </c>
      <c r="G314" s="391" t="inlineStr">
        <is>
          <t> </t>
        </is>
      </c>
      <c r="H314" s="391" t="inlineStr">
        <is>
          <t> </t>
        </is>
      </c>
      <c r="I314" s="391" t="inlineStr">
        <is>
          <t> </t>
        </is>
      </c>
      <c r="J314" s="391" t="inlineStr">
        <is>
          <t> </t>
        </is>
      </c>
      <c r="K314" s="38" t="inlineStr">
        <is>
          <t> </t>
        </is>
      </c>
      <c r="L314" s="391" t="inlineStr">
        <is>
          <t> </t>
        </is>
      </c>
      <c r="M314" s="391" t="inlineStr">
        <is>
          <t> </t>
        </is>
      </c>
      <c r="N314" s="391" t="inlineStr">
        <is>
          <t> </t>
        </is>
      </c>
      <c r="O314" s="391" t="inlineStr">
        <is>
          <t> </t>
        </is>
      </c>
      <c r="P314" s="391" t="inlineStr">
        <is>
          <t> </t>
        </is>
      </c>
      <c r="Q314" s="391" t="inlineStr">
        <is>
          <t> </t>
        </is>
      </c>
      <c r="R314" s="38" t="inlineStr">
        <is>
          <t> </t>
        </is>
      </c>
      <c r="S314" s="391" t="inlineStr">
        <is>
          <t> </t>
        </is>
      </c>
      <c r="T314" s="391" t="inlineStr">
        <is>
          <t> </t>
        </is>
      </c>
      <c r="U314" s="391" t="inlineStr">
        <is>
          <t> </t>
        </is>
      </c>
      <c r="V314" s="391" t="inlineStr">
        <is>
          <t> </t>
        </is>
      </c>
      <c r="W314" s="391" t="inlineStr">
        <is>
          <t> </t>
        </is>
      </c>
      <c r="X314" s="391" t="inlineStr">
        <is>
          <t> </t>
        </is>
      </c>
      <c r="Y314" s="392" t="inlineStr">
        <is>
          <t> </t>
        </is>
      </c>
      <c r="Z314" s="391" t="inlineStr">
        <is>
          <t> </t>
        </is>
      </c>
      <c r="AA314" s="391" t="inlineStr">
        <is>
          <t> </t>
        </is>
      </c>
      <c r="AB314" s="391" t="inlineStr">
        <is>
          <t> </t>
        </is>
      </c>
      <c r="AC314" s="391" t="inlineStr">
        <is>
          <t> </t>
        </is>
      </c>
      <c r="AD314" s="391" t="inlineStr">
        <is>
          <t> </t>
        </is>
      </c>
      <c r="AE314" s="391" t="inlineStr">
        <is>
          <t> </t>
        </is>
      </c>
      <c r="AF314" s="38" t="inlineStr">
        <is>
          <t> </t>
        </is>
      </c>
      <c r="AG314" s="391" t="inlineStr">
        <is>
          <t> </t>
        </is>
      </c>
      <c r="AH314" s="391" t="n"/>
      <c r="AI314" s="391" t="inlineStr">
        <is>
          <t> </t>
        </is>
      </c>
      <c r="AJ314" s="391" t="inlineStr">
        <is>
          <t> </t>
        </is>
      </c>
      <c r="AK314" s="391" t="inlineStr">
        <is>
          <t> </t>
        </is>
      </c>
      <c r="AL314" s="391" t="inlineStr">
        <is>
          <t> </t>
        </is>
      </c>
      <c r="AM314" s="391" t="inlineStr">
        <is>
          <t> </t>
        </is>
      </c>
      <c r="AN314" s="391" t="inlineStr">
        <is>
          <t> </t>
        </is>
      </c>
      <c r="AO314" s="391" t="n"/>
      <c r="AP314" s="319" t="n"/>
      <c r="AQ314" s="319" t="n"/>
      <c r="AR314" s="319" t="n"/>
    </row>
    <row r="315" ht="15.75" customHeight="1" s="1264">
      <c r="A315" s="319" t="inlineStr">
        <is>
          <t> </t>
        </is>
      </c>
      <c r="B315" s="319" t="inlineStr">
        <is>
          <t> </t>
        </is>
      </c>
      <c r="C315" s="319" t="inlineStr">
        <is>
          <t> </t>
        </is>
      </c>
      <c r="D315" s="38" t="inlineStr">
        <is>
          <t> </t>
        </is>
      </c>
      <c r="E315" s="391" t="inlineStr">
        <is>
          <t> </t>
        </is>
      </c>
      <c r="F315" s="391" t="inlineStr">
        <is>
          <t> </t>
        </is>
      </c>
      <c r="G315" s="391" t="inlineStr">
        <is>
          <t> </t>
        </is>
      </c>
      <c r="H315" s="391" t="inlineStr">
        <is>
          <t> </t>
        </is>
      </c>
      <c r="I315" s="391" t="inlineStr">
        <is>
          <t> </t>
        </is>
      </c>
      <c r="J315" s="391" t="inlineStr">
        <is>
          <t> </t>
        </is>
      </c>
      <c r="K315" s="38" t="inlineStr">
        <is>
          <t> </t>
        </is>
      </c>
      <c r="L315" s="391" t="inlineStr">
        <is>
          <t> </t>
        </is>
      </c>
      <c r="M315" s="391" t="inlineStr">
        <is>
          <t> </t>
        </is>
      </c>
      <c r="N315" s="391" t="inlineStr">
        <is>
          <t> </t>
        </is>
      </c>
      <c r="O315" s="391" t="inlineStr">
        <is>
          <t> </t>
        </is>
      </c>
      <c r="P315" s="391" t="inlineStr">
        <is>
          <t> </t>
        </is>
      </c>
      <c r="Q315" s="391" t="inlineStr">
        <is>
          <t> </t>
        </is>
      </c>
      <c r="R315" s="38" t="inlineStr">
        <is>
          <t> </t>
        </is>
      </c>
      <c r="S315" s="391" t="inlineStr">
        <is>
          <t> </t>
        </is>
      </c>
      <c r="T315" s="391" t="inlineStr">
        <is>
          <t> </t>
        </is>
      </c>
      <c r="U315" s="391" t="inlineStr">
        <is>
          <t> </t>
        </is>
      </c>
      <c r="V315" s="391" t="inlineStr">
        <is>
          <t> </t>
        </is>
      </c>
      <c r="W315" s="391" t="inlineStr">
        <is>
          <t> </t>
        </is>
      </c>
      <c r="X315" s="391" t="inlineStr">
        <is>
          <t> </t>
        </is>
      </c>
      <c r="Y315" s="392" t="inlineStr">
        <is>
          <t> </t>
        </is>
      </c>
      <c r="Z315" s="391" t="inlineStr">
        <is>
          <t> </t>
        </is>
      </c>
      <c r="AA315" s="391" t="inlineStr">
        <is>
          <t> </t>
        </is>
      </c>
      <c r="AB315" s="391" t="inlineStr">
        <is>
          <t> </t>
        </is>
      </c>
      <c r="AC315" s="391" t="inlineStr">
        <is>
          <t> </t>
        </is>
      </c>
      <c r="AD315" s="391" t="inlineStr">
        <is>
          <t> </t>
        </is>
      </c>
      <c r="AE315" s="391" t="inlineStr">
        <is>
          <t> </t>
        </is>
      </c>
      <c r="AF315" s="38" t="inlineStr">
        <is>
          <t> </t>
        </is>
      </c>
      <c r="AG315" s="391" t="inlineStr">
        <is>
          <t> </t>
        </is>
      </c>
      <c r="AH315" s="391" t="n"/>
      <c r="AI315" s="391" t="inlineStr">
        <is>
          <t> </t>
        </is>
      </c>
      <c r="AJ315" s="391" t="inlineStr">
        <is>
          <t> </t>
        </is>
      </c>
      <c r="AK315" s="391" t="inlineStr">
        <is>
          <t> </t>
        </is>
      </c>
      <c r="AL315" s="391" t="inlineStr">
        <is>
          <t> </t>
        </is>
      </c>
      <c r="AM315" s="391" t="inlineStr">
        <is>
          <t> </t>
        </is>
      </c>
      <c r="AN315" s="391" t="inlineStr">
        <is>
          <t> </t>
        </is>
      </c>
      <c r="AO315" s="391" t="n"/>
      <c r="AP315" s="319" t="n"/>
      <c r="AQ315" s="319" t="n"/>
      <c r="AR315" s="319" t="n"/>
    </row>
    <row r="316" ht="15.75" customHeight="1" s="1264">
      <c r="A316" s="319" t="inlineStr">
        <is>
          <t> </t>
        </is>
      </c>
      <c r="B316" s="319" t="inlineStr">
        <is>
          <t> </t>
        </is>
      </c>
      <c r="C316" s="319" t="inlineStr">
        <is>
          <t> </t>
        </is>
      </c>
      <c r="D316" s="38" t="inlineStr">
        <is>
          <t> </t>
        </is>
      </c>
      <c r="E316" s="391" t="inlineStr">
        <is>
          <t> </t>
        </is>
      </c>
      <c r="F316" s="391" t="inlineStr">
        <is>
          <t> </t>
        </is>
      </c>
      <c r="G316" s="391" t="inlineStr">
        <is>
          <t> </t>
        </is>
      </c>
      <c r="H316" s="391" t="inlineStr">
        <is>
          <t> </t>
        </is>
      </c>
      <c r="I316" s="391" t="inlineStr">
        <is>
          <t> </t>
        </is>
      </c>
      <c r="J316" s="391" t="inlineStr">
        <is>
          <t> </t>
        </is>
      </c>
      <c r="K316" s="38" t="inlineStr">
        <is>
          <t> </t>
        </is>
      </c>
      <c r="L316" s="391" t="inlineStr">
        <is>
          <t> </t>
        </is>
      </c>
      <c r="M316" s="391" t="inlineStr">
        <is>
          <t> </t>
        </is>
      </c>
      <c r="N316" s="391" t="inlineStr">
        <is>
          <t> </t>
        </is>
      </c>
      <c r="O316" s="391" t="inlineStr">
        <is>
          <t> </t>
        </is>
      </c>
      <c r="P316" s="391" t="inlineStr">
        <is>
          <t> </t>
        </is>
      </c>
      <c r="Q316" s="391" t="inlineStr">
        <is>
          <t> </t>
        </is>
      </c>
      <c r="R316" s="38" t="inlineStr">
        <is>
          <t> </t>
        </is>
      </c>
      <c r="S316" s="391" t="inlineStr">
        <is>
          <t> </t>
        </is>
      </c>
      <c r="T316" s="391" t="inlineStr">
        <is>
          <t> </t>
        </is>
      </c>
      <c r="U316" s="391" t="inlineStr">
        <is>
          <t> </t>
        </is>
      </c>
      <c r="V316" s="391" t="inlineStr">
        <is>
          <t> </t>
        </is>
      </c>
      <c r="W316" s="391" t="inlineStr">
        <is>
          <t> </t>
        </is>
      </c>
      <c r="X316" s="391" t="inlineStr">
        <is>
          <t> </t>
        </is>
      </c>
      <c r="Y316" s="392" t="inlineStr">
        <is>
          <t> </t>
        </is>
      </c>
      <c r="Z316" s="391" t="inlineStr">
        <is>
          <t> </t>
        </is>
      </c>
      <c r="AA316" s="391" t="inlineStr">
        <is>
          <t> </t>
        </is>
      </c>
      <c r="AB316" s="391" t="inlineStr">
        <is>
          <t> </t>
        </is>
      </c>
      <c r="AC316" s="391" t="inlineStr">
        <is>
          <t> </t>
        </is>
      </c>
      <c r="AD316" s="391" t="inlineStr">
        <is>
          <t> </t>
        </is>
      </c>
      <c r="AE316" s="391" t="inlineStr">
        <is>
          <t> </t>
        </is>
      </c>
      <c r="AF316" s="38" t="inlineStr">
        <is>
          <t> </t>
        </is>
      </c>
      <c r="AG316" s="391" t="inlineStr">
        <is>
          <t> </t>
        </is>
      </c>
      <c r="AH316" s="391" t="n"/>
      <c r="AI316" s="391" t="inlineStr">
        <is>
          <t> </t>
        </is>
      </c>
      <c r="AJ316" s="391" t="inlineStr">
        <is>
          <t> </t>
        </is>
      </c>
      <c r="AK316" s="391" t="inlineStr">
        <is>
          <t> </t>
        </is>
      </c>
      <c r="AL316" s="391" t="inlineStr">
        <is>
          <t> </t>
        </is>
      </c>
      <c r="AM316" s="391" t="inlineStr">
        <is>
          <t> </t>
        </is>
      </c>
      <c r="AN316" s="391" t="inlineStr">
        <is>
          <t> </t>
        </is>
      </c>
      <c r="AO316" s="391" t="n"/>
      <c r="AP316" s="319" t="n"/>
      <c r="AQ316" s="319" t="n"/>
      <c r="AR316" s="319" t="n"/>
    </row>
    <row r="317" ht="15.75" customHeight="1" s="1264">
      <c r="A317" s="319" t="inlineStr">
        <is>
          <t> </t>
        </is>
      </c>
      <c r="B317" s="319" t="inlineStr">
        <is>
          <t> </t>
        </is>
      </c>
      <c r="C317" s="319" t="inlineStr">
        <is>
          <t> </t>
        </is>
      </c>
      <c r="D317" s="38" t="inlineStr">
        <is>
          <t> </t>
        </is>
      </c>
      <c r="E317" s="391" t="inlineStr">
        <is>
          <t> </t>
        </is>
      </c>
      <c r="F317" s="391" t="inlineStr">
        <is>
          <t> </t>
        </is>
      </c>
      <c r="G317" s="391" t="inlineStr">
        <is>
          <t> </t>
        </is>
      </c>
      <c r="H317" s="391" t="inlineStr">
        <is>
          <t> </t>
        </is>
      </c>
      <c r="I317" s="391" t="inlineStr">
        <is>
          <t> </t>
        </is>
      </c>
      <c r="J317" s="391" t="inlineStr">
        <is>
          <t> </t>
        </is>
      </c>
      <c r="K317" s="38" t="inlineStr">
        <is>
          <t> </t>
        </is>
      </c>
      <c r="L317" s="391" t="inlineStr">
        <is>
          <t> </t>
        </is>
      </c>
      <c r="M317" s="391" t="inlineStr">
        <is>
          <t> </t>
        </is>
      </c>
      <c r="N317" s="391" t="inlineStr">
        <is>
          <t> </t>
        </is>
      </c>
      <c r="O317" s="391" t="inlineStr">
        <is>
          <t> </t>
        </is>
      </c>
      <c r="P317" s="391" t="inlineStr">
        <is>
          <t> </t>
        </is>
      </c>
      <c r="Q317" s="391" t="inlineStr">
        <is>
          <t> </t>
        </is>
      </c>
      <c r="R317" s="38" t="inlineStr">
        <is>
          <t> </t>
        </is>
      </c>
      <c r="S317" s="391" t="inlineStr">
        <is>
          <t> </t>
        </is>
      </c>
      <c r="T317" s="391" t="inlineStr">
        <is>
          <t> </t>
        </is>
      </c>
      <c r="U317" s="391" t="inlineStr">
        <is>
          <t> </t>
        </is>
      </c>
      <c r="V317" s="391" t="inlineStr">
        <is>
          <t> </t>
        </is>
      </c>
      <c r="W317" s="391" t="inlineStr">
        <is>
          <t> </t>
        </is>
      </c>
      <c r="X317" s="391" t="inlineStr">
        <is>
          <t> </t>
        </is>
      </c>
      <c r="Y317" s="392" t="inlineStr">
        <is>
          <t> </t>
        </is>
      </c>
      <c r="Z317" s="391" t="inlineStr">
        <is>
          <t> </t>
        </is>
      </c>
      <c r="AA317" s="391" t="inlineStr">
        <is>
          <t> </t>
        </is>
      </c>
      <c r="AB317" s="391" t="inlineStr">
        <is>
          <t> </t>
        </is>
      </c>
      <c r="AC317" s="391" t="inlineStr">
        <is>
          <t> </t>
        </is>
      </c>
      <c r="AD317" s="391" t="inlineStr">
        <is>
          <t> </t>
        </is>
      </c>
      <c r="AE317" s="391" t="inlineStr">
        <is>
          <t> </t>
        </is>
      </c>
      <c r="AF317" s="38" t="inlineStr">
        <is>
          <t> </t>
        </is>
      </c>
      <c r="AG317" s="391" t="inlineStr">
        <is>
          <t> </t>
        </is>
      </c>
      <c r="AH317" s="391" t="n"/>
      <c r="AI317" s="391" t="inlineStr">
        <is>
          <t> </t>
        </is>
      </c>
      <c r="AJ317" s="391" t="inlineStr">
        <is>
          <t> </t>
        </is>
      </c>
      <c r="AK317" s="391" t="inlineStr">
        <is>
          <t> </t>
        </is>
      </c>
      <c r="AL317" s="391" t="inlineStr">
        <is>
          <t> </t>
        </is>
      </c>
      <c r="AM317" s="391" t="inlineStr">
        <is>
          <t> </t>
        </is>
      </c>
      <c r="AN317" s="391" t="inlineStr">
        <is>
          <t> </t>
        </is>
      </c>
      <c r="AO317" s="391" t="n"/>
      <c r="AP317" s="319" t="n"/>
      <c r="AQ317" s="319" t="n"/>
      <c r="AR317" s="319" t="n"/>
    </row>
    <row r="318" ht="15.75" customHeight="1" s="1264">
      <c r="A318" s="319" t="inlineStr">
        <is>
          <t> </t>
        </is>
      </c>
      <c r="B318" s="319" t="inlineStr">
        <is>
          <t> </t>
        </is>
      </c>
      <c r="C318" s="319" t="inlineStr">
        <is>
          <t> </t>
        </is>
      </c>
      <c r="D318" s="38" t="inlineStr">
        <is>
          <t> </t>
        </is>
      </c>
      <c r="E318" s="391" t="inlineStr">
        <is>
          <t> </t>
        </is>
      </c>
      <c r="F318" s="391" t="inlineStr">
        <is>
          <t> </t>
        </is>
      </c>
      <c r="G318" s="391" t="inlineStr">
        <is>
          <t> </t>
        </is>
      </c>
      <c r="H318" s="391" t="inlineStr">
        <is>
          <t> </t>
        </is>
      </c>
      <c r="I318" s="391" t="inlineStr">
        <is>
          <t> </t>
        </is>
      </c>
      <c r="J318" s="391" t="inlineStr">
        <is>
          <t> </t>
        </is>
      </c>
      <c r="K318" s="38" t="inlineStr">
        <is>
          <t> </t>
        </is>
      </c>
      <c r="L318" s="391" t="inlineStr">
        <is>
          <t> </t>
        </is>
      </c>
      <c r="M318" s="391" t="inlineStr">
        <is>
          <t> </t>
        </is>
      </c>
      <c r="N318" s="391" t="inlineStr">
        <is>
          <t> </t>
        </is>
      </c>
      <c r="O318" s="391" t="inlineStr">
        <is>
          <t> </t>
        </is>
      </c>
      <c r="P318" s="391" t="inlineStr">
        <is>
          <t> </t>
        </is>
      </c>
      <c r="Q318" s="391" t="inlineStr">
        <is>
          <t> </t>
        </is>
      </c>
      <c r="R318" s="38" t="inlineStr">
        <is>
          <t> </t>
        </is>
      </c>
      <c r="S318" s="391" t="inlineStr">
        <is>
          <t> </t>
        </is>
      </c>
      <c r="T318" s="391" t="inlineStr">
        <is>
          <t> </t>
        </is>
      </c>
      <c r="U318" s="391" t="inlineStr">
        <is>
          <t> </t>
        </is>
      </c>
      <c r="V318" s="391" t="inlineStr">
        <is>
          <t> </t>
        </is>
      </c>
      <c r="W318" s="391" t="inlineStr">
        <is>
          <t> </t>
        </is>
      </c>
      <c r="X318" s="391" t="inlineStr">
        <is>
          <t> </t>
        </is>
      </c>
      <c r="Y318" s="392" t="inlineStr">
        <is>
          <t> </t>
        </is>
      </c>
      <c r="Z318" s="391" t="inlineStr">
        <is>
          <t> </t>
        </is>
      </c>
      <c r="AA318" s="391" t="inlineStr">
        <is>
          <t> </t>
        </is>
      </c>
      <c r="AB318" s="391" t="inlineStr">
        <is>
          <t> </t>
        </is>
      </c>
      <c r="AC318" s="391" t="inlineStr">
        <is>
          <t> </t>
        </is>
      </c>
      <c r="AD318" s="391" t="inlineStr">
        <is>
          <t> </t>
        </is>
      </c>
      <c r="AE318" s="391" t="inlineStr">
        <is>
          <t> </t>
        </is>
      </c>
      <c r="AF318" s="38" t="inlineStr">
        <is>
          <t> </t>
        </is>
      </c>
      <c r="AG318" s="391" t="inlineStr">
        <is>
          <t> </t>
        </is>
      </c>
      <c r="AH318" s="391" t="n"/>
      <c r="AI318" s="391" t="inlineStr">
        <is>
          <t> </t>
        </is>
      </c>
      <c r="AJ318" s="391" t="inlineStr">
        <is>
          <t> </t>
        </is>
      </c>
      <c r="AK318" s="391" t="inlineStr">
        <is>
          <t> </t>
        </is>
      </c>
      <c r="AL318" s="391" t="inlineStr">
        <is>
          <t> </t>
        </is>
      </c>
      <c r="AM318" s="391" t="inlineStr">
        <is>
          <t> </t>
        </is>
      </c>
      <c r="AN318" s="391" t="inlineStr">
        <is>
          <t> </t>
        </is>
      </c>
      <c r="AO318" s="391" t="n"/>
      <c r="AP318" s="319" t="n"/>
      <c r="AQ318" s="319" t="n"/>
      <c r="AR318" s="319" t="n"/>
    </row>
    <row r="319" ht="15.75" customHeight="1" s="1264">
      <c r="A319" s="319" t="inlineStr">
        <is>
          <t> </t>
        </is>
      </c>
      <c r="B319" s="319" t="inlineStr">
        <is>
          <t> </t>
        </is>
      </c>
      <c r="C319" s="319" t="inlineStr">
        <is>
          <t> </t>
        </is>
      </c>
      <c r="D319" s="38" t="inlineStr">
        <is>
          <t> </t>
        </is>
      </c>
      <c r="E319" s="391" t="inlineStr">
        <is>
          <t> </t>
        </is>
      </c>
      <c r="F319" s="391" t="inlineStr">
        <is>
          <t> </t>
        </is>
      </c>
      <c r="G319" s="391" t="inlineStr">
        <is>
          <t> </t>
        </is>
      </c>
      <c r="H319" s="391" t="inlineStr">
        <is>
          <t> </t>
        </is>
      </c>
      <c r="I319" s="391" t="inlineStr">
        <is>
          <t> </t>
        </is>
      </c>
      <c r="J319" s="391" t="inlineStr">
        <is>
          <t> </t>
        </is>
      </c>
      <c r="K319" s="38" t="inlineStr">
        <is>
          <t> </t>
        </is>
      </c>
      <c r="L319" s="391" t="inlineStr">
        <is>
          <t> </t>
        </is>
      </c>
      <c r="M319" s="391" t="inlineStr">
        <is>
          <t> </t>
        </is>
      </c>
      <c r="N319" s="391" t="inlineStr">
        <is>
          <t> </t>
        </is>
      </c>
      <c r="O319" s="391" t="inlineStr">
        <is>
          <t> </t>
        </is>
      </c>
      <c r="P319" s="391" t="inlineStr">
        <is>
          <t> </t>
        </is>
      </c>
      <c r="Q319" s="391" t="inlineStr">
        <is>
          <t> </t>
        </is>
      </c>
      <c r="R319" s="38" t="inlineStr">
        <is>
          <t> </t>
        </is>
      </c>
      <c r="S319" s="391" t="inlineStr">
        <is>
          <t> </t>
        </is>
      </c>
      <c r="T319" s="391" t="inlineStr">
        <is>
          <t> </t>
        </is>
      </c>
      <c r="U319" s="391" t="inlineStr">
        <is>
          <t> </t>
        </is>
      </c>
      <c r="V319" s="391" t="inlineStr">
        <is>
          <t> </t>
        </is>
      </c>
      <c r="W319" s="391" t="inlineStr">
        <is>
          <t> </t>
        </is>
      </c>
      <c r="X319" s="391" t="inlineStr">
        <is>
          <t> </t>
        </is>
      </c>
      <c r="Y319" s="392" t="inlineStr">
        <is>
          <t> </t>
        </is>
      </c>
      <c r="Z319" s="391" t="inlineStr">
        <is>
          <t> </t>
        </is>
      </c>
      <c r="AA319" s="391" t="inlineStr">
        <is>
          <t> </t>
        </is>
      </c>
      <c r="AB319" s="391" t="inlineStr">
        <is>
          <t> </t>
        </is>
      </c>
      <c r="AC319" s="391" t="inlineStr">
        <is>
          <t> </t>
        </is>
      </c>
      <c r="AD319" s="391" t="inlineStr">
        <is>
          <t> </t>
        </is>
      </c>
      <c r="AE319" s="391" t="inlineStr">
        <is>
          <t> </t>
        </is>
      </c>
      <c r="AF319" s="38" t="inlineStr">
        <is>
          <t> </t>
        </is>
      </c>
      <c r="AG319" s="391" t="inlineStr">
        <is>
          <t> </t>
        </is>
      </c>
      <c r="AH319" s="391" t="n"/>
      <c r="AI319" s="391" t="inlineStr">
        <is>
          <t> </t>
        </is>
      </c>
      <c r="AJ319" s="391" t="inlineStr">
        <is>
          <t> </t>
        </is>
      </c>
      <c r="AK319" s="391" t="inlineStr">
        <is>
          <t> </t>
        </is>
      </c>
      <c r="AL319" s="391" t="inlineStr">
        <is>
          <t> </t>
        </is>
      </c>
      <c r="AM319" s="391" t="inlineStr">
        <is>
          <t> </t>
        </is>
      </c>
      <c r="AN319" s="391" t="inlineStr">
        <is>
          <t> </t>
        </is>
      </c>
      <c r="AO319" s="391" t="n"/>
      <c r="AP319" s="319" t="n"/>
      <c r="AQ319" s="319" t="n"/>
      <c r="AR319" s="319" t="n"/>
    </row>
    <row r="320" ht="15.75" customHeight="1" s="1264">
      <c r="A320" s="319" t="inlineStr">
        <is>
          <t> </t>
        </is>
      </c>
      <c r="B320" s="319" t="inlineStr">
        <is>
          <t> </t>
        </is>
      </c>
      <c r="C320" s="319" t="inlineStr">
        <is>
          <t> </t>
        </is>
      </c>
      <c r="D320" s="38" t="inlineStr">
        <is>
          <t> </t>
        </is>
      </c>
      <c r="E320" s="391" t="inlineStr">
        <is>
          <t> </t>
        </is>
      </c>
      <c r="F320" s="391" t="inlineStr">
        <is>
          <t> </t>
        </is>
      </c>
      <c r="G320" s="391" t="inlineStr">
        <is>
          <t> </t>
        </is>
      </c>
      <c r="H320" s="391" t="inlineStr">
        <is>
          <t> </t>
        </is>
      </c>
      <c r="I320" s="391" t="inlineStr">
        <is>
          <t> </t>
        </is>
      </c>
      <c r="J320" s="391" t="inlineStr">
        <is>
          <t> </t>
        </is>
      </c>
      <c r="K320" s="38" t="inlineStr">
        <is>
          <t> </t>
        </is>
      </c>
      <c r="L320" s="391" t="inlineStr">
        <is>
          <t> </t>
        </is>
      </c>
      <c r="M320" s="391" t="inlineStr">
        <is>
          <t> </t>
        </is>
      </c>
      <c r="N320" s="391" t="inlineStr">
        <is>
          <t> </t>
        </is>
      </c>
      <c r="O320" s="391" t="inlineStr">
        <is>
          <t> </t>
        </is>
      </c>
      <c r="P320" s="391" t="inlineStr">
        <is>
          <t> </t>
        </is>
      </c>
      <c r="Q320" s="391" t="inlineStr">
        <is>
          <t> </t>
        </is>
      </c>
      <c r="R320" s="38" t="inlineStr">
        <is>
          <t> </t>
        </is>
      </c>
      <c r="S320" s="391" t="inlineStr">
        <is>
          <t> </t>
        </is>
      </c>
      <c r="T320" s="391" t="inlineStr">
        <is>
          <t> </t>
        </is>
      </c>
      <c r="U320" s="391" t="inlineStr">
        <is>
          <t> </t>
        </is>
      </c>
      <c r="V320" s="391" t="inlineStr">
        <is>
          <t> </t>
        </is>
      </c>
      <c r="W320" s="391" t="inlineStr">
        <is>
          <t> </t>
        </is>
      </c>
      <c r="X320" s="391" t="inlineStr">
        <is>
          <t> </t>
        </is>
      </c>
      <c r="Y320" s="392" t="inlineStr">
        <is>
          <t> </t>
        </is>
      </c>
      <c r="Z320" s="391" t="inlineStr">
        <is>
          <t> </t>
        </is>
      </c>
      <c r="AA320" s="391" t="inlineStr">
        <is>
          <t> </t>
        </is>
      </c>
      <c r="AB320" s="391" t="inlineStr">
        <is>
          <t> </t>
        </is>
      </c>
      <c r="AC320" s="391" t="inlineStr">
        <is>
          <t> </t>
        </is>
      </c>
      <c r="AD320" s="391" t="inlineStr">
        <is>
          <t> </t>
        </is>
      </c>
      <c r="AE320" s="391" t="inlineStr">
        <is>
          <t> </t>
        </is>
      </c>
      <c r="AF320" s="38" t="inlineStr">
        <is>
          <t> </t>
        </is>
      </c>
      <c r="AG320" s="391" t="inlineStr">
        <is>
          <t> </t>
        </is>
      </c>
      <c r="AH320" s="391" t="n"/>
      <c r="AI320" s="391" t="inlineStr">
        <is>
          <t> </t>
        </is>
      </c>
      <c r="AJ320" s="391" t="inlineStr">
        <is>
          <t> </t>
        </is>
      </c>
      <c r="AK320" s="391" t="inlineStr">
        <is>
          <t> </t>
        </is>
      </c>
      <c r="AL320" s="391" t="inlineStr">
        <is>
          <t> </t>
        </is>
      </c>
      <c r="AM320" s="391" t="inlineStr">
        <is>
          <t> </t>
        </is>
      </c>
      <c r="AN320" s="391" t="inlineStr">
        <is>
          <t> </t>
        </is>
      </c>
      <c r="AO320" s="391" t="n"/>
      <c r="AP320" s="319" t="n"/>
      <c r="AQ320" s="319" t="n"/>
      <c r="AR320" s="319" t="n"/>
    </row>
    <row r="321" ht="15.75" customHeight="1" s="1264">
      <c r="A321" s="319" t="inlineStr">
        <is>
          <t> </t>
        </is>
      </c>
      <c r="B321" s="319" t="inlineStr">
        <is>
          <t> </t>
        </is>
      </c>
      <c r="C321" s="319" t="inlineStr">
        <is>
          <t> </t>
        </is>
      </c>
      <c r="D321" s="38" t="inlineStr">
        <is>
          <t> </t>
        </is>
      </c>
      <c r="E321" s="391" t="inlineStr">
        <is>
          <t> </t>
        </is>
      </c>
      <c r="F321" s="391" t="inlineStr">
        <is>
          <t> </t>
        </is>
      </c>
      <c r="G321" s="391" t="inlineStr">
        <is>
          <t> </t>
        </is>
      </c>
      <c r="H321" s="391" t="inlineStr">
        <is>
          <t> </t>
        </is>
      </c>
      <c r="I321" s="391" t="inlineStr">
        <is>
          <t> </t>
        </is>
      </c>
      <c r="J321" s="391" t="inlineStr">
        <is>
          <t> </t>
        </is>
      </c>
      <c r="K321" s="38" t="inlineStr">
        <is>
          <t> </t>
        </is>
      </c>
      <c r="L321" s="391" t="inlineStr">
        <is>
          <t> </t>
        </is>
      </c>
      <c r="M321" s="391" t="inlineStr">
        <is>
          <t> </t>
        </is>
      </c>
      <c r="N321" s="391" t="inlineStr">
        <is>
          <t> </t>
        </is>
      </c>
      <c r="O321" s="391" t="inlineStr">
        <is>
          <t> </t>
        </is>
      </c>
      <c r="P321" s="391" t="inlineStr">
        <is>
          <t> </t>
        </is>
      </c>
      <c r="Q321" s="391" t="inlineStr">
        <is>
          <t> </t>
        </is>
      </c>
      <c r="R321" s="38" t="inlineStr">
        <is>
          <t> </t>
        </is>
      </c>
      <c r="S321" s="391" t="inlineStr">
        <is>
          <t> </t>
        </is>
      </c>
      <c r="T321" s="391" t="inlineStr">
        <is>
          <t> </t>
        </is>
      </c>
      <c r="U321" s="391" t="inlineStr">
        <is>
          <t> </t>
        </is>
      </c>
      <c r="V321" s="391" t="inlineStr">
        <is>
          <t> </t>
        </is>
      </c>
      <c r="W321" s="391" t="inlineStr">
        <is>
          <t> </t>
        </is>
      </c>
      <c r="X321" s="391" t="inlineStr">
        <is>
          <t> </t>
        </is>
      </c>
      <c r="Y321" s="392" t="inlineStr">
        <is>
          <t> </t>
        </is>
      </c>
      <c r="Z321" s="391" t="inlineStr">
        <is>
          <t> </t>
        </is>
      </c>
      <c r="AA321" s="391" t="inlineStr">
        <is>
          <t> </t>
        </is>
      </c>
      <c r="AB321" s="391" t="inlineStr">
        <is>
          <t> </t>
        </is>
      </c>
      <c r="AC321" s="391" t="inlineStr">
        <is>
          <t> </t>
        </is>
      </c>
      <c r="AD321" s="391" t="inlineStr">
        <is>
          <t> </t>
        </is>
      </c>
      <c r="AE321" s="391" t="inlineStr">
        <is>
          <t> </t>
        </is>
      </c>
      <c r="AF321" s="38" t="inlineStr">
        <is>
          <t> </t>
        </is>
      </c>
      <c r="AG321" s="391" t="inlineStr">
        <is>
          <t> </t>
        </is>
      </c>
      <c r="AH321" s="391" t="n"/>
      <c r="AI321" s="391" t="inlineStr">
        <is>
          <t> </t>
        </is>
      </c>
      <c r="AJ321" s="391" t="inlineStr">
        <is>
          <t> </t>
        </is>
      </c>
      <c r="AK321" s="391" t="inlineStr">
        <is>
          <t> </t>
        </is>
      </c>
      <c r="AL321" s="391" t="inlineStr">
        <is>
          <t> </t>
        </is>
      </c>
      <c r="AM321" s="391" t="inlineStr">
        <is>
          <t> </t>
        </is>
      </c>
      <c r="AN321" s="391" t="inlineStr">
        <is>
          <t> </t>
        </is>
      </c>
      <c r="AO321" s="391" t="n"/>
      <c r="AP321" s="319" t="n"/>
      <c r="AQ321" s="319" t="n"/>
      <c r="AR321" s="319" t="n"/>
    </row>
    <row r="322" ht="15.75" customHeight="1" s="1264">
      <c r="A322" s="319" t="inlineStr">
        <is>
          <t> </t>
        </is>
      </c>
      <c r="B322" s="319" t="inlineStr">
        <is>
          <t> </t>
        </is>
      </c>
      <c r="C322" s="319" t="inlineStr">
        <is>
          <t> </t>
        </is>
      </c>
      <c r="D322" s="38" t="inlineStr">
        <is>
          <t> </t>
        </is>
      </c>
      <c r="E322" s="391" t="inlineStr">
        <is>
          <t> </t>
        </is>
      </c>
      <c r="F322" s="391" t="inlineStr">
        <is>
          <t> </t>
        </is>
      </c>
      <c r="G322" s="391" t="inlineStr">
        <is>
          <t> </t>
        </is>
      </c>
      <c r="H322" s="391" t="inlineStr">
        <is>
          <t> </t>
        </is>
      </c>
      <c r="I322" s="391" t="inlineStr">
        <is>
          <t> </t>
        </is>
      </c>
      <c r="J322" s="391" t="inlineStr">
        <is>
          <t> </t>
        </is>
      </c>
      <c r="K322" s="38" t="inlineStr">
        <is>
          <t> </t>
        </is>
      </c>
      <c r="L322" s="391" t="inlineStr">
        <is>
          <t> </t>
        </is>
      </c>
      <c r="M322" s="391" t="inlineStr">
        <is>
          <t> </t>
        </is>
      </c>
      <c r="N322" s="391" t="inlineStr">
        <is>
          <t> </t>
        </is>
      </c>
      <c r="O322" s="391" t="inlineStr">
        <is>
          <t> </t>
        </is>
      </c>
      <c r="P322" s="391" t="inlineStr">
        <is>
          <t> </t>
        </is>
      </c>
      <c r="Q322" s="391" t="inlineStr">
        <is>
          <t> </t>
        </is>
      </c>
      <c r="R322" s="38" t="inlineStr">
        <is>
          <t> </t>
        </is>
      </c>
      <c r="S322" s="391" t="inlineStr">
        <is>
          <t> </t>
        </is>
      </c>
      <c r="T322" s="391" t="inlineStr">
        <is>
          <t> </t>
        </is>
      </c>
      <c r="U322" s="391" t="inlineStr">
        <is>
          <t> </t>
        </is>
      </c>
      <c r="V322" s="391" t="inlineStr">
        <is>
          <t> </t>
        </is>
      </c>
      <c r="W322" s="391" t="inlineStr">
        <is>
          <t> </t>
        </is>
      </c>
      <c r="X322" s="391" t="inlineStr">
        <is>
          <t> </t>
        </is>
      </c>
      <c r="Y322" s="392" t="inlineStr">
        <is>
          <t> </t>
        </is>
      </c>
      <c r="Z322" s="391" t="inlineStr">
        <is>
          <t> </t>
        </is>
      </c>
      <c r="AA322" s="391" t="inlineStr">
        <is>
          <t> </t>
        </is>
      </c>
      <c r="AB322" s="391" t="inlineStr">
        <is>
          <t> </t>
        </is>
      </c>
      <c r="AC322" s="391" t="inlineStr">
        <is>
          <t> </t>
        </is>
      </c>
      <c r="AD322" s="391" t="inlineStr">
        <is>
          <t> </t>
        </is>
      </c>
      <c r="AE322" s="391" t="inlineStr">
        <is>
          <t> </t>
        </is>
      </c>
      <c r="AF322" s="38" t="inlineStr">
        <is>
          <t> </t>
        </is>
      </c>
      <c r="AG322" s="391" t="inlineStr">
        <is>
          <t> </t>
        </is>
      </c>
      <c r="AH322" s="391" t="n"/>
      <c r="AI322" s="391" t="inlineStr">
        <is>
          <t> </t>
        </is>
      </c>
      <c r="AJ322" s="391" t="inlineStr">
        <is>
          <t> </t>
        </is>
      </c>
      <c r="AK322" s="391" t="inlineStr">
        <is>
          <t> </t>
        </is>
      </c>
      <c r="AL322" s="391" t="inlineStr">
        <is>
          <t> </t>
        </is>
      </c>
      <c r="AM322" s="391" t="inlineStr">
        <is>
          <t> </t>
        </is>
      </c>
      <c r="AN322" s="391" t="inlineStr">
        <is>
          <t> </t>
        </is>
      </c>
      <c r="AO322" s="391" t="n"/>
      <c r="AP322" s="319" t="n"/>
      <c r="AQ322" s="319" t="n"/>
      <c r="AR322" s="319" t="n"/>
    </row>
    <row r="323" ht="15.75" customHeight="1" s="1264">
      <c r="A323" s="319" t="inlineStr">
        <is>
          <t> </t>
        </is>
      </c>
      <c r="B323" s="319" t="inlineStr">
        <is>
          <t> </t>
        </is>
      </c>
      <c r="C323" s="319" t="inlineStr">
        <is>
          <t> </t>
        </is>
      </c>
      <c r="D323" s="38" t="inlineStr">
        <is>
          <t> </t>
        </is>
      </c>
      <c r="E323" s="391" t="inlineStr">
        <is>
          <t> </t>
        </is>
      </c>
      <c r="F323" s="391" t="inlineStr">
        <is>
          <t> </t>
        </is>
      </c>
      <c r="G323" s="391" t="inlineStr">
        <is>
          <t> </t>
        </is>
      </c>
      <c r="H323" s="391" t="inlineStr">
        <is>
          <t> </t>
        </is>
      </c>
      <c r="I323" s="391" t="inlineStr">
        <is>
          <t> </t>
        </is>
      </c>
      <c r="J323" s="391" t="inlineStr">
        <is>
          <t> </t>
        </is>
      </c>
      <c r="K323" s="38" t="inlineStr">
        <is>
          <t> </t>
        </is>
      </c>
      <c r="L323" s="391" t="inlineStr">
        <is>
          <t> </t>
        </is>
      </c>
      <c r="M323" s="391" t="inlineStr">
        <is>
          <t> </t>
        </is>
      </c>
      <c r="N323" s="391" t="inlineStr">
        <is>
          <t> </t>
        </is>
      </c>
      <c r="O323" s="391" t="inlineStr">
        <is>
          <t> </t>
        </is>
      </c>
      <c r="P323" s="391" t="inlineStr">
        <is>
          <t> </t>
        </is>
      </c>
      <c r="Q323" s="391" t="inlineStr">
        <is>
          <t> </t>
        </is>
      </c>
      <c r="R323" s="38" t="inlineStr">
        <is>
          <t> </t>
        </is>
      </c>
      <c r="S323" s="391" t="inlineStr">
        <is>
          <t> </t>
        </is>
      </c>
      <c r="T323" s="391" t="inlineStr">
        <is>
          <t> </t>
        </is>
      </c>
      <c r="U323" s="391" t="inlineStr">
        <is>
          <t> </t>
        </is>
      </c>
      <c r="V323" s="391" t="inlineStr">
        <is>
          <t> </t>
        </is>
      </c>
      <c r="W323" s="391" t="inlineStr">
        <is>
          <t> </t>
        </is>
      </c>
      <c r="X323" s="391" t="inlineStr">
        <is>
          <t> </t>
        </is>
      </c>
      <c r="Y323" s="392" t="inlineStr">
        <is>
          <t> </t>
        </is>
      </c>
      <c r="Z323" s="391" t="inlineStr">
        <is>
          <t> </t>
        </is>
      </c>
      <c r="AA323" s="391" t="inlineStr">
        <is>
          <t> </t>
        </is>
      </c>
      <c r="AB323" s="391" t="inlineStr">
        <is>
          <t> </t>
        </is>
      </c>
      <c r="AC323" s="391" t="inlineStr">
        <is>
          <t> </t>
        </is>
      </c>
      <c r="AD323" s="391" t="inlineStr">
        <is>
          <t> </t>
        </is>
      </c>
      <c r="AE323" s="391" t="inlineStr">
        <is>
          <t> </t>
        </is>
      </c>
      <c r="AF323" s="38" t="inlineStr">
        <is>
          <t> </t>
        </is>
      </c>
      <c r="AG323" s="391" t="inlineStr">
        <is>
          <t> </t>
        </is>
      </c>
      <c r="AH323" s="391" t="n"/>
      <c r="AI323" s="391" t="inlineStr">
        <is>
          <t> </t>
        </is>
      </c>
      <c r="AJ323" s="391" t="inlineStr">
        <is>
          <t> </t>
        </is>
      </c>
      <c r="AK323" s="391" t="inlineStr">
        <is>
          <t> </t>
        </is>
      </c>
      <c r="AL323" s="391" t="inlineStr">
        <is>
          <t> </t>
        </is>
      </c>
      <c r="AM323" s="391" t="inlineStr">
        <is>
          <t> </t>
        </is>
      </c>
      <c r="AN323" s="391" t="inlineStr">
        <is>
          <t> </t>
        </is>
      </c>
      <c r="AO323" s="391" t="n"/>
      <c r="AP323" s="319" t="n"/>
      <c r="AQ323" s="319" t="n"/>
      <c r="AR323" s="319" t="n"/>
    </row>
    <row r="324" ht="15.75" customHeight="1" s="1264">
      <c r="A324" s="319" t="inlineStr">
        <is>
          <t> </t>
        </is>
      </c>
      <c r="B324" s="319" t="inlineStr">
        <is>
          <t> </t>
        </is>
      </c>
      <c r="C324" s="319" t="inlineStr">
        <is>
          <t> </t>
        </is>
      </c>
      <c r="D324" s="38" t="inlineStr">
        <is>
          <t> </t>
        </is>
      </c>
      <c r="E324" s="391" t="inlineStr">
        <is>
          <t> </t>
        </is>
      </c>
      <c r="F324" s="391" t="inlineStr">
        <is>
          <t> </t>
        </is>
      </c>
      <c r="G324" s="391" t="inlineStr">
        <is>
          <t> </t>
        </is>
      </c>
      <c r="H324" s="391" t="inlineStr">
        <is>
          <t> </t>
        </is>
      </c>
      <c r="I324" s="391" t="inlineStr">
        <is>
          <t> </t>
        </is>
      </c>
      <c r="J324" s="391" t="inlineStr">
        <is>
          <t> </t>
        </is>
      </c>
      <c r="K324" s="38" t="inlineStr">
        <is>
          <t> </t>
        </is>
      </c>
      <c r="L324" s="391" t="inlineStr">
        <is>
          <t> </t>
        </is>
      </c>
      <c r="M324" s="391" t="inlineStr">
        <is>
          <t> </t>
        </is>
      </c>
      <c r="N324" s="391" t="inlineStr">
        <is>
          <t> </t>
        </is>
      </c>
      <c r="O324" s="391" t="inlineStr">
        <is>
          <t> </t>
        </is>
      </c>
      <c r="P324" s="391" t="inlineStr">
        <is>
          <t> </t>
        </is>
      </c>
      <c r="Q324" s="391" t="inlineStr">
        <is>
          <t> </t>
        </is>
      </c>
      <c r="R324" s="38" t="inlineStr">
        <is>
          <t> </t>
        </is>
      </c>
      <c r="S324" s="391" t="inlineStr">
        <is>
          <t> </t>
        </is>
      </c>
      <c r="T324" s="391" t="inlineStr">
        <is>
          <t> </t>
        </is>
      </c>
      <c r="U324" s="391" t="inlineStr">
        <is>
          <t> </t>
        </is>
      </c>
      <c r="V324" s="391" t="inlineStr">
        <is>
          <t> </t>
        </is>
      </c>
      <c r="W324" s="391" t="inlineStr">
        <is>
          <t> </t>
        </is>
      </c>
      <c r="X324" s="391" t="inlineStr">
        <is>
          <t> </t>
        </is>
      </c>
      <c r="Y324" s="392" t="inlineStr">
        <is>
          <t> </t>
        </is>
      </c>
      <c r="Z324" s="391" t="inlineStr">
        <is>
          <t> </t>
        </is>
      </c>
      <c r="AA324" s="391" t="inlineStr">
        <is>
          <t> </t>
        </is>
      </c>
      <c r="AB324" s="391" t="inlineStr">
        <is>
          <t> </t>
        </is>
      </c>
      <c r="AC324" s="391" t="inlineStr">
        <is>
          <t> </t>
        </is>
      </c>
      <c r="AD324" s="391" t="inlineStr">
        <is>
          <t> </t>
        </is>
      </c>
      <c r="AE324" s="391" t="inlineStr">
        <is>
          <t> </t>
        </is>
      </c>
      <c r="AF324" s="38" t="inlineStr">
        <is>
          <t> </t>
        </is>
      </c>
      <c r="AG324" s="391" t="inlineStr">
        <is>
          <t> </t>
        </is>
      </c>
      <c r="AH324" s="391" t="n"/>
      <c r="AI324" s="391" t="inlineStr">
        <is>
          <t> </t>
        </is>
      </c>
      <c r="AJ324" s="391" t="inlineStr">
        <is>
          <t> </t>
        </is>
      </c>
      <c r="AK324" s="391" t="inlineStr">
        <is>
          <t> </t>
        </is>
      </c>
      <c r="AL324" s="391" t="inlineStr">
        <is>
          <t> </t>
        </is>
      </c>
      <c r="AM324" s="391" t="inlineStr">
        <is>
          <t> </t>
        </is>
      </c>
      <c r="AN324" s="391" t="inlineStr">
        <is>
          <t> </t>
        </is>
      </c>
      <c r="AO324" s="391" t="n"/>
      <c r="AP324" s="319" t="n"/>
      <c r="AQ324" s="319" t="n"/>
      <c r="AR324" s="319" t="n"/>
    </row>
    <row r="325" ht="15.75" customHeight="1" s="1264">
      <c r="A325" s="319" t="inlineStr">
        <is>
          <t> </t>
        </is>
      </c>
      <c r="B325" s="319" t="inlineStr">
        <is>
          <t> </t>
        </is>
      </c>
      <c r="C325" s="319" t="inlineStr">
        <is>
          <t> </t>
        </is>
      </c>
      <c r="D325" s="38" t="inlineStr">
        <is>
          <t> </t>
        </is>
      </c>
      <c r="E325" s="391" t="inlineStr">
        <is>
          <t> </t>
        </is>
      </c>
      <c r="F325" s="391" t="inlineStr">
        <is>
          <t> </t>
        </is>
      </c>
      <c r="G325" s="391" t="inlineStr">
        <is>
          <t> </t>
        </is>
      </c>
      <c r="H325" s="391" t="inlineStr">
        <is>
          <t> </t>
        </is>
      </c>
      <c r="I325" s="391" t="inlineStr">
        <is>
          <t> </t>
        </is>
      </c>
      <c r="J325" s="391" t="inlineStr">
        <is>
          <t> </t>
        </is>
      </c>
      <c r="K325" s="38" t="inlineStr">
        <is>
          <t> </t>
        </is>
      </c>
      <c r="L325" s="391" t="inlineStr">
        <is>
          <t> </t>
        </is>
      </c>
      <c r="M325" s="391" t="inlineStr">
        <is>
          <t> </t>
        </is>
      </c>
      <c r="N325" s="391" t="inlineStr">
        <is>
          <t> </t>
        </is>
      </c>
      <c r="O325" s="391" t="inlineStr">
        <is>
          <t> </t>
        </is>
      </c>
      <c r="P325" s="391" t="inlineStr">
        <is>
          <t> </t>
        </is>
      </c>
      <c r="Q325" s="391" t="inlineStr">
        <is>
          <t> </t>
        </is>
      </c>
      <c r="R325" s="38" t="inlineStr">
        <is>
          <t> </t>
        </is>
      </c>
      <c r="S325" s="391" t="inlineStr">
        <is>
          <t> </t>
        </is>
      </c>
      <c r="T325" s="391" t="inlineStr">
        <is>
          <t> </t>
        </is>
      </c>
      <c r="U325" s="391" t="inlineStr">
        <is>
          <t> </t>
        </is>
      </c>
      <c r="V325" s="391" t="inlineStr">
        <is>
          <t> </t>
        </is>
      </c>
      <c r="W325" s="391" t="inlineStr">
        <is>
          <t> </t>
        </is>
      </c>
      <c r="X325" s="391" t="inlineStr">
        <is>
          <t> </t>
        </is>
      </c>
      <c r="Y325" s="392" t="inlineStr">
        <is>
          <t> </t>
        </is>
      </c>
      <c r="Z325" s="391" t="inlineStr">
        <is>
          <t> </t>
        </is>
      </c>
      <c r="AA325" s="391" t="inlineStr">
        <is>
          <t> </t>
        </is>
      </c>
      <c r="AB325" s="391" t="inlineStr">
        <is>
          <t> </t>
        </is>
      </c>
      <c r="AC325" s="391" t="inlineStr">
        <is>
          <t> </t>
        </is>
      </c>
      <c r="AD325" s="391" t="inlineStr">
        <is>
          <t> </t>
        </is>
      </c>
      <c r="AE325" s="391" t="inlineStr">
        <is>
          <t> </t>
        </is>
      </c>
      <c r="AF325" s="38" t="inlineStr">
        <is>
          <t> </t>
        </is>
      </c>
      <c r="AG325" s="391" t="inlineStr">
        <is>
          <t> </t>
        </is>
      </c>
      <c r="AH325" s="391" t="n"/>
      <c r="AI325" s="391" t="inlineStr">
        <is>
          <t> </t>
        </is>
      </c>
      <c r="AJ325" s="391" t="inlineStr">
        <is>
          <t> </t>
        </is>
      </c>
      <c r="AK325" s="391" t="inlineStr">
        <is>
          <t> </t>
        </is>
      </c>
      <c r="AL325" s="391" t="inlineStr">
        <is>
          <t> </t>
        </is>
      </c>
      <c r="AM325" s="391" t="inlineStr">
        <is>
          <t> </t>
        </is>
      </c>
      <c r="AN325" s="391" t="inlineStr">
        <is>
          <t> </t>
        </is>
      </c>
      <c r="AO325" s="391" t="n"/>
      <c r="AP325" s="319" t="n"/>
      <c r="AQ325" s="319" t="n"/>
      <c r="AR325" s="319" t="n"/>
    </row>
    <row r="326" ht="15.75" customHeight="1" s="1264">
      <c r="A326" s="319" t="inlineStr">
        <is>
          <t> </t>
        </is>
      </c>
      <c r="B326" s="319" t="inlineStr">
        <is>
          <t> </t>
        </is>
      </c>
      <c r="C326" s="319" t="inlineStr">
        <is>
          <t> </t>
        </is>
      </c>
      <c r="D326" s="38" t="inlineStr">
        <is>
          <t> </t>
        </is>
      </c>
      <c r="E326" s="391" t="inlineStr">
        <is>
          <t> </t>
        </is>
      </c>
      <c r="F326" s="391" t="inlineStr">
        <is>
          <t> </t>
        </is>
      </c>
      <c r="G326" s="391" t="inlineStr">
        <is>
          <t> </t>
        </is>
      </c>
      <c r="H326" s="391" t="inlineStr">
        <is>
          <t> </t>
        </is>
      </c>
      <c r="I326" s="391" t="inlineStr">
        <is>
          <t> </t>
        </is>
      </c>
      <c r="J326" s="391" t="inlineStr">
        <is>
          <t> </t>
        </is>
      </c>
      <c r="K326" s="38" t="inlineStr">
        <is>
          <t> </t>
        </is>
      </c>
      <c r="L326" s="391" t="inlineStr">
        <is>
          <t> </t>
        </is>
      </c>
      <c r="M326" s="391" t="inlineStr">
        <is>
          <t> </t>
        </is>
      </c>
      <c r="N326" s="391" t="inlineStr">
        <is>
          <t> </t>
        </is>
      </c>
      <c r="O326" s="391" t="inlineStr">
        <is>
          <t> </t>
        </is>
      </c>
      <c r="P326" s="391" t="inlineStr">
        <is>
          <t> </t>
        </is>
      </c>
      <c r="Q326" s="391" t="inlineStr">
        <is>
          <t> </t>
        </is>
      </c>
      <c r="R326" s="38" t="inlineStr">
        <is>
          <t> </t>
        </is>
      </c>
      <c r="S326" s="391" t="inlineStr">
        <is>
          <t> </t>
        </is>
      </c>
      <c r="T326" s="391" t="inlineStr">
        <is>
          <t> </t>
        </is>
      </c>
      <c r="U326" s="391" t="inlineStr">
        <is>
          <t> </t>
        </is>
      </c>
      <c r="V326" s="391" t="inlineStr">
        <is>
          <t> </t>
        </is>
      </c>
      <c r="W326" s="391" t="inlineStr">
        <is>
          <t> </t>
        </is>
      </c>
      <c r="X326" s="391" t="inlineStr">
        <is>
          <t> </t>
        </is>
      </c>
      <c r="Y326" s="392" t="inlineStr">
        <is>
          <t> </t>
        </is>
      </c>
      <c r="Z326" s="391" t="inlineStr">
        <is>
          <t> </t>
        </is>
      </c>
      <c r="AA326" s="391" t="inlineStr">
        <is>
          <t> </t>
        </is>
      </c>
      <c r="AB326" s="391" t="inlineStr">
        <is>
          <t> </t>
        </is>
      </c>
      <c r="AC326" s="391" t="inlineStr">
        <is>
          <t> </t>
        </is>
      </c>
      <c r="AD326" s="391" t="inlineStr">
        <is>
          <t> </t>
        </is>
      </c>
      <c r="AE326" s="391" t="inlineStr">
        <is>
          <t> </t>
        </is>
      </c>
      <c r="AF326" s="38" t="inlineStr">
        <is>
          <t> </t>
        </is>
      </c>
      <c r="AG326" s="391" t="inlineStr">
        <is>
          <t> </t>
        </is>
      </c>
      <c r="AH326" s="391" t="n"/>
      <c r="AI326" s="391" t="inlineStr">
        <is>
          <t> </t>
        </is>
      </c>
      <c r="AJ326" s="391" t="inlineStr">
        <is>
          <t> </t>
        </is>
      </c>
      <c r="AK326" s="391" t="inlineStr">
        <is>
          <t> </t>
        </is>
      </c>
      <c r="AL326" s="391" t="inlineStr">
        <is>
          <t> </t>
        </is>
      </c>
      <c r="AM326" s="391" t="inlineStr">
        <is>
          <t> </t>
        </is>
      </c>
      <c r="AN326" s="391" t="inlineStr">
        <is>
          <t> </t>
        </is>
      </c>
      <c r="AO326" s="391" t="n"/>
      <c r="AP326" s="319" t="n"/>
      <c r="AQ326" s="319" t="n"/>
      <c r="AR326" s="319" t="n"/>
    </row>
    <row r="327" ht="15.75" customHeight="1" s="1264">
      <c r="A327" s="319" t="inlineStr">
        <is>
          <t> </t>
        </is>
      </c>
      <c r="B327" s="319" t="inlineStr">
        <is>
          <t> </t>
        </is>
      </c>
      <c r="C327" s="319" t="inlineStr">
        <is>
          <t> </t>
        </is>
      </c>
      <c r="D327" s="38" t="inlineStr">
        <is>
          <t> </t>
        </is>
      </c>
      <c r="E327" s="391" t="inlineStr">
        <is>
          <t> </t>
        </is>
      </c>
      <c r="F327" s="391" t="inlineStr">
        <is>
          <t> </t>
        </is>
      </c>
      <c r="G327" s="391" t="inlineStr">
        <is>
          <t> </t>
        </is>
      </c>
      <c r="H327" s="391" t="inlineStr">
        <is>
          <t> </t>
        </is>
      </c>
      <c r="I327" s="391" t="inlineStr">
        <is>
          <t> </t>
        </is>
      </c>
      <c r="J327" s="391" t="inlineStr">
        <is>
          <t> </t>
        </is>
      </c>
      <c r="K327" s="38" t="inlineStr">
        <is>
          <t> </t>
        </is>
      </c>
      <c r="L327" s="391" t="inlineStr">
        <is>
          <t> </t>
        </is>
      </c>
      <c r="M327" s="391" t="inlineStr">
        <is>
          <t> </t>
        </is>
      </c>
      <c r="N327" s="391" t="inlineStr">
        <is>
          <t> </t>
        </is>
      </c>
      <c r="O327" s="391" t="inlineStr">
        <is>
          <t> </t>
        </is>
      </c>
      <c r="P327" s="391" t="inlineStr">
        <is>
          <t> </t>
        </is>
      </c>
      <c r="Q327" s="391" t="inlineStr">
        <is>
          <t> </t>
        </is>
      </c>
      <c r="R327" s="38" t="inlineStr">
        <is>
          <t> </t>
        </is>
      </c>
      <c r="S327" s="391" t="inlineStr">
        <is>
          <t> </t>
        </is>
      </c>
      <c r="T327" s="391" t="inlineStr">
        <is>
          <t> </t>
        </is>
      </c>
      <c r="U327" s="391" t="inlineStr">
        <is>
          <t> </t>
        </is>
      </c>
      <c r="V327" s="391" t="inlineStr">
        <is>
          <t> </t>
        </is>
      </c>
      <c r="W327" s="391" t="inlineStr">
        <is>
          <t> </t>
        </is>
      </c>
      <c r="X327" s="391" t="inlineStr">
        <is>
          <t> </t>
        </is>
      </c>
      <c r="Y327" s="392" t="inlineStr">
        <is>
          <t> </t>
        </is>
      </c>
      <c r="Z327" s="391" t="inlineStr">
        <is>
          <t> </t>
        </is>
      </c>
      <c r="AA327" s="391" t="inlineStr">
        <is>
          <t> </t>
        </is>
      </c>
      <c r="AB327" s="391" t="inlineStr">
        <is>
          <t> </t>
        </is>
      </c>
      <c r="AC327" s="391" t="inlineStr">
        <is>
          <t> </t>
        </is>
      </c>
      <c r="AD327" s="391" t="inlineStr">
        <is>
          <t> </t>
        </is>
      </c>
      <c r="AE327" s="391" t="inlineStr">
        <is>
          <t> </t>
        </is>
      </c>
      <c r="AF327" s="38" t="inlineStr">
        <is>
          <t> </t>
        </is>
      </c>
      <c r="AG327" s="391" t="inlineStr">
        <is>
          <t> </t>
        </is>
      </c>
      <c r="AH327" s="391" t="n"/>
      <c r="AI327" s="391" t="inlineStr">
        <is>
          <t> </t>
        </is>
      </c>
      <c r="AJ327" s="391" t="inlineStr">
        <is>
          <t> </t>
        </is>
      </c>
      <c r="AK327" s="391" t="inlineStr">
        <is>
          <t> </t>
        </is>
      </c>
      <c r="AL327" s="391" t="inlineStr">
        <is>
          <t> </t>
        </is>
      </c>
      <c r="AM327" s="391" t="inlineStr">
        <is>
          <t> </t>
        </is>
      </c>
      <c r="AN327" s="391" t="inlineStr">
        <is>
          <t> </t>
        </is>
      </c>
      <c r="AO327" s="391" t="n"/>
      <c r="AP327" s="319" t="n"/>
      <c r="AQ327" s="319" t="n"/>
      <c r="AR327" s="319" t="n"/>
    </row>
    <row r="328" ht="15.75" customHeight="1" s="1264">
      <c r="A328" s="319" t="inlineStr">
        <is>
          <t> </t>
        </is>
      </c>
      <c r="B328" s="319" t="inlineStr">
        <is>
          <t> </t>
        </is>
      </c>
      <c r="C328" s="319" t="inlineStr">
        <is>
          <t> </t>
        </is>
      </c>
      <c r="D328" s="38" t="inlineStr">
        <is>
          <t> </t>
        </is>
      </c>
      <c r="E328" s="391" t="inlineStr">
        <is>
          <t> </t>
        </is>
      </c>
      <c r="F328" s="391" t="inlineStr">
        <is>
          <t> </t>
        </is>
      </c>
      <c r="G328" s="391" t="inlineStr">
        <is>
          <t> </t>
        </is>
      </c>
      <c r="H328" s="391" t="inlineStr">
        <is>
          <t> </t>
        </is>
      </c>
      <c r="I328" s="391" t="inlineStr">
        <is>
          <t> </t>
        </is>
      </c>
      <c r="J328" s="391" t="inlineStr">
        <is>
          <t> </t>
        </is>
      </c>
      <c r="K328" s="38" t="inlineStr">
        <is>
          <t> </t>
        </is>
      </c>
      <c r="L328" s="391" t="inlineStr">
        <is>
          <t> </t>
        </is>
      </c>
      <c r="M328" s="391" t="inlineStr">
        <is>
          <t> </t>
        </is>
      </c>
      <c r="N328" s="391" t="inlineStr">
        <is>
          <t> </t>
        </is>
      </c>
      <c r="O328" s="391" t="inlineStr">
        <is>
          <t> </t>
        </is>
      </c>
      <c r="P328" s="391" t="inlineStr">
        <is>
          <t> </t>
        </is>
      </c>
      <c r="Q328" s="391" t="inlineStr">
        <is>
          <t> </t>
        </is>
      </c>
      <c r="R328" s="38" t="inlineStr">
        <is>
          <t> </t>
        </is>
      </c>
      <c r="S328" s="391" t="inlineStr">
        <is>
          <t> </t>
        </is>
      </c>
      <c r="T328" s="391" t="inlineStr">
        <is>
          <t> </t>
        </is>
      </c>
      <c r="U328" s="391" t="inlineStr">
        <is>
          <t> </t>
        </is>
      </c>
      <c r="V328" s="391" t="inlineStr">
        <is>
          <t> </t>
        </is>
      </c>
      <c r="W328" s="391" t="inlineStr">
        <is>
          <t> </t>
        </is>
      </c>
      <c r="X328" s="391" t="inlineStr">
        <is>
          <t> </t>
        </is>
      </c>
      <c r="Y328" s="392" t="inlineStr">
        <is>
          <t> </t>
        </is>
      </c>
      <c r="Z328" s="391" t="inlineStr">
        <is>
          <t> </t>
        </is>
      </c>
      <c r="AA328" s="391" t="inlineStr">
        <is>
          <t> </t>
        </is>
      </c>
      <c r="AB328" s="391" t="inlineStr">
        <is>
          <t> </t>
        </is>
      </c>
      <c r="AC328" s="391" t="inlineStr">
        <is>
          <t> </t>
        </is>
      </c>
      <c r="AD328" s="391" t="inlineStr">
        <is>
          <t> </t>
        </is>
      </c>
      <c r="AE328" s="391" t="inlineStr">
        <is>
          <t> </t>
        </is>
      </c>
      <c r="AF328" s="38" t="inlineStr">
        <is>
          <t> </t>
        </is>
      </c>
      <c r="AG328" s="391" t="inlineStr">
        <is>
          <t> </t>
        </is>
      </c>
      <c r="AH328" s="391" t="n"/>
      <c r="AI328" s="391" t="inlineStr">
        <is>
          <t> </t>
        </is>
      </c>
      <c r="AJ328" s="391" t="inlineStr">
        <is>
          <t> </t>
        </is>
      </c>
      <c r="AK328" s="391" t="inlineStr">
        <is>
          <t> </t>
        </is>
      </c>
      <c r="AL328" s="391" t="inlineStr">
        <is>
          <t> </t>
        </is>
      </c>
      <c r="AM328" s="391" t="inlineStr">
        <is>
          <t> </t>
        </is>
      </c>
      <c r="AN328" s="391" t="inlineStr">
        <is>
          <t> </t>
        </is>
      </c>
      <c r="AO328" s="391" t="n"/>
      <c r="AP328" s="319" t="n"/>
      <c r="AQ328" s="319" t="n"/>
      <c r="AR328" s="319" t="n"/>
    </row>
    <row r="329" ht="15.75" customHeight="1" s="1264">
      <c r="A329" s="319" t="inlineStr">
        <is>
          <t> </t>
        </is>
      </c>
      <c r="B329" s="319" t="inlineStr">
        <is>
          <t> </t>
        </is>
      </c>
      <c r="C329" s="319" t="inlineStr">
        <is>
          <t> </t>
        </is>
      </c>
      <c r="D329" s="38" t="inlineStr">
        <is>
          <t> </t>
        </is>
      </c>
      <c r="E329" s="391" t="inlineStr">
        <is>
          <t> </t>
        </is>
      </c>
      <c r="F329" s="391" t="inlineStr">
        <is>
          <t> </t>
        </is>
      </c>
      <c r="G329" s="391" t="inlineStr">
        <is>
          <t> </t>
        </is>
      </c>
      <c r="H329" s="391" t="inlineStr">
        <is>
          <t> </t>
        </is>
      </c>
      <c r="I329" s="391" t="inlineStr">
        <is>
          <t> </t>
        </is>
      </c>
      <c r="J329" s="391" t="inlineStr">
        <is>
          <t> </t>
        </is>
      </c>
      <c r="K329" s="38" t="inlineStr">
        <is>
          <t> </t>
        </is>
      </c>
      <c r="L329" s="391" t="inlineStr">
        <is>
          <t> </t>
        </is>
      </c>
      <c r="M329" s="391" t="inlineStr">
        <is>
          <t> </t>
        </is>
      </c>
      <c r="N329" s="391" t="inlineStr">
        <is>
          <t> </t>
        </is>
      </c>
      <c r="O329" s="391" t="inlineStr">
        <is>
          <t> </t>
        </is>
      </c>
      <c r="P329" s="391" t="inlineStr">
        <is>
          <t> </t>
        </is>
      </c>
      <c r="Q329" s="391" t="inlineStr">
        <is>
          <t> </t>
        </is>
      </c>
      <c r="R329" s="38" t="inlineStr">
        <is>
          <t> </t>
        </is>
      </c>
      <c r="S329" s="391" t="inlineStr">
        <is>
          <t> </t>
        </is>
      </c>
      <c r="T329" s="391" t="inlineStr">
        <is>
          <t> </t>
        </is>
      </c>
      <c r="U329" s="391" t="inlineStr">
        <is>
          <t> </t>
        </is>
      </c>
      <c r="V329" s="391" t="inlineStr">
        <is>
          <t> </t>
        </is>
      </c>
      <c r="W329" s="391" t="inlineStr">
        <is>
          <t> </t>
        </is>
      </c>
      <c r="X329" s="391" t="inlineStr">
        <is>
          <t> </t>
        </is>
      </c>
      <c r="Y329" s="392" t="inlineStr">
        <is>
          <t> </t>
        </is>
      </c>
      <c r="Z329" s="391" t="inlineStr">
        <is>
          <t> </t>
        </is>
      </c>
      <c r="AA329" s="391" t="inlineStr">
        <is>
          <t> </t>
        </is>
      </c>
      <c r="AB329" s="391" t="inlineStr">
        <is>
          <t> </t>
        </is>
      </c>
      <c r="AC329" s="391" t="inlineStr">
        <is>
          <t> </t>
        </is>
      </c>
      <c r="AD329" s="391" t="inlineStr">
        <is>
          <t> </t>
        </is>
      </c>
      <c r="AE329" s="391" t="inlineStr">
        <is>
          <t> </t>
        </is>
      </c>
      <c r="AF329" s="38" t="inlineStr">
        <is>
          <t> </t>
        </is>
      </c>
      <c r="AG329" s="391" t="inlineStr">
        <is>
          <t> </t>
        </is>
      </c>
      <c r="AH329" s="391" t="n"/>
      <c r="AI329" s="391" t="inlineStr">
        <is>
          <t> </t>
        </is>
      </c>
      <c r="AJ329" s="391" t="inlineStr">
        <is>
          <t> </t>
        </is>
      </c>
      <c r="AK329" s="391" t="inlineStr">
        <is>
          <t> </t>
        </is>
      </c>
      <c r="AL329" s="391" t="inlineStr">
        <is>
          <t> </t>
        </is>
      </c>
      <c r="AM329" s="391" t="inlineStr">
        <is>
          <t> </t>
        </is>
      </c>
      <c r="AN329" s="391" t="inlineStr">
        <is>
          <t> </t>
        </is>
      </c>
      <c r="AO329" s="391" t="n"/>
      <c r="AP329" s="319" t="n"/>
      <c r="AQ329" s="319" t="n"/>
      <c r="AR329" s="319" t="n"/>
    </row>
    <row r="330" ht="15.75" customHeight="1" s="1264">
      <c r="A330" s="319" t="inlineStr">
        <is>
          <t> </t>
        </is>
      </c>
      <c r="B330" s="319" t="inlineStr">
        <is>
          <t> </t>
        </is>
      </c>
      <c r="C330" s="319" t="inlineStr">
        <is>
          <t> </t>
        </is>
      </c>
      <c r="D330" s="38" t="inlineStr">
        <is>
          <t> </t>
        </is>
      </c>
      <c r="E330" s="391" t="inlineStr">
        <is>
          <t> </t>
        </is>
      </c>
      <c r="F330" s="391" t="inlineStr">
        <is>
          <t> </t>
        </is>
      </c>
      <c r="G330" s="391" t="inlineStr">
        <is>
          <t> </t>
        </is>
      </c>
      <c r="H330" s="391" t="inlineStr">
        <is>
          <t> </t>
        </is>
      </c>
      <c r="I330" s="391" t="inlineStr">
        <is>
          <t> </t>
        </is>
      </c>
      <c r="J330" s="391" t="inlineStr">
        <is>
          <t> </t>
        </is>
      </c>
      <c r="K330" s="38" t="inlineStr">
        <is>
          <t> </t>
        </is>
      </c>
      <c r="L330" s="391" t="inlineStr">
        <is>
          <t> </t>
        </is>
      </c>
      <c r="M330" s="391" t="inlineStr">
        <is>
          <t> </t>
        </is>
      </c>
      <c r="N330" s="391" t="inlineStr">
        <is>
          <t> </t>
        </is>
      </c>
      <c r="O330" s="391" t="inlineStr">
        <is>
          <t> </t>
        </is>
      </c>
      <c r="P330" s="391" t="inlineStr">
        <is>
          <t> </t>
        </is>
      </c>
      <c r="Q330" s="391" t="inlineStr">
        <is>
          <t> </t>
        </is>
      </c>
      <c r="R330" s="38" t="inlineStr">
        <is>
          <t> </t>
        </is>
      </c>
      <c r="S330" s="391" t="inlineStr">
        <is>
          <t> </t>
        </is>
      </c>
      <c r="T330" s="391" t="inlineStr">
        <is>
          <t> </t>
        </is>
      </c>
      <c r="U330" s="391" t="inlineStr">
        <is>
          <t> </t>
        </is>
      </c>
      <c r="V330" s="391" t="inlineStr">
        <is>
          <t> </t>
        </is>
      </c>
      <c r="W330" s="391" t="inlineStr">
        <is>
          <t> </t>
        </is>
      </c>
      <c r="X330" s="391" t="inlineStr">
        <is>
          <t> </t>
        </is>
      </c>
      <c r="Y330" s="392" t="inlineStr">
        <is>
          <t> </t>
        </is>
      </c>
      <c r="Z330" s="391" t="inlineStr">
        <is>
          <t> </t>
        </is>
      </c>
      <c r="AA330" s="391" t="inlineStr">
        <is>
          <t> </t>
        </is>
      </c>
      <c r="AB330" s="391" t="inlineStr">
        <is>
          <t> </t>
        </is>
      </c>
      <c r="AC330" s="391" t="inlineStr">
        <is>
          <t> </t>
        </is>
      </c>
      <c r="AD330" s="391" t="inlineStr">
        <is>
          <t> </t>
        </is>
      </c>
      <c r="AE330" s="391" t="inlineStr">
        <is>
          <t> </t>
        </is>
      </c>
      <c r="AF330" s="38" t="inlineStr">
        <is>
          <t> </t>
        </is>
      </c>
      <c r="AG330" s="391" t="inlineStr">
        <is>
          <t> </t>
        </is>
      </c>
      <c r="AH330" s="391" t="n"/>
      <c r="AI330" s="391" t="inlineStr">
        <is>
          <t> </t>
        </is>
      </c>
      <c r="AJ330" s="391" t="inlineStr">
        <is>
          <t> </t>
        </is>
      </c>
      <c r="AK330" s="391" t="inlineStr">
        <is>
          <t> </t>
        </is>
      </c>
      <c r="AL330" s="391" t="inlineStr">
        <is>
          <t> </t>
        </is>
      </c>
      <c r="AM330" s="391" t="inlineStr">
        <is>
          <t> </t>
        </is>
      </c>
      <c r="AN330" s="391" t="inlineStr">
        <is>
          <t> </t>
        </is>
      </c>
      <c r="AO330" s="391" t="n"/>
      <c r="AP330" s="319" t="n"/>
      <c r="AQ330" s="319" t="n"/>
      <c r="AR330" s="319" t="n"/>
    </row>
    <row r="331" ht="15.75" customHeight="1" s="1264">
      <c r="A331" s="319" t="inlineStr">
        <is>
          <t> </t>
        </is>
      </c>
      <c r="B331" s="319" t="inlineStr">
        <is>
          <t> </t>
        </is>
      </c>
      <c r="C331" s="319" t="inlineStr">
        <is>
          <t> </t>
        </is>
      </c>
      <c r="D331" s="38" t="inlineStr">
        <is>
          <t> </t>
        </is>
      </c>
      <c r="E331" s="391" t="inlineStr">
        <is>
          <t> </t>
        </is>
      </c>
      <c r="F331" s="391" t="inlineStr">
        <is>
          <t> </t>
        </is>
      </c>
      <c r="G331" s="391" t="inlineStr">
        <is>
          <t> </t>
        </is>
      </c>
      <c r="H331" s="391" t="inlineStr">
        <is>
          <t> </t>
        </is>
      </c>
      <c r="I331" s="391" t="inlineStr">
        <is>
          <t> </t>
        </is>
      </c>
      <c r="J331" s="391" t="inlineStr">
        <is>
          <t> </t>
        </is>
      </c>
      <c r="K331" s="38" t="inlineStr">
        <is>
          <t> </t>
        </is>
      </c>
      <c r="L331" s="391" t="inlineStr">
        <is>
          <t> </t>
        </is>
      </c>
      <c r="M331" s="391" t="inlineStr">
        <is>
          <t> </t>
        </is>
      </c>
      <c r="N331" s="391" t="inlineStr">
        <is>
          <t> </t>
        </is>
      </c>
      <c r="O331" s="391" t="inlineStr">
        <is>
          <t> </t>
        </is>
      </c>
      <c r="P331" s="391" t="inlineStr">
        <is>
          <t> </t>
        </is>
      </c>
      <c r="Q331" s="391" t="inlineStr">
        <is>
          <t> </t>
        </is>
      </c>
      <c r="R331" s="38" t="inlineStr">
        <is>
          <t> </t>
        </is>
      </c>
      <c r="S331" s="391" t="inlineStr">
        <is>
          <t> </t>
        </is>
      </c>
      <c r="T331" s="391" t="inlineStr">
        <is>
          <t> </t>
        </is>
      </c>
      <c r="U331" s="391" t="inlineStr">
        <is>
          <t> </t>
        </is>
      </c>
      <c r="V331" s="391" t="inlineStr">
        <is>
          <t> </t>
        </is>
      </c>
      <c r="W331" s="391" t="inlineStr">
        <is>
          <t> </t>
        </is>
      </c>
      <c r="X331" s="391" t="inlineStr">
        <is>
          <t> </t>
        </is>
      </c>
      <c r="Y331" s="392" t="inlineStr">
        <is>
          <t> </t>
        </is>
      </c>
      <c r="Z331" s="391" t="inlineStr">
        <is>
          <t> </t>
        </is>
      </c>
      <c r="AA331" s="391" t="inlineStr">
        <is>
          <t> </t>
        </is>
      </c>
      <c r="AB331" s="391" t="inlineStr">
        <is>
          <t> </t>
        </is>
      </c>
      <c r="AC331" s="391" t="inlineStr">
        <is>
          <t> </t>
        </is>
      </c>
      <c r="AD331" s="391" t="inlineStr">
        <is>
          <t> </t>
        </is>
      </c>
      <c r="AE331" s="391" t="inlineStr">
        <is>
          <t> </t>
        </is>
      </c>
      <c r="AF331" s="38" t="inlineStr">
        <is>
          <t> </t>
        </is>
      </c>
      <c r="AG331" s="391" t="inlineStr">
        <is>
          <t> </t>
        </is>
      </c>
      <c r="AH331" s="391" t="n"/>
      <c r="AI331" s="391" t="inlineStr">
        <is>
          <t> </t>
        </is>
      </c>
      <c r="AJ331" s="391" t="inlineStr">
        <is>
          <t> </t>
        </is>
      </c>
      <c r="AK331" s="391" t="inlineStr">
        <is>
          <t> </t>
        </is>
      </c>
      <c r="AL331" s="391" t="inlineStr">
        <is>
          <t> </t>
        </is>
      </c>
      <c r="AM331" s="391" t="inlineStr">
        <is>
          <t> </t>
        </is>
      </c>
      <c r="AN331" s="391" t="inlineStr">
        <is>
          <t> </t>
        </is>
      </c>
      <c r="AO331" s="391" t="n"/>
      <c r="AP331" s="319" t="n"/>
      <c r="AQ331" s="319" t="n"/>
      <c r="AR331" s="319" t="n"/>
    </row>
    <row r="332" ht="15.75" customHeight="1" s="1264">
      <c r="A332" s="319" t="inlineStr">
        <is>
          <t> </t>
        </is>
      </c>
      <c r="B332" s="319" t="inlineStr">
        <is>
          <t> </t>
        </is>
      </c>
      <c r="C332" s="319" t="inlineStr">
        <is>
          <t> </t>
        </is>
      </c>
      <c r="D332" s="38" t="inlineStr">
        <is>
          <t> </t>
        </is>
      </c>
      <c r="E332" s="391" t="inlineStr">
        <is>
          <t> </t>
        </is>
      </c>
      <c r="F332" s="391" t="inlineStr">
        <is>
          <t> </t>
        </is>
      </c>
      <c r="G332" s="391" t="inlineStr">
        <is>
          <t> </t>
        </is>
      </c>
      <c r="H332" s="391" t="inlineStr">
        <is>
          <t> </t>
        </is>
      </c>
      <c r="I332" s="391" t="inlineStr">
        <is>
          <t> </t>
        </is>
      </c>
      <c r="J332" s="391" t="inlineStr">
        <is>
          <t> </t>
        </is>
      </c>
      <c r="K332" s="38" t="inlineStr">
        <is>
          <t> </t>
        </is>
      </c>
      <c r="L332" s="391" t="inlineStr">
        <is>
          <t> </t>
        </is>
      </c>
      <c r="M332" s="391" t="inlineStr">
        <is>
          <t> </t>
        </is>
      </c>
      <c r="N332" s="391" t="inlineStr">
        <is>
          <t> </t>
        </is>
      </c>
      <c r="O332" s="391" t="inlineStr">
        <is>
          <t> </t>
        </is>
      </c>
      <c r="P332" s="391" t="inlineStr">
        <is>
          <t> </t>
        </is>
      </c>
      <c r="Q332" s="391" t="inlineStr">
        <is>
          <t> </t>
        </is>
      </c>
      <c r="R332" s="38" t="inlineStr">
        <is>
          <t> </t>
        </is>
      </c>
      <c r="S332" s="391" t="inlineStr">
        <is>
          <t> </t>
        </is>
      </c>
      <c r="T332" s="391" t="inlineStr">
        <is>
          <t> </t>
        </is>
      </c>
      <c r="U332" s="391" t="inlineStr">
        <is>
          <t> </t>
        </is>
      </c>
      <c r="V332" s="391" t="inlineStr">
        <is>
          <t> </t>
        </is>
      </c>
      <c r="W332" s="391" t="inlineStr">
        <is>
          <t> </t>
        </is>
      </c>
      <c r="X332" s="391" t="inlineStr">
        <is>
          <t> </t>
        </is>
      </c>
      <c r="Y332" s="392" t="inlineStr">
        <is>
          <t> </t>
        </is>
      </c>
      <c r="Z332" s="391" t="inlineStr">
        <is>
          <t> </t>
        </is>
      </c>
      <c r="AA332" s="391" t="inlineStr">
        <is>
          <t> </t>
        </is>
      </c>
      <c r="AB332" s="391" t="inlineStr">
        <is>
          <t> </t>
        </is>
      </c>
      <c r="AC332" s="391" t="inlineStr">
        <is>
          <t> </t>
        </is>
      </c>
      <c r="AD332" s="391" t="inlineStr">
        <is>
          <t> </t>
        </is>
      </c>
      <c r="AE332" s="391" t="inlineStr">
        <is>
          <t> </t>
        </is>
      </c>
      <c r="AF332" s="38" t="inlineStr">
        <is>
          <t> </t>
        </is>
      </c>
      <c r="AG332" s="391" t="inlineStr">
        <is>
          <t> </t>
        </is>
      </c>
      <c r="AH332" s="391" t="n"/>
      <c r="AI332" s="391" t="inlineStr">
        <is>
          <t> </t>
        </is>
      </c>
      <c r="AJ332" s="391" t="inlineStr">
        <is>
          <t> </t>
        </is>
      </c>
      <c r="AK332" s="391" t="inlineStr">
        <is>
          <t> </t>
        </is>
      </c>
      <c r="AL332" s="391" t="inlineStr">
        <is>
          <t> </t>
        </is>
      </c>
      <c r="AM332" s="391" t="inlineStr">
        <is>
          <t> </t>
        </is>
      </c>
      <c r="AN332" s="391" t="inlineStr">
        <is>
          <t> </t>
        </is>
      </c>
      <c r="AO332" s="391" t="n"/>
      <c r="AP332" s="319" t="n"/>
      <c r="AQ332" s="319" t="n"/>
      <c r="AR332" s="319" t="n"/>
    </row>
    <row r="333" ht="15.75" customHeight="1" s="1264">
      <c r="A333" s="319" t="inlineStr">
        <is>
          <t> </t>
        </is>
      </c>
      <c r="B333" s="319" t="inlineStr">
        <is>
          <t> </t>
        </is>
      </c>
      <c r="C333" s="319" t="inlineStr">
        <is>
          <t> </t>
        </is>
      </c>
      <c r="D333" s="38" t="inlineStr">
        <is>
          <t> </t>
        </is>
      </c>
      <c r="E333" s="391" t="inlineStr">
        <is>
          <t> </t>
        </is>
      </c>
      <c r="F333" s="391" t="inlineStr">
        <is>
          <t> </t>
        </is>
      </c>
      <c r="G333" s="391" t="inlineStr">
        <is>
          <t> </t>
        </is>
      </c>
      <c r="H333" s="391" t="inlineStr">
        <is>
          <t> </t>
        </is>
      </c>
      <c r="I333" s="391" t="inlineStr">
        <is>
          <t> </t>
        </is>
      </c>
      <c r="J333" s="391" t="inlineStr">
        <is>
          <t> </t>
        </is>
      </c>
      <c r="K333" s="38" t="inlineStr">
        <is>
          <t> </t>
        </is>
      </c>
      <c r="L333" s="391" t="inlineStr">
        <is>
          <t> </t>
        </is>
      </c>
      <c r="M333" s="391" t="inlineStr">
        <is>
          <t> </t>
        </is>
      </c>
      <c r="N333" s="391" t="inlineStr">
        <is>
          <t> </t>
        </is>
      </c>
      <c r="O333" s="391" t="inlineStr">
        <is>
          <t> </t>
        </is>
      </c>
      <c r="P333" s="391" t="inlineStr">
        <is>
          <t> </t>
        </is>
      </c>
      <c r="Q333" s="391" t="inlineStr">
        <is>
          <t> </t>
        </is>
      </c>
      <c r="R333" s="38" t="inlineStr">
        <is>
          <t> </t>
        </is>
      </c>
      <c r="S333" s="391" t="inlineStr">
        <is>
          <t> </t>
        </is>
      </c>
      <c r="T333" s="391" t="inlineStr">
        <is>
          <t> </t>
        </is>
      </c>
      <c r="U333" s="391" t="inlineStr">
        <is>
          <t> </t>
        </is>
      </c>
      <c r="V333" s="391" t="inlineStr">
        <is>
          <t> </t>
        </is>
      </c>
      <c r="W333" s="391" t="inlineStr">
        <is>
          <t> </t>
        </is>
      </c>
      <c r="X333" s="391" t="inlineStr">
        <is>
          <t> </t>
        </is>
      </c>
      <c r="Y333" s="392" t="inlineStr">
        <is>
          <t> </t>
        </is>
      </c>
      <c r="Z333" s="391" t="inlineStr">
        <is>
          <t> </t>
        </is>
      </c>
      <c r="AA333" s="391" t="inlineStr">
        <is>
          <t> </t>
        </is>
      </c>
      <c r="AB333" s="391" t="inlineStr">
        <is>
          <t> </t>
        </is>
      </c>
      <c r="AC333" s="391" t="inlineStr">
        <is>
          <t> </t>
        </is>
      </c>
      <c r="AD333" s="391" t="inlineStr">
        <is>
          <t> </t>
        </is>
      </c>
      <c r="AE333" s="391" t="inlineStr">
        <is>
          <t> </t>
        </is>
      </c>
      <c r="AF333" s="38" t="inlineStr">
        <is>
          <t> </t>
        </is>
      </c>
      <c r="AG333" s="391" t="inlineStr">
        <is>
          <t> </t>
        </is>
      </c>
      <c r="AH333" s="391" t="n"/>
      <c r="AI333" s="391" t="inlineStr">
        <is>
          <t> </t>
        </is>
      </c>
      <c r="AJ333" s="391" t="inlineStr">
        <is>
          <t> </t>
        </is>
      </c>
      <c r="AK333" s="391" t="inlineStr">
        <is>
          <t> </t>
        </is>
      </c>
      <c r="AL333" s="391" t="inlineStr">
        <is>
          <t> </t>
        </is>
      </c>
      <c r="AM333" s="391" t="inlineStr">
        <is>
          <t> </t>
        </is>
      </c>
      <c r="AN333" s="391" t="inlineStr">
        <is>
          <t> </t>
        </is>
      </c>
      <c r="AO333" s="391" t="n"/>
      <c r="AP333" s="319" t="n"/>
      <c r="AQ333" s="319" t="n"/>
      <c r="AR333" s="319" t="n"/>
    </row>
    <row r="334" ht="15.75" customHeight="1" s="1264">
      <c r="A334" s="319" t="inlineStr">
        <is>
          <t> </t>
        </is>
      </c>
      <c r="B334" s="319" t="inlineStr">
        <is>
          <t> </t>
        </is>
      </c>
      <c r="C334" s="319" t="inlineStr">
        <is>
          <t> </t>
        </is>
      </c>
      <c r="D334" s="38" t="inlineStr">
        <is>
          <t> </t>
        </is>
      </c>
      <c r="E334" s="391" t="inlineStr">
        <is>
          <t> </t>
        </is>
      </c>
      <c r="F334" s="391" t="inlineStr">
        <is>
          <t> </t>
        </is>
      </c>
      <c r="G334" s="391" t="inlineStr">
        <is>
          <t> </t>
        </is>
      </c>
      <c r="H334" s="391" t="inlineStr">
        <is>
          <t> </t>
        </is>
      </c>
      <c r="I334" s="391" t="inlineStr">
        <is>
          <t> </t>
        </is>
      </c>
      <c r="J334" s="391" t="inlineStr">
        <is>
          <t> </t>
        </is>
      </c>
      <c r="K334" s="38" t="inlineStr">
        <is>
          <t> </t>
        </is>
      </c>
      <c r="L334" s="391" t="inlineStr">
        <is>
          <t> </t>
        </is>
      </c>
      <c r="M334" s="391" t="inlineStr">
        <is>
          <t> </t>
        </is>
      </c>
      <c r="N334" s="391" t="inlineStr">
        <is>
          <t> </t>
        </is>
      </c>
      <c r="O334" s="391" t="inlineStr">
        <is>
          <t> </t>
        </is>
      </c>
      <c r="P334" s="391" t="inlineStr">
        <is>
          <t> </t>
        </is>
      </c>
      <c r="Q334" s="391" t="inlineStr">
        <is>
          <t> </t>
        </is>
      </c>
      <c r="R334" s="38" t="inlineStr">
        <is>
          <t> </t>
        </is>
      </c>
      <c r="S334" s="391" t="inlineStr">
        <is>
          <t> </t>
        </is>
      </c>
      <c r="T334" s="391" t="inlineStr">
        <is>
          <t> </t>
        </is>
      </c>
      <c r="U334" s="391" t="inlineStr">
        <is>
          <t> </t>
        </is>
      </c>
      <c r="V334" s="391" t="inlineStr">
        <is>
          <t> </t>
        </is>
      </c>
      <c r="W334" s="391" t="inlineStr">
        <is>
          <t> </t>
        </is>
      </c>
      <c r="X334" s="391" t="inlineStr">
        <is>
          <t> </t>
        </is>
      </c>
      <c r="Y334" s="392" t="inlineStr">
        <is>
          <t> </t>
        </is>
      </c>
      <c r="Z334" s="391" t="inlineStr">
        <is>
          <t> </t>
        </is>
      </c>
      <c r="AA334" s="391" t="inlineStr">
        <is>
          <t> </t>
        </is>
      </c>
      <c r="AB334" s="391" t="inlineStr">
        <is>
          <t> </t>
        </is>
      </c>
      <c r="AC334" s="391" t="inlineStr">
        <is>
          <t> </t>
        </is>
      </c>
      <c r="AD334" s="391" t="inlineStr">
        <is>
          <t> </t>
        </is>
      </c>
      <c r="AE334" s="391" t="inlineStr">
        <is>
          <t> </t>
        </is>
      </c>
      <c r="AF334" s="38" t="inlineStr">
        <is>
          <t> </t>
        </is>
      </c>
      <c r="AG334" s="391" t="inlineStr">
        <is>
          <t> </t>
        </is>
      </c>
      <c r="AH334" s="391" t="n"/>
      <c r="AI334" s="391" t="inlineStr">
        <is>
          <t> </t>
        </is>
      </c>
      <c r="AJ334" s="391" t="inlineStr">
        <is>
          <t> </t>
        </is>
      </c>
      <c r="AK334" s="391" t="inlineStr">
        <is>
          <t> </t>
        </is>
      </c>
      <c r="AL334" s="391" t="inlineStr">
        <is>
          <t> </t>
        </is>
      </c>
      <c r="AM334" s="391" t="inlineStr">
        <is>
          <t> </t>
        </is>
      </c>
      <c r="AN334" s="391" t="inlineStr">
        <is>
          <t> </t>
        </is>
      </c>
      <c r="AO334" s="391" t="n"/>
      <c r="AP334" s="319" t="n"/>
      <c r="AQ334" s="319" t="n"/>
      <c r="AR334" s="319" t="n"/>
    </row>
    <row r="335" ht="15.75" customHeight="1" s="1264">
      <c r="A335" s="319" t="inlineStr">
        <is>
          <t> </t>
        </is>
      </c>
      <c r="B335" s="319" t="inlineStr">
        <is>
          <t> </t>
        </is>
      </c>
      <c r="C335" s="319" t="inlineStr">
        <is>
          <t> </t>
        </is>
      </c>
      <c r="D335" s="38" t="inlineStr">
        <is>
          <t> </t>
        </is>
      </c>
      <c r="E335" s="391" t="inlineStr">
        <is>
          <t> </t>
        </is>
      </c>
      <c r="F335" s="391" t="inlineStr">
        <is>
          <t> </t>
        </is>
      </c>
      <c r="G335" s="391" t="inlineStr">
        <is>
          <t> </t>
        </is>
      </c>
      <c r="H335" s="391" t="inlineStr">
        <is>
          <t> </t>
        </is>
      </c>
      <c r="I335" s="391" t="inlineStr">
        <is>
          <t> </t>
        </is>
      </c>
      <c r="J335" s="391" t="inlineStr">
        <is>
          <t> </t>
        </is>
      </c>
      <c r="K335" s="38" t="inlineStr">
        <is>
          <t> </t>
        </is>
      </c>
      <c r="L335" s="391" t="inlineStr">
        <is>
          <t> </t>
        </is>
      </c>
      <c r="M335" s="391" t="inlineStr">
        <is>
          <t> </t>
        </is>
      </c>
      <c r="N335" s="391" t="inlineStr">
        <is>
          <t> </t>
        </is>
      </c>
      <c r="O335" s="391" t="inlineStr">
        <is>
          <t> </t>
        </is>
      </c>
      <c r="P335" s="391" t="inlineStr">
        <is>
          <t> </t>
        </is>
      </c>
      <c r="Q335" s="391" t="inlineStr">
        <is>
          <t> </t>
        </is>
      </c>
      <c r="R335" s="38" t="inlineStr">
        <is>
          <t> </t>
        </is>
      </c>
      <c r="S335" s="391" t="inlineStr">
        <is>
          <t> </t>
        </is>
      </c>
      <c r="T335" s="391" t="inlineStr">
        <is>
          <t> </t>
        </is>
      </c>
      <c r="U335" s="391" t="inlineStr">
        <is>
          <t> </t>
        </is>
      </c>
      <c r="V335" s="391" t="inlineStr">
        <is>
          <t> </t>
        </is>
      </c>
      <c r="W335" s="391" t="inlineStr">
        <is>
          <t> </t>
        </is>
      </c>
      <c r="X335" s="391" t="inlineStr">
        <is>
          <t> </t>
        </is>
      </c>
      <c r="Y335" s="392" t="inlineStr">
        <is>
          <t> </t>
        </is>
      </c>
      <c r="Z335" s="391" t="inlineStr">
        <is>
          <t> </t>
        </is>
      </c>
      <c r="AA335" s="391" t="inlineStr">
        <is>
          <t> </t>
        </is>
      </c>
      <c r="AB335" s="391" t="inlineStr">
        <is>
          <t> </t>
        </is>
      </c>
      <c r="AC335" s="391" t="inlineStr">
        <is>
          <t> </t>
        </is>
      </c>
      <c r="AD335" s="391" t="inlineStr">
        <is>
          <t> </t>
        </is>
      </c>
      <c r="AE335" s="391" t="inlineStr">
        <is>
          <t> </t>
        </is>
      </c>
      <c r="AF335" s="38" t="inlineStr">
        <is>
          <t> </t>
        </is>
      </c>
      <c r="AG335" s="391" t="inlineStr">
        <is>
          <t> </t>
        </is>
      </c>
      <c r="AH335" s="391" t="n"/>
      <c r="AI335" s="391" t="inlineStr">
        <is>
          <t> </t>
        </is>
      </c>
      <c r="AJ335" s="391" t="inlineStr">
        <is>
          <t> </t>
        </is>
      </c>
      <c r="AK335" s="391" t="inlineStr">
        <is>
          <t> </t>
        </is>
      </c>
      <c r="AL335" s="391" t="inlineStr">
        <is>
          <t> </t>
        </is>
      </c>
      <c r="AM335" s="391" t="inlineStr">
        <is>
          <t> </t>
        </is>
      </c>
      <c r="AN335" s="391" t="inlineStr">
        <is>
          <t> </t>
        </is>
      </c>
      <c r="AO335" s="391" t="n"/>
      <c r="AP335" s="319" t="n"/>
      <c r="AQ335" s="319" t="n"/>
      <c r="AR335" s="319" t="n"/>
    </row>
    <row r="336" ht="15.75" customHeight="1" s="1264">
      <c r="A336" s="319" t="inlineStr">
        <is>
          <t> </t>
        </is>
      </c>
      <c r="B336" s="319" t="inlineStr">
        <is>
          <t> </t>
        </is>
      </c>
      <c r="C336" s="319" t="inlineStr">
        <is>
          <t> </t>
        </is>
      </c>
      <c r="D336" s="38" t="inlineStr">
        <is>
          <t> </t>
        </is>
      </c>
      <c r="E336" s="391" t="inlineStr">
        <is>
          <t> </t>
        </is>
      </c>
      <c r="F336" s="391" t="inlineStr">
        <is>
          <t> </t>
        </is>
      </c>
      <c r="G336" s="391" t="inlineStr">
        <is>
          <t> </t>
        </is>
      </c>
      <c r="H336" s="391" t="inlineStr">
        <is>
          <t> </t>
        </is>
      </c>
      <c r="I336" s="391" t="inlineStr">
        <is>
          <t> </t>
        </is>
      </c>
      <c r="J336" s="391" t="inlineStr">
        <is>
          <t> </t>
        </is>
      </c>
      <c r="K336" s="38" t="inlineStr">
        <is>
          <t> </t>
        </is>
      </c>
      <c r="L336" s="391" t="inlineStr">
        <is>
          <t> </t>
        </is>
      </c>
      <c r="M336" s="391" t="inlineStr">
        <is>
          <t> </t>
        </is>
      </c>
      <c r="N336" s="391" t="inlineStr">
        <is>
          <t> </t>
        </is>
      </c>
      <c r="O336" s="391" t="inlineStr">
        <is>
          <t> </t>
        </is>
      </c>
      <c r="P336" s="391" t="inlineStr">
        <is>
          <t> </t>
        </is>
      </c>
      <c r="Q336" s="391" t="inlineStr">
        <is>
          <t> </t>
        </is>
      </c>
      <c r="R336" s="38" t="inlineStr">
        <is>
          <t> </t>
        </is>
      </c>
      <c r="S336" s="391" t="inlineStr">
        <is>
          <t> </t>
        </is>
      </c>
      <c r="T336" s="391" t="inlineStr">
        <is>
          <t> </t>
        </is>
      </c>
      <c r="U336" s="391" t="inlineStr">
        <is>
          <t> </t>
        </is>
      </c>
      <c r="V336" s="391" t="inlineStr">
        <is>
          <t> </t>
        </is>
      </c>
      <c r="W336" s="391" t="inlineStr">
        <is>
          <t> </t>
        </is>
      </c>
      <c r="X336" s="391" t="inlineStr">
        <is>
          <t> </t>
        </is>
      </c>
      <c r="Y336" s="392" t="inlineStr">
        <is>
          <t> </t>
        </is>
      </c>
      <c r="Z336" s="391" t="inlineStr">
        <is>
          <t> </t>
        </is>
      </c>
      <c r="AA336" s="391" t="inlineStr">
        <is>
          <t> </t>
        </is>
      </c>
      <c r="AB336" s="391" t="inlineStr">
        <is>
          <t> </t>
        </is>
      </c>
      <c r="AC336" s="391" t="inlineStr">
        <is>
          <t> </t>
        </is>
      </c>
      <c r="AD336" s="391" t="inlineStr">
        <is>
          <t> </t>
        </is>
      </c>
      <c r="AE336" s="391" t="inlineStr">
        <is>
          <t> </t>
        </is>
      </c>
      <c r="AF336" s="38" t="inlineStr">
        <is>
          <t> </t>
        </is>
      </c>
      <c r="AG336" s="391" t="inlineStr">
        <is>
          <t> </t>
        </is>
      </c>
      <c r="AH336" s="391" t="n"/>
      <c r="AI336" s="391" t="inlineStr">
        <is>
          <t> </t>
        </is>
      </c>
      <c r="AJ336" s="391" t="inlineStr">
        <is>
          <t> </t>
        </is>
      </c>
      <c r="AK336" s="391" t="inlineStr">
        <is>
          <t> </t>
        </is>
      </c>
      <c r="AL336" s="391" t="inlineStr">
        <is>
          <t> </t>
        </is>
      </c>
      <c r="AM336" s="391" t="inlineStr">
        <is>
          <t> </t>
        </is>
      </c>
      <c r="AN336" s="391" t="inlineStr">
        <is>
          <t> </t>
        </is>
      </c>
      <c r="AO336" s="391" t="n"/>
      <c r="AP336" s="319" t="n"/>
      <c r="AQ336" s="319" t="n"/>
      <c r="AR336" s="319" t="n"/>
    </row>
    <row r="337" ht="15.75" customHeight="1" s="1264">
      <c r="A337" s="319" t="inlineStr">
        <is>
          <t> </t>
        </is>
      </c>
      <c r="B337" s="319" t="inlineStr">
        <is>
          <t> </t>
        </is>
      </c>
      <c r="C337" s="319" t="inlineStr">
        <is>
          <t> </t>
        </is>
      </c>
      <c r="D337" s="38" t="inlineStr">
        <is>
          <t> </t>
        </is>
      </c>
      <c r="E337" s="391" t="inlineStr">
        <is>
          <t> </t>
        </is>
      </c>
      <c r="F337" s="391" t="inlineStr">
        <is>
          <t> </t>
        </is>
      </c>
      <c r="G337" s="391" t="inlineStr">
        <is>
          <t> </t>
        </is>
      </c>
      <c r="H337" s="391" t="inlineStr">
        <is>
          <t> </t>
        </is>
      </c>
      <c r="I337" s="391" t="inlineStr">
        <is>
          <t> </t>
        </is>
      </c>
      <c r="J337" s="391" t="inlineStr">
        <is>
          <t> </t>
        </is>
      </c>
      <c r="K337" s="38" t="inlineStr">
        <is>
          <t> </t>
        </is>
      </c>
      <c r="L337" s="391" t="inlineStr">
        <is>
          <t> </t>
        </is>
      </c>
      <c r="M337" s="391" t="inlineStr">
        <is>
          <t> </t>
        </is>
      </c>
      <c r="N337" s="391" t="inlineStr">
        <is>
          <t> </t>
        </is>
      </c>
      <c r="O337" s="391" t="inlineStr">
        <is>
          <t> </t>
        </is>
      </c>
      <c r="P337" s="391" t="inlineStr">
        <is>
          <t> </t>
        </is>
      </c>
      <c r="Q337" s="391" t="inlineStr">
        <is>
          <t> </t>
        </is>
      </c>
      <c r="R337" s="38" t="inlineStr">
        <is>
          <t> </t>
        </is>
      </c>
      <c r="S337" s="391" t="inlineStr">
        <is>
          <t> </t>
        </is>
      </c>
      <c r="T337" s="391" t="inlineStr">
        <is>
          <t> </t>
        </is>
      </c>
      <c r="U337" s="391" t="inlineStr">
        <is>
          <t> </t>
        </is>
      </c>
      <c r="V337" s="391" t="inlineStr">
        <is>
          <t> </t>
        </is>
      </c>
      <c r="W337" s="391" t="inlineStr">
        <is>
          <t> </t>
        </is>
      </c>
      <c r="X337" s="391" t="inlineStr">
        <is>
          <t> </t>
        </is>
      </c>
      <c r="Y337" s="392" t="inlineStr">
        <is>
          <t> </t>
        </is>
      </c>
      <c r="Z337" s="391" t="inlineStr">
        <is>
          <t> </t>
        </is>
      </c>
      <c r="AA337" s="391" t="inlineStr">
        <is>
          <t> </t>
        </is>
      </c>
      <c r="AB337" s="391" t="inlineStr">
        <is>
          <t> </t>
        </is>
      </c>
      <c r="AC337" s="391" t="inlineStr">
        <is>
          <t> </t>
        </is>
      </c>
      <c r="AD337" s="391" t="inlineStr">
        <is>
          <t> </t>
        </is>
      </c>
      <c r="AE337" s="391" t="inlineStr">
        <is>
          <t> </t>
        </is>
      </c>
      <c r="AF337" s="38" t="inlineStr">
        <is>
          <t> </t>
        </is>
      </c>
      <c r="AG337" s="391" t="inlineStr">
        <is>
          <t> </t>
        </is>
      </c>
      <c r="AH337" s="391" t="n"/>
      <c r="AI337" s="391" t="inlineStr">
        <is>
          <t> </t>
        </is>
      </c>
      <c r="AJ337" s="391" t="inlineStr">
        <is>
          <t> </t>
        </is>
      </c>
      <c r="AK337" s="391" t="inlineStr">
        <is>
          <t> </t>
        </is>
      </c>
      <c r="AL337" s="391" t="inlineStr">
        <is>
          <t> </t>
        </is>
      </c>
      <c r="AM337" s="391" t="inlineStr">
        <is>
          <t> </t>
        </is>
      </c>
      <c r="AN337" s="391" t="inlineStr">
        <is>
          <t> </t>
        </is>
      </c>
      <c r="AO337" s="391" t="n"/>
      <c r="AP337" s="319" t="n"/>
      <c r="AQ337" s="319" t="n"/>
      <c r="AR337" s="319" t="n"/>
    </row>
    <row r="338" ht="15.75" customHeight="1" s="1264">
      <c r="A338" s="319" t="inlineStr">
        <is>
          <t> </t>
        </is>
      </c>
      <c r="B338" s="319" t="inlineStr">
        <is>
          <t> </t>
        </is>
      </c>
      <c r="C338" s="319" t="inlineStr">
        <is>
          <t> </t>
        </is>
      </c>
      <c r="D338" s="38" t="inlineStr">
        <is>
          <t> </t>
        </is>
      </c>
      <c r="E338" s="391" t="inlineStr">
        <is>
          <t> </t>
        </is>
      </c>
      <c r="F338" s="391" t="inlineStr">
        <is>
          <t> </t>
        </is>
      </c>
      <c r="G338" s="391" t="inlineStr">
        <is>
          <t> </t>
        </is>
      </c>
      <c r="H338" s="391" t="inlineStr">
        <is>
          <t> </t>
        </is>
      </c>
      <c r="I338" s="391" t="inlineStr">
        <is>
          <t> </t>
        </is>
      </c>
      <c r="J338" s="391" t="inlineStr">
        <is>
          <t> </t>
        </is>
      </c>
      <c r="K338" s="38" t="inlineStr">
        <is>
          <t> </t>
        </is>
      </c>
      <c r="L338" s="391" t="inlineStr">
        <is>
          <t> </t>
        </is>
      </c>
      <c r="M338" s="391" t="inlineStr">
        <is>
          <t> </t>
        </is>
      </c>
      <c r="N338" s="391" t="inlineStr">
        <is>
          <t> </t>
        </is>
      </c>
      <c r="O338" s="391" t="inlineStr">
        <is>
          <t> </t>
        </is>
      </c>
      <c r="P338" s="391" t="inlineStr">
        <is>
          <t> </t>
        </is>
      </c>
      <c r="Q338" s="391" t="inlineStr">
        <is>
          <t> </t>
        </is>
      </c>
      <c r="R338" s="38" t="inlineStr">
        <is>
          <t> </t>
        </is>
      </c>
      <c r="S338" s="391" t="inlineStr">
        <is>
          <t> </t>
        </is>
      </c>
      <c r="T338" s="391" t="inlineStr">
        <is>
          <t> </t>
        </is>
      </c>
      <c r="U338" s="391" t="inlineStr">
        <is>
          <t> </t>
        </is>
      </c>
      <c r="V338" s="391" t="inlineStr">
        <is>
          <t> </t>
        </is>
      </c>
      <c r="W338" s="391" t="inlineStr">
        <is>
          <t> </t>
        </is>
      </c>
      <c r="X338" s="391" t="inlineStr">
        <is>
          <t> </t>
        </is>
      </c>
      <c r="Y338" s="392" t="inlineStr">
        <is>
          <t> </t>
        </is>
      </c>
      <c r="Z338" s="391" t="inlineStr">
        <is>
          <t> </t>
        </is>
      </c>
      <c r="AA338" s="391" t="inlineStr">
        <is>
          <t> </t>
        </is>
      </c>
      <c r="AB338" s="391" t="inlineStr">
        <is>
          <t> </t>
        </is>
      </c>
      <c r="AC338" s="391" t="inlineStr">
        <is>
          <t> </t>
        </is>
      </c>
      <c r="AD338" s="391" t="inlineStr">
        <is>
          <t> </t>
        </is>
      </c>
      <c r="AE338" s="391" t="inlineStr">
        <is>
          <t> </t>
        </is>
      </c>
      <c r="AF338" s="38" t="inlineStr">
        <is>
          <t> </t>
        </is>
      </c>
      <c r="AG338" s="391" t="inlineStr">
        <is>
          <t> </t>
        </is>
      </c>
      <c r="AH338" s="391" t="n"/>
      <c r="AI338" s="391" t="inlineStr">
        <is>
          <t> </t>
        </is>
      </c>
      <c r="AJ338" s="391" t="inlineStr">
        <is>
          <t> </t>
        </is>
      </c>
      <c r="AK338" s="391" t="inlineStr">
        <is>
          <t> </t>
        </is>
      </c>
      <c r="AL338" s="391" t="inlineStr">
        <is>
          <t> </t>
        </is>
      </c>
      <c r="AM338" s="391" t="inlineStr">
        <is>
          <t> </t>
        </is>
      </c>
      <c r="AN338" s="391" t="inlineStr">
        <is>
          <t> </t>
        </is>
      </c>
      <c r="AO338" s="391" t="n"/>
      <c r="AP338" s="319" t="n"/>
      <c r="AQ338" s="319" t="n"/>
      <c r="AR338" s="319" t="n"/>
    </row>
    <row r="339" ht="15.75" customHeight="1" s="1264">
      <c r="A339" s="319" t="inlineStr">
        <is>
          <t> </t>
        </is>
      </c>
      <c r="B339" s="319" t="inlineStr">
        <is>
          <t> </t>
        </is>
      </c>
      <c r="C339" s="319" t="inlineStr">
        <is>
          <t> </t>
        </is>
      </c>
      <c r="D339" s="38" t="inlineStr">
        <is>
          <t> </t>
        </is>
      </c>
      <c r="E339" s="391" t="inlineStr">
        <is>
          <t> </t>
        </is>
      </c>
      <c r="F339" s="391" t="inlineStr">
        <is>
          <t> </t>
        </is>
      </c>
      <c r="G339" s="391" t="inlineStr">
        <is>
          <t> </t>
        </is>
      </c>
      <c r="H339" s="391" t="inlineStr">
        <is>
          <t> </t>
        </is>
      </c>
      <c r="I339" s="391" t="inlineStr">
        <is>
          <t> </t>
        </is>
      </c>
      <c r="J339" s="391" t="inlineStr">
        <is>
          <t> </t>
        </is>
      </c>
      <c r="K339" s="38" t="inlineStr">
        <is>
          <t> </t>
        </is>
      </c>
      <c r="L339" s="391" t="inlineStr">
        <is>
          <t> </t>
        </is>
      </c>
      <c r="M339" s="391" t="inlineStr">
        <is>
          <t> </t>
        </is>
      </c>
      <c r="N339" s="391" t="inlineStr">
        <is>
          <t> </t>
        </is>
      </c>
      <c r="O339" s="391" t="inlineStr">
        <is>
          <t> </t>
        </is>
      </c>
      <c r="P339" s="391" t="inlineStr">
        <is>
          <t> </t>
        </is>
      </c>
      <c r="Q339" s="391" t="inlineStr">
        <is>
          <t> </t>
        </is>
      </c>
      <c r="R339" s="38" t="inlineStr">
        <is>
          <t> </t>
        </is>
      </c>
      <c r="S339" s="391" t="inlineStr">
        <is>
          <t> </t>
        </is>
      </c>
      <c r="T339" s="391" t="inlineStr">
        <is>
          <t> </t>
        </is>
      </c>
      <c r="U339" s="391" t="inlineStr">
        <is>
          <t> </t>
        </is>
      </c>
      <c r="V339" s="391" t="inlineStr">
        <is>
          <t> </t>
        </is>
      </c>
      <c r="W339" s="391" t="inlineStr">
        <is>
          <t> </t>
        </is>
      </c>
      <c r="X339" s="391" t="inlineStr">
        <is>
          <t> </t>
        </is>
      </c>
      <c r="Y339" s="392" t="inlineStr">
        <is>
          <t> </t>
        </is>
      </c>
      <c r="Z339" s="391" t="inlineStr">
        <is>
          <t> </t>
        </is>
      </c>
      <c r="AA339" s="391" t="inlineStr">
        <is>
          <t> </t>
        </is>
      </c>
      <c r="AB339" s="391" t="inlineStr">
        <is>
          <t> </t>
        </is>
      </c>
      <c r="AC339" s="391" t="inlineStr">
        <is>
          <t> </t>
        </is>
      </c>
      <c r="AD339" s="391" t="inlineStr">
        <is>
          <t> </t>
        </is>
      </c>
      <c r="AE339" s="391" t="inlineStr">
        <is>
          <t> </t>
        </is>
      </c>
      <c r="AF339" s="38" t="inlineStr">
        <is>
          <t> </t>
        </is>
      </c>
      <c r="AG339" s="391" t="inlineStr">
        <is>
          <t> </t>
        </is>
      </c>
      <c r="AH339" s="391" t="n"/>
      <c r="AI339" s="391" t="inlineStr">
        <is>
          <t> </t>
        </is>
      </c>
      <c r="AJ339" s="391" t="inlineStr">
        <is>
          <t> </t>
        </is>
      </c>
      <c r="AK339" s="391" t="inlineStr">
        <is>
          <t> </t>
        </is>
      </c>
      <c r="AL339" s="391" t="inlineStr">
        <is>
          <t> </t>
        </is>
      </c>
      <c r="AM339" s="391" t="inlineStr">
        <is>
          <t> </t>
        </is>
      </c>
      <c r="AN339" s="391" t="inlineStr">
        <is>
          <t> </t>
        </is>
      </c>
      <c r="AO339" s="391" t="n"/>
      <c r="AP339" s="319" t="n"/>
      <c r="AQ339" s="319" t="n"/>
      <c r="AR339" s="319" t="n"/>
    </row>
    <row r="340" ht="15.75" customHeight="1" s="1264">
      <c r="A340" s="319" t="inlineStr">
        <is>
          <t> </t>
        </is>
      </c>
      <c r="B340" s="319" t="inlineStr">
        <is>
          <t> </t>
        </is>
      </c>
      <c r="C340" s="319" t="inlineStr">
        <is>
          <t> </t>
        </is>
      </c>
      <c r="D340" s="38" t="inlineStr">
        <is>
          <t> </t>
        </is>
      </c>
      <c r="E340" s="391" t="inlineStr">
        <is>
          <t> </t>
        </is>
      </c>
      <c r="F340" s="391" t="inlineStr">
        <is>
          <t> </t>
        </is>
      </c>
      <c r="G340" s="391" t="inlineStr">
        <is>
          <t> </t>
        </is>
      </c>
      <c r="H340" s="391" t="inlineStr">
        <is>
          <t> </t>
        </is>
      </c>
      <c r="I340" s="391" t="inlineStr">
        <is>
          <t> </t>
        </is>
      </c>
      <c r="J340" s="391" t="inlineStr">
        <is>
          <t> </t>
        </is>
      </c>
      <c r="K340" s="38" t="inlineStr">
        <is>
          <t> </t>
        </is>
      </c>
      <c r="L340" s="391" t="inlineStr">
        <is>
          <t> </t>
        </is>
      </c>
      <c r="M340" s="391" t="inlineStr">
        <is>
          <t> </t>
        </is>
      </c>
      <c r="N340" s="391" t="inlineStr">
        <is>
          <t> </t>
        </is>
      </c>
      <c r="O340" s="391" t="inlineStr">
        <is>
          <t> </t>
        </is>
      </c>
      <c r="P340" s="391" t="inlineStr">
        <is>
          <t> </t>
        </is>
      </c>
      <c r="Q340" s="391" t="inlineStr">
        <is>
          <t> </t>
        </is>
      </c>
      <c r="R340" s="38" t="inlineStr">
        <is>
          <t> </t>
        </is>
      </c>
      <c r="S340" s="391" t="inlineStr">
        <is>
          <t> </t>
        </is>
      </c>
      <c r="T340" s="391" t="inlineStr">
        <is>
          <t> </t>
        </is>
      </c>
      <c r="U340" s="391" t="inlineStr">
        <is>
          <t> </t>
        </is>
      </c>
      <c r="V340" s="391" t="inlineStr">
        <is>
          <t> </t>
        </is>
      </c>
      <c r="W340" s="391" t="inlineStr">
        <is>
          <t> </t>
        </is>
      </c>
      <c r="X340" s="391" t="inlineStr">
        <is>
          <t> </t>
        </is>
      </c>
      <c r="Y340" s="392" t="inlineStr">
        <is>
          <t> </t>
        </is>
      </c>
      <c r="Z340" s="391" t="inlineStr">
        <is>
          <t> </t>
        </is>
      </c>
      <c r="AA340" s="391" t="inlineStr">
        <is>
          <t> </t>
        </is>
      </c>
      <c r="AB340" s="391" t="inlineStr">
        <is>
          <t> </t>
        </is>
      </c>
      <c r="AC340" s="391" t="inlineStr">
        <is>
          <t> </t>
        </is>
      </c>
      <c r="AD340" s="391" t="inlineStr">
        <is>
          <t> </t>
        </is>
      </c>
      <c r="AE340" s="391" t="inlineStr">
        <is>
          <t> </t>
        </is>
      </c>
      <c r="AF340" s="38" t="inlineStr">
        <is>
          <t> </t>
        </is>
      </c>
      <c r="AG340" s="391" t="inlineStr">
        <is>
          <t> </t>
        </is>
      </c>
      <c r="AH340" s="391" t="n"/>
      <c r="AI340" s="391" t="inlineStr">
        <is>
          <t> </t>
        </is>
      </c>
      <c r="AJ340" s="391" t="inlineStr">
        <is>
          <t> </t>
        </is>
      </c>
      <c r="AK340" s="391" t="inlineStr">
        <is>
          <t> </t>
        </is>
      </c>
      <c r="AL340" s="391" t="inlineStr">
        <is>
          <t> </t>
        </is>
      </c>
      <c r="AM340" s="391" t="inlineStr">
        <is>
          <t> </t>
        </is>
      </c>
      <c r="AN340" s="391" t="inlineStr">
        <is>
          <t> </t>
        </is>
      </c>
      <c r="AO340" s="391" t="n"/>
      <c r="AP340" s="319" t="n"/>
      <c r="AQ340" s="319" t="n"/>
      <c r="AR340" s="319" t="n"/>
    </row>
    <row r="341" ht="15.75" customHeight="1" s="1264">
      <c r="A341" s="319" t="inlineStr">
        <is>
          <t> </t>
        </is>
      </c>
      <c r="B341" s="319" t="inlineStr">
        <is>
          <t> </t>
        </is>
      </c>
      <c r="C341" s="319" t="inlineStr">
        <is>
          <t> </t>
        </is>
      </c>
      <c r="D341" s="38" t="inlineStr">
        <is>
          <t> </t>
        </is>
      </c>
      <c r="E341" s="391" t="inlineStr">
        <is>
          <t> </t>
        </is>
      </c>
      <c r="F341" s="391" t="inlineStr">
        <is>
          <t> </t>
        </is>
      </c>
      <c r="G341" s="391" t="inlineStr">
        <is>
          <t> </t>
        </is>
      </c>
      <c r="H341" s="391" t="inlineStr">
        <is>
          <t> </t>
        </is>
      </c>
      <c r="I341" s="391" t="inlineStr">
        <is>
          <t> </t>
        </is>
      </c>
      <c r="J341" s="391" t="inlineStr">
        <is>
          <t> </t>
        </is>
      </c>
      <c r="K341" s="38" t="inlineStr">
        <is>
          <t> </t>
        </is>
      </c>
      <c r="L341" s="391" t="inlineStr">
        <is>
          <t> </t>
        </is>
      </c>
      <c r="M341" s="391" t="inlineStr">
        <is>
          <t> </t>
        </is>
      </c>
      <c r="N341" s="391" t="inlineStr">
        <is>
          <t> </t>
        </is>
      </c>
      <c r="O341" s="391" t="inlineStr">
        <is>
          <t> </t>
        </is>
      </c>
      <c r="P341" s="391" t="inlineStr">
        <is>
          <t> </t>
        </is>
      </c>
      <c r="Q341" s="391" t="inlineStr">
        <is>
          <t> </t>
        </is>
      </c>
      <c r="R341" s="38" t="inlineStr">
        <is>
          <t> </t>
        </is>
      </c>
      <c r="S341" s="391" t="inlineStr">
        <is>
          <t> </t>
        </is>
      </c>
      <c r="T341" s="391" t="inlineStr">
        <is>
          <t> </t>
        </is>
      </c>
      <c r="U341" s="391" t="inlineStr">
        <is>
          <t> </t>
        </is>
      </c>
      <c r="V341" s="391" t="inlineStr">
        <is>
          <t> </t>
        </is>
      </c>
      <c r="W341" s="391" t="inlineStr">
        <is>
          <t> </t>
        </is>
      </c>
      <c r="X341" s="391" t="inlineStr">
        <is>
          <t> </t>
        </is>
      </c>
      <c r="Y341" s="392" t="inlineStr">
        <is>
          <t> </t>
        </is>
      </c>
      <c r="Z341" s="391" t="inlineStr">
        <is>
          <t> </t>
        </is>
      </c>
      <c r="AA341" s="391" t="inlineStr">
        <is>
          <t> </t>
        </is>
      </c>
      <c r="AB341" s="391" t="inlineStr">
        <is>
          <t> </t>
        </is>
      </c>
      <c r="AC341" s="391" t="inlineStr">
        <is>
          <t> </t>
        </is>
      </c>
      <c r="AD341" s="391" t="inlineStr">
        <is>
          <t> </t>
        </is>
      </c>
      <c r="AE341" s="391" t="inlineStr">
        <is>
          <t> </t>
        </is>
      </c>
      <c r="AF341" s="38" t="inlineStr">
        <is>
          <t> </t>
        </is>
      </c>
      <c r="AG341" s="391" t="inlineStr">
        <is>
          <t> </t>
        </is>
      </c>
      <c r="AH341" s="391" t="n"/>
      <c r="AI341" s="391" t="inlineStr">
        <is>
          <t> </t>
        </is>
      </c>
      <c r="AJ341" s="391" t="inlineStr">
        <is>
          <t> </t>
        </is>
      </c>
      <c r="AK341" s="391" t="inlineStr">
        <is>
          <t> </t>
        </is>
      </c>
      <c r="AL341" s="391" t="inlineStr">
        <is>
          <t> </t>
        </is>
      </c>
      <c r="AM341" s="391" t="inlineStr">
        <is>
          <t> </t>
        </is>
      </c>
      <c r="AN341" s="391" t="inlineStr">
        <is>
          <t> </t>
        </is>
      </c>
      <c r="AO341" s="391" t="n"/>
      <c r="AP341" s="319" t="n"/>
      <c r="AQ341" s="319" t="n"/>
      <c r="AR341" s="319" t="n"/>
    </row>
    <row r="342" ht="15.75" customHeight="1" s="1264">
      <c r="A342" s="319" t="inlineStr">
        <is>
          <t> </t>
        </is>
      </c>
      <c r="B342" s="319" t="inlineStr">
        <is>
          <t> </t>
        </is>
      </c>
      <c r="C342" s="319" t="inlineStr">
        <is>
          <t> </t>
        </is>
      </c>
      <c r="D342" s="38" t="inlineStr">
        <is>
          <t> </t>
        </is>
      </c>
      <c r="E342" s="391" t="inlineStr">
        <is>
          <t> </t>
        </is>
      </c>
      <c r="F342" s="391" t="inlineStr">
        <is>
          <t> </t>
        </is>
      </c>
      <c r="G342" s="391" t="inlineStr">
        <is>
          <t> </t>
        </is>
      </c>
      <c r="H342" s="391" t="inlineStr">
        <is>
          <t> </t>
        </is>
      </c>
      <c r="I342" s="391" t="inlineStr">
        <is>
          <t> </t>
        </is>
      </c>
      <c r="J342" s="391" t="inlineStr">
        <is>
          <t> </t>
        </is>
      </c>
      <c r="K342" s="38" t="inlineStr">
        <is>
          <t> </t>
        </is>
      </c>
      <c r="L342" s="391" t="inlineStr">
        <is>
          <t> </t>
        </is>
      </c>
      <c r="M342" s="391" t="inlineStr">
        <is>
          <t> </t>
        </is>
      </c>
      <c r="N342" s="391" t="inlineStr">
        <is>
          <t> </t>
        </is>
      </c>
      <c r="O342" s="391" t="inlineStr">
        <is>
          <t> </t>
        </is>
      </c>
      <c r="P342" s="391" t="inlineStr">
        <is>
          <t> </t>
        </is>
      </c>
      <c r="Q342" s="391" t="inlineStr">
        <is>
          <t> </t>
        </is>
      </c>
      <c r="R342" s="38" t="inlineStr">
        <is>
          <t> </t>
        </is>
      </c>
      <c r="S342" s="391" t="inlineStr">
        <is>
          <t> </t>
        </is>
      </c>
      <c r="T342" s="391" t="inlineStr">
        <is>
          <t> </t>
        </is>
      </c>
      <c r="U342" s="391" t="inlineStr">
        <is>
          <t> </t>
        </is>
      </c>
      <c r="V342" s="391" t="inlineStr">
        <is>
          <t> </t>
        </is>
      </c>
      <c r="W342" s="391" t="inlineStr">
        <is>
          <t> </t>
        </is>
      </c>
      <c r="X342" s="391" t="inlineStr">
        <is>
          <t> </t>
        </is>
      </c>
      <c r="Y342" s="392" t="inlineStr">
        <is>
          <t> </t>
        </is>
      </c>
      <c r="Z342" s="391" t="inlineStr">
        <is>
          <t> </t>
        </is>
      </c>
      <c r="AA342" s="391" t="inlineStr">
        <is>
          <t> </t>
        </is>
      </c>
      <c r="AB342" s="391" t="inlineStr">
        <is>
          <t> </t>
        </is>
      </c>
      <c r="AC342" s="391" t="inlineStr">
        <is>
          <t> </t>
        </is>
      </c>
      <c r="AD342" s="391" t="inlineStr">
        <is>
          <t> </t>
        </is>
      </c>
      <c r="AE342" s="391" t="inlineStr">
        <is>
          <t> </t>
        </is>
      </c>
      <c r="AF342" s="38" t="inlineStr">
        <is>
          <t> </t>
        </is>
      </c>
      <c r="AG342" s="391" t="inlineStr">
        <is>
          <t> </t>
        </is>
      </c>
      <c r="AH342" s="391" t="n"/>
      <c r="AI342" s="391" t="inlineStr">
        <is>
          <t> </t>
        </is>
      </c>
      <c r="AJ342" s="391" t="inlineStr">
        <is>
          <t> </t>
        </is>
      </c>
      <c r="AK342" s="391" t="inlineStr">
        <is>
          <t> </t>
        </is>
      </c>
      <c r="AL342" s="391" t="inlineStr">
        <is>
          <t> </t>
        </is>
      </c>
      <c r="AM342" s="391" t="inlineStr">
        <is>
          <t> </t>
        </is>
      </c>
      <c r="AN342" s="391" t="inlineStr">
        <is>
          <t> </t>
        </is>
      </c>
      <c r="AO342" s="391" t="n"/>
      <c r="AP342" s="319" t="n"/>
      <c r="AQ342" s="319" t="n"/>
      <c r="AR342" s="319" t="n"/>
    </row>
    <row r="343" ht="15.75" customHeight="1" s="1264">
      <c r="A343" s="319" t="inlineStr">
        <is>
          <t> </t>
        </is>
      </c>
      <c r="B343" s="319" t="inlineStr">
        <is>
          <t> </t>
        </is>
      </c>
      <c r="C343" s="319" t="inlineStr">
        <is>
          <t> </t>
        </is>
      </c>
      <c r="D343" s="38" t="inlineStr">
        <is>
          <t> </t>
        </is>
      </c>
      <c r="E343" s="391" t="inlineStr">
        <is>
          <t> </t>
        </is>
      </c>
      <c r="F343" s="391" t="inlineStr">
        <is>
          <t> </t>
        </is>
      </c>
      <c r="G343" s="391" t="inlineStr">
        <is>
          <t> </t>
        </is>
      </c>
      <c r="H343" s="391" t="inlineStr">
        <is>
          <t> </t>
        </is>
      </c>
      <c r="I343" s="391" t="inlineStr">
        <is>
          <t> </t>
        </is>
      </c>
      <c r="J343" s="391" t="inlineStr">
        <is>
          <t> </t>
        </is>
      </c>
      <c r="K343" s="38" t="inlineStr">
        <is>
          <t> </t>
        </is>
      </c>
      <c r="L343" s="391" t="inlineStr">
        <is>
          <t> </t>
        </is>
      </c>
      <c r="M343" s="391" t="inlineStr">
        <is>
          <t> </t>
        </is>
      </c>
      <c r="N343" s="391" t="inlineStr">
        <is>
          <t> </t>
        </is>
      </c>
      <c r="O343" s="391" t="inlineStr">
        <is>
          <t> </t>
        </is>
      </c>
      <c r="P343" s="391" t="inlineStr">
        <is>
          <t> </t>
        </is>
      </c>
      <c r="Q343" s="391" t="inlineStr">
        <is>
          <t> </t>
        </is>
      </c>
      <c r="R343" s="38" t="inlineStr">
        <is>
          <t> </t>
        </is>
      </c>
      <c r="S343" s="391" t="inlineStr">
        <is>
          <t> </t>
        </is>
      </c>
      <c r="T343" s="391" t="inlineStr">
        <is>
          <t> </t>
        </is>
      </c>
      <c r="U343" s="391" t="inlineStr">
        <is>
          <t> </t>
        </is>
      </c>
      <c r="V343" s="391" t="inlineStr">
        <is>
          <t> </t>
        </is>
      </c>
      <c r="W343" s="391" t="inlineStr">
        <is>
          <t> </t>
        </is>
      </c>
      <c r="X343" s="391" t="inlineStr">
        <is>
          <t> </t>
        </is>
      </c>
      <c r="Y343" s="392" t="inlineStr">
        <is>
          <t> </t>
        </is>
      </c>
      <c r="Z343" s="391" t="inlineStr">
        <is>
          <t> </t>
        </is>
      </c>
      <c r="AA343" s="391" t="inlineStr">
        <is>
          <t> </t>
        </is>
      </c>
      <c r="AB343" s="391" t="inlineStr">
        <is>
          <t> </t>
        </is>
      </c>
      <c r="AC343" s="391" t="inlineStr">
        <is>
          <t> </t>
        </is>
      </c>
      <c r="AD343" s="391" t="inlineStr">
        <is>
          <t> </t>
        </is>
      </c>
      <c r="AE343" s="391" t="inlineStr">
        <is>
          <t> </t>
        </is>
      </c>
      <c r="AF343" s="38" t="inlineStr">
        <is>
          <t> </t>
        </is>
      </c>
      <c r="AG343" s="391" t="inlineStr">
        <is>
          <t> </t>
        </is>
      </c>
      <c r="AH343" s="391" t="n"/>
      <c r="AI343" s="391" t="inlineStr">
        <is>
          <t> </t>
        </is>
      </c>
      <c r="AJ343" s="391" t="inlineStr">
        <is>
          <t> </t>
        </is>
      </c>
      <c r="AK343" s="391" t="inlineStr">
        <is>
          <t> </t>
        </is>
      </c>
      <c r="AL343" s="391" t="inlineStr">
        <is>
          <t> </t>
        </is>
      </c>
      <c r="AM343" s="391" t="inlineStr">
        <is>
          <t> </t>
        </is>
      </c>
      <c r="AN343" s="391" t="inlineStr">
        <is>
          <t> </t>
        </is>
      </c>
      <c r="AO343" s="391" t="n"/>
      <c r="AP343" s="319" t="n"/>
      <c r="AQ343" s="319" t="n"/>
      <c r="AR343" s="319" t="n"/>
    </row>
    <row r="344" ht="15.75" customHeight="1" s="1264">
      <c r="A344" s="319" t="inlineStr">
        <is>
          <t> </t>
        </is>
      </c>
      <c r="B344" s="319" t="inlineStr">
        <is>
          <t> </t>
        </is>
      </c>
      <c r="C344" s="319" t="inlineStr">
        <is>
          <t> </t>
        </is>
      </c>
      <c r="D344" s="38" t="inlineStr">
        <is>
          <t> </t>
        </is>
      </c>
      <c r="E344" s="391" t="inlineStr">
        <is>
          <t> </t>
        </is>
      </c>
      <c r="F344" s="391" t="inlineStr">
        <is>
          <t> </t>
        </is>
      </c>
      <c r="G344" s="391" t="inlineStr">
        <is>
          <t> </t>
        </is>
      </c>
      <c r="H344" s="391" t="inlineStr">
        <is>
          <t> </t>
        </is>
      </c>
      <c r="I344" s="391" t="inlineStr">
        <is>
          <t> </t>
        </is>
      </c>
      <c r="J344" s="391" t="inlineStr">
        <is>
          <t> </t>
        </is>
      </c>
      <c r="K344" s="38" t="inlineStr">
        <is>
          <t> </t>
        </is>
      </c>
      <c r="L344" s="391" t="inlineStr">
        <is>
          <t> </t>
        </is>
      </c>
      <c r="M344" s="391" t="inlineStr">
        <is>
          <t> </t>
        </is>
      </c>
      <c r="N344" s="391" t="inlineStr">
        <is>
          <t> </t>
        </is>
      </c>
      <c r="O344" s="391" t="inlineStr">
        <is>
          <t> </t>
        </is>
      </c>
      <c r="P344" s="391" t="inlineStr">
        <is>
          <t> </t>
        </is>
      </c>
      <c r="Q344" s="391" t="inlineStr">
        <is>
          <t> </t>
        </is>
      </c>
      <c r="R344" s="38" t="inlineStr">
        <is>
          <t> </t>
        </is>
      </c>
      <c r="S344" s="391" t="inlineStr">
        <is>
          <t> </t>
        </is>
      </c>
      <c r="T344" s="391" t="inlineStr">
        <is>
          <t> </t>
        </is>
      </c>
      <c r="U344" s="391" t="inlineStr">
        <is>
          <t> </t>
        </is>
      </c>
      <c r="V344" s="391" t="inlineStr">
        <is>
          <t> </t>
        </is>
      </c>
      <c r="W344" s="391" t="inlineStr">
        <is>
          <t> </t>
        </is>
      </c>
      <c r="X344" s="391" t="inlineStr">
        <is>
          <t> </t>
        </is>
      </c>
      <c r="Y344" s="392" t="inlineStr">
        <is>
          <t> </t>
        </is>
      </c>
      <c r="Z344" s="391" t="inlineStr">
        <is>
          <t> </t>
        </is>
      </c>
      <c r="AA344" s="391" t="inlineStr">
        <is>
          <t> </t>
        </is>
      </c>
      <c r="AB344" s="391" t="inlineStr">
        <is>
          <t> </t>
        </is>
      </c>
      <c r="AC344" s="391" t="inlineStr">
        <is>
          <t> </t>
        </is>
      </c>
      <c r="AD344" s="391" t="inlineStr">
        <is>
          <t> </t>
        </is>
      </c>
      <c r="AE344" s="391" t="inlineStr">
        <is>
          <t> </t>
        </is>
      </c>
      <c r="AF344" s="38" t="inlineStr">
        <is>
          <t> </t>
        </is>
      </c>
      <c r="AG344" s="391" t="inlineStr">
        <is>
          <t> </t>
        </is>
      </c>
      <c r="AH344" s="391" t="n"/>
      <c r="AI344" s="391" t="inlineStr">
        <is>
          <t> </t>
        </is>
      </c>
      <c r="AJ344" s="391" t="inlineStr">
        <is>
          <t> </t>
        </is>
      </c>
      <c r="AK344" s="391" t="inlineStr">
        <is>
          <t> </t>
        </is>
      </c>
      <c r="AL344" s="391" t="inlineStr">
        <is>
          <t> </t>
        </is>
      </c>
      <c r="AM344" s="391" t="inlineStr">
        <is>
          <t> </t>
        </is>
      </c>
      <c r="AN344" s="391" t="inlineStr">
        <is>
          <t> </t>
        </is>
      </c>
      <c r="AO344" s="391" t="n"/>
      <c r="AP344" s="319" t="n"/>
      <c r="AQ344" s="319" t="n"/>
      <c r="AR344" s="319" t="n"/>
    </row>
    <row r="345" ht="15.75" customHeight="1" s="1264">
      <c r="A345" s="319" t="inlineStr">
        <is>
          <t> </t>
        </is>
      </c>
      <c r="B345" s="319" t="inlineStr">
        <is>
          <t> </t>
        </is>
      </c>
      <c r="C345" s="319" t="inlineStr">
        <is>
          <t> </t>
        </is>
      </c>
      <c r="D345" s="38" t="inlineStr">
        <is>
          <t> </t>
        </is>
      </c>
      <c r="E345" s="391" t="inlineStr">
        <is>
          <t> </t>
        </is>
      </c>
      <c r="F345" s="391" t="inlineStr">
        <is>
          <t> </t>
        </is>
      </c>
      <c r="G345" s="391" t="inlineStr">
        <is>
          <t> </t>
        </is>
      </c>
      <c r="H345" s="391" t="inlineStr">
        <is>
          <t> </t>
        </is>
      </c>
      <c r="I345" s="391" t="inlineStr">
        <is>
          <t> </t>
        </is>
      </c>
      <c r="J345" s="391" t="inlineStr">
        <is>
          <t> </t>
        </is>
      </c>
      <c r="K345" s="38" t="inlineStr">
        <is>
          <t> </t>
        </is>
      </c>
      <c r="L345" s="391" t="inlineStr">
        <is>
          <t> </t>
        </is>
      </c>
      <c r="M345" s="391" t="inlineStr">
        <is>
          <t> </t>
        </is>
      </c>
      <c r="N345" s="391" t="inlineStr">
        <is>
          <t> </t>
        </is>
      </c>
      <c r="O345" s="391" t="inlineStr">
        <is>
          <t> </t>
        </is>
      </c>
      <c r="P345" s="391" t="inlineStr">
        <is>
          <t> </t>
        </is>
      </c>
      <c r="Q345" s="391" t="inlineStr">
        <is>
          <t> </t>
        </is>
      </c>
      <c r="R345" s="38" t="inlineStr">
        <is>
          <t> </t>
        </is>
      </c>
      <c r="S345" s="391" t="inlineStr">
        <is>
          <t> </t>
        </is>
      </c>
      <c r="T345" s="391" t="inlineStr">
        <is>
          <t> </t>
        </is>
      </c>
      <c r="U345" s="391" t="inlineStr">
        <is>
          <t> </t>
        </is>
      </c>
      <c r="V345" s="391" t="inlineStr">
        <is>
          <t> </t>
        </is>
      </c>
      <c r="W345" s="391" t="inlineStr">
        <is>
          <t> </t>
        </is>
      </c>
      <c r="X345" s="391" t="inlineStr">
        <is>
          <t> </t>
        </is>
      </c>
      <c r="Y345" s="392" t="inlineStr">
        <is>
          <t> </t>
        </is>
      </c>
      <c r="Z345" s="391" t="inlineStr">
        <is>
          <t> </t>
        </is>
      </c>
      <c r="AA345" s="391" t="inlineStr">
        <is>
          <t> </t>
        </is>
      </c>
      <c r="AB345" s="391" t="inlineStr">
        <is>
          <t> </t>
        </is>
      </c>
      <c r="AC345" s="391" t="inlineStr">
        <is>
          <t> </t>
        </is>
      </c>
      <c r="AD345" s="391" t="inlineStr">
        <is>
          <t> </t>
        </is>
      </c>
      <c r="AE345" s="391" t="inlineStr">
        <is>
          <t> </t>
        </is>
      </c>
      <c r="AF345" s="38" t="inlineStr">
        <is>
          <t> </t>
        </is>
      </c>
      <c r="AG345" s="391" t="inlineStr">
        <is>
          <t> </t>
        </is>
      </c>
      <c r="AH345" s="391" t="n"/>
      <c r="AI345" s="391" t="inlineStr">
        <is>
          <t> </t>
        </is>
      </c>
      <c r="AJ345" s="391" t="inlineStr">
        <is>
          <t> </t>
        </is>
      </c>
      <c r="AK345" s="391" t="inlineStr">
        <is>
          <t> </t>
        </is>
      </c>
      <c r="AL345" s="391" t="inlineStr">
        <is>
          <t> </t>
        </is>
      </c>
      <c r="AM345" s="391" t="inlineStr">
        <is>
          <t> </t>
        </is>
      </c>
      <c r="AN345" s="391" t="inlineStr">
        <is>
          <t> </t>
        </is>
      </c>
      <c r="AO345" s="391" t="n"/>
      <c r="AP345" s="319" t="n"/>
      <c r="AQ345" s="319" t="n"/>
      <c r="AR345" s="319" t="n"/>
    </row>
    <row r="346" ht="15.75" customHeight="1" s="1264">
      <c r="A346" s="319" t="inlineStr">
        <is>
          <t> </t>
        </is>
      </c>
      <c r="B346" s="319" t="inlineStr">
        <is>
          <t> </t>
        </is>
      </c>
      <c r="C346" s="319" t="inlineStr">
        <is>
          <t> </t>
        </is>
      </c>
      <c r="D346" s="38" t="inlineStr">
        <is>
          <t> </t>
        </is>
      </c>
      <c r="E346" s="391" t="inlineStr">
        <is>
          <t> </t>
        </is>
      </c>
      <c r="F346" s="391" t="inlineStr">
        <is>
          <t> </t>
        </is>
      </c>
      <c r="G346" s="391" t="inlineStr">
        <is>
          <t> </t>
        </is>
      </c>
      <c r="H346" s="391" t="inlineStr">
        <is>
          <t> </t>
        </is>
      </c>
      <c r="I346" s="391" t="inlineStr">
        <is>
          <t> </t>
        </is>
      </c>
      <c r="J346" s="391" t="inlineStr">
        <is>
          <t> </t>
        </is>
      </c>
      <c r="K346" s="38" t="inlineStr">
        <is>
          <t> </t>
        </is>
      </c>
      <c r="L346" s="391" t="inlineStr">
        <is>
          <t> </t>
        </is>
      </c>
      <c r="M346" s="391" t="inlineStr">
        <is>
          <t> </t>
        </is>
      </c>
      <c r="N346" s="391" t="inlineStr">
        <is>
          <t> </t>
        </is>
      </c>
      <c r="O346" s="391" t="inlineStr">
        <is>
          <t> </t>
        </is>
      </c>
      <c r="P346" s="391" t="inlineStr">
        <is>
          <t> </t>
        </is>
      </c>
      <c r="Q346" s="391" t="inlineStr">
        <is>
          <t> </t>
        </is>
      </c>
      <c r="R346" s="38" t="inlineStr">
        <is>
          <t> </t>
        </is>
      </c>
      <c r="S346" s="391" t="inlineStr">
        <is>
          <t> </t>
        </is>
      </c>
      <c r="T346" s="391" t="inlineStr">
        <is>
          <t> </t>
        </is>
      </c>
      <c r="U346" s="391" t="inlineStr">
        <is>
          <t> </t>
        </is>
      </c>
      <c r="V346" s="391" t="inlineStr">
        <is>
          <t> </t>
        </is>
      </c>
      <c r="W346" s="391" t="inlineStr">
        <is>
          <t> </t>
        </is>
      </c>
      <c r="X346" s="391" t="inlineStr">
        <is>
          <t> </t>
        </is>
      </c>
      <c r="Y346" s="392" t="inlineStr">
        <is>
          <t> </t>
        </is>
      </c>
      <c r="Z346" s="391" t="inlineStr">
        <is>
          <t> </t>
        </is>
      </c>
      <c r="AA346" s="391" t="inlineStr">
        <is>
          <t> </t>
        </is>
      </c>
      <c r="AB346" s="391" t="inlineStr">
        <is>
          <t> </t>
        </is>
      </c>
      <c r="AC346" s="391" t="inlineStr">
        <is>
          <t> </t>
        </is>
      </c>
      <c r="AD346" s="391" t="inlineStr">
        <is>
          <t> </t>
        </is>
      </c>
      <c r="AE346" s="391" t="inlineStr">
        <is>
          <t> </t>
        </is>
      </c>
      <c r="AF346" s="38" t="inlineStr">
        <is>
          <t> </t>
        </is>
      </c>
      <c r="AG346" s="391" t="inlineStr">
        <is>
          <t> </t>
        </is>
      </c>
      <c r="AH346" s="391" t="n"/>
      <c r="AI346" s="391" t="inlineStr">
        <is>
          <t> </t>
        </is>
      </c>
      <c r="AJ346" s="391" t="inlineStr">
        <is>
          <t> </t>
        </is>
      </c>
      <c r="AK346" s="391" t="inlineStr">
        <is>
          <t> </t>
        </is>
      </c>
      <c r="AL346" s="391" t="inlineStr">
        <is>
          <t> </t>
        </is>
      </c>
      <c r="AM346" s="391" t="inlineStr">
        <is>
          <t> </t>
        </is>
      </c>
      <c r="AN346" s="391" t="inlineStr">
        <is>
          <t> </t>
        </is>
      </c>
      <c r="AO346" s="391" t="n"/>
      <c r="AP346" s="319" t="n"/>
      <c r="AQ346" s="319" t="n"/>
      <c r="AR346" s="319" t="n"/>
    </row>
    <row r="347" ht="15.75" customHeight="1" s="1264">
      <c r="A347" s="319" t="inlineStr">
        <is>
          <t> </t>
        </is>
      </c>
      <c r="B347" s="319" t="inlineStr">
        <is>
          <t> </t>
        </is>
      </c>
      <c r="C347" s="319" t="inlineStr">
        <is>
          <t> </t>
        </is>
      </c>
      <c r="D347" s="38" t="inlineStr">
        <is>
          <t> </t>
        </is>
      </c>
      <c r="E347" s="391" t="inlineStr">
        <is>
          <t> </t>
        </is>
      </c>
      <c r="F347" s="391" t="inlineStr">
        <is>
          <t> </t>
        </is>
      </c>
      <c r="G347" s="391" t="inlineStr">
        <is>
          <t> </t>
        </is>
      </c>
      <c r="H347" s="391" t="inlineStr">
        <is>
          <t> </t>
        </is>
      </c>
      <c r="I347" s="391" t="inlineStr">
        <is>
          <t> </t>
        </is>
      </c>
      <c r="J347" s="391" t="inlineStr">
        <is>
          <t> </t>
        </is>
      </c>
      <c r="K347" s="38" t="inlineStr">
        <is>
          <t> </t>
        </is>
      </c>
      <c r="L347" s="391" t="inlineStr">
        <is>
          <t> </t>
        </is>
      </c>
      <c r="M347" s="391" t="inlineStr">
        <is>
          <t> </t>
        </is>
      </c>
      <c r="N347" s="391" t="inlineStr">
        <is>
          <t> </t>
        </is>
      </c>
      <c r="O347" s="391" t="inlineStr">
        <is>
          <t> </t>
        </is>
      </c>
      <c r="P347" s="391" t="inlineStr">
        <is>
          <t> </t>
        </is>
      </c>
      <c r="Q347" s="391" t="inlineStr">
        <is>
          <t> </t>
        </is>
      </c>
      <c r="R347" s="38" t="inlineStr">
        <is>
          <t> </t>
        </is>
      </c>
      <c r="S347" s="391" t="inlineStr">
        <is>
          <t> </t>
        </is>
      </c>
      <c r="T347" s="391" t="inlineStr">
        <is>
          <t> </t>
        </is>
      </c>
      <c r="U347" s="391" t="inlineStr">
        <is>
          <t> </t>
        </is>
      </c>
      <c r="V347" s="391" t="inlineStr">
        <is>
          <t> </t>
        </is>
      </c>
      <c r="W347" s="391" t="inlineStr">
        <is>
          <t> </t>
        </is>
      </c>
      <c r="X347" s="391" t="inlineStr">
        <is>
          <t> </t>
        </is>
      </c>
      <c r="Y347" s="392" t="inlineStr">
        <is>
          <t> </t>
        </is>
      </c>
      <c r="Z347" s="391" t="inlineStr">
        <is>
          <t> </t>
        </is>
      </c>
      <c r="AA347" s="391" t="inlineStr">
        <is>
          <t> </t>
        </is>
      </c>
      <c r="AB347" s="391" t="inlineStr">
        <is>
          <t> </t>
        </is>
      </c>
      <c r="AC347" s="391" t="inlineStr">
        <is>
          <t> </t>
        </is>
      </c>
      <c r="AD347" s="391" t="inlineStr">
        <is>
          <t> </t>
        </is>
      </c>
      <c r="AE347" s="391" t="inlineStr">
        <is>
          <t> </t>
        </is>
      </c>
      <c r="AF347" s="38" t="inlineStr">
        <is>
          <t> </t>
        </is>
      </c>
      <c r="AG347" s="391" t="inlineStr">
        <is>
          <t> </t>
        </is>
      </c>
      <c r="AH347" s="391" t="n"/>
      <c r="AI347" s="391" t="inlineStr">
        <is>
          <t> </t>
        </is>
      </c>
      <c r="AJ347" s="391" t="inlineStr">
        <is>
          <t> </t>
        </is>
      </c>
      <c r="AK347" s="391" t="inlineStr">
        <is>
          <t> </t>
        </is>
      </c>
      <c r="AL347" s="391" t="inlineStr">
        <is>
          <t> </t>
        </is>
      </c>
      <c r="AM347" s="391" t="inlineStr">
        <is>
          <t> </t>
        </is>
      </c>
      <c r="AN347" s="391" t="inlineStr">
        <is>
          <t> </t>
        </is>
      </c>
      <c r="AO347" s="391" t="n"/>
      <c r="AP347" s="319" t="n"/>
      <c r="AQ347" s="319" t="n"/>
      <c r="AR347" s="319" t="n"/>
    </row>
    <row r="348" ht="15.75" customHeight="1" s="1264">
      <c r="A348" s="319" t="inlineStr">
        <is>
          <t> </t>
        </is>
      </c>
      <c r="B348" s="319" t="inlineStr">
        <is>
          <t> </t>
        </is>
      </c>
      <c r="C348" s="319" t="inlineStr">
        <is>
          <t> </t>
        </is>
      </c>
      <c r="D348" s="38" t="inlineStr">
        <is>
          <t> </t>
        </is>
      </c>
      <c r="E348" s="391" t="inlineStr">
        <is>
          <t> </t>
        </is>
      </c>
      <c r="F348" s="391" t="inlineStr">
        <is>
          <t> </t>
        </is>
      </c>
      <c r="G348" s="391" t="inlineStr">
        <is>
          <t> </t>
        </is>
      </c>
      <c r="H348" s="391" t="inlineStr">
        <is>
          <t> </t>
        </is>
      </c>
      <c r="I348" s="391" t="inlineStr">
        <is>
          <t> </t>
        </is>
      </c>
      <c r="J348" s="391" t="inlineStr">
        <is>
          <t> </t>
        </is>
      </c>
      <c r="K348" s="38" t="inlineStr">
        <is>
          <t> </t>
        </is>
      </c>
      <c r="L348" s="391" t="inlineStr">
        <is>
          <t> </t>
        </is>
      </c>
      <c r="M348" s="391" t="inlineStr">
        <is>
          <t> </t>
        </is>
      </c>
      <c r="N348" s="391" t="inlineStr">
        <is>
          <t> </t>
        </is>
      </c>
      <c r="O348" s="391" t="inlineStr">
        <is>
          <t> </t>
        </is>
      </c>
      <c r="P348" s="391" t="inlineStr">
        <is>
          <t> </t>
        </is>
      </c>
      <c r="Q348" s="391" t="inlineStr">
        <is>
          <t> </t>
        </is>
      </c>
      <c r="R348" s="38" t="inlineStr">
        <is>
          <t> </t>
        </is>
      </c>
      <c r="S348" s="391" t="inlineStr">
        <is>
          <t> </t>
        </is>
      </c>
      <c r="T348" s="391" t="inlineStr">
        <is>
          <t> </t>
        </is>
      </c>
      <c r="U348" s="391" t="inlineStr">
        <is>
          <t> </t>
        </is>
      </c>
      <c r="V348" s="391" t="inlineStr">
        <is>
          <t> </t>
        </is>
      </c>
      <c r="W348" s="391" t="inlineStr">
        <is>
          <t> </t>
        </is>
      </c>
      <c r="X348" s="391" t="inlineStr">
        <is>
          <t> </t>
        </is>
      </c>
      <c r="Y348" s="392" t="inlineStr">
        <is>
          <t> </t>
        </is>
      </c>
      <c r="Z348" s="391" t="inlineStr">
        <is>
          <t> </t>
        </is>
      </c>
      <c r="AA348" s="391" t="inlineStr">
        <is>
          <t> </t>
        </is>
      </c>
      <c r="AB348" s="391" t="inlineStr">
        <is>
          <t> </t>
        </is>
      </c>
      <c r="AC348" s="391" t="inlineStr">
        <is>
          <t> </t>
        </is>
      </c>
      <c r="AD348" s="391" t="inlineStr">
        <is>
          <t> </t>
        </is>
      </c>
      <c r="AE348" s="391" t="inlineStr">
        <is>
          <t> </t>
        </is>
      </c>
      <c r="AF348" s="38" t="inlineStr">
        <is>
          <t> </t>
        </is>
      </c>
      <c r="AG348" s="391" t="inlineStr">
        <is>
          <t> </t>
        </is>
      </c>
      <c r="AH348" s="391" t="n"/>
      <c r="AI348" s="391" t="inlineStr">
        <is>
          <t> </t>
        </is>
      </c>
      <c r="AJ348" s="391" t="inlineStr">
        <is>
          <t> </t>
        </is>
      </c>
      <c r="AK348" s="391" t="inlineStr">
        <is>
          <t> </t>
        </is>
      </c>
      <c r="AL348" s="391" t="inlineStr">
        <is>
          <t> </t>
        </is>
      </c>
      <c r="AM348" s="391" t="inlineStr">
        <is>
          <t> </t>
        </is>
      </c>
      <c r="AN348" s="391" t="inlineStr">
        <is>
          <t> </t>
        </is>
      </c>
      <c r="AO348" s="391" t="n"/>
      <c r="AP348" s="319" t="n"/>
      <c r="AQ348" s="319" t="n"/>
      <c r="AR348" s="319" t="n"/>
    </row>
    <row r="349" ht="15.75" customHeight="1" s="1264">
      <c r="A349" s="319" t="inlineStr">
        <is>
          <t> </t>
        </is>
      </c>
      <c r="B349" s="319" t="inlineStr">
        <is>
          <t> </t>
        </is>
      </c>
      <c r="C349" s="319" t="inlineStr">
        <is>
          <t> </t>
        </is>
      </c>
      <c r="D349" s="38" t="inlineStr">
        <is>
          <t> </t>
        </is>
      </c>
      <c r="E349" s="391" t="inlineStr">
        <is>
          <t> </t>
        </is>
      </c>
      <c r="F349" s="391" t="inlineStr">
        <is>
          <t> </t>
        </is>
      </c>
      <c r="G349" s="391" t="inlineStr">
        <is>
          <t> </t>
        </is>
      </c>
      <c r="H349" s="391" t="inlineStr">
        <is>
          <t> </t>
        </is>
      </c>
      <c r="I349" s="391" t="inlineStr">
        <is>
          <t> </t>
        </is>
      </c>
      <c r="J349" s="391" t="inlineStr">
        <is>
          <t> </t>
        </is>
      </c>
      <c r="K349" s="38" t="inlineStr">
        <is>
          <t> </t>
        </is>
      </c>
      <c r="L349" s="391" t="inlineStr">
        <is>
          <t> </t>
        </is>
      </c>
      <c r="M349" s="391" t="inlineStr">
        <is>
          <t> </t>
        </is>
      </c>
      <c r="N349" s="391" t="inlineStr">
        <is>
          <t> </t>
        </is>
      </c>
      <c r="O349" s="391" t="inlineStr">
        <is>
          <t> </t>
        </is>
      </c>
      <c r="P349" s="391" t="inlineStr">
        <is>
          <t> </t>
        </is>
      </c>
      <c r="Q349" s="391" t="inlineStr">
        <is>
          <t> </t>
        </is>
      </c>
      <c r="R349" s="38" t="inlineStr">
        <is>
          <t> </t>
        </is>
      </c>
      <c r="S349" s="391" t="inlineStr">
        <is>
          <t> </t>
        </is>
      </c>
      <c r="T349" s="391" t="inlineStr">
        <is>
          <t> </t>
        </is>
      </c>
      <c r="U349" s="391" t="inlineStr">
        <is>
          <t> </t>
        </is>
      </c>
      <c r="V349" s="391" t="inlineStr">
        <is>
          <t> </t>
        </is>
      </c>
      <c r="W349" s="391" t="inlineStr">
        <is>
          <t> </t>
        </is>
      </c>
      <c r="X349" s="391" t="inlineStr">
        <is>
          <t> </t>
        </is>
      </c>
      <c r="Y349" s="392" t="inlineStr">
        <is>
          <t> </t>
        </is>
      </c>
      <c r="Z349" s="391" t="inlineStr">
        <is>
          <t> </t>
        </is>
      </c>
      <c r="AA349" s="391" t="inlineStr">
        <is>
          <t> </t>
        </is>
      </c>
      <c r="AB349" s="391" t="inlineStr">
        <is>
          <t> </t>
        </is>
      </c>
      <c r="AC349" s="391" t="inlineStr">
        <is>
          <t> </t>
        </is>
      </c>
      <c r="AD349" s="391" t="inlineStr">
        <is>
          <t> </t>
        </is>
      </c>
      <c r="AE349" s="391" t="inlineStr">
        <is>
          <t> </t>
        </is>
      </c>
      <c r="AF349" s="38" t="inlineStr">
        <is>
          <t> </t>
        </is>
      </c>
      <c r="AG349" s="391" t="inlineStr">
        <is>
          <t> </t>
        </is>
      </c>
      <c r="AH349" s="391" t="n"/>
      <c r="AI349" s="391" t="inlineStr">
        <is>
          <t> </t>
        </is>
      </c>
      <c r="AJ349" s="391" t="inlineStr">
        <is>
          <t> </t>
        </is>
      </c>
      <c r="AK349" s="391" t="inlineStr">
        <is>
          <t> </t>
        </is>
      </c>
      <c r="AL349" s="391" t="inlineStr">
        <is>
          <t> </t>
        </is>
      </c>
      <c r="AM349" s="391" t="inlineStr">
        <is>
          <t> </t>
        </is>
      </c>
      <c r="AN349" s="391" t="inlineStr">
        <is>
          <t> </t>
        </is>
      </c>
      <c r="AO349" s="391" t="n"/>
      <c r="AP349" s="319" t="n"/>
      <c r="AQ349" s="319" t="n"/>
      <c r="AR349" s="319" t="n"/>
    </row>
    <row r="350" ht="15.75" customHeight="1" s="1264">
      <c r="A350" s="319" t="inlineStr">
        <is>
          <t> </t>
        </is>
      </c>
      <c r="B350" s="319" t="inlineStr">
        <is>
          <t> </t>
        </is>
      </c>
      <c r="C350" s="319" t="inlineStr">
        <is>
          <t> </t>
        </is>
      </c>
      <c r="D350" s="38" t="inlineStr">
        <is>
          <t> </t>
        </is>
      </c>
      <c r="E350" s="391" t="inlineStr">
        <is>
          <t> </t>
        </is>
      </c>
      <c r="F350" s="391" t="inlineStr">
        <is>
          <t> </t>
        </is>
      </c>
      <c r="G350" s="391" t="inlineStr">
        <is>
          <t> </t>
        </is>
      </c>
      <c r="H350" s="391" t="inlineStr">
        <is>
          <t> </t>
        </is>
      </c>
      <c r="I350" s="391" t="inlineStr">
        <is>
          <t> </t>
        </is>
      </c>
      <c r="J350" s="391" t="inlineStr">
        <is>
          <t> </t>
        </is>
      </c>
      <c r="K350" s="38" t="inlineStr">
        <is>
          <t> </t>
        </is>
      </c>
      <c r="L350" s="391" t="inlineStr">
        <is>
          <t> </t>
        </is>
      </c>
      <c r="M350" s="391" t="inlineStr">
        <is>
          <t> </t>
        </is>
      </c>
      <c r="N350" s="391" t="inlineStr">
        <is>
          <t> </t>
        </is>
      </c>
      <c r="O350" s="391" t="inlineStr">
        <is>
          <t> </t>
        </is>
      </c>
      <c r="P350" s="391" t="inlineStr">
        <is>
          <t> </t>
        </is>
      </c>
      <c r="Q350" s="391" t="inlineStr">
        <is>
          <t> </t>
        </is>
      </c>
      <c r="R350" s="38" t="inlineStr">
        <is>
          <t> </t>
        </is>
      </c>
      <c r="S350" s="391" t="inlineStr">
        <is>
          <t> </t>
        </is>
      </c>
      <c r="T350" s="391" t="inlineStr">
        <is>
          <t> </t>
        </is>
      </c>
      <c r="U350" s="391" t="inlineStr">
        <is>
          <t> </t>
        </is>
      </c>
      <c r="V350" s="391" t="inlineStr">
        <is>
          <t> </t>
        </is>
      </c>
      <c r="W350" s="391" t="inlineStr">
        <is>
          <t> </t>
        </is>
      </c>
      <c r="X350" s="391" t="inlineStr">
        <is>
          <t> </t>
        </is>
      </c>
      <c r="Y350" s="392" t="inlineStr">
        <is>
          <t> </t>
        </is>
      </c>
      <c r="Z350" s="391" t="inlineStr">
        <is>
          <t> </t>
        </is>
      </c>
      <c r="AA350" s="391" t="inlineStr">
        <is>
          <t> </t>
        </is>
      </c>
      <c r="AB350" s="391" t="inlineStr">
        <is>
          <t> </t>
        </is>
      </c>
      <c r="AC350" s="391" t="inlineStr">
        <is>
          <t> </t>
        </is>
      </c>
      <c r="AD350" s="391" t="inlineStr">
        <is>
          <t> </t>
        </is>
      </c>
      <c r="AE350" s="391" t="inlineStr">
        <is>
          <t> </t>
        </is>
      </c>
      <c r="AF350" s="38" t="inlineStr">
        <is>
          <t> </t>
        </is>
      </c>
      <c r="AG350" s="391" t="inlineStr">
        <is>
          <t> </t>
        </is>
      </c>
      <c r="AH350" s="391" t="n"/>
      <c r="AI350" s="391" t="inlineStr">
        <is>
          <t> </t>
        </is>
      </c>
      <c r="AJ350" s="391" t="inlineStr">
        <is>
          <t> </t>
        </is>
      </c>
      <c r="AK350" s="391" t="inlineStr">
        <is>
          <t> </t>
        </is>
      </c>
      <c r="AL350" s="391" t="inlineStr">
        <is>
          <t> </t>
        </is>
      </c>
      <c r="AM350" s="391" t="inlineStr">
        <is>
          <t> </t>
        </is>
      </c>
      <c r="AN350" s="391" t="inlineStr">
        <is>
          <t> </t>
        </is>
      </c>
      <c r="AO350" s="391" t="n"/>
      <c r="AP350" s="319" t="n"/>
      <c r="AQ350" s="319" t="n"/>
      <c r="AR350" s="319" t="n"/>
    </row>
    <row r="351" ht="15.75" customHeight="1" s="1264">
      <c r="A351" s="319" t="inlineStr">
        <is>
          <t> </t>
        </is>
      </c>
      <c r="B351" s="319" t="inlineStr">
        <is>
          <t> </t>
        </is>
      </c>
      <c r="C351" s="319" t="inlineStr">
        <is>
          <t> </t>
        </is>
      </c>
      <c r="D351" s="38" t="inlineStr">
        <is>
          <t> </t>
        </is>
      </c>
      <c r="E351" s="391" t="inlineStr">
        <is>
          <t> </t>
        </is>
      </c>
      <c r="F351" s="391" t="inlineStr">
        <is>
          <t> </t>
        </is>
      </c>
      <c r="G351" s="391" t="inlineStr">
        <is>
          <t> </t>
        </is>
      </c>
      <c r="H351" s="391" t="inlineStr">
        <is>
          <t> </t>
        </is>
      </c>
      <c r="I351" s="391" t="inlineStr">
        <is>
          <t> </t>
        </is>
      </c>
      <c r="J351" s="391" t="inlineStr">
        <is>
          <t> </t>
        </is>
      </c>
      <c r="K351" s="38" t="inlineStr">
        <is>
          <t> </t>
        </is>
      </c>
      <c r="L351" s="391" t="inlineStr">
        <is>
          <t> </t>
        </is>
      </c>
      <c r="M351" s="391" t="inlineStr">
        <is>
          <t> </t>
        </is>
      </c>
      <c r="N351" s="391" t="inlineStr">
        <is>
          <t> </t>
        </is>
      </c>
      <c r="O351" s="391" t="inlineStr">
        <is>
          <t> </t>
        </is>
      </c>
      <c r="P351" s="391" t="inlineStr">
        <is>
          <t> </t>
        </is>
      </c>
      <c r="Q351" s="391" t="inlineStr">
        <is>
          <t> </t>
        </is>
      </c>
      <c r="R351" s="38" t="inlineStr">
        <is>
          <t> </t>
        </is>
      </c>
      <c r="S351" s="391" t="inlineStr">
        <is>
          <t> </t>
        </is>
      </c>
      <c r="T351" s="391" t="inlineStr">
        <is>
          <t> </t>
        </is>
      </c>
      <c r="U351" s="391" t="inlineStr">
        <is>
          <t> </t>
        </is>
      </c>
      <c r="V351" s="391" t="inlineStr">
        <is>
          <t> </t>
        </is>
      </c>
      <c r="W351" s="391" t="inlineStr">
        <is>
          <t> </t>
        </is>
      </c>
      <c r="X351" s="391" t="inlineStr">
        <is>
          <t> </t>
        </is>
      </c>
      <c r="Y351" s="392" t="inlineStr">
        <is>
          <t> </t>
        </is>
      </c>
      <c r="Z351" s="391" t="inlineStr">
        <is>
          <t> </t>
        </is>
      </c>
      <c r="AA351" s="391" t="inlineStr">
        <is>
          <t> </t>
        </is>
      </c>
      <c r="AB351" s="391" t="inlineStr">
        <is>
          <t> </t>
        </is>
      </c>
      <c r="AC351" s="391" t="inlineStr">
        <is>
          <t> </t>
        </is>
      </c>
      <c r="AD351" s="391" t="inlineStr">
        <is>
          <t> </t>
        </is>
      </c>
      <c r="AE351" s="391" t="inlineStr">
        <is>
          <t> </t>
        </is>
      </c>
      <c r="AF351" s="38" t="inlineStr">
        <is>
          <t> </t>
        </is>
      </c>
      <c r="AG351" s="391" t="inlineStr">
        <is>
          <t> </t>
        </is>
      </c>
      <c r="AH351" s="391" t="n"/>
      <c r="AI351" s="391" t="inlineStr">
        <is>
          <t> </t>
        </is>
      </c>
      <c r="AJ351" s="391" t="inlineStr">
        <is>
          <t> </t>
        </is>
      </c>
      <c r="AK351" s="391" t="inlineStr">
        <is>
          <t> </t>
        </is>
      </c>
      <c r="AL351" s="391" t="inlineStr">
        <is>
          <t> </t>
        </is>
      </c>
      <c r="AM351" s="391" t="inlineStr">
        <is>
          <t> </t>
        </is>
      </c>
      <c r="AN351" s="391" t="inlineStr">
        <is>
          <t> </t>
        </is>
      </c>
      <c r="AO351" s="391" t="n"/>
      <c r="AP351" s="319" t="n"/>
      <c r="AQ351" s="319" t="n"/>
      <c r="AR351" s="319" t="n"/>
    </row>
    <row r="352" ht="15.75" customHeight="1" s="1264">
      <c r="A352" s="319" t="inlineStr">
        <is>
          <t> </t>
        </is>
      </c>
      <c r="B352" s="319" t="inlineStr">
        <is>
          <t> </t>
        </is>
      </c>
      <c r="C352" s="319" t="inlineStr">
        <is>
          <t> </t>
        </is>
      </c>
      <c r="D352" s="38" t="inlineStr">
        <is>
          <t> </t>
        </is>
      </c>
      <c r="E352" s="391" t="inlineStr">
        <is>
          <t> </t>
        </is>
      </c>
      <c r="F352" s="391" t="inlineStr">
        <is>
          <t> </t>
        </is>
      </c>
      <c r="G352" s="391" t="inlineStr">
        <is>
          <t> </t>
        </is>
      </c>
      <c r="H352" s="391" t="inlineStr">
        <is>
          <t> </t>
        </is>
      </c>
      <c r="I352" s="391" t="inlineStr">
        <is>
          <t> </t>
        </is>
      </c>
      <c r="J352" s="391" t="inlineStr">
        <is>
          <t> </t>
        </is>
      </c>
      <c r="K352" s="38" t="inlineStr">
        <is>
          <t> </t>
        </is>
      </c>
      <c r="L352" s="391" t="inlineStr">
        <is>
          <t> </t>
        </is>
      </c>
      <c r="M352" s="391" t="inlineStr">
        <is>
          <t> </t>
        </is>
      </c>
      <c r="N352" s="391" t="inlineStr">
        <is>
          <t> </t>
        </is>
      </c>
      <c r="O352" s="391" t="inlineStr">
        <is>
          <t> </t>
        </is>
      </c>
      <c r="P352" s="391" t="inlineStr">
        <is>
          <t> </t>
        </is>
      </c>
      <c r="Q352" s="391" t="inlineStr">
        <is>
          <t> </t>
        </is>
      </c>
      <c r="R352" s="38" t="inlineStr">
        <is>
          <t> </t>
        </is>
      </c>
      <c r="S352" s="391" t="inlineStr">
        <is>
          <t> </t>
        </is>
      </c>
      <c r="T352" s="391" t="inlineStr">
        <is>
          <t> </t>
        </is>
      </c>
      <c r="U352" s="391" t="inlineStr">
        <is>
          <t> </t>
        </is>
      </c>
      <c r="V352" s="391" t="inlineStr">
        <is>
          <t> </t>
        </is>
      </c>
      <c r="W352" s="391" t="inlineStr">
        <is>
          <t> </t>
        </is>
      </c>
      <c r="X352" s="391" t="inlineStr">
        <is>
          <t> </t>
        </is>
      </c>
      <c r="Y352" s="392" t="inlineStr">
        <is>
          <t> </t>
        </is>
      </c>
      <c r="Z352" s="391" t="inlineStr">
        <is>
          <t> </t>
        </is>
      </c>
      <c r="AA352" s="391" t="inlineStr">
        <is>
          <t> </t>
        </is>
      </c>
      <c r="AB352" s="391" t="inlineStr">
        <is>
          <t> </t>
        </is>
      </c>
      <c r="AC352" s="391" t="inlineStr">
        <is>
          <t> </t>
        </is>
      </c>
      <c r="AD352" s="391" t="inlineStr">
        <is>
          <t> </t>
        </is>
      </c>
      <c r="AE352" s="391" t="inlineStr">
        <is>
          <t> </t>
        </is>
      </c>
      <c r="AF352" s="38" t="inlineStr">
        <is>
          <t> </t>
        </is>
      </c>
      <c r="AG352" s="391" t="inlineStr">
        <is>
          <t> </t>
        </is>
      </c>
      <c r="AH352" s="391" t="n"/>
      <c r="AI352" s="391" t="inlineStr">
        <is>
          <t> </t>
        </is>
      </c>
      <c r="AJ352" s="391" t="inlineStr">
        <is>
          <t> </t>
        </is>
      </c>
      <c r="AK352" s="391" t="inlineStr">
        <is>
          <t> </t>
        </is>
      </c>
      <c r="AL352" s="391" t="inlineStr">
        <is>
          <t> </t>
        </is>
      </c>
      <c r="AM352" s="391" t="inlineStr">
        <is>
          <t> </t>
        </is>
      </c>
      <c r="AN352" s="391" t="inlineStr">
        <is>
          <t> </t>
        </is>
      </c>
      <c r="AO352" s="391" t="n"/>
      <c r="AP352" s="319" t="n"/>
      <c r="AQ352" s="319" t="n"/>
      <c r="AR352" s="319" t="n"/>
    </row>
    <row r="353" ht="15.75" customHeight="1" s="1264">
      <c r="A353" s="319" t="inlineStr">
        <is>
          <t> </t>
        </is>
      </c>
      <c r="B353" s="319" t="inlineStr">
        <is>
          <t> </t>
        </is>
      </c>
      <c r="C353" s="319" t="inlineStr">
        <is>
          <t> </t>
        </is>
      </c>
      <c r="D353" s="38" t="inlineStr">
        <is>
          <t> </t>
        </is>
      </c>
      <c r="E353" s="391" t="inlineStr">
        <is>
          <t> </t>
        </is>
      </c>
      <c r="F353" s="391" t="inlineStr">
        <is>
          <t> </t>
        </is>
      </c>
      <c r="G353" s="391" t="inlineStr">
        <is>
          <t> </t>
        </is>
      </c>
      <c r="H353" s="391" t="inlineStr">
        <is>
          <t> </t>
        </is>
      </c>
      <c r="I353" s="391" t="inlineStr">
        <is>
          <t> </t>
        </is>
      </c>
      <c r="J353" s="391" t="inlineStr">
        <is>
          <t> </t>
        </is>
      </c>
      <c r="K353" s="38" t="inlineStr">
        <is>
          <t> </t>
        </is>
      </c>
      <c r="L353" s="391" t="inlineStr">
        <is>
          <t> </t>
        </is>
      </c>
      <c r="M353" s="391" t="inlineStr">
        <is>
          <t> </t>
        </is>
      </c>
      <c r="N353" s="391" t="inlineStr">
        <is>
          <t> </t>
        </is>
      </c>
      <c r="O353" s="391" t="inlineStr">
        <is>
          <t> </t>
        </is>
      </c>
      <c r="P353" s="391" t="inlineStr">
        <is>
          <t> </t>
        </is>
      </c>
      <c r="Q353" s="391" t="inlineStr">
        <is>
          <t> </t>
        </is>
      </c>
      <c r="R353" s="38" t="inlineStr">
        <is>
          <t> </t>
        </is>
      </c>
      <c r="S353" s="391" t="inlineStr">
        <is>
          <t> </t>
        </is>
      </c>
      <c r="T353" s="391" t="inlineStr">
        <is>
          <t> </t>
        </is>
      </c>
      <c r="U353" s="391" t="inlineStr">
        <is>
          <t> </t>
        </is>
      </c>
      <c r="V353" s="391" t="inlineStr">
        <is>
          <t> </t>
        </is>
      </c>
      <c r="W353" s="391" t="inlineStr">
        <is>
          <t> </t>
        </is>
      </c>
      <c r="X353" s="391" t="inlineStr">
        <is>
          <t> </t>
        </is>
      </c>
      <c r="Y353" s="392" t="inlineStr">
        <is>
          <t> </t>
        </is>
      </c>
      <c r="Z353" s="391" t="inlineStr">
        <is>
          <t> </t>
        </is>
      </c>
      <c r="AA353" s="391" t="inlineStr">
        <is>
          <t> </t>
        </is>
      </c>
      <c r="AB353" s="391" t="inlineStr">
        <is>
          <t> </t>
        </is>
      </c>
      <c r="AC353" s="391" t="inlineStr">
        <is>
          <t> </t>
        </is>
      </c>
      <c r="AD353" s="391" t="inlineStr">
        <is>
          <t> </t>
        </is>
      </c>
      <c r="AE353" s="391" t="inlineStr">
        <is>
          <t> </t>
        </is>
      </c>
      <c r="AF353" s="38" t="inlineStr">
        <is>
          <t> </t>
        </is>
      </c>
      <c r="AG353" s="391" t="inlineStr">
        <is>
          <t> </t>
        </is>
      </c>
      <c r="AH353" s="391" t="n"/>
      <c r="AI353" s="391" t="inlineStr">
        <is>
          <t> </t>
        </is>
      </c>
      <c r="AJ353" s="391" t="inlineStr">
        <is>
          <t> </t>
        </is>
      </c>
      <c r="AK353" s="391" t="inlineStr">
        <is>
          <t> </t>
        </is>
      </c>
      <c r="AL353" s="391" t="inlineStr">
        <is>
          <t> </t>
        </is>
      </c>
      <c r="AM353" s="391" t="inlineStr">
        <is>
          <t> </t>
        </is>
      </c>
      <c r="AN353" s="391" t="inlineStr">
        <is>
          <t> </t>
        </is>
      </c>
      <c r="AO353" s="391" t="n"/>
      <c r="AP353" s="319" t="n"/>
      <c r="AQ353" s="319" t="n"/>
      <c r="AR353" s="319" t="n"/>
    </row>
    <row r="354" ht="15.75" customHeight="1" s="1264">
      <c r="A354" s="319" t="inlineStr">
        <is>
          <t> </t>
        </is>
      </c>
      <c r="B354" s="319" t="inlineStr">
        <is>
          <t> </t>
        </is>
      </c>
      <c r="C354" s="319" t="inlineStr">
        <is>
          <t> </t>
        </is>
      </c>
      <c r="D354" s="38" t="inlineStr">
        <is>
          <t> </t>
        </is>
      </c>
      <c r="E354" s="391" t="inlineStr">
        <is>
          <t> </t>
        </is>
      </c>
      <c r="F354" s="391" t="inlineStr">
        <is>
          <t> </t>
        </is>
      </c>
      <c r="G354" s="391" t="inlineStr">
        <is>
          <t> </t>
        </is>
      </c>
      <c r="H354" s="391" t="inlineStr">
        <is>
          <t> </t>
        </is>
      </c>
      <c r="I354" s="391" t="inlineStr">
        <is>
          <t> </t>
        </is>
      </c>
      <c r="J354" s="391" t="inlineStr">
        <is>
          <t> </t>
        </is>
      </c>
      <c r="K354" s="38" t="inlineStr">
        <is>
          <t> </t>
        </is>
      </c>
      <c r="L354" s="391" t="inlineStr">
        <is>
          <t> </t>
        </is>
      </c>
      <c r="M354" s="391" t="inlineStr">
        <is>
          <t> </t>
        </is>
      </c>
      <c r="N354" s="391" t="inlineStr">
        <is>
          <t> </t>
        </is>
      </c>
      <c r="O354" s="391" t="inlineStr">
        <is>
          <t> </t>
        </is>
      </c>
      <c r="P354" s="391" t="inlineStr">
        <is>
          <t> </t>
        </is>
      </c>
      <c r="Q354" s="391" t="inlineStr">
        <is>
          <t> </t>
        </is>
      </c>
      <c r="R354" s="38" t="inlineStr">
        <is>
          <t> </t>
        </is>
      </c>
      <c r="S354" s="391" t="inlineStr">
        <is>
          <t> </t>
        </is>
      </c>
      <c r="T354" s="391" t="inlineStr">
        <is>
          <t> </t>
        </is>
      </c>
      <c r="U354" s="391" t="inlineStr">
        <is>
          <t> </t>
        </is>
      </c>
      <c r="V354" s="391" t="inlineStr">
        <is>
          <t> </t>
        </is>
      </c>
      <c r="W354" s="391" t="inlineStr">
        <is>
          <t> </t>
        </is>
      </c>
      <c r="X354" s="391" t="inlineStr">
        <is>
          <t> </t>
        </is>
      </c>
      <c r="Y354" s="392" t="inlineStr">
        <is>
          <t> </t>
        </is>
      </c>
      <c r="Z354" s="391" t="inlineStr">
        <is>
          <t> </t>
        </is>
      </c>
      <c r="AA354" s="391" t="inlineStr">
        <is>
          <t> </t>
        </is>
      </c>
      <c r="AB354" s="391" t="inlineStr">
        <is>
          <t> </t>
        </is>
      </c>
      <c r="AC354" s="391" t="inlineStr">
        <is>
          <t> </t>
        </is>
      </c>
      <c r="AD354" s="391" t="inlineStr">
        <is>
          <t> </t>
        </is>
      </c>
      <c r="AE354" s="391" t="inlineStr">
        <is>
          <t> </t>
        </is>
      </c>
      <c r="AF354" s="38" t="inlineStr">
        <is>
          <t> </t>
        </is>
      </c>
      <c r="AG354" s="391" t="inlineStr">
        <is>
          <t> </t>
        </is>
      </c>
      <c r="AH354" s="391" t="n"/>
      <c r="AI354" s="391" t="inlineStr">
        <is>
          <t> </t>
        </is>
      </c>
      <c r="AJ354" s="391" t="inlineStr">
        <is>
          <t> </t>
        </is>
      </c>
      <c r="AK354" s="391" t="inlineStr">
        <is>
          <t> </t>
        </is>
      </c>
      <c r="AL354" s="391" t="inlineStr">
        <is>
          <t> </t>
        </is>
      </c>
      <c r="AM354" s="391" t="inlineStr">
        <is>
          <t> </t>
        </is>
      </c>
      <c r="AN354" s="391" t="inlineStr">
        <is>
          <t> </t>
        </is>
      </c>
      <c r="AO354" s="391" t="n"/>
      <c r="AP354" s="319" t="n"/>
      <c r="AQ354" s="319" t="n"/>
      <c r="AR354" s="319" t="n"/>
    </row>
    <row r="355" ht="15.75" customHeight="1" s="1264">
      <c r="A355" s="319" t="inlineStr">
        <is>
          <t> </t>
        </is>
      </c>
      <c r="B355" s="319" t="inlineStr">
        <is>
          <t> </t>
        </is>
      </c>
      <c r="C355" s="319" t="inlineStr">
        <is>
          <t> </t>
        </is>
      </c>
      <c r="D355" s="38" t="inlineStr">
        <is>
          <t> </t>
        </is>
      </c>
      <c r="E355" s="391" t="inlineStr">
        <is>
          <t> </t>
        </is>
      </c>
      <c r="F355" s="391" t="inlineStr">
        <is>
          <t> </t>
        </is>
      </c>
      <c r="G355" s="391" t="inlineStr">
        <is>
          <t> </t>
        </is>
      </c>
      <c r="H355" s="391" t="inlineStr">
        <is>
          <t> </t>
        </is>
      </c>
      <c r="I355" s="391" t="inlineStr">
        <is>
          <t> </t>
        </is>
      </c>
      <c r="J355" s="391" t="inlineStr">
        <is>
          <t> </t>
        </is>
      </c>
      <c r="K355" s="38" t="inlineStr">
        <is>
          <t> </t>
        </is>
      </c>
      <c r="L355" s="391" t="inlineStr">
        <is>
          <t> </t>
        </is>
      </c>
      <c r="M355" s="391" t="inlineStr">
        <is>
          <t> </t>
        </is>
      </c>
      <c r="N355" s="391" t="inlineStr">
        <is>
          <t> </t>
        </is>
      </c>
      <c r="O355" s="391" t="inlineStr">
        <is>
          <t> </t>
        </is>
      </c>
      <c r="P355" s="391" t="inlineStr">
        <is>
          <t> </t>
        </is>
      </c>
      <c r="Q355" s="391" t="inlineStr">
        <is>
          <t> </t>
        </is>
      </c>
      <c r="R355" s="38" t="inlineStr">
        <is>
          <t> </t>
        </is>
      </c>
      <c r="S355" s="391" t="inlineStr">
        <is>
          <t> </t>
        </is>
      </c>
      <c r="T355" s="391" t="inlineStr">
        <is>
          <t> </t>
        </is>
      </c>
      <c r="U355" s="391" t="inlineStr">
        <is>
          <t> </t>
        </is>
      </c>
      <c r="V355" s="391" t="inlineStr">
        <is>
          <t> </t>
        </is>
      </c>
      <c r="W355" s="391" t="inlineStr">
        <is>
          <t> </t>
        </is>
      </c>
      <c r="X355" s="391" t="inlineStr">
        <is>
          <t> </t>
        </is>
      </c>
      <c r="Y355" s="392" t="inlineStr">
        <is>
          <t> </t>
        </is>
      </c>
      <c r="Z355" s="391" t="inlineStr">
        <is>
          <t> </t>
        </is>
      </c>
      <c r="AA355" s="391" t="inlineStr">
        <is>
          <t> </t>
        </is>
      </c>
      <c r="AB355" s="391" t="inlineStr">
        <is>
          <t> </t>
        </is>
      </c>
      <c r="AC355" s="391" t="inlineStr">
        <is>
          <t> </t>
        </is>
      </c>
      <c r="AD355" s="391" t="inlineStr">
        <is>
          <t> </t>
        </is>
      </c>
      <c r="AE355" s="391" t="inlineStr">
        <is>
          <t> </t>
        </is>
      </c>
      <c r="AF355" s="38" t="inlineStr">
        <is>
          <t> </t>
        </is>
      </c>
      <c r="AG355" s="391" t="inlineStr">
        <is>
          <t> </t>
        </is>
      </c>
      <c r="AH355" s="391" t="n"/>
      <c r="AI355" s="391" t="inlineStr">
        <is>
          <t> </t>
        </is>
      </c>
      <c r="AJ355" s="391" t="inlineStr">
        <is>
          <t> </t>
        </is>
      </c>
      <c r="AK355" s="391" t="inlineStr">
        <is>
          <t> </t>
        </is>
      </c>
      <c r="AL355" s="391" t="inlineStr">
        <is>
          <t> </t>
        </is>
      </c>
      <c r="AM355" s="391" t="inlineStr">
        <is>
          <t> </t>
        </is>
      </c>
      <c r="AN355" s="391" t="inlineStr">
        <is>
          <t> </t>
        </is>
      </c>
      <c r="AO355" s="391" t="n"/>
      <c r="AP355" s="319" t="n"/>
      <c r="AQ355" s="319" t="n"/>
      <c r="AR355" s="319" t="n"/>
    </row>
    <row r="356" ht="15.75" customHeight="1" s="1264">
      <c r="A356" s="319" t="inlineStr">
        <is>
          <t> </t>
        </is>
      </c>
      <c r="B356" s="319" t="inlineStr">
        <is>
          <t> </t>
        </is>
      </c>
      <c r="C356" s="319" t="inlineStr">
        <is>
          <t> </t>
        </is>
      </c>
      <c r="D356" s="38" t="inlineStr">
        <is>
          <t> </t>
        </is>
      </c>
      <c r="E356" s="391" t="inlineStr">
        <is>
          <t> </t>
        </is>
      </c>
      <c r="F356" s="391" t="inlineStr">
        <is>
          <t> </t>
        </is>
      </c>
      <c r="G356" s="391" t="inlineStr">
        <is>
          <t> </t>
        </is>
      </c>
      <c r="H356" s="391" t="inlineStr">
        <is>
          <t> </t>
        </is>
      </c>
      <c r="I356" s="391" t="inlineStr">
        <is>
          <t> </t>
        </is>
      </c>
      <c r="J356" s="391" t="inlineStr">
        <is>
          <t> </t>
        </is>
      </c>
      <c r="K356" s="38" t="inlineStr">
        <is>
          <t> </t>
        </is>
      </c>
      <c r="L356" s="391" t="inlineStr">
        <is>
          <t> </t>
        </is>
      </c>
      <c r="M356" s="391" t="inlineStr">
        <is>
          <t> </t>
        </is>
      </c>
      <c r="N356" s="391" t="inlineStr">
        <is>
          <t> </t>
        </is>
      </c>
      <c r="O356" s="391" t="inlineStr">
        <is>
          <t> </t>
        </is>
      </c>
      <c r="P356" s="391" t="inlineStr">
        <is>
          <t> </t>
        </is>
      </c>
      <c r="Q356" s="391" t="inlineStr">
        <is>
          <t> </t>
        </is>
      </c>
      <c r="R356" s="38" t="inlineStr">
        <is>
          <t> </t>
        </is>
      </c>
      <c r="S356" s="391" t="inlineStr">
        <is>
          <t> </t>
        </is>
      </c>
      <c r="T356" s="391" t="inlineStr">
        <is>
          <t> </t>
        </is>
      </c>
      <c r="U356" s="391" t="inlineStr">
        <is>
          <t> </t>
        </is>
      </c>
      <c r="V356" s="391" t="inlineStr">
        <is>
          <t> </t>
        </is>
      </c>
      <c r="W356" s="391" t="inlineStr">
        <is>
          <t> </t>
        </is>
      </c>
      <c r="X356" s="391" t="inlineStr">
        <is>
          <t> </t>
        </is>
      </c>
      <c r="Y356" s="392" t="inlineStr">
        <is>
          <t> </t>
        </is>
      </c>
      <c r="Z356" s="391" t="inlineStr">
        <is>
          <t> </t>
        </is>
      </c>
      <c r="AA356" s="391" t="inlineStr">
        <is>
          <t> </t>
        </is>
      </c>
      <c r="AB356" s="391" t="inlineStr">
        <is>
          <t> </t>
        </is>
      </c>
      <c r="AC356" s="391" t="inlineStr">
        <is>
          <t> </t>
        </is>
      </c>
      <c r="AD356" s="391" t="inlineStr">
        <is>
          <t> </t>
        </is>
      </c>
      <c r="AE356" s="391" t="inlineStr">
        <is>
          <t> </t>
        </is>
      </c>
      <c r="AF356" s="38" t="inlineStr">
        <is>
          <t> </t>
        </is>
      </c>
      <c r="AG356" s="391" t="inlineStr">
        <is>
          <t> </t>
        </is>
      </c>
      <c r="AH356" s="391" t="n"/>
      <c r="AI356" s="391" t="inlineStr">
        <is>
          <t> </t>
        </is>
      </c>
      <c r="AJ356" s="391" t="inlineStr">
        <is>
          <t> </t>
        </is>
      </c>
      <c r="AK356" s="391" t="inlineStr">
        <is>
          <t> </t>
        </is>
      </c>
      <c r="AL356" s="391" t="inlineStr">
        <is>
          <t> </t>
        </is>
      </c>
      <c r="AM356" s="391" t="inlineStr">
        <is>
          <t> </t>
        </is>
      </c>
      <c r="AN356" s="391" t="inlineStr">
        <is>
          <t> </t>
        </is>
      </c>
      <c r="AO356" s="391" t="n"/>
      <c r="AP356" s="319" t="n"/>
      <c r="AQ356" s="319" t="n"/>
      <c r="AR356" s="319" t="n"/>
    </row>
    <row r="357" ht="15.75" customHeight="1" s="1264">
      <c r="A357" s="319" t="inlineStr">
        <is>
          <t> </t>
        </is>
      </c>
      <c r="B357" s="319" t="inlineStr">
        <is>
          <t> </t>
        </is>
      </c>
      <c r="C357" s="319" t="inlineStr">
        <is>
          <t> </t>
        </is>
      </c>
      <c r="D357" s="38" t="inlineStr">
        <is>
          <t> </t>
        </is>
      </c>
      <c r="E357" s="391" t="inlineStr">
        <is>
          <t> </t>
        </is>
      </c>
      <c r="F357" s="391" t="inlineStr">
        <is>
          <t> </t>
        </is>
      </c>
      <c r="G357" s="391" t="inlineStr">
        <is>
          <t> </t>
        </is>
      </c>
      <c r="H357" s="391" t="inlineStr">
        <is>
          <t> </t>
        </is>
      </c>
      <c r="I357" s="391" t="inlineStr">
        <is>
          <t> </t>
        </is>
      </c>
      <c r="J357" s="391" t="inlineStr">
        <is>
          <t> </t>
        </is>
      </c>
      <c r="K357" s="38" t="inlineStr">
        <is>
          <t> </t>
        </is>
      </c>
      <c r="L357" s="391" t="inlineStr">
        <is>
          <t> </t>
        </is>
      </c>
      <c r="M357" s="391" t="inlineStr">
        <is>
          <t> </t>
        </is>
      </c>
      <c r="N357" s="391" t="inlineStr">
        <is>
          <t> </t>
        </is>
      </c>
      <c r="O357" s="391" t="inlineStr">
        <is>
          <t> </t>
        </is>
      </c>
      <c r="P357" s="391" t="inlineStr">
        <is>
          <t> </t>
        </is>
      </c>
      <c r="Q357" s="391" t="inlineStr">
        <is>
          <t> </t>
        </is>
      </c>
      <c r="R357" s="38" t="inlineStr">
        <is>
          <t> </t>
        </is>
      </c>
      <c r="S357" s="391" t="inlineStr">
        <is>
          <t> </t>
        </is>
      </c>
      <c r="T357" s="391" t="inlineStr">
        <is>
          <t> </t>
        </is>
      </c>
      <c r="U357" s="391" t="inlineStr">
        <is>
          <t> </t>
        </is>
      </c>
      <c r="V357" s="391" t="inlineStr">
        <is>
          <t> </t>
        </is>
      </c>
      <c r="W357" s="391" t="inlineStr">
        <is>
          <t> </t>
        </is>
      </c>
      <c r="X357" s="391" t="inlineStr">
        <is>
          <t> </t>
        </is>
      </c>
      <c r="Y357" s="392" t="inlineStr">
        <is>
          <t> </t>
        </is>
      </c>
      <c r="Z357" s="391" t="inlineStr">
        <is>
          <t> </t>
        </is>
      </c>
      <c r="AA357" s="391" t="inlineStr">
        <is>
          <t> </t>
        </is>
      </c>
      <c r="AB357" s="391" t="inlineStr">
        <is>
          <t> </t>
        </is>
      </c>
      <c r="AC357" s="391" t="inlineStr">
        <is>
          <t> </t>
        </is>
      </c>
      <c r="AD357" s="391" t="inlineStr">
        <is>
          <t> </t>
        </is>
      </c>
      <c r="AE357" s="391" t="inlineStr">
        <is>
          <t> </t>
        </is>
      </c>
      <c r="AF357" s="38" t="inlineStr">
        <is>
          <t> </t>
        </is>
      </c>
      <c r="AG357" s="391" t="inlineStr">
        <is>
          <t> </t>
        </is>
      </c>
      <c r="AH357" s="391" t="n"/>
      <c r="AI357" s="391" t="inlineStr">
        <is>
          <t> </t>
        </is>
      </c>
      <c r="AJ357" s="391" t="inlineStr">
        <is>
          <t> </t>
        </is>
      </c>
      <c r="AK357" s="391" t="inlineStr">
        <is>
          <t> </t>
        </is>
      </c>
      <c r="AL357" s="391" t="inlineStr">
        <is>
          <t> </t>
        </is>
      </c>
      <c r="AM357" s="391" t="inlineStr">
        <is>
          <t> </t>
        </is>
      </c>
      <c r="AN357" s="391" t="inlineStr">
        <is>
          <t> </t>
        </is>
      </c>
      <c r="AO357" s="391" t="n"/>
      <c r="AP357" s="319" t="n"/>
      <c r="AQ357" s="319" t="n"/>
      <c r="AR357" s="319" t="n"/>
    </row>
    <row r="358" ht="15.75" customHeight="1" s="1264">
      <c r="A358" s="319" t="inlineStr">
        <is>
          <t> </t>
        </is>
      </c>
      <c r="B358" s="319" t="inlineStr">
        <is>
          <t> </t>
        </is>
      </c>
      <c r="C358" s="319" t="inlineStr">
        <is>
          <t> </t>
        </is>
      </c>
      <c r="D358" s="38" t="inlineStr">
        <is>
          <t> </t>
        </is>
      </c>
      <c r="E358" s="391" t="inlineStr">
        <is>
          <t> </t>
        </is>
      </c>
      <c r="F358" s="391" t="inlineStr">
        <is>
          <t> </t>
        </is>
      </c>
      <c r="G358" s="391" t="inlineStr">
        <is>
          <t> </t>
        </is>
      </c>
      <c r="H358" s="391" t="inlineStr">
        <is>
          <t> </t>
        </is>
      </c>
      <c r="I358" s="391" t="inlineStr">
        <is>
          <t> </t>
        </is>
      </c>
      <c r="J358" s="391" t="inlineStr">
        <is>
          <t> </t>
        </is>
      </c>
      <c r="K358" s="38" t="inlineStr">
        <is>
          <t> </t>
        </is>
      </c>
      <c r="L358" s="391" t="inlineStr">
        <is>
          <t> </t>
        </is>
      </c>
      <c r="M358" s="391" t="inlineStr">
        <is>
          <t> </t>
        </is>
      </c>
      <c r="N358" s="391" t="inlineStr">
        <is>
          <t> </t>
        </is>
      </c>
      <c r="O358" s="391" t="inlineStr">
        <is>
          <t> </t>
        </is>
      </c>
      <c r="P358" s="391" t="inlineStr">
        <is>
          <t> </t>
        </is>
      </c>
      <c r="Q358" s="391" t="inlineStr">
        <is>
          <t> </t>
        </is>
      </c>
      <c r="R358" s="38" t="inlineStr">
        <is>
          <t> </t>
        </is>
      </c>
      <c r="S358" s="391" t="inlineStr">
        <is>
          <t> </t>
        </is>
      </c>
      <c r="T358" s="391" t="inlineStr">
        <is>
          <t> </t>
        </is>
      </c>
      <c r="U358" s="391" t="inlineStr">
        <is>
          <t> </t>
        </is>
      </c>
      <c r="V358" s="391" t="inlineStr">
        <is>
          <t> </t>
        </is>
      </c>
      <c r="W358" s="391" t="inlineStr">
        <is>
          <t> </t>
        </is>
      </c>
      <c r="X358" s="391" t="inlineStr">
        <is>
          <t> </t>
        </is>
      </c>
      <c r="Y358" s="392" t="inlineStr">
        <is>
          <t> </t>
        </is>
      </c>
      <c r="Z358" s="391" t="inlineStr">
        <is>
          <t> </t>
        </is>
      </c>
      <c r="AA358" s="391" t="inlineStr">
        <is>
          <t> </t>
        </is>
      </c>
      <c r="AB358" s="391" t="inlineStr">
        <is>
          <t> </t>
        </is>
      </c>
      <c r="AC358" s="391" t="inlineStr">
        <is>
          <t> </t>
        </is>
      </c>
      <c r="AD358" s="391" t="inlineStr">
        <is>
          <t> </t>
        </is>
      </c>
      <c r="AE358" s="391" t="inlineStr">
        <is>
          <t> </t>
        </is>
      </c>
      <c r="AF358" s="38" t="inlineStr">
        <is>
          <t> </t>
        </is>
      </c>
      <c r="AG358" s="391" t="inlineStr">
        <is>
          <t> </t>
        </is>
      </c>
      <c r="AH358" s="391" t="n"/>
      <c r="AI358" s="391" t="inlineStr">
        <is>
          <t> </t>
        </is>
      </c>
      <c r="AJ358" s="391" t="inlineStr">
        <is>
          <t> </t>
        </is>
      </c>
      <c r="AK358" s="391" t="inlineStr">
        <is>
          <t> </t>
        </is>
      </c>
      <c r="AL358" s="391" t="inlineStr">
        <is>
          <t> </t>
        </is>
      </c>
      <c r="AM358" s="391" t="inlineStr">
        <is>
          <t> </t>
        </is>
      </c>
      <c r="AN358" s="391" t="inlineStr">
        <is>
          <t> </t>
        </is>
      </c>
      <c r="AO358" s="391" t="n"/>
      <c r="AP358" s="319" t="n"/>
      <c r="AQ358" s="319" t="n"/>
      <c r="AR358" s="319" t="n"/>
    </row>
    <row r="359" ht="15.75" customHeight="1" s="1264">
      <c r="A359" s="319" t="inlineStr">
        <is>
          <t> </t>
        </is>
      </c>
      <c r="B359" s="319" t="inlineStr">
        <is>
          <t> </t>
        </is>
      </c>
      <c r="C359" s="319" t="inlineStr">
        <is>
          <t> </t>
        </is>
      </c>
      <c r="D359" s="38" t="inlineStr">
        <is>
          <t> </t>
        </is>
      </c>
      <c r="E359" s="391" t="inlineStr">
        <is>
          <t> </t>
        </is>
      </c>
      <c r="F359" s="391" t="inlineStr">
        <is>
          <t> </t>
        </is>
      </c>
      <c r="G359" s="391" t="inlineStr">
        <is>
          <t> </t>
        </is>
      </c>
      <c r="H359" s="391" t="inlineStr">
        <is>
          <t> </t>
        </is>
      </c>
      <c r="I359" s="391" t="inlineStr">
        <is>
          <t> </t>
        </is>
      </c>
      <c r="J359" s="391" t="inlineStr">
        <is>
          <t> </t>
        </is>
      </c>
      <c r="K359" s="38" t="inlineStr">
        <is>
          <t> </t>
        </is>
      </c>
      <c r="L359" s="391" t="inlineStr">
        <is>
          <t> </t>
        </is>
      </c>
      <c r="M359" s="391" t="inlineStr">
        <is>
          <t> </t>
        </is>
      </c>
      <c r="N359" s="391" t="inlineStr">
        <is>
          <t> </t>
        </is>
      </c>
      <c r="O359" s="391" t="inlineStr">
        <is>
          <t> </t>
        </is>
      </c>
      <c r="P359" s="391" t="inlineStr">
        <is>
          <t> </t>
        </is>
      </c>
      <c r="Q359" s="391" t="inlineStr">
        <is>
          <t> </t>
        </is>
      </c>
      <c r="R359" s="38" t="inlineStr">
        <is>
          <t> </t>
        </is>
      </c>
      <c r="S359" s="391" t="inlineStr">
        <is>
          <t> </t>
        </is>
      </c>
      <c r="T359" s="391" t="inlineStr">
        <is>
          <t> </t>
        </is>
      </c>
      <c r="U359" s="391" t="inlineStr">
        <is>
          <t> </t>
        </is>
      </c>
      <c r="V359" s="391" t="inlineStr">
        <is>
          <t> </t>
        </is>
      </c>
      <c r="W359" s="391" t="inlineStr">
        <is>
          <t> </t>
        </is>
      </c>
      <c r="X359" s="391" t="inlineStr">
        <is>
          <t> </t>
        </is>
      </c>
      <c r="Y359" s="392" t="inlineStr">
        <is>
          <t> </t>
        </is>
      </c>
      <c r="Z359" s="391" t="inlineStr">
        <is>
          <t> </t>
        </is>
      </c>
      <c r="AA359" s="391" t="inlineStr">
        <is>
          <t> </t>
        </is>
      </c>
      <c r="AB359" s="391" t="inlineStr">
        <is>
          <t> </t>
        </is>
      </c>
      <c r="AC359" s="391" t="inlineStr">
        <is>
          <t> </t>
        </is>
      </c>
      <c r="AD359" s="391" t="inlineStr">
        <is>
          <t> </t>
        </is>
      </c>
      <c r="AE359" s="391" t="inlineStr">
        <is>
          <t> </t>
        </is>
      </c>
      <c r="AF359" s="38" t="inlineStr">
        <is>
          <t> </t>
        </is>
      </c>
      <c r="AG359" s="391" t="inlineStr">
        <is>
          <t> </t>
        </is>
      </c>
      <c r="AH359" s="391" t="n"/>
      <c r="AI359" s="391" t="inlineStr">
        <is>
          <t> </t>
        </is>
      </c>
      <c r="AJ359" s="391" t="inlineStr">
        <is>
          <t> </t>
        </is>
      </c>
      <c r="AK359" s="391" t="inlineStr">
        <is>
          <t> </t>
        </is>
      </c>
      <c r="AL359" s="391" t="inlineStr">
        <is>
          <t> </t>
        </is>
      </c>
      <c r="AM359" s="391" t="inlineStr">
        <is>
          <t> </t>
        </is>
      </c>
      <c r="AN359" s="391" t="inlineStr">
        <is>
          <t> </t>
        </is>
      </c>
      <c r="AO359" s="391" t="n"/>
      <c r="AP359" s="319" t="n"/>
      <c r="AQ359" s="319" t="n"/>
      <c r="AR359" s="319" t="n"/>
    </row>
    <row r="360" ht="15.75" customHeight="1" s="1264">
      <c r="A360" s="319" t="inlineStr">
        <is>
          <t> </t>
        </is>
      </c>
      <c r="B360" s="319" t="inlineStr">
        <is>
          <t> </t>
        </is>
      </c>
      <c r="C360" s="319" t="inlineStr">
        <is>
          <t> </t>
        </is>
      </c>
      <c r="D360" s="38" t="inlineStr">
        <is>
          <t> </t>
        </is>
      </c>
      <c r="E360" s="391" t="inlineStr">
        <is>
          <t> </t>
        </is>
      </c>
      <c r="F360" s="391" t="inlineStr">
        <is>
          <t> </t>
        </is>
      </c>
      <c r="G360" s="391" t="inlineStr">
        <is>
          <t> </t>
        </is>
      </c>
      <c r="H360" s="391" t="inlineStr">
        <is>
          <t> </t>
        </is>
      </c>
      <c r="I360" s="391" t="inlineStr">
        <is>
          <t> </t>
        </is>
      </c>
      <c r="J360" s="391" t="inlineStr">
        <is>
          <t> </t>
        </is>
      </c>
      <c r="K360" s="38" t="inlineStr">
        <is>
          <t> </t>
        </is>
      </c>
      <c r="L360" s="391" t="inlineStr">
        <is>
          <t> </t>
        </is>
      </c>
      <c r="M360" s="391" t="inlineStr">
        <is>
          <t> </t>
        </is>
      </c>
      <c r="N360" s="391" t="inlineStr">
        <is>
          <t> </t>
        </is>
      </c>
      <c r="O360" s="391" t="inlineStr">
        <is>
          <t> </t>
        </is>
      </c>
      <c r="P360" s="391" t="inlineStr">
        <is>
          <t> </t>
        </is>
      </c>
      <c r="Q360" s="391" t="inlineStr">
        <is>
          <t> </t>
        </is>
      </c>
      <c r="R360" s="38" t="inlineStr">
        <is>
          <t> </t>
        </is>
      </c>
      <c r="S360" s="391" t="inlineStr">
        <is>
          <t> </t>
        </is>
      </c>
      <c r="T360" s="391" t="inlineStr">
        <is>
          <t> </t>
        </is>
      </c>
      <c r="U360" s="391" t="inlineStr">
        <is>
          <t> </t>
        </is>
      </c>
      <c r="V360" s="391" t="inlineStr">
        <is>
          <t> </t>
        </is>
      </c>
      <c r="W360" s="391" t="inlineStr">
        <is>
          <t> </t>
        </is>
      </c>
      <c r="X360" s="391" t="inlineStr">
        <is>
          <t> </t>
        </is>
      </c>
      <c r="Y360" s="392" t="inlineStr">
        <is>
          <t> </t>
        </is>
      </c>
      <c r="Z360" s="391" t="inlineStr">
        <is>
          <t> </t>
        </is>
      </c>
      <c r="AA360" s="391" t="inlineStr">
        <is>
          <t> </t>
        </is>
      </c>
      <c r="AB360" s="391" t="inlineStr">
        <is>
          <t> </t>
        </is>
      </c>
      <c r="AC360" s="391" t="inlineStr">
        <is>
          <t> </t>
        </is>
      </c>
      <c r="AD360" s="391" t="inlineStr">
        <is>
          <t> </t>
        </is>
      </c>
      <c r="AE360" s="391" t="inlineStr">
        <is>
          <t> </t>
        </is>
      </c>
      <c r="AF360" s="38" t="inlineStr">
        <is>
          <t> </t>
        </is>
      </c>
      <c r="AG360" s="391" t="inlineStr">
        <is>
          <t> </t>
        </is>
      </c>
      <c r="AH360" s="391" t="n"/>
      <c r="AI360" s="391" t="inlineStr">
        <is>
          <t> </t>
        </is>
      </c>
      <c r="AJ360" s="391" t="inlineStr">
        <is>
          <t> </t>
        </is>
      </c>
      <c r="AK360" s="391" t="inlineStr">
        <is>
          <t> </t>
        </is>
      </c>
      <c r="AL360" s="391" t="inlineStr">
        <is>
          <t> </t>
        </is>
      </c>
      <c r="AM360" s="391" t="inlineStr">
        <is>
          <t> </t>
        </is>
      </c>
      <c r="AN360" s="391" t="inlineStr">
        <is>
          <t> </t>
        </is>
      </c>
      <c r="AO360" s="391" t="n"/>
      <c r="AP360" s="319" t="n"/>
      <c r="AQ360" s="319" t="n"/>
      <c r="AR360" s="319" t="n"/>
    </row>
    <row r="361" ht="15.75" customHeight="1" s="1264">
      <c r="A361" s="319" t="inlineStr">
        <is>
          <t> </t>
        </is>
      </c>
      <c r="B361" s="319" t="inlineStr">
        <is>
          <t> </t>
        </is>
      </c>
      <c r="C361" s="319" t="inlineStr">
        <is>
          <t> </t>
        </is>
      </c>
      <c r="D361" s="38" t="inlineStr">
        <is>
          <t> </t>
        </is>
      </c>
      <c r="E361" s="391" t="inlineStr">
        <is>
          <t> </t>
        </is>
      </c>
      <c r="F361" s="391" t="inlineStr">
        <is>
          <t> </t>
        </is>
      </c>
      <c r="G361" s="391" t="inlineStr">
        <is>
          <t> </t>
        </is>
      </c>
      <c r="H361" s="391" t="inlineStr">
        <is>
          <t> </t>
        </is>
      </c>
      <c r="I361" s="391" t="inlineStr">
        <is>
          <t> </t>
        </is>
      </c>
      <c r="J361" s="391" t="inlineStr">
        <is>
          <t> </t>
        </is>
      </c>
      <c r="K361" s="38" t="inlineStr">
        <is>
          <t> </t>
        </is>
      </c>
      <c r="L361" s="391" t="inlineStr">
        <is>
          <t> </t>
        </is>
      </c>
      <c r="M361" s="391" t="inlineStr">
        <is>
          <t> </t>
        </is>
      </c>
      <c r="N361" s="391" t="inlineStr">
        <is>
          <t> </t>
        </is>
      </c>
      <c r="O361" s="391" t="inlineStr">
        <is>
          <t> </t>
        </is>
      </c>
      <c r="P361" s="391" t="inlineStr">
        <is>
          <t> </t>
        </is>
      </c>
      <c r="Q361" s="391" t="inlineStr">
        <is>
          <t> </t>
        </is>
      </c>
      <c r="R361" s="38" t="inlineStr">
        <is>
          <t> </t>
        </is>
      </c>
      <c r="S361" s="391" t="inlineStr">
        <is>
          <t> </t>
        </is>
      </c>
      <c r="T361" s="391" t="inlineStr">
        <is>
          <t> </t>
        </is>
      </c>
      <c r="U361" s="391" t="inlineStr">
        <is>
          <t> </t>
        </is>
      </c>
      <c r="V361" s="391" t="inlineStr">
        <is>
          <t> </t>
        </is>
      </c>
      <c r="W361" s="391" t="inlineStr">
        <is>
          <t> </t>
        </is>
      </c>
      <c r="X361" s="391" t="inlineStr">
        <is>
          <t> </t>
        </is>
      </c>
      <c r="Y361" s="392" t="inlineStr">
        <is>
          <t> </t>
        </is>
      </c>
      <c r="Z361" s="391" t="inlineStr">
        <is>
          <t> </t>
        </is>
      </c>
      <c r="AA361" s="391" t="inlineStr">
        <is>
          <t> </t>
        </is>
      </c>
      <c r="AB361" s="391" t="inlineStr">
        <is>
          <t> </t>
        </is>
      </c>
      <c r="AC361" s="391" t="inlineStr">
        <is>
          <t> </t>
        </is>
      </c>
      <c r="AD361" s="391" t="inlineStr">
        <is>
          <t> </t>
        </is>
      </c>
      <c r="AE361" s="391" t="inlineStr">
        <is>
          <t> </t>
        </is>
      </c>
      <c r="AF361" s="38" t="inlineStr">
        <is>
          <t> </t>
        </is>
      </c>
      <c r="AG361" s="391" t="inlineStr">
        <is>
          <t> </t>
        </is>
      </c>
      <c r="AH361" s="391" t="n"/>
      <c r="AI361" s="391" t="inlineStr">
        <is>
          <t> </t>
        </is>
      </c>
      <c r="AJ361" s="391" t="inlineStr">
        <is>
          <t> </t>
        </is>
      </c>
      <c r="AK361" s="391" t="inlineStr">
        <is>
          <t> </t>
        </is>
      </c>
      <c r="AL361" s="391" t="inlineStr">
        <is>
          <t> </t>
        </is>
      </c>
      <c r="AM361" s="391" t="inlineStr">
        <is>
          <t> </t>
        </is>
      </c>
      <c r="AN361" s="391" t="inlineStr">
        <is>
          <t> </t>
        </is>
      </c>
      <c r="AO361" s="391" t="n"/>
      <c r="AP361" s="319" t="n"/>
      <c r="AQ361" s="319" t="n"/>
      <c r="AR361" s="319" t="n"/>
    </row>
    <row r="362" ht="15.75" customHeight="1" s="1264">
      <c r="A362" s="319" t="inlineStr">
        <is>
          <t> </t>
        </is>
      </c>
      <c r="B362" s="319" t="inlineStr">
        <is>
          <t> </t>
        </is>
      </c>
      <c r="C362" s="319" t="inlineStr">
        <is>
          <t> </t>
        </is>
      </c>
      <c r="D362" s="38" t="inlineStr">
        <is>
          <t> </t>
        </is>
      </c>
      <c r="E362" s="391" t="inlineStr">
        <is>
          <t> </t>
        </is>
      </c>
      <c r="F362" s="391" t="inlineStr">
        <is>
          <t> </t>
        </is>
      </c>
      <c r="G362" s="391" t="inlineStr">
        <is>
          <t> </t>
        </is>
      </c>
      <c r="H362" s="391" t="inlineStr">
        <is>
          <t> </t>
        </is>
      </c>
      <c r="I362" s="391" t="inlineStr">
        <is>
          <t> </t>
        </is>
      </c>
      <c r="J362" s="391" t="inlineStr">
        <is>
          <t> </t>
        </is>
      </c>
      <c r="K362" s="38" t="inlineStr">
        <is>
          <t> </t>
        </is>
      </c>
      <c r="L362" s="391" t="inlineStr">
        <is>
          <t> </t>
        </is>
      </c>
      <c r="M362" s="391" t="inlineStr">
        <is>
          <t> </t>
        </is>
      </c>
      <c r="N362" s="391" t="inlineStr">
        <is>
          <t> </t>
        </is>
      </c>
      <c r="O362" s="391" t="inlineStr">
        <is>
          <t> </t>
        </is>
      </c>
      <c r="P362" s="391" t="inlineStr">
        <is>
          <t> </t>
        </is>
      </c>
      <c r="Q362" s="391" t="inlineStr">
        <is>
          <t> </t>
        </is>
      </c>
      <c r="R362" s="38" t="inlineStr">
        <is>
          <t> </t>
        </is>
      </c>
      <c r="S362" s="391" t="inlineStr">
        <is>
          <t> </t>
        </is>
      </c>
      <c r="T362" s="391" t="inlineStr">
        <is>
          <t> </t>
        </is>
      </c>
      <c r="U362" s="391" t="inlineStr">
        <is>
          <t> </t>
        </is>
      </c>
      <c r="V362" s="391" t="inlineStr">
        <is>
          <t> </t>
        </is>
      </c>
      <c r="W362" s="391" t="inlineStr">
        <is>
          <t> </t>
        </is>
      </c>
      <c r="X362" s="391" t="inlineStr">
        <is>
          <t> </t>
        </is>
      </c>
      <c r="Y362" s="392" t="inlineStr">
        <is>
          <t> </t>
        </is>
      </c>
      <c r="Z362" s="391" t="inlineStr">
        <is>
          <t> </t>
        </is>
      </c>
      <c r="AA362" s="391" t="inlineStr">
        <is>
          <t> </t>
        </is>
      </c>
      <c r="AB362" s="391" t="inlineStr">
        <is>
          <t> </t>
        </is>
      </c>
      <c r="AC362" s="391" t="inlineStr">
        <is>
          <t> </t>
        </is>
      </c>
      <c r="AD362" s="391" t="inlineStr">
        <is>
          <t> </t>
        </is>
      </c>
      <c r="AE362" s="391" t="inlineStr">
        <is>
          <t> </t>
        </is>
      </c>
      <c r="AF362" s="38" t="inlineStr">
        <is>
          <t> </t>
        </is>
      </c>
      <c r="AG362" s="391" t="inlineStr">
        <is>
          <t> </t>
        </is>
      </c>
      <c r="AH362" s="391" t="n"/>
      <c r="AI362" s="391" t="inlineStr">
        <is>
          <t> </t>
        </is>
      </c>
      <c r="AJ362" s="391" t="inlineStr">
        <is>
          <t> </t>
        </is>
      </c>
      <c r="AK362" s="391" t="inlineStr">
        <is>
          <t> </t>
        </is>
      </c>
      <c r="AL362" s="391" t="inlineStr">
        <is>
          <t> </t>
        </is>
      </c>
      <c r="AM362" s="391" t="inlineStr">
        <is>
          <t> </t>
        </is>
      </c>
      <c r="AN362" s="391" t="inlineStr">
        <is>
          <t> </t>
        </is>
      </c>
      <c r="AO362" s="391" t="n"/>
      <c r="AP362" s="319" t="n"/>
      <c r="AQ362" s="319" t="n"/>
      <c r="AR362" s="319" t="n"/>
    </row>
    <row r="363" ht="15.75" customHeight="1" s="1264">
      <c r="A363" s="319" t="inlineStr">
        <is>
          <t> </t>
        </is>
      </c>
      <c r="B363" s="319" t="inlineStr">
        <is>
          <t> </t>
        </is>
      </c>
      <c r="C363" s="319" t="inlineStr">
        <is>
          <t> </t>
        </is>
      </c>
      <c r="D363" s="38" t="inlineStr">
        <is>
          <t> </t>
        </is>
      </c>
      <c r="E363" s="391" t="inlineStr">
        <is>
          <t> </t>
        </is>
      </c>
      <c r="F363" s="391" t="inlineStr">
        <is>
          <t> </t>
        </is>
      </c>
      <c r="G363" s="391" t="inlineStr">
        <is>
          <t> </t>
        </is>
      </c>
      <c r="H363" s="391" t="inlineStr">
        <is>
          <t> </t>
        </is>
      </c>
      <c r="I363" s="391" t="inlineStr">
        <is>
          <t> </t>
        </is>
      </c>
      <c r="J363" s="391" t="inlineStr">
        <is>
          <t> </t>
        </is>
      </c>
      <c r="K363" s="38" t="inlineStr">
        <is>
          <t> </t>
        </is>
      </c>
      <c r="L363" s="391" t="inlineStr">
        <is>
          <t> </t>
        </is>
      </c>
      <c r="M363" s="391" t="inlineStr">
        <is>
          <t> </t>
        </is>
      </c>
      <c r="N363" s="391" t="inlineStr">
        <is>
          <t> </t>
        </is>
      </c>
      <c r="O363" s="391" t="inlineStr">
        <is>
          <t> </t>
        </is>
      </c>
      <c r="P363" s="391" t="inlineStr">
        <is>
          <t> </t>
        </is>
      </c>
      <c r="Q363" s="391" t="inlineStr">
        <is>
          <t> </t>
        </is>
      </c>
      <c r="R363" s="38" t="inlineStr">
        <is>
          <t> </t>
        </is>
      </c>
      <c r="S363" s="391" t="inlineStr">
        <is>
          <t> </t>
        </is>
      </c>
      <c r="T363" s="391" t="inlineStr">
        <is>
          <t> </t>
        </is>
      </c>
      <c r="U363" s="391" t="inlineStr">
        <is>
          <t> </t>
        </is>
      </c>
      <c r="V363" s="391" t="inlineStr">
        <is>
          <t> </t>
        </is>
      </c>
      <c r="W363" s="391" t="inlineStr">
        <is>
          <t> </t>
        </is>
      </c>
      <c r="X363" s="391" t="inlineStr">
        <is>
          <t> </t>
        </is>
      </c>
      <c r="Y363" s="392" t="inlineStr">
        <is>
          <t> </t>
        </is>
      </c>
      <c r="Z363" s="391" t="inlineStr">
        <is>
          <t> </t>
        </is>
      </c>
      <c r="AA363" s="391" t="inlineStr">
        <is>
          <t> </t>
        </is>
      </c>
      <c r="AB363" s="391" t="inlineStr">
        <is>
          <t> </t>
        </is>
      </c>
      <c r="AC363" s="391" t="inlineStr">
        <is>
          <t> </t>
        </is>
      </c>
      <c r="AD363" s="391" t="inlineStr">
        <is>
          <t> </t>
        </is>
      </c>
      <c r="AE363" s="391" t="inlineStr">
        <is>
          <t> </t>
        </is>
      </c>
      <c r="AF363" s="38" t="inlineStr">
        <is>
          <t> </t>
        </is>
      </c>
      <c r="AG363" s="391" t="inlineStr">
        <is>
          <t> </t>
        </is>
      </c>
      <c r="AH363" s="391" t="n"/>
      <c r="AI363" s="391" t="inlineStr">
        <is>
          <t> </t>
        </is>
      </c>
      <c r="AJ363" s="391" t="inlineStr">
        <is>
          <t> </t>
        </is>
      </c>
      <c r="AK363" s="391" t="inlineStr">
        <is>
          <t> </t>
        </is>
      </c>
      <c r="AL363" s="391" t="inlineStr">
        <is>
          <t> </t>
        </is>
      </c>
      <c r="AM363" s="391" t="inlineStr">
        <is>
          <t> </t>
        </is>
      </c>
      <c r="AN363" s="391" t="inlineStr">
        <is>
          <t> </t>
        </is>
      </c>
      <c r="AO363" s="391" t="n"/>
      <c r="AP363" s="319" t="n"/>
      <c r="AQ363" s="319" t="n"/>
      <c r="AR363" s="319" t="n"/>
    </row>
    <row r="364" ht="15.75" customHeight="1" s="1264">
      <c r="A364" s="319" t="inlineStr">
        <is>
          <t> </t>
        </is>
      </c>
      <c r="B364" s="319" t="inlineStr">
        <is>
          <t> </t>
        </is>
      </c>
      <c r="C364" s="319" t="inlineStr">
        <is>
          <t> </t>
        </is>
      </c>
      <c r="D364" s="38" t="inlineStr">
        <is>
          <t> </t>
        </is>
      </c>
      <c r="E364" s="391" t="inlineStr">
        <is>
          <t> </t>
        </is>
      </c>
      <c r="F364" s="391" t="inlineStr">
        <is>
          <t> </t>
        </is>
      </c>
      <c r="G364" s="391" t="inlineStr">
        <is>
          <t> </t>
        </is>
      </c>
      <c r="H364" s="391" t="inlineStr">
        <is>
          <t> </t>
        </is>
      </c>
      <c r="I364" s="391" t="inlineStr">
        <is>
          <t> </t>
        </is>
      </c>
      <c r="J364" s="391" t="inlineStr">
        <is>
          <t> </t>
        </is>
      </c>
      <c r="K364" s="38" t="inlineStr">
        <is>
          <t> </t>
        </is>
      </c>
      <c r="L364" s="391" t="inlineStr">
        <is>
          <t> </t>
        </is>
      </c>
      <c r="M364" s="391" t="inlineStr">
        <is>
          <t> </t>
        </is>
      </c>
      <c r="N364" s="391" t="inlineStr">
        <is>
          <t> </t>
        </is>
      </c>
      <c r="O364" s="391" t="inlineStr">
        <is>
          <t> </t>
        </is>
      </c>
      <c r="P364" s="391" t="inlineStr">
        <is>
          <t> </t>
        </is>
      </c>
      <c r="Q364" s="391" t="inlineStr">
        <is>
          <t> </t>
        </is>
      </c>
      <c r="R364" s="38" t="inlineStr">
        <is>
          <t> </t>
        </is>
      </c>
      <c r="S364" s="391" t="inlineStr">
        <is>
          <t> </t>
        </is>
      </c>
      <c r="T364" s="391" t="inlineStr">
        <is>
          <t> </t>
        </is>
      </c>
      <c r="U364" s="391" t="inlineStr">
        <is>
          <t> </t>
        </is>
      </c>
      <c r="V364" s="391" t="inlineStr">
        <is>
          <t> </t>
        </is>
      </c>
      <c r="W364" s="391" t="inlineStr">
        <is>
          <t> </t>
        </is>
      </c>
      <c r="X364" s="391" t="inlineStr">
        <is>
          <t> </t>
        </is>
      </c>
      <c r="Y364" s="392" t="inlineStr">
        <is>
          <t> </t>
        </is>
      </c>
      <c r="Z364" s="391" t="inlineStr">
        <is>
          <t> </t>
        </is>
      </c>
      <c r="AA364" s="391" t="inlineStr">
        <is>
          <t> </t>
        </is>
      </c>
      <c r="AB364" s="391" t="inlineStr">
        <is>
          <t> </t>
        </is>
      </c>
      <c r="AC364" s="391" t="inlineStr">
        <is>
          <t> </t>
        </is>
      </c>
      <c r="AD364" s="391" t="inlineStr">
        <is>
          <t> </t>
        </is>
      </c>
      <c r="AE364" s="391" t="inlineStr">
        <is>
          <t> </t>
        </is>
      </c>
      <c r="AF364" s="38" t="inlineStr">
        <is>
          <t> </t>
        </is>
      </c>
      <c r="AG364" s="391" t="inlineStr">
        <is>
          <t> </t>
        </is>
      </c>
      <c r="AH364" s="391" t="n"/>
      <c r="AI364" s="391" t="inlineStr">
        <is>
          <t> </t>
        </is>
      </c>
      <c r="AJ364" s="391" t="inlineStr">
        <is>
          <t> </t>
        </is>
      </c>
      <c r="AK364" s="391" t="inlineStr">
        <is>
          <t> </t>
        </is>
      </c>
      <c r="AL364" s="391" t="inlineStr">
        <is>
          <t> </t>
        </is>
      </c>
      <c r="AM364" s="391" t="inlineStr">
        <is>
          <t> </t>
        </is>
      </c>
      <c r="AN364" s="391" t="inlineStr">
        <is>
          <t> </t>
        </is>
      </c>
      <c r="AO364" s="391" t="n"/>
      <c r="AP364" s="319" t="n"/>
      <c r="AQ364" s="319" t="n"/>
      <c r="AR364" s="319" t="n"/>
    </row>
    <row r="365" ht="15.75" customHeight="1" s="1264">
      <c r="A365" s="319" t="inlineStr">
        <is>
          <t> </t>
        </is>
      </c>
      <c r="B365" s="319" t="inlineStr">
        <is>
          <t> </t>
        </is>
      </c>
      <c r="C365" s="319" t="inlineStr">
        <is>
          <t> </t>
        </is>
      </c>
      <c r="D365" s="38" t="inlineStr">
        <is>
          <t> </t>
        </is>
      </c>
      <c r="E365" s="391" t="inlineStr">
        <is>
          <t> </t>
        </is>
      </c>
      <c r="F365" s="391" t="inlineStr">
        <is>
          <t> </t>
        </is>
      </c>
      <c r="G365" s="391" t="inlineStr">
        <is>
          <t> </t>
        </is>
      </c>
      <c r="H365" s="391" t="inlineStr">
        <is>
          <t> </t>
        </is>
      </c>
      <c r="I365" s="391" t="inlineStr">
        <is>
          <t> </t>
        </is>
      </c>
      <c r="J365" s="391" t="inlineStr">
        <is>
          <t> </t>
        </is>
      </c>
      <c r="K365" s="38" t="inlineStr">
        <is>
          <t> </t>
        </is>
      </c>
      <c r="L365" s="391" t="inlineStr">
        <is>
          <t> </t>
        </is>
      </c>
      <c r="M365" s="391" t="inlineStr">
        <is>
          <t> </t>
        </is>
      </c>
      <c r="N365" s="391" t="inlineStr">
        <is>
          <t> </t>
        </is>
      </c>
      <c r="O365" s="391" t="inlineStr">
        <is>
          <t> </t>
        </is>
      </c>
      <c r="P365" s="391" t="inlineStr">
        <is>
          <t> </t>
        </is>
      </c>
      <c r="Q365" s="391" t="inlineStr">
        <is>
          <t> </t>
        </is>
      </c>
      <c r="R365" s="38" t="inlineStr">
        <is>
          <t> </t>
        </is>
      </c>
      <c r="S365" s="391" t="inlineStr">
        <is>
          <t> </t>
        </is>
      </c>
      <c r="T365" s="391" t="inlineStr">
        <is>
          <t> </t>
        </is>
      </c>
      <c r="U365" s="391" t="inlineStr">
        <is>
          <t> </t>
        </is>
      </c>
      <c r="V365" s="391" t="inlineStr">
        <is>
          <t> </t>
        </is>
      </c>
      <c r="W365" s="391" t="inlineStr">
        <is>
          <t> </t>
        </is>
      </c>
      <c r="X365" s="391" t="inlineStr">
        <is>
          <t> </t>
        </is>
      </c>
      <c r="Y365" s="392" t="inlineStr">
        <is>
          <t> </t>
        </is>
      </c>
      <c r="Z365" s="391" t="inlineStr">
        <is>
          <t> </t>
        </is>
      </c>
      <c r="AA365" s="391" t="inlineStr">
        <is>
          <t> </t>
        </is>
      </c>
      <c r="AB365" s="391" t="inlineStr">
        <is>
          <t> </t>
        </is>
      </c>
      <c r="AC365" s="391" t="inlineStr">
        <is>
          <t> </t>
        </is>
      </c>
      <c r="AD365" s="391" t="inlineStr">
        <is>
          <t> </t>
        </is>
      </c>
      <c r="AE365" s="391" t="inlineStr">
        <is>
          <t> </t>
        </is>
      </c>
      <c r="AF365" s="38" t="inlineStr">
        <is>
          <t> </t>
        </is>
      </c>
      <c r="AG365" s="391" t="inlineStr">
        <is>
          <t> </t>
        </is>
      </c>
      <c r="AH365" s="391" t="n"/>
      <c r="AI365" s="391" t="inlineStr">
        <is>
          <t> </t>
        </is>
      </c>
      <c r="AJ365" s="391" t="inlineStr">
        <is>
          <t> </t>
        </is>
      </c>
      <c r="AK365" s="391" t="inlineStr">
        <is>
          <t> </t>
        </is>
      </c>
      <c r="AL365" s="391" t="inlineStr">
        <is>
          <t> </t>
        </is>
      </c>
      <c r="AM365" s="391" t="inlineStr">
        <is>
          <t> </t>
        </is>
      </c>
      <c r="AN365" s="391" t="inlineStr">
        <is>
          <t> </t>
        </is>
      </c>
      <c r="AO365" s="391" t="n"/>
      <c r="AP365" s="319" t="n"/>
      <c r="AQ365" s="319" t="n"/>
      <c r="AR365" s="319" t="n"/>
    </row>
    <row r="366" ht="15.75" customHeight="1" s="1264">
      <c r="A366" s="319" t="inlineStr">
        <is>
          <t> </t>
        </is>
      </c>
      <c r="B366" s="319" t="inlineStr">
        <is>
          <t> </t>
        </is>
      </c>
      <c r="C366" s="319" t="inlineStr">
        <is>
          <t> </t>
        </is>
      </c>
      <c r="D366" s="38" t="inlineStr">
        <is>
          <t> </t>
        </is>
      </c>
      <c r="E366" s="391" t="inlineStr">
        <is>
          <t> </t>
        </is>
      </c>
      <c r="F366" s="391" t="inlineStr">
        <is>
          <t> </t>
        </is>
      </c>
      <c r="G366" s="391" t="inlineStr">
        <is>
          <t> </t>
        </is>
      </c>
      <c r="H366" s="391" t="inlineStr">
        <is>
          <t> </t>
        </is>
      </c>
      <c r="I366" s="391" t="inlineStr">
        <is>
          <t> </t>
        </is>
      </c>
      <c r="J366" s="391" t="inlineStr">
        <is>
          <t> </t>
        </is>
      </c>
      <c r="K366" s="38" t="inlineStr">
        <is>
          <t> </t>
        </is>
      </c>
      <c r="L366" s="391" t="inlineStr">
        <is>
          <t> </t>
        </is>
      </c>
      <c r="M366" s="391" t="inlineStr">
        <is>
          <t> </t>
        </is>
      </c>
      <c r="N366" s="391" t="inlineStr">
        <is>
          <t> </t>
        </is>
      </c>
      <c r="O366" s="391" t="inlineStr">
        <is>
          <t> </t>
        </is>
      </c>
      <c r="P366" s="391" t="inlineStr">
        <is>
          <t> </t>
        </is>
      </c>
      <c r="Q366" s="391" t="inlineStr">
        <is>
          <t> </t>
        </is>
      </c>
      <c r="R366" s="38" t="inlineStr">
        <is>
          <t> </t>
        </is>
      </c>
      <c r="S366" s="391" t="inlineStr">
        <is>
          <t> </t>
        </is>
      </c>
      <c r="T366" s="391" t="inlineStr">
        <is>
          <t> </t>
        </is>
      </c>
      <c r="U366" s="391" t="inlineStr">
        <is>
          <t> </t>
        </is>
      </c>
      <c r="V366" s="391" t="inlineStr">
        <is>
          <t> </t>
        </is>
      </c>
      <c r="W366" s="391" t="inlineStr">
        <is>
          <t> </t>
        </is>
      </c>
      <c r="X366" s="391" t="inlineStr">
        <is>
          <t> </t>
        </is>
      </c>
      <c r="Y366" s="392" t="inlineStr">
        <is>
          <t> </t>
        </is>
      </c>
      <c r="Z366" s="391" t="inlineStr">
        <is>
          <t> </t>
        </is>
      </c>
      <c r="AA366" s="391" t="inlineStr">
        <is>
          <t> </t>
        </is>
      </c>
      <c r="AB366" s="391" t="inlineStr">
        <is>
          <t> </t>
        </is>
      </c>
      <c r="AC366" s="391" t="inlineStr">
        <is>
          <t> </t>
        </is>
      </c>
      <c r="AD366" s="391" t="inlineStr">
        <is>
          <t> </t>
        </is>
      </c>
      <c r="AE366" s="391" t="inlineStr">
        <is>
          <t> </t>
        </is>
      </c>
      <c r="AF366" s="38" t="inlineStr">
        <is>
          <t> </t>
        </is>
      </c>
      <c r="AG366" s="391" t="inlineStr">
        <is>
          <t> </t>
        </is>
      </c>
      <c r="AH366" s="391" t="n"/>
      <c r="AI366" s="391" t="inlineStr">
        <is>
          <t> </t>
        </is>
      </c>
      <c r="AJ366" s="391" t="inlineStr">
        <is>
          <t> </t>
        </is>
      </c>
      <c r="AK366" s="391" t="inlineStr">
        <is>
          <t> </t>
        </is>
      </c>
      <c r="AL366" s="391" t="inlineStr">
        <is>
          <t> </t>
        </is>
      </c>
      <c r="AM366" s="391" t="inlineStr">
        <is>
          <t> </t>
        </is>
      </c>
      <c r="AN366" s="391" t="inlineStr">
        <is>
          <t> </t>
        </is>
      </c>
      <c r="AO366" s="391" t="n"/>
      <c r="AP366" s="319" t="n"/>
      <c r="AQ366" s="319" t="n"/>
      <c r="AR366" s="319" t="n"/>
    </row>
    <row r="367" ht="15.75" customHeight="1" s="1264">
      <c r="A367" s="319" t="inlineStr">
        <is>
          <t> </t>
        </is>
      </c>
      <c r="B367" s="319" t="inlineStr">
        <is>
          <t> </t>
        </is>
      </c>
      <c r="C367" s="319" t="inlineStr">
        <is>
          <t> </t>
        </is>
      </c>
      <c r="D367" s="38" t="inlineStr">
        <is>
          <t> </t>
        </is>
      </c>
      <c r="E367" s="391" t="inlineStr">
        <is>
          <t> </t>
        </is>
      </c>
      <c r="F367" s="391" t="inlineStr">
        <is>
          <t> </t>
        </is>
      </c>
      <c r="G367" s="391" t="inlineStr">
        <is>
          <t> </t>
        </is>
      </c>
      <c r="H367" s="391" t="inlineStr">
        <is>
          <t> </t>
        </is>
      </c>
      <c r="I367" s="391" t="inlineStr">
        <is>
          <t> </t>
        </is>
      </c>
      <c r="J367" s="391" t="inlineStr">
        <is>
          <t> </t>
        </is>
      </c>
      <c r="K367" s="38" t="inlineStr">
        <is>
          <t> </t>
        </is>
      </c>
      <c r="L367" s="391" t="inlineStr">
        <is>
          <t> </t>
        </is>
      </c>
      <c r="M367" s="391" t="inlineStr">
        <is>
          <t> </t>
        </is>
      </c>
      <c r="N367" s="391" t="inlineStr">
        <is>
          <t> </t>
        </is>
      </c>
      <c r="O367" s="391" t="inlineStr">
        <is>
          <t> </t>
        </is>
      </c>
      <c r="P367" s="391" t="inlineStr">
        <is>
          <t> </t>
        </is>
      </c>
      <c r="Q367" s="391" t="inlineStr">
        <is>
          <t> </t>
        </is>
      </c>
      <c r="R367" s="38" t="inlineStr">
        <is>
          <t> </t>
        </is>
      </c>
      <c r="S367" s="391" t="inlineStr">
        <is>
          <t> </t>
        </is>
      </c>
      <c r="T367" s="391" t="inlineStr">
        <is>
          <t> </t>
        </is>
      </c>
      <c r="U367" s="391" t="inlineStr">
        <is>
          <t> </t>
        </is>
      </c>
      <c r="V367" s="391" t="inlineStr">
        <is>
          <t> </t>
        </is>
      </c>
      <c r="W367" s="391" t="inlineStr">
        <is>
          <t> </t>
        </is>
      </c>
      <c r="X367" s="391" t="inlineStr">
        <is>
          <t> </t>
        </is>
      </c>
      <c r="Y367" s="392" t="inlineStr">
        <is>
          <t> </t>
        </is>
      </c>
      <c r="Z367" s="391" t="inlineStr">
        <is>
          <t> </t>
        </is>
      </c>
      <c r="AA367" s="391" t="inlineStr">
        <is>
          <t> </t>
        </is>
      </c>
      <c r="AB367" s="391" t="inlineStr">
        <is>
          <t> </t>
        </is>
      </c>
      <c r="AC367" s="391" t="inlineStr">
        <is>
          <t> </t>
        </is>
      </c>
      <c r="AD367" s="391" t="inlineStr">
        <is>
          <t> </t>
        </is>
      </c>
      <c r="AE367" s="391" t="inlineStr">
        <is>
          <t> </t>
        </is>
      </c>
      <c r="AF367" s="38" t="inlineStr">
        <is>
          <t> </t>
        </is>
      </c>
      <c r="AG367" s="391" t="inlineStr">
        <is>
          <t> </t>
        </is>
      </c>
      <c r="AH367" s="391" t="n"/>
      <c r="AI367" s="391" t="inlineStr">
        <is>
          <t> </t>
        </is>
      </c>
      <c r="AJ367" s="391" t="inlineStr">
        <is>
          <t> </t>
        </is>
      </c>
      <c r="AK367" s="391" t="inlineStr">
        <is>
          <t> </t>
        </is>
      </c>
      <c r="AL367" s="391" t="inlineStr">
        <is>
          <t> </t>
        </is>
      </c>
      <c r="AM367" s="391" t="inlineStr">
        <is>
          <t> </t>
        </is>
      </c>
      <c r="AN367" s="391" t="inlineStr">
        <is>
          <t> </t>
        </is>
      </c>
      <c r="AO367" s="391" t="n"/>
      <c r="AP367" s="319" t="n"/>
      <c r="AQ367" s="319" t="n"/>
      <c r="AR367" s="319" t="n"/>
    </row>
    <row r="368" ht="15.75" customHeight="1" s="1264">
      <c r="A368" s="319" t="inlineStr">
        <is>
          <t> </t>
        </is>
      </c>
      <c r="B368" s="319" t="inlineStr">
        <is>
          <t> </t>
        </is>
      </c>
      <c r="C368" s="319" t="inlineStr">
        <is>
          <t> </t>
        </is>
      </c>
      <c r="D368" s="38" t="inlineStr">
        <is>
          <t> </t>
        </is>
      </c>
      <c r="E368" s="391" t="inlineStr">
        <is>
          <t> </t>
        </is>
      </c>
      <c r="F368" s="391" t="inlineStr">
        <is>
          <t> </t>
        </is>
      </c>
      <c r="G368" s="391" t="inlineStr">
        <is>
          <t> </t>
        </is>
      </c>
      <c r="H368" s="391" t="inlineStr">
        <is>
          <t> </t>
        </is>
      </c>
      <c r="I368" s="391" t="inlineStr">
        <is>
          <t> </t>
        </is>
      </c>
      <c r="J368" s="391" t="inlineStr">
        <is>
          <t> </t>
        </is>
      </c>
      <c r="K368" s="38" t="inlineStr">
        <is>
          <t> </t>
        </is>
      </c>
      <c r="L368" s="391" t="inlineStr">
        <is>
          <t> </t>
        </is>
      </c>
      <c r="M368" s="391" t="inlineStr">
        <is>
          <t> </t>
        </is>
      </c>
      <c r="N368" s="391" t="inlineStr">
        <is>
          <t> </t>
        </is>
      </c>
      <c r="O368" s="391" t="inlineStr">
        <is>
          <t> </t>
        </is>
      </c>
      <c r="P368" s="391" t="inlineStr">
        <is>
          <t> </t>
        </is>
      </c>
      <c r="Q368" s="391" t="inlineStr">
        <is>
          <t> </t>
        </is>
      </c>
      <c r="R368" s="38" t="inlineStr">
        <is>
          <t> </t>
        </is>
      </c>
      <c r="S368" s="391" t="inlineStr">
        <is>
          <t> </t>
        </is>
      </c>
      <c r="T368" s="391" t="inlineStr">
        <is>
          <t> </t>
        </is>
      </c>
      <c r="U368" s="391" t="inlineStr">
        <is>
          <t> </t>
        </is>
      </c>
      <c r="V368" s="391" t="inlineStr">
        <is>
          <t> </t>
        </is>
      </c>
      <c r="W368" s="391" t="inlineStr">
        <is>
          <t> </t>
        </is>
      </c>
      <c r="X368" s="391" t="inlineStr">
        <is>
          <t> </t>
        </is>
      </c>
      <c r="Y368" s="392" t="inlineStr">
        <is>
          <t> </t>
        </is>
      </c>
      <c r="Z368" s="391" t="inlineStr">
        <is>
          <t> </t>
        </is>
      </c>
      <c r="AA368" s="391" t="inlineStr">
        <is>
          <t> </t>
        </is>
      </c>
      <c r="AB368" s="391" t="inlineStr">
        <is>
          <t> </t>
        </is>
      </c>
      <c r="AC368" s="391" t="inlineStr">
        <is>
          <t> </t>
        </is>
      </c>
      <c r="AD368" s="391" t="inlineStr">
        <is>
          <t> </t>
        </is>
      </c>
      <c r="AE368" s="391" t="inlineStr">
        <is>
          <t> </t>
        </is>
      </c>
      <c r="AF368" s="38" t="inlineStr">
        <is>
          <t> </t>
        </is>
      </c>
      <c r="AG368" s="391" t="inlineStr">
        <is>
          <t> </t>
        </is>
      </c>
      <c r="AH368" s="391" t="n"/>
      <c r="AI368" s="391" t="inlineStr">
        <is>
          <t> </t>
        </is>
      </c>
      <c r="AJ368" s="391" t="inlineStr">
        <is>
          <t> </t>
        </is>
      </c>
      <c r="AK368" s="391" t="inlineStr">
        <is>
          <t> </t>
        </is>
      </c>
      <c r="AL368" s="391" t="inlineStr">
        <is>
          <t> </t>
        </is>
      </c>
      <c r="AM368" s="391" t="inlineStr">
        <is>
          <t> </t>
        </is>
      </c>
      <c r="AN368" s="391" t="inlineStr">
        <is>
          <t> </t>
        </is>
      </c>
      <c r="AO368" s="391" t="n"/>
      <c r="AP368" s="319" t="n"/>
      <c r="AQ368" s="319" t="n"/>
      <c r="AR368" s="319" t="n"/>
    </row>
    <row r="369" ht="15.75" customHeight="1" s="1264">
      <c r="A369" s="319" t="inlineStr">
        <is>
          <t> </t>
        </is>
      </c>
      <c r="B369" s="319" t="inlineStr">
        <is>
          <t> </t>
        </is>
      </c>
      <c r="C369" s="319" t="inlineStr">
        <is>
          <t> </t>
        </is>
      </c>
      <c r="D369" s="38" t="inlineStr">
        <is>
          <t> </t>
        </is>
      </c>
      <c r="E369" s="391" t="inlineStr">
        <is>
          <t> </t>
        </is>
      </c>
      <c r="F369" s="391" t="inlineStr">
        <is>
          <t> </t>
        </is>
      </c>
      <c r="G369" s="391" t="inlineStr">
        <is>
          <t> </t>
        </is>
      </c>
      <c r="H369" s="391" t="inlineStr">
        <is>
          <t> </t>
        </is>
      </c>
      <c r="I369" s="391" t="inlineStr">
        <is>
          <t> </t>
        </is>
      </c>
      <c r="J369" s="391" t="inlineStr">
        <is>
          <t> </t>
        </is>
      </c>
      <c r="K369" s="38" t="inlineStr">
        <is>
          <t> </t>
        </is>
      </c>
      <c r="L369" s="391" t="inlineStr">
        <is>
          <t> </t>
        </is>
      </c>
      <c r="M369" s="391" t="inlineStr">
        <is>
          <t> </t>
        </is>
      </c>
      <c r="N369" s="391" t="inlineStr">
        <is>
          <t> </t>
        </is>
      </c>
      <c r="O369" s="391" t="inlineStr">
        <is>
          <t> </t>
        </is>
      </c>
      <c r="P369" s="391" t="inlineStr">
        <is>
          <t> </t>
        </is>
      </c>
      <c r="Q369" s="391" t="inlineStr">
        <is>
          <t> </t>
        </is>
      </c>
      <c r="R369" s="38" t="inlineStr">
        <is>
          <t> </t>
        </is>
      </c>
      <c r="S369" s="391" t="inlineStr">
        <is>
          <t> </t>
        </is>
      </c>
      <c r="T369" s="391" t="inlineStr">
        <is>
          <t> </t>
        </is>
      </c>
      <c r="U369" s="391" t="inlineStr">
        <is>
          <t> </t>
        </is>
      </c>
      <c r="V369" s="391" t="inlineStr">
        <is>
          <t> </t>
        </is>
      </c>
      <c r="W369" s="391" t="inlineStr">
        <is>
          <t> </t>
        </is>
      </c>
      <c r="X369" s="391" t="inlineStr">
        <is>
          <t> </t>
        </is>
      </c>
      <c r="Y369" s="392" t="inlineStr">
        <is>
          <t> </t>
        </is>
      </c>
      <c r="Z369" s="391" t="inlineStr">
        <is>
          <t> </t>
        </is>
      </c>
      <c r="AA369" s="391" t="inlineStr">
        <is>
          <t> </t>
        </is>
      </c>
      <c r="AB369" s="391" t="inlineStr">
        <is>
          <t> </t>
        </is>
      </c>
      <c r="AC369" s="391" t="inlineStr">
        <is>
          <t> </t>
        </is>
      </c>
      <c r="AD369" s="391" t="inlineStr">
        <is>
          <t> </t>
        </is>
      </c>
      <c r="AE369" s="391" t="inlineStr">
        <is>
          <t> </t>
        </is>
      </c>
      <c r="AF369" s="38" t="inlineStr">
        <is>
          <t> </t>
        </is>
      </c>
      <c r="AG369" s="391" t="inlineStr">
        <is>
          <t> </t>
        </is>
      </c>
      <c r="AH369" s="391" t="n"/>
      <c r="AI369" s="391" t="inlineStr">
        <is>
          <t> </t>
        </is>
      </c>
      <c r="AJ369" s="391" t="inlineStr">
        <is>
          <t> </t>
        </is>
      </c>
      <c r="AK369" s="391" t="inlineStr">
        <is>
          <t> </t>
        </is>
      </c>
      <c r="AL369" s="391" t="inlineStr">
        <is>
          <t> </t>
        </is>
      </c>
      <c r="AM369" s="391" t="inlineStr">
        <is>
          <t> </t>
        </is>
      </c>
      <c r="AN369" s="391" t="inlineStr">
        <is>
          <t> </t>
        </is>
      </c>
      <c r="AO369" s="391" t="n"/>
      <c r="AP369" s="319" t="n"/>
      <c r="AQ369" s="319" t="n"/>
      <c r="AR369" s="319" t="n"/>
    </row>
    <row r="370" ht="15.75" customHeight="1" s="1264">
      <c r="A370" s="319" t="inlineStr">
        <is>
          <t> </t>
        </is>
      </c>
      <c r="B370" s="319" t="inlineStr">
        <is>
          <t> </t>
        </is>
      </c>
      <c r="C370" s="319" t="inlineStr">
        <is>
          <t> </t>
        </is>
      </c>
      <c r="D370" s="38" t="inlineStr">
        <is>
          <t> </t>
        </is>
      </c>
      <c r="E370" s="391" t="inlineStr">
        <is>
          <t> </t>
        </is>
      </c>
      <c r="F370" s="391" t="inlineStr">
        <is>
          <t> </t>
        </is>
      </c>
      <c r="G370" s="391" t="inlineStr">
        <is>
          <t> </t>
        </is>
      </c>
      <c r="H370" s="391" t="inlineStr">
        <is>
          <t> </t>
        </is>
      </c>
      <c r="I370" s="391" t="inlineStr">
        <is>
          <t> </t>
        </is>
      </c>
      <c r="J370" s="391" t="inlineStr">
        <is>
          <t> </t>
        </is>
      </c>
      <c r="K370" s="38" t="inlineStr">
        <is>
          <t> </t>
        </is>
      </c>
      <c r="L370" s="391" t="inlineStr">
        <is>
          <t> </t>
        </is>
      </c>
      <c r="M370" s="391" t="inlineStr">
        <is>
          <t> </t>
        </is>
      </c>
      <c r="N370" s="391" t="inlineStr">
        <is>
          <t> </t>
        </is>
      </c>
      <c r="O370" s="391" t="inlineStr">
        <is>
          <t> </t>
        </is>
      </c>
      <c r="P370" s="391" t="inlineStr">
        <is>
          <t> </t>
        </is>
      </c>
      <c r="Q370" s="391" t="inlineStr">
        <is>
          <t> </t>
        </is>
      </c>
      <c r="R370" s="38" t="inlineStr">
        <is>
          <t> </t>
        </is>
      </c>
      <c r="S370" s="391" t="inlineStr">
        <is>
          <t> </t>
        </is>
      </c>
      <c r="T370" s="391" t="inlineStr">
        <is>
          <t> </t>
        </is>
      </c>
      <c r="U370" s="391" t="inlineStr">
        <is>
          <t> </t>
        </is>
      </c>
      <c r="V370" s="391" t="inlineStr">
        <is>
          <t> </t>
        </is>
      </c>
      <c r="W370" s="391" t="inlineStr">
        <is>
          <t> </t>
        </is>
      </c>
      <c r="X370" s="391" t="inlineStr">
        <is>
          <t> </t>
        </is>
      </c>
      <c r="Y370" s="392" t="inlineStr">
        <is>
          <t> </t>
        </is>
      </c>
      <c r="Z370" s="391" t="inlineStr">
        <is>
          <t> </t>
        </is>
      </c>
      <c r="AA370" s="391" t="inlineStr">
        <is>
          <t> </t>
        </is>
      </c>
      <c r="AB370" s="391" t="inlineStr">
        <is>
          <t> </t>
        </is>
      </c>
      <c r="AC370" s="391" t="inlineStr">
        <is>
          <t> </t>
        </is>
      </c>
      <c r="AD370" s="391" t="inlineStr">
        <is>
          <t> </t>
        </is>
      </c>
      <c r="AE370" s="391" t="inlineStr">
        <is>
          <t> </t>
        </is>
      </c>
      <c r="AF370" s="38" t="inlineStr">
        <is>
          <t> </t>
        </is>
      </c>
      <c r="AG370" s="391" t="inlineStr">
        <is>
          <t> </t>
        </is>
      </c>
      <c r="AH370" s="391" t="n"/>
      <c r="AI370" s="391" t="inlineStr">
        <is>
          <t> </t>
        </is>
      </c>
      <c r="AJ370" s="391" t="inlineStr">
        <is>
          <t> </t>
        </is>
      </c>
      <c r="AK370" s="391" t="inlineStr">
        <is>
          <t> </t>
        </is>
      </c>
      <c r="AL370" s="391" t="inlineStr">
        <is>
          <t> </t>
        </is>
      </c>
      <c r="AM370" s="391" t="inlineStr">
        <is>
          <t> </t>
        </is>
      </c>
      <c r="AN370" s="391" t="inlineStr">
        <is>
          <t> </t>
        </is>
      </c>
      <c r="AO370" s="391" t="n"/>
      <c r="AP370" s="319" t="n"/>
      <c r="AQ370" s="319" t="n"/>
      <c r="AR370" s="319" t="n"/>
    </row>
    <row r="371" ht="15.75" customHeight="1" s="1264">
      <c r="A371" s="319" t="inlineStr">
        <is>
          <t> </t>
        </is>
      </c>
      <c r="B371" s="319" t="inlineStr">
        <is>
          <t> </t>
        </is>
      </c>
      <c r="C371" s="319" t="inlineStr">
        <is>
          <t> </t>
        </is>
      </c>
      <c r="D371" s="38" t="inlineStr">
        <is>
          <t> </t>
        </is>
      </c>
      <c r="E371" s="391" t="inlineStr">
        <is>
          <t> </t>
        </is>
      </c>
      <c r="F371" s="391" t="inlineStr">
        <is>
          <t> </t>
        </is>
      </c>
      <c r="G371" s="391" t="inlineStr">
        <is>
          <t> </t>
        </is>
      </c>
      <c r="H371" s="391" t="inlineStr">
        <is>
          <t> </t>
        </is>
      </c>
      <c r="I371" s="391" t="inlineStr">
        <is>
          <t> </t>
        </is>
      </c>
      <c r="J371" s="391" t="inlineStr">
        <is>
          <t> </t>
        </is>
      </c>
      <c r="K371" s="38" t="inlineStr">
        <is>
          <t> </t>
        </is>
      </c>
      <c r="L371" s="391" t="inlineStr">
        <is>
          <t> </t>
        </is>
      </c>
      <c r="M371" s="391" t="inlineStr">
        <is>
          <t> </t>
        </is>
      </c>
      <c r="N371" s="391" t="inlineStr">
        <is>
          <t> </t>
        </is>
      </c>
      <c r="O371" s="391" t="inlineStr">
        <is>
          <t> </t>
        </is>
      </c>
      <c r="P371" s="391" t="inlineStr">
        <is>
          <t> </t>
        </is>
      </c>
      <c r="Q371" s="391" t="inlineStr">
        <is>
          <t> </t>
        </is>
      </c>
      <c r="R371" s="38" t="inlineStr">
        <is>
          <t> </t>
        </is>
      </c>
      <c r="S371" s="391" t="inlineStr">
        <is>
          <t> </t>
        </is>
      </c>
      <c r="T371" s="391" t="inlineStr">
        <is>
          <t> </t>
        </is>
      </c>
      <c r="U371" s="391" t="inlineStr">
        <is>
          <t> </t>
        </is>
      </c>
      <c r="V371" s="391" t="inlineStr">
        <is>
          <t> </t>
        </is>
      </c>
      <c r="W371" s="391" t="inlineStr">
        <is>
          <t> </t>
        </is>
      </c>
      <c r="X371" s="391" t="inlineStr">
        <is>
          <t> </t>
        </is>
      </c>
      <c r="Y371" s="392" t="inlineStr">
        <is>
          <t> </t>
        </is>
      </c>
      <c r="Z371" s="391" t="inlineStr">
        <is>
          <t> </t>
        </is>
      </c>
      <c r="AA371" s="391" t="inlineStr">
        <is>
          <t> </t>
        </is>
      </c>
      <c r="AB371" s="391" t="inlineStr">
        <is>
          <t> </t>
        </is>
      </c>
      <c r="AC371" s="391" t="inlineStr">
        <is>
          <t> </t>
        </is>
      </c>
      <c r="AD371" s="391" t="inlineStr">
        <is>
          <t> </t>
        </is>
      </c>
      <c r="AE371" s="391" t="inlineStr">
        <is>
          <t> </t>
        </is>
      </c>
      <c r="AF371" s="38" t="inlineStr">
        <is>
          <t> </t>
        </is>
      </c>
      <c r="AG371" s="391" t="inlineStr">
        <is>
          <t> </t>
        </is>
      </c>
      <c r="AH371" s="391" t="n"/>
      <c r="AI371" s="391" t="inlineStr">
        <is>
          <t> </t>
        </is>
      </c>
      <c r="AJ371" s="391" t="inlineStr">
        <is>
          <t> </t>
        </is>
      </c>
      <c r="AK371" s="391" t="inlineStr">
        <is>
          <t> </t>
        </is>
      </c>
      <c r="AL371" s="391" t="inlineStr">
        <is>
          <t> </t>
        </is>
      </c>
      <c r="AM371" s="391" t="inlineStr">
        <is>
          <t> </t>
        </is>
      </c>
      <c r="AN371" s="391" t="inlineStr">
        <is>
          <t> </t>
        </is>
      </c>
      <c r="AO371" s="391" t="n"/>
      <c r="AP371" s="319" t="n"/>
      <c r="AQ371" s="319" t="n"/>
      <c r="AR371" s="319" t="n"/>
    </row>
    <row r="372" ht="15.75" customHeight="1" s="1264">
      <c r="A372" s="319" t="inlineStr">
        <is>
          <t> </t>
        </is>
      </c>
      <c r="B372" s="319" t="inlineStr">
        <is>
          <t> </t>
        </is>
      </c>
      <c r="C372" s="319" t="inlineStr">
        <is>
          <t> </t>
        </is>
      </c>
      <c r="D372" s="38" t="inlineStr">
        <is>
          <t> </t>
        </is>
      </c>
      <c r="E372" s="391" t="inlineStr">
        <is>
          <t> </t>
        </is>
      </c>
      <c r="F372" s="391" t="inlineStr">
        <is>
          <t> </t>
        </is>
      </c>
      <c r="G372" s="391" t="inlineStr">
        <is>
          <t> </t>
        </is>
      </c>
      <c r="H372" s="391" t="inlineStr">
        <is>
          <t> </t>
        </is>
      </c>
      <c r="I372" s="391" t="inlineStr">
        <is>
          <t> </t>
        </is>
      </c>
      <c r="J372" s="391" t="inlineStr">
        <is>
          <t> </t>
        </is>
      </c>
      <c r="K372" s="38" t="inlineStr">
        <is>
          <t> </t>
        </is>
      </c>
      <c r="L372" s="391" t="inlineStr">
        <is>
          <t> </t>
        </is>
      </c>
      <c r="M372" s="391" t="inlineStr">
        <is>
          <t> </t>
        </is>
      </c>
      <c r="N372" s="391" t="inlineStr">
        <is>
          <t> </t>
        </is>
      </c>
      <c r="O372" s="391" t="inlineStr">
        <is>
          <t> </t>
        </is>
      </c>
      <c r="P372" s="391" t="inlineStr">
        <is>
          <t> </t>
        </is>
      </c>
      <c r="Q372" s="391" t="inlineStr">
        <is>
          <t> </t>
        </is>
      </c>
      <c r="R372" s="38" t="inlineStr">
        <is>
          <t> </t>
        </is>
      </c>
      <c r="S372" s="391" t="inlineStr">
        <is>
          <t> </t>
        </is>
      </c>
      <c r="T372" s="391" t="inlineStr">
        <is>
          <t> </t>
        </is>
      </c>
      <c r="U372" s="391" t="inlineStr">
        <is>
          <t> </t>
        </is>
      </c>
      <c r="V372" s="391" t="inlineStr">
        <is>
          <t> </t>
        </is>
      </c>
      <c r="W372" s="391" t="inlineStr">
        <is>
          <t> </t>
        </is>
      </c>
      <c r="X372" s="391" t="inlineStr">
        <is>
          <t> </t>
        </is>
      </c>
      <c r="Y372" s="392" t="inlineStr">
        <is>
          <t> </t>
        </is>
      </c>
      <c r="Z372" s="391" t="inlineStr">
        <is>
          <t> </t>
        </is>
      </c>
      <c r="AA372" s="391" t="inlineStr">
        <is>
          <t> </t>
        </is>
      </c>
      <c r="AB372" s="391" t="inlineStr">
        <is>
          <t> </t>
        </is>
      </c>
      <c r="AC372" s="391" t="inlineStr">
        <is>
          <t> </t>
        </is>
      </c>
      <c r="AD372" s="391" t="inlineStr">
        <is>
          <t> </t>
        </is>
      </c>
      <c r="AE372" s="391" t="inlineStr">
        <is>
          <t> </t>
        </is>
      </c>
      <c r="AF372" s="38" t="inlineStr">
        <is>
          <t> </t>
        </is>
      </c>
      <c r="AG372" s="391" t="inlineStr">
        <is>
          <t> </t>
        </is>
      </c>
      <c r="AH372" s="391" t="n"/>
      <c r="AI372" s="391" t="inlineStr">
        <is>
          <t> </t>
        </is>
      </c>
      <c r="AJ372" s="391" t="inlineStr">
        <is>
          <t> </t>
        </is>
      </c>
      <c r="AK372" s="391" t="inlineStr">
        <is>
          <t> </t>
        </is>
      </c>
      <c r="AL372" s="391" t="inlineStr">
        <is>
          <t> </t>
        </is>
      </c>
      <c r="AM372" s="391" t="inlineStr">
        <is>
          <t> </t>
        </is>
      </c>
      <c r="AN372" s="391" t="inlineStr">
        <is>
          <t> </t>
        </is>
      </c>
      <c r="AO372" s="391" t="n"/>
      <c r="AP372" s="319" t="n"/>
      <c r="AQ372" s="319" t="n"/>
      <c r="AR372" s="319" t="n"/>
    </row>
    <row r="373" ht="15.75" customHeight="1" s="1264">
      <c r="A373" s="319" t="inlineStr">
        <is>
          <t> </t>
        </is>
      </c>
      <c r="B373" s="319" t="inlineStr">
        <is>
          <t> </t>
        </is>
      </c>
      <c r="C373" s="319" t="inlineStr">
        <is>
          <t> </t>
        </is>
      </c>
      <c r="D373" s="38" t="inlineStr">
        <is>
          <t> </t>
        </is>
      </c>
      <c r="E373" s="391" t="inlineStr">
        <is>
          <t> </t>
        </is>
      </c>
      <c r="F373" s="391" t="inlineStr">
        <is>
          <t> </t>
        </is>
      </c>
      <c r="G373" s="391" t="inlineStr">
        <is>
          <t> </t>
        </is>
      </c>
      <c r="H373" s="391" t="inlineStr">
        <is>
          <t> </t>
        </is>
      </c>
      <c r="I373" s="391" t="inlineStr">
        <is>
          <t> </t>
        </is>
      </c>
      <c r="J373" s="391" t="inlineStr">
        <is>
          <t> </t>
        </is>
      </c>
      <c r="K373" s="38" t="inlineStr">
        <is>
          <t> </t>
        </is>
      </c>
      <c r="L373" s="391" t="inlineStr">
        <is>
          <t> </t>
        </is>
      </c>
      <c r="M373" s="391" t="inlineStr">
        <is>
          <t> </t>
        </is>
      </c>
      <c r="N373" s="391" t="inlineStr">
        <is>
          <t> </t>
        </is>
      </c>
      <c r="O373" s="391" t="inlineStr">
        <is>
          <t> </t>
        </is>
      </c>
      <c r="P373" s="391" t="inlineStr">
        <is>
          <t> </t>
        </is>
      </c>
      <c r="Q373" s="391" t="inlineStr">
        <is>
          <t> </t>
        </is>
      </c>
      <c r="R373" s="38" t="inlineStr">
        <is>
          <t> </t>
        </is>
      </c>
      <c r="S373" s="391" t="inlineStr">
        <is>
          <t> </t>
        </is>
      </c>
      <c r="T373" s="391" t="inlineStr">
        <is>
          <t> </t>
        </is>
      </c>
      <c r="U373" s="391" t="inlineStr">
        <is>
          <t> </t>
        </is>
      </c>
      <c r="V373" s="391" t="inlineStr">
        <is>
          <t> </t>
        </is>
      </c>
      <c r="W373" s="391" t="inlineStr">
        <is>
          <t> </t>
        </is>
      </c>
      <c r="X373" s="391" t="inlineStr">
        <is>
          <t> </t>
        </is>
      </c>
      <c r="Y373" s="392" t="inlineStr">
        <is>
          <t> </t>
        </is>
      </c>
      <c r="Z373" s="391" t="inlineStr">
        <is>
          <t> </t>
        </is>
      </c>
      <c r="AA373" s="391" t="inlineStr">
        <is>
          <t> </t>
        </is>
      </c>
      <c r="AB373" s="391" t="inlineStr">
        <is>
          <t> </t>
        </is>
      </c>
      <c r="AC373" s="391" t="inlineStr">
        <is>
          <t> </t>
        </is>
      </c>
      <c r="AD373" s="391" t="inlineStr">
        <is>
          <t> </t>
        </is>
      </c>
      <c r="AE373" s="391" t="inlineStr">
        <is>
          <t> </t>
        </is>
      </c>
      <c r="AF373" s="38" t="inlineStr">
        <is>
          <t> </t>
        </is>
      </c>
      <c r="AG373" s="391" t="inlineStr">
        <is>
          <t> </t>
        </is>
      </c>
      <c r="AH373" s="391" t="n"/>
      <c r="AI373" s="391" t="inlineStr">
        <is>
          <t> </t>
        </is>
      </c>
      <c r="AJ373" s="391" t="inlineStr">
        <is>
          <t> </t>
        </is>
      </c>
      <c r="AK373" s="391" t="inlineStr">
        <is>
          <t> </t>
        </is>
      </c>
      <c r="AL373" s="391" t="inlineStr">
        <is>
          <t> </t>
        </is>
      </c>
      <c r="AM373" s="391" t="inlineStr">
        <is>
          <t> </t>
        </is>
      </c>
      <c r="AN373" s="391" t="inlineStr">
        <is>
          <t> </t>
        </is>
      </c>
      <c r="AO373" s="391" t="n"/>
      <c r="AP373" s="319" t="n"/>
      <c r="AQ373" s="319" t="n"/>
      <c r="AR373" s="319" t="n"/>
    </row>
    <row r="374" ht="15.75" customHeight="1" s="1264">
      <c r="A374" s="319" t="inlineStr">
        <is>
          <t> </t>
        </is>
      </c>
      <c r="B374" s="319" t="inlineStr">
        <is>
          <t> </t>
        </is>
      </c>
      <c r="C374" s="319" t="inlineStr">
        <is>
          <t> </t>
        </is>
      </c>
      <c r="D374" s="38" t="inlineStr">
        <is>
          <t> </t>
        </is>
      </c>
      <c r="E374" s="391" t="inlineStr">
        <is>
          <t> </t>
        </is>
      </c>
      <c r="F374" s="391" t="inlineStr">
        <is>
          <t> </t>
        </is>
      </c>
      <c r="G374" s="391" t="inlineStr">
        <is>
          <t> </t>
        </is>
      </c>
      <c r="H374" s="391" t="inlineStr">
        <is>
          <t> </t>
        </is>
      </c>
      <c r="I374" s="391" t="inlineStr">
        <is>
          <t> </t>
        </is>
      </c>
      <c r="J374" s="391" t="inlineStr">
        <is>
          <t> </t>
        </is>
      </c>
      <c r="K374" s="38" t="inlineStr">
        <is>
          <t> </t>
        </is>
      </c>
      <c r="L374" s="391" t="inlineStr">
        <is>
          <t> </t>
        </is>
      </c>
      <c r="M374" s="391" t="inlineStr">
        <is>
          <t> </t>
        </is>
      </c>
      <c r="N374" s="391" t="inlineStr">
        <is>
          <t> </t>
        </is>
      </c>
      <c r="O374" s="391" t="inlineStr">
        <is>
          <t> </t>
        </is>
      </c>
      <c r="P374" s="391" t="inlineStr">
        <is>
          <t> </t>
        </is>
      </c>
      <c r="Q374" s="391" t="inlineStr">
        <is>
          <t> </t>
        </is>
      </c>
      <c r="R374" s="38" t="inlineStr">
        <is>
          <t> </t>
        </is>
      </c>
      <c r="S374" s="391" t="inlineStr">
        <is>
          <t> </t>
        </is>
      </c>
      <c r="T374" s="391" t="inlineStr">
        <is>
          <t> </t>
        </is>
      </c>
      <c r="U374" s="391" t="inlineStr">
        <is>
          <t> </t>
        </is>
      </c>
      <c r="V374" s="391" t="inlineStr">
        <is>
          <t> </t>
        </is>
      </c>
      <c r="W374" s="391" t="inlineStr">
        <is>
          <t> </t>
        </is>
      </c>
      <c r="X374" s="391" t="inlineStr">
        <is>
          <t> </t>
        </is>
      </c>
      <c r="Y374" s="392" t="inlineStr">
        <is>
          <t> </t>
        </is>
      </c>
      <c r="Z374" s="391" t="inlineStr">
        <is>
          <t> </t>
        </is>
      </c>
      <c r="AA374" s="391" t="inlineStr">
        <is>
          <t> </t>
        </is>
      </c>
      <c r="AB374" s="391" t="inlineStr">
        <is>
          <t> </t>
        </is>
      </c>
      <c r="AC374" s="391" t="inlineStr">
        <is>
          <t> </t>
        </is>
      </c>
      <c r="AD374" s="391" t="inlineStr">
        <is>
          <t> </t>
        </is>
      </c>
      <c r="AE374" s="391" t="inlineStr">
        <is>
          <t> </t>
        </is>
      </c>
      <c r="AF374" s="38" t="inlineStr">
        <is>
          <t> </t>
        </is>
      </c>
      <c r="AG374" s="391" t="inlineStr">
        <is>
          <t> </t>
        </is>
      </c>
      <c r="AH374" s="391" t="n"/>
      <c r="AI374" s="391" t="inlineStr">
        <is>
          <t> </t>
        </is>
      </c>
      <c r="AJ374" s="391" t="inlineStr">
        <is>
          <t> </t>
        </is>
      </c>
      <c r="AK374" s="391" t="inlineStr">
        <is>
          <t> </t>
        </is>
      </c>
      <c r="AL374" s="391" t="inlineStr">
        <is>
          <t> </t>
        </is>
      </c>
      <c r="AM374" s="391" t="inlineStr">
        <is>
          <t> </t>
        </is>
      </c>
      <c r="AN374" s="391" t="inlineStr">
        <is>
          <t> </t>
        </is>
      </c>
      <c r="AO374" s="391" t="n"/>
      <c r="AP374" s="319" t="n"/>
      <c r="AQ374" s="319" t="n"/>
      <c r="AR374" s="319" t="n"/>
    </row>
    <row r="375" ht="15.75" customHeight="1" s="1264">
      <c r="A375" s="319" t="inlineStr">
        <is>
          <t> </t>
        </is>
      </c>
      <c r="B375" s="319" t="inlineStr">
        <is>
          <t> </t>
        </is>
      </c>
      <c r="C375" s="319" t="inlineStr">
        <is>
          <t> </t>
        </is>
      </c>
      <c r="D375" s="38" t="inlineStr">
        <is>
          <t> </t>
        </is>
      </c>
      <c r="E375" s="391" t="inlineStr">
        <is>
          <t> </t>
        </is>
      </c>
      <c r="F375" s="391" t="inlineStr">
        <is>
          <t> </t>
        </is>
      </c>
      <c r="G375" s="391" t="inlineStr">
        <is>
          <t> </t>
        </is>
      </c>
      <c r="H375" s="391" t="inlineStr">
        <is>
          <t> </t>
        </is>
      </c>
      <c r="I375" s="391" t="inlineStr">
        <is>
          <t> </t>
        </is>
      </c>
      <c r="J375" s="391" t="inlineStr">
        <is>
          <t> </t>
        </is>
      </c>
      <c r="K375" s="38" t="inlineStr">
        <is>
          <t> </t>
        </is>
      </c>
      <c r="L375" s="391" t="inlineStr">
        <is>
          <t> </t>
        </is>
      </c>
      <c r="M375" s="391" t="inlineStr">
        <is>
          <t> </t>
        </is>
      </c>
      <c r="N375" s="391" t="inlineStr">
        <is>
          <t> </t>
        </is>
      </c>
      <c r="O375" s="391" t="inlineStr">
        <is>
          <t> </t>
        </is>
      </c>
      <c r="P375" s="391" t="inlineStr">
        <is>
          <t> </t>
        </is>
      </c>
      <c r="Q375" s="391" t="inlineStr">
        <is>
          <t> </t>
        </is>
      </c>
      <c r="R375" s="38" t="inlineStr">
        <is>
          <t> </t>
        </is>
      </c>
      <c r="S375" s="391" t="inlineStr">
        <is>
          <t> </t>
        </is>
      </c>
      <c r="T375" s="391" t="inlineStr">
        <is>
          <t> </t>
        </is>
      </c>
      <c r="U375" s="391" t="inlineStr">
        <is>
          <t> </t>
        </is>
      </c>
      <c r="V375" s="391" t="inlineStr">
        <is>
          <t> </t>
        </is>
      </c>
      <c r="W375" s="391" t="inlineStr">
        <is>
          <t> </t>
        </is>
      </c>
      <c r="X375" s="391" t="inlineStr">
        <is>
          <t> </t>
        </is>
      </c>
      <c r="Y375" s="392" t="inlineStr">
        <is>
          <t> </t>
        </is>
      </c>
      <c r="Z375" s="391" t="inlineStr">
        <is>
          <t> </t>
        </is>
      </c>
      <c r="AA375" s="391" t="inlineStr">
        <is>
          <t> </t>
        </is>
      </c>
      <c r="AB375" s="391" t="inlineStr">
        <is>
          <t> </t>
        </is>
      </c>
      <c r="AC375" s="391" t="inlineStr">
        <is>
          <t> </t>
        </is>
      </c>
      <c r="AD375" s="391" t="inlineStr">
        <is>
          <t> </t>
        </is>
      </c>
      <c r="AE375" s="391" t="inlineStr">
        <is>
          <t> </t>
        </is>
      </c>
      <c r="AF375" s="38" t="inlineStr">
        <is>
          <t> </t>
        </is>
      </c>
      <c r="AG375" s="391" t="inlineStr">
        <is>
          <t> </t>
        </is>
      </c>
      <c r="AH375" s="391" t="n"/>
      <c r="AI375" s="391" t="inlineStr">
        <is>
          <t> </t>
        </is>
      </c>
      <c r="AJ375" s="391" t="inlineStr">
        <is>
          <t> </t>
        </is>
      </c>
      <c r="AK375" s="391" t="inlineStr">
        <is>
          <t> </t>
        </is>
      </c>
      <c r="AL375" s="391" t="inlineStr">
        <is>
          <t> </t>
        </is>
      </c>
      <c r="AM375" s="391" t="inlineStr">
        <is>
          <t> </t>
        </is>
      </c>
      <c r="AN375" s="391" t="inlineStr">
        <is>
          <t> </t>
        </is>
      </c>
      <c r="AO375" s="391" t="n"/>
      <c r="AP375" s="319" t="n"/>
      <c r="AQ375" s="319" t="n"/>
      <c r="AR375" s="319" t="n"/>
    </row>
    <row r="376" ht="15.75" customHeight="1" s="1264">
      <c r="A376" s="319" t="inlineStr">
        <is>
          <t> </t>
        </is>
      </c>
      <c r="B376" s="319" t="inlineStr">
        <is>
          <t> </t>
        </is>
      </c>
      <c r="C376" s="319" t="inlineStr">
        <is>
          <t> </t>
        </is>
      </c>
      <c r="D376" s="38" t="inlineStr">
        <is>
          <t> </t>
        </is>
      </c>
      <c r="E376" s="391" t="inlineStr">
        <is>
          <t> </t>
        </is>
      </c>
      <c r="F376" s="391" t="inlineStr">
        <is>
          <t> </t>
        </is>
      </c>
      <c r="G376" s="391" t="inlineStr">
        <is>
          <t> </t>
        </is>
      </c>
      <c r="H376" s="391" t="inlineStr">
        <is>
          <t> </t>
        </is>
      </c>
      <c r="I376" s="391" t="inlineStr">
        <is>
          <t> </t>
        </is>
      </c>
      <c r="J376" s="391" t="inlineStr">
        <is>
          <t> </t>
        </is>
      </c>
      <c r="K376" s="38" t="inlineStr">
        <is>
          <t> </t>
        </is>
      </c>
      <c r="L376" s="391" t="inlineStr">
        <is>
          <t> </t>
        </is>
      </c>
      <c r="M376" s="391" t="inlineStr">
        <is>
          <t> </t>
        </is>
      </c>
      <c r="N376" s="391" t="inlineStr">
        <is>
          <t> </t>
        </is>
      </c>
      <c r="O376" s="391" t="inlineStr">
        <is>
          <t> </t>
        </is>
      </c>
      <c r="P376" s="391" t="inlineStr">
        <is>
          <t> </t>
        </is>
      </c>
      <c r="Q376" s="391" t="inlineStr">
        <is>
          <t> </t>
        </is>
      </c>
      <c r="R376" s="38" t="inlineStr">
        <is>
          <t> </t>
        </is>
      </c>
      <c r="S376" s="391" t="inlineStr">
        <is>
          <t> </t>
        </is>
      </c>
      <c r="T376" s="391" t="inlineStr">
        <is>
          <t> </t>
        </is>
      </c>
      <c r="U376" s="391" t="inlineStr">
        <is>
          <t> </t>
        </is>
      </c>
      <c r="V376" s="391" t="inlineStr">
        <is>
          <t> </t>
        </is>
      </c>
      <c r="W376" s="391" t="inlineStr">
        <is>
          <t> </t>
        </is>
      </c>
      <c r="X376" s="391" t="inlineStr">
        <is>
          <t> </t>
        </is>
      </c>
      <c r="Y376" s="392" t="inlineStr">
        <is>
          <t> </t>
        </is>
      </c>
      <c r="Z376" s="391" t="inlineStr">
        <is>
          <t> </t>
        </is>
      </c>
      <c r="AA376" s="391" t="inlineStr">
        <is>
          <t> </t>
        </is>
      </c>
      <c r="AB376" s="391" t="inlineStr">
        <is>
          <t> </t>
        </is>
      </c>
      <c r="AC376" s="391" t="inlineStr">
        <is>
          <t> </t>
        </is>
      </c>
      <c r="AD376" s="391" t="inlineStr">
        <is>
          <t> </t>
        </is>
      </c>
      <c r="AE376" s="391" t="inlineStr">
        <is>
          <t> </t>
        </is>
      </c>
      <c r="AF376" s="38" t="inlineStr">
        <is>
          <t> </t>
        </is>
      </c>
      <c r="AG376" s="391" t="inlineStr">
        <is>
          <t> </t>
        </is>
      </c>
      <c r="AH376" s="391" t="n"/>
      <c r="AI376" s="391" t="inlineStr">
        <is>
          <t> </t>
        </is>
      </c>
      <c r="AJ376" s="391" t="inlineStr">
        <is>
          <t> </t>
        </is>
      </c>
      <c r="AK376" s="391" t="inlineStr">
        <is>
          <t> </t>
        </is>
      </c>
      <c r="AL376" s="391" t="inlineStr">
        <is>
          <t> </t>
        </is>
      </c>
      <c r="AM376" s="391" t="inlineStr">
        <is>
          <t> </t>
        </is>
      </c>
      <c r="AN376" s="391" t="inlineStr">
        <is>
          <t> </t>
        </is>
      </c>
      <c r="AO376" s="391" t="n"/>
      <c r="AP376" s="319" t="n"/>
      <c r="AQ376" s="319" t="n"/>
      <c r="AR376" s="319" t="n"/>
    </row>
    <row r="377" ht="15.75" customHeight="1" s="1264">
      <c r="A377" s="319" t="inlineStr">
        <is>
          <t> </t>
        </is>
      </c>
      <c r="B377" s="319" t="inlineStr">
        <is>
          <t> </t>
        </is>
      </c>
      <c r="C377" s="319" t="inlineStr">
        <is>
          <t> </t>
        </is>
      </c>
      <c r="D377" s="38" t="inlineStr">
        <is>
          <t> </t>
        </is>
      </c>
      <c r="E377" s="391" t="inlineStr">
        <is>
          <t> </t>
        </is>
      </c>
      <c r="F377" s="391" t="inlineStr">
        <is>
          <t> </t>
        </is>
      </c>
      <c r="G377" s="391" t="inlineStr">
        <is>
          <t> </t>
        </is>
      </c>
      <c r="H377" s="391" t="inlineStr">
        <is>
          <t> </t>
        </is>
      </c>
      <c r="I377" s="391" t="inlineStr">
        <is>
          <t> </t>
        </is>
      </c>
      <c r="J377" s="391" t="inlineStr">
        <is>
          <t> </t>
        </is>
      </c>
      <c r="K377" s="38" t="inlineStr">
        <is>
          <t> </t>
        </is>
      </c>
      <c r="L377" s="391" t="inlineStr">
        <is>
          <t> </t>
        </is>
      </c>
      <c r="M377" s="391" t="inlineStr">
        <is>
          <t> </t>
        </is>
      </c>
      <c r="N377" s="391" t="inlineStr">
        <is>
          <t> </t>
        </is>
      </c>
      <c r="O377" s="391" t="inlineStr">
        <is>
          <t> </t>
        </is>
      </c>
      <c r="P377" s="391" t="inlineStr">
        <is>
          <t> </t>
        </is>
      </c>
      <c r="Q377" s="391" t="inlineStr">
        <is>
          <t> </t>
        </is>
      </c>
      <c r="R377" s="38" t="inlineStr">
        <is>
          <t> </t>
        </is>
      </c>
      <c r="S377" s="391" t="inlineStr">
        <is>
          <t> </t>
        </is>
      </c>
      <c r="T377" s="391" t="inlineStr">
        <is>
          <t> </t>
        </is>
      </c>
      <c r="U377" s="391" t="inlineStr">
        <is>
          <t> </t>
        </is>
      </c>
      <c r="V377" s="391" t="inlineStr">
        <is>
          <t> </t>
        </is>
      </c>
      <c r="W377" s="391" t="inlineStr">
        <is>
          <t> </t>
        </is>
      </c>
      <c r="X377" s="391" t="inlineStr">
        <is>
          <t> </t>
        </is>
      </c>
      <c r="Y377" s="392" t="inlineStr">
        <is>
          <t> </t>
        </is>
      </c>
      <c r="Z377" s="391" t="inlineStr">
        <is>
          <t> </t>
        </is>
      </c>
      <c r="AA377" s="391" t="inlineStr">
        <is>
          <t> </t>
        </is>
      </c>
      <c r="AB377" s="391" t="inlineStr">
        <is>
          <t> </t>
        </is>
      </c>
      <c r="AC377" s="391" t="inlineStr">
        <is>
          <t> </t>
        </is>
      </c>
      <c r="AD377" s="391" t="inlineStr">
        <is>
          <t> </t>
        </is>
      </c>
      <c r="AE377" s="391" t="inlineStr">
        <is>
          <t> </t>
        </is>
      </c>
      <c r="AF377" s="38" t="inlineStr">
        <is>
          <t> </t>
        </is>
      </c>
      <c r="AG377" s="391" t="inlineStr">
        <is>
          <t> </t>
        </is>
      </c>
      <c r="AH377" s="391" t="n"/>
      <c r="AI377" s="391" t="inlineStr">
        <is>
          <t> </t>
        </is>
      </c>
      <c r="AJ377" s="391" t="inlineStr">
        <is>
          <t> </t>
        </is>
      </c>
      <c r="AK377" s="391" t="inlineStr">
        <is>
          <t> </t>
        </is>
      </c>
      <c r="AL377" s="391" t="inlineStr">
        <is>
          <t> </t>
        </is>
      </c>
      <c r="AM377" s="391" t="inlineStr">
        <is>
          <t> </t>
        </is>
      </c>
      <c r="AN377" s="391" t="inlineStr">
        <is>
          <t> </t>
        </is>
      </c>
      <c r="AO377" s="391" t="n"/>
      <c r="AP377" s="319" t="n"/>
      <c r="AQ377" s="319" t="n"/>
      <c r="AR377" s="319" t="n"/>
    </row>
    <row r="378" ht="15.75" customHeight="1" s="1264">
      <c r="A378" s="319" t="inlineStr">
        <is>
          <t> </t>
        </is>
      </c>
      <c r="B378" s="319" t="inlineStr">
        <is>
          <t> </t>
        </is>
      </c>
      <c r="C378" s="319" t="inlineStr">
        <is>
          <t> </t>
        </is>
      </c>
      <c r="D378" s="38" t="inlineStr">
        <is>
          <t> </t>
        </is>
      </c>
      <c r="E378" s="391" t="inlineStr">
        <is>
          <t> </t>
        </is>
      </c>
      <c r="F378" s="391" t="inlineStr">
        <is>
          <t> </t>
        </is>
      </c>
      <c r="G378" s="391" t="inlineStr">
        <is>
          <t> </t>
        </is>
      </c>
      <c r="H378" s="391" t="inlineStr">
        <is>
          <t> </t>
        </is>
      </c>
      <c r="I378" s="391" t="inlineStr">
        <is>
          <t> </t>
        </is>
      </c>
      <c r="J378" s="391" t="inlineStr">
        <is>
          <t> </t>
        </is>
      </c>
      <c r="K378" s="38" t="inlineStr">
        <is>
          <t> </t>
        </is>
      </c>
      <c r="L378" s="391" t="inlineStr">
        <is>
          <t> </t>
        </is>
      </c>
      <c r="M378" s="391" t="inlineStr">
        <is>
          <t> </t>
        </is>
      </c>
      <c r="N378" s="391" t="inlineStr">
        <is>
          <t> </t>
        </is>
      </c>
      <c r="O378" s="391" t="inlineStr">
        <is>
          <t> </t>
        </is>
      </c>
      <c r="P378" s="391" t="inlineStr">
        <is>
          <t> </t>
        </is>
      </c>
      <c r="Q378" s="391" t="inlineStr">
        <is>
          <t> </t>
        </is>
      </c>
      <c r="R378" s="38" t="inlineStr">
        <is>
          <t> </t>
        </is>
      </c>
      <c r="S378" s="391" t="inlineStr">
        <is>
          <t> </t>
        </is>
      </c>
      <c r="T378" s="391" t="inlineStr">
        <is>
          <t> </t>
        </is>
      </c>
      <c r="U378" s="391" t="inlineStr">
        <is>
          <t> </t>
        </is>
      </c>
      <c r="V378" s="391" t="inlineStr">
        <is>
          <t> </t>
        </is>
      </c>
      <c r="W378" s="391" t="inlineStr">
        <is>
          <t> </t>
        </is>
      </c>
      <c r="X378" s="391" t="inlineStr">
        <is>
          <t> </t>
        </is>
      </c>
      <c r="Y378" s="392" t="inlineStr">
        <is>
          <t> </t>
        </is>
      </c>
      <c r="Z378" s="391" t="inlineStr">
        <is>
          <t> </t>
        </is>
      </c>
      <c r="AA378" s="391" t="inlineStr">
        <is>
          <t> </t>
        </is>
      </c>
      <c r="AB378" s="391" t="inlineStr">
        <is>
          <t> </t>
        </is>
      </c>
      <c r="AC378" s="391" t="inlineStr">
        <is>
          <t> </t>
        </is>
      </c>
      <c r="AD378" s="391" t="inlineStr">
        <is>
          <t> </t>
        </is>
      </c>
      <c r="AE378" s="391" t="inlineStr">
        <is>
          <t> </t>
        </is>
      </c>
      <c r="AF378" s="38" t="inlineStr">
        <is>
          <t> </t>
        </is>
      </c>
      <c r="AG378" s="391" t="inlineStr">
        <is>
          <t> </t>
        </is>
      </c>
      <c r="AH378" s="391" t="n"/>
      <c r="AI378" s="391" t="inlineStr">
        <is>
          <t> </t>
        </is>
      </c>
      <c r="AJ378" s="391" t="inlineStr">
        <is>
          <t> </t>
        </is>
      </c>
      <c r="AK378" s="391" t="inlineStr">
        <is>
          <t> </t>
        </is>
      </c>
      <c r="AL378" s="391" t="inlineStr">
        <is>
          <t> </t>
        </is>
      </c>
      <c r="AM378" s="391" t="inlineStr">
        <is>
          <t> </t>
        </is>
      </c>
      <c r="AN378" s="391" t="inlineStr">
        <is>
          <t> </t>
        </is>
      </c>
      <c r="AO378" s="391" t="n"/>
      <c r="AP378" s="319" t="n"/>
      <c r="AQ378" s="319" t="n"/>
      <c r="AR378" s="319" t="n"/>
    </row>
    <row r="379" ht="15.75" customHeight="1" s="1264">
      <c r="A379" s="319" t="inlineStr">
        <is>
          <t> </t>
        </is>
      </c>
      <c r="B379" s="319" t="inlineStr">
        <is>
          <t> </t>
        </is>
      </c>
      <c r="C379" s="319" t="inlineStr">
        <is>
          <t> </t>
        </is>
      </c>
      <c r="D379" s="38" t="inlineStr">
        <is>
          <t> </t>
        </is>
      </c>
      <c r="E379" s="391" t="inlineStr">
        <is>
          <t> </t>
        </is>
      </c>
      <c r="F379" s="391" t="inlineStr">
        <is>
          <t> </t>
        </is>
      </c>
      <c r="G379" s="391" t="inlineStr">
        <is>
          <t> </t>
        </is>
      </c>
      <c r="H379" s="391" t="inlineStr">
        <is>
          <t> </t>
        </is>
      </c>
      <c r="I379" s="391" t="inlineStr">
        <is>
          <t> </t>
        </is>
      </c>
      <c r="J379" s="391" t="inlineStr">
        <is>
          <t> </t>
        </is>
      </c>
      <c r="K379" s="38" t="inlineStr">
        <is>
          <t> </t>
        </is>
      </c>
      <c r="L379" s="391" t="inlineStr">
        <is>
          <t> </t>
        </is>
      </c>
      <c r="M379" s="391" t="inlineStr">
        <is>
          <t> </t>
        </is>
      </c>
      <c r="N379" s="391" t="inlineStr">
        <is>
          <t> </t>
        </is>
      </c>
      <c r="O379" s="391" t="inlineStr">
        <is>
          <t> </t>
        </is>
      </c>
      <c r="P379" s="391" t="inlineStr">
        <is>
          <t> </t>
        </is>
      </c>
      <c r="Q379" s="391" t="inlineStr">
        <is>
          <t> </t>
        </is>
      </c>
      <c r="R379" s="38" t="inlineStr">
        <is>
          <t> </t>
        </is>
      </c>
      <c r="S379" s="391" t="inlineStr">
        <is>
          <t> </t>
        </is>
      </c>
      <c r="T379" s="391" t="inlineStr">
        <is>
          <t> </t>
        </is>
      </c>
      <c r="U379" s="391" t="inlineStr">
        <is>
          <t> </t>
        </is>
      </c>
      <c r="V379" s="391" t="inlineStr">
        <is>
          <t> </t>
        </is>
      </c>
      <c r="W379" s="391" t="inlineStr">
        <is>
          <t> </t>
        </is>
      </c>
      <c r="X379" s="391" t="inlineStr">
        <is>
          <t> </t>
        </is>
      </c>
      <c r="Y379" s="392" t="inlineStr">
        <is>
          <t> </t>
        </is>
      </c>
      <c r="Z379" s="391" t="inlineStr">
        <is>
          <t> </t>
        </is>
      </c>
      <c r="AA379" s="391" t="inlineStr">
        <is>
          <t> </t>
        </is>
      </c>
      <c r="AB379" s="391" t="inlineStr">
        <is>
          <t> </t>
        </is>
      </c>
      <c r="AC379" s="391" t="inlineStr">
        <is>
          <t> </t>
        </is>
      </c>
      <c r="AD379" s="391" t="inlineStr">
        <is>
          <t> </t>
        </is>
      </c>
      <c r="AE379" s="391" t="inlineStr">
        <is>
          <t> </t>
        </is>
      </c>
      <c r="AF379" s="38" t="inlineStr">
        <is>
          <t> </t>
        </is>
      </c>
      <c r="AG379" s="391" t="inlineStr">
        <is>
          <t> </t>
        </is>
      </c>
      <c r="AH379" s="391" t="n"/>
      <c r="AI379" s="391" t="inlineStr">
        <is>
          <t> </t>
        </is>
      </c>
      <c r="AJ379" s="391" t="inlineStr">
        <is>
          <t> </t>
        </is>
      </c>
      <c r="AK379" s="391" t="inlineStr">
        <is>
          <t> </t>
        </is>
      </c>
      <c r="AL379" s="391" t="inlineStr">
        <is>
          <t> </t>
        </is>
      </c>
      <c r="AM379" s="391" t="inlineStr">
        <is>
          <t> </t>
        </is>
      </c>
      <c r="AN379" s="391" t="inlineStr">
        <is>
          <t> </t>
        </is>
      </c>
      <c r="AO379" s="391" t="n"/>
      <c r="AP379" s="319" t="n"/>
      <c r="AQ379" s="319" t="n"/>
      <c r="AR379" s="319" t="n"/>
    </row>
    <row r="380" ht="15.75" customHeight="1" s="1264">
      <c r="A380" s="319" t="inlineStr">
        <is>
          <t> </t>
        </is>
      </c>
      <c r="B380" s="319" t="inlineStr">
        <is>
          <t> </t>
        </is>
      </c>
      <c r="C380" s="319" t="inlineStr">
        <is>
          <t> </t>
        </is>
      </c>
      <c r="D380" s="38" t="inlineStr">
        <is>
          <t> </t>
        </is>
      </c>
      <c r="E380" s="391" t="inlineStr">
        <is>
          <t> </t>
        </is>
      </c>
      <c r="F380" s="391" t="inlineStr">
        <is>
          <t> </t>
        </is>
      </c>
      <c r="G380" s="391" t="inlineStr">
        <is>
          <t> </t>
        </is>
      </c>
      <c r="H380" s="391" t="inlineStr">
        <is>
          <t> </t>
        </is>
      </c>
      <c r="I380" s="391" t="inlineStr">
        <is>
          <t> </t>
        </is>
      </c>
      <c r="J380" s="391" t="inlineStr">
        <is>
          <t> </t>
        </is>
      </c>
      <c r="K380" s="38" t="inlineStr">
        <is>
          <t> </t>
        </is>
      </c>
      <c r="L380" s="391" t="inlineStr">
        <is>
          <t> </t>
        </is>
      </c>
      <c r="M380" s="391" t="inlineStr">
        <is>
          <t> </t>
        </is>
      </c>
      <c r="N380" s="391" t="inlineStr">
        <is>
          <t> </t>
        </is>
      </c>
      <c r="O380" s="391" t="inlineStr">
        <is>
          <t> </t>
        </is>
      </c>
      <c r="P380" s="391" t="inlineStr">
        <is>
          <t> </t>
        </is>
      </c>
      <c r="Q380" s="391" t="inlineStr">
        <is>
          <t> </t>
        </is>
      </c>
      <c r="R380" s="38" t="inlineStr">
        <is>
          <t> </t>
        </is>
      </c>
      <c r="S380" s="391" t="inlineStr">
        <is>
          <t> </t>
        </is>
      </c>
      <c r="T380" s="391" t="inlineStr">
        <is>
          <t> </t>
        </is>
      </c>
      <c r="U380" s="391" t="inlineStr">
        <is>
          <t> </t>
        </is>
      </c>
      <c r="V380" s="391" t="inlineStr">
        <is>
          <t> </t>
        </is>
      </c>
      <c r="W380" s="391" t="inlineStr">
        <is>
          <t> </t>
        </is>
      </c>
      <c r="X380" s="391" t="inlineStr">
        <is>
          <t> </t>
        </is>
      </c>
      <c r="Y380" s="392" t="inlineStr">
        <is>
          <t> </t>
        </is>
      </c>
      <c r="Z380" s="391" t="inlineStr">
        <is>
          <t> </t>
        </is>
      </c>
      <c r="AA380" s="391" t="inlineStr">
        <is>
          <t> </t>
        </is>
      </c>
      <c r="AB380" s="391" t="inlineStr">
        <is>
          <t> </t>
        </is>
      </c>
      <c r="AC380" s="391" t="inlineStr">
        <is>
          <t> </t>
        </is>
      </c>
      <c r="AD380" s="391" t="inlineStr">
        <is>
          <t> </t>
        </is>
      </c>
      <c r="AE380" s="391" t="inlineStr">
        <is>
          <t> </t>
        </is>
      </c>
      <c r="AF380" s="38" t="inlineStr">
        <is>
          <t> </t>
        </is>
      </c>
      <c r="AG380" s="391" t="inlineStr">
        <is>
          <t> </t>
        </is>
      </c>
      <c r="AH380" s="391" t="n"/>
      <c r="AI380" s="391" t="inlineStr">
        <is>
          <t> </t>
        </is>
      </c>
      <c r="AJ380" s="391" t="inlineStr">
        <is>
          <t> </t>
        </is>
      </c>
      <c r="AK380" s="391" t="inlineStr">
        <is>
          <t> </t>
        </is>
      </c>
      <c r="AL380" s="391" t="inlineStr">
        <is>
          <t> </t>
        </is>
      </c>
      <c r="AM380" s="391" t="inlineStr">
        <is>
          <t> </t>
        </is>
      </c>
      <c r="AN380" s="391" t="inlineStr">
        <is>
          <t> </t>
        </is>
      </c>
      <c r="AO380" s="391" t="n"/>
      <c r="AP380" s="319" t="n"/>
      <c r="AQ380" s="319" t="n"/>
      <c r="AR380" s="319" t="n"/>
    </row>
    <row r="381" ht="15.75" customHeight="1" s="1264">
      <c r="A381" s="319" t="inlineStr">
        <is>
          <t> </t>
        </is>
      </c>
      <c r="B381" s="319" t="inlineStr">
        <is>
          <t> </t>
        </is>
      </c>
      <c r="C381" s="319" t="inlineStr">
        <is>
          <t> </t>
        </is>
      </c>
      <c r="D381" s="38" t="inlineStr">
        <is>
          <t> </t>
        </is>
      </c>
      <c r="E381" s="391" t="inlineStr">
        <is>
          <t> </t>
        </is>
      </c>
      <c r="F381" s="391" t="inlineStr">
        <is>
          <t> </t>
        </is>
      </c>
      <c r="G381" s="391" t="inlineStr">
        <is>
          <t> </t>
        </is>
      </c>
      <c r="H381" s="391" t="inlineStr">
        <is>
          <t> </t>
        </is>
      </c>
      <c r="I381" s="391" t="inlineStr">
        <is>
          <t> </t>
        </is>
      </c>
      <c r="J381" s="391" t="inlineStr">
        <is>
          <t> </t>
        </is>
      </c>
      <c r="K381" s="38" t="inlineStr">
        <is>
          <t> </t>
        </is>
      </c>
      <c r="L381" s="391" t="inlineStr">
        <is>
          <t> </t>
        </is>
      </c>
      <c r="M381" s="391" t="inlineStr">
        <is>
          <t> </t>
        </is>
      </c>
      <c r="N381" s="391" t="inlineStr">
        <is>
          <t> </t>
        </is>
      </c>
      <c r="O381" s="391" t="inlineStr">
        <is>
          <t> </t>
        </is>
      </c>
      <c r="P381" s="391" t="inlineStr">
        <is>
          <t> </t>
        </is>
      </c>
      <c r="Q381" s="391" t="inlineStr">
        <is>
          <t> </t>
        </is>
      </c>
      <c r="R381" s="38" t="inlineStr">
        <is>
          <t> </t>
        </is>
      </c>
      <c r="S381" s="391" t="inlineStr">
        <is>
          <t> </t>
        </is>
      </c>
      <c r="T381" s="391" t="inlineStr">
        <is>
          <t> </t>
        </is>
      </c>
      <c r="U381" s="391" t="inlineStr">
        <is>
          <t> </t>
        </is>
      </c>
      <c r="V381" s="391" t="inlineStr">
        <is>
          <t> </t>
        </is>
      </c>
      <c r="W381" s="391" t="inlineStr">
        <is>
          <t> </t>
        </is>
      </c>
      <c r="X381" s="391" t="inlineStr">
        <is>
          <t> </t>
        </is>
      </c>
      <c r="Y381" s="392" t="inlineStr">
        <is>
          <t> </t>
        </is>
      </c>
      <c r="Z381" s="391" t="inlineStr">
        <is>
          <t> </t>
        </is>
      </c>
      <c r="AA381" s="391" t="inlineStr">
        <is>
          <t> </t>
        </is>
      </c>
      <c r="AB381" s="391" t="inlineStr">
        <is>
          <t> </t>
        </is>
      </c>
      <c r="AC381" s="391" t="inlineStr">
        <is>
          <t> </t>
        </is>
      </c>
      <c r="AD381" s="391" t="inlineStr">
        <is>
          <t> </t>
        </is>
      </c>
      <c r="AE381" s="391" t="inlineStr">
        <is>
          <t> </t>
        </is>
      </c>
      <c r="AF381" s="38" t="inlineStr">
        <is>
          <t> </t>
        </is>
      </c>
      <c r="AG381" s="391" t="inlineStr">
        <is>
          <t> </t>
        </is>
      </c>
      <c r="AH381" s="391" t="n"/>
      <c r="AI381" s="391" t="inlineStr">
        <is>
          <t> </t>
        </is>
      </c>
      <c r="AJ381" s="391" t="inlineStr">
        <is>
          <t> </t>
        </is>
      </c>
      <c r="AK381" s="391" t="inlineStr">
        <is>
          <t> </t>
        </is>
      </c>
      <c r="AL381" s="391" t="inlineStr">
        <is>
          <t> </t>
        </is>
      </c>
      <c r="AM381" s="391" t="inlineStr">
        <is>
          <t> </t>
        </is>
      </c>
      <c r="AN381" s="391" t="inlineStr">
        <is>
          <t> </t>
        </is>
      </c>
      <c r="AO381" s="391" t="n"/>
      <c r="AP381" s="319" t="n"/>
      <c r="AQ381" s="319" t="n"/>
      <c r="AR381" s="319" t="n"/>
    </row>
    <row r="382" ht="15.75" customHeight="1" s="1264">
      <c r="A382" s="319" t="inlineStr">
        <is>
          <t> </t>
        </is>
      </c>
      <c r="B382" s="319" t="inlineStr">
        <is>
          <t> </t>
        </is>
      </c>
      <c r="C382" s="319" t="inlineStr">
        <is>
          <t> </t>
        </is>
      </c>
      <c r="D382" s="38" t="inlineStr">
        <is>
          <t> </t>
        </is>
      </c>
      <c r="E382" s="391" t="inlineStr">
        <is>
          <t> </t>
        </is>
      </c>
      <c r="F382" s="391" t="inlineStr">
        <is>
          <t> </t>
        </is>
      </c>
      <c r="G382" s="391" t="inlineStr">
        <is>
          <t> </t>
        </is>
      </c>
      <c r="H382" s="391" t="inlineStr">
        <is>
          <t> </t>
        </is>
      </c>
      <c r="I382" s="391" t="inlineStr">
        <is>
          <t> </t>
        </is>
      </c>
      <c r="J382" s="391" t="inlineStr">
        <is>
          <t> </t>
        </is>
      </c>
      <c r="K382" s="38" t="inlineStr">
        <is>
          <t> </t>
        </is>
      </c>
      <c r="L382" s="391" t="inlineStr">
        <is>
          <t> </t>
        </is>
      </c>
      <c r="M382" s="391" t="inlineStr">
        <is>
          <t> </t>
        </is>
      </c>
      <c r="N382" s="391" t="inlineStr">
        <is>
          <t> </t>
        </is>
      </c>
      <c r="O382" s="391" t="inlineStr">
        <is>
          <t> </t>
        </is>
      </c>
      <c r="P382" s="391" t="inlineStr">
        <is>
          <t> </t>
        </is>
      </c>
      <c r="Q382" s="391" t="inlineStr">
        <is>
          <t> </t>
        </is>
      </c>
      <c r="R382" s="38" t="inlineStr">
        <is>
          <t> </t>
        </is>
      </c>
      <c r="S382" s="391" t="inlineStr">
        <is>
          <t> </t>
        </is>
      </c>
      <c r="T382" s="391" t="inlineStr">
        <is>
          <t> </t>
        </is>
      </c>
      <c r="U382" s="391" t="inlineStr">
        <is>
          <t> </t>
        </is>
      </c>
      <c r="V382" s="391" t="inlineStr">
        <is>
          <t> </t>
        </is>
      </c>
      <c r="W382" s="391" t="inlineStr">
        <is>
          <t> </t>
        </is>
      </c>
      <c r="X382" s="391" t="inlineStr">
        <is>
          <t> </t>
        </is>
      </c>
      <c r="Y382" s="392" t="inlineStr">
        <is>
          <t> </t>
        </is>
      </c>
      <c r="Z382" s="391" t="inlineStr">
        <is>
          <t> </t>
        </is>
      </c>
      <c r="AA382" s="391" t="inlineStr">
        <is>
          <t> </t>
        </is>
      </c>
      <c r="AB382" s="391" t="inlineStr">
        <is>
          <t> </t>
        </is>
      </c>
      <c r="AC382" s="391" t="inlineStr">
        <is>
          <t> </t>
        </is>
      </c>
      <c r="AD382" s="391" t="inlineStr">
        <is>
          <t> </t>
        </is>
      </c>
      <c r="AE382" s="391" t="inlineStr">
        <is>
          <t> </t>
        </is>
      </c>
      <c r="AF382" s="38" t="inlineStr">
        <is>
          <t> </t>
        </is>
      </c>
      <c r="AG382" s="391" t="inlineStr">
        <is>
          <t> </t>
        </is>
      </c>
      <c r="AH382" s="391" t="n"/>
      <c r="AI382" s="391" t="inlineStr">
        <is>
          <t> </t>
        </is>
      </c>
      <c r="AJ382" s="391" t="inlineStr">
        <is>
          <t> </t>
        </is>
      </c>
      <c r="AK382" s="391" t="inlineStr">
        <is>
          <t> </t>
        </is>
      </c>
      <c r="AL382" s="391" t="inlineStr">
        <is>
          <t> </t>
        </is>
      </c>
      <c r="AM382" s="391" t="inlineStr">
        <is>
          <t> </t>
        </is>
      </c>
      <c r="AN382" s="391" t="inlineStr">
        <is>
          <t> </t>
        </is>
      </c>
      <c r="AO382" s="391" t="n"/>
      <c r="AP382" s="319" t="n"/>
      <c r="AQ382" s="319" t="n"/>
      <c r="AR382" s="319" t="n"/>
    </row>
    <row r="383" ht="15.75" customHeight="1" s="1264">
      <c r="A383" s="319" t="inlineStr">
        <is>
          <t> </t>
        </is>
      </c>
      <c r="B383" s="319" t="inlineStr">
        <is>
          <t> </t>
        </is>
      </c>
      <c r="C383" s="319" t="inlineStr">
        <is>
          <t> </t>
        </is>
      </c>
      <c r="D383" s="38" t="inlineStr">
        <is>
          <t> </t>
        </is>
      </c>
      <c r="E383" s="391" t="inlineStr">
        <is>
          <t> </t>
        </is>
      </c>
      <c r="F383" s="391" t="inlineStr">
        <is>
          <t> </t>
        </is>
      </c>
      <c r="G383" s="391" t="inlineStr">
        <is>
          <t> </t>
        </is>
      </c>
      <c r="H383" s="391" t="inlineStr">
        <is>
          <t> </t>
        </is>
      </c>
      <c r="I383" s="391" t="inlineStr">
        <is>
          <t> </t>
        </is>
      </c>
      <c r="J383" s="391" t="inlineStr">
        <is>
          <t> </t>
        </is>
      </c>
      <c r="K383" s="38" t="inlineStr">
        <is>
          <t> </t>
        </is>
      </c>
      <c r="L383" s="391" t="inlineStr">
        <is>
          <t> </t>
        </is>
      </c>
      <c r="M383" s="391" t="inlineStr">
        <is>
          <t> </t>
        </is>
      </c>
      <c r="N383" s="391" t="inlineStr">
        <is>
          <t> </t>
        </is>
      </c>
      <c r="O383" s="391" t="inlineStr">
        <is>
          <t> </t>
        </is>
      </c>
      <c r="P383" s="391" t="inlineStr">
        <is>
          <t> </t>
        </is>
      </c>
      <c r="Q383" s="391" t="inlineStr">
        <is>
          <t> </t>
        </is>
      </c>
      <c r="R383" s="38" t="inlineStr">
        <is>
          <t> </t>
        </is>
      </c>
      <c r="S383" s="391" t="inlineStr">
        <is>
          <t> </t>
        </is>
      </c>
      <c r="T383" s="391" t="inlineStr">
        <is>
          <t> </t>
        </is>
      </c>
      <c r="U383" s="391" t="inlineStr">
        <is>
          <t> </t>
        </is>
      </c>
      <c r="V383" s="391" t="inlineStr">
        <is>
          <t> </t>
        </is>
      </c>
      <c r="W383" s="391" t="inlineStr">
        <is>
          <t> </t>
        </is>
      </c>
      <c r="X383" s="391" t="inlineStr">
        <is>
          <t> </t>
        </is>
      </c>
      <c r="Y383" s="392" t="inlineStr">
        <is>
          <t> </t>
        </is>
      </c>
      <c r="Z383" s="391" t="inlineStr">
        <is>
          <t> </t>
        </is>
      </c>
      <c r="AA383" s="391" t="inlineStr">
        <is>
          <t> </t>
        </is>
      </c>
      <c r="AB383" s="391" t="inlineStr">
        <is>
          <t> </t>
        </is>
      </c>
      <c r="AC383" s="391" t="inlineStr">
        <is>
          <t> </t>
        </is>
      </c>
      <c r="AD383" s="391" t="inlineStr">
        <is>
          <t> </t>
        </is>
      </c>
      <c r="AE383" s="391" t="inlineStr">
        <is>
          <t> </t>
        </is>
      </c>
      <c r="AF383" s="38" t="inlineStr">
        <is>
          <t> </t>
        </is>
      </c>
      <c r="AG383" s="391" t="inlineStr">
        <is>
          <t> </t>
        </is>
      </c>
      <c r="AH383" s="391" t="n"/>
      <c r="AI383" s="391" t="inlineStr">
        <is>
          <t> </t>
        </is>
      </c>
      <c r="AJ383" s="391" t="inlineStr">
        <is>
          <t> </t>
        </is>
      </c>
      <c r="AK383" s="391" t="inlineStr">
        <is>
          <t> </t>
        </is>
      </c>
      <c r="AL383" s="391" t="inlineStr">
        <is>
          <t> </t>
        </is>
      </c>
      <c r="AM383" s="391" t="inlineStr">
        <is>
          <t> </t>
        </is>
      </c>
      <c r="AN383" s="391" t="inlineStr">
        <is>
          <t> </t>
        </is>
      </c>
      <c r="AO383" s="391" t="n"/>
      <c r="AP383" s="319" t="n"/>
      <c r="AQ383" s="319" t="n"/>
      <c r="AR383" s="319" t="n"/>
    </row>
    <row r="384" ht="15.75" customHeight="1" s="1264">
      <c r="A384" s="319" t="inlineStr">
        <is>
          <t> </t>
        </is>
      </c>
      <c r="B384" s="319" t="inlineStr">
        <is>
          <t> </t>
        </is>
      </c>
      <c r="C384" s="319" t="inlineStr">
        <is>
          <t> </t>
        </is>
      </c>
      <c r="D384" s="38" t="inlineStr">
        <is>
          <t> </t>
        </is>
      </c>
      <c r="E384" s="391" t="inlineStr">
        <is>
          <t> </t>
        </is>
      </c>
      <c r="F384" s="391" t="inlineStr">
        <is>
          <t> </t>
        </is>
      </c>
      <c r="G384" s="391" t="inlineStr">
        <is>
          <t> </t>
        </is>
      </c>
      <c r="H384" s="391" t="inlineStr">
        <is>
          <t> </t>
        </is>
      </c>
      <c r="I384" s="391" t="inlineStr">
        <is>
          <t> </t>
        </is>
      </c>
      <c r="J384" s="391" t="inlineStr">
        <is>
          <t> </t>
        </is>
      </c>
      <c r="K384" s="38" t="inlineStr">
        <is>
          <t> </t>
        </is>
      </c>
      <c r="L384" s="391" t="inlineStr">
        <is>
          <t> </t>
        </is>
      </c>
      <c r="M384" s="391" t="inlineStr">
        <is>
          <t> </t>
        </is>
      </c>
      <c r="N384" s="391" t="inlineStr">
        <is>
          <t> </t>
        </is>
      </c>
      <c r="O384" s="391" t="inlineStr">
        <is>
          <t> </t>
        </is>
      </c>
      <c r="P384" s="391" t="inlineStr">
        <is>
          <t> </t>
        </is>
      </c>
      <c r="Q384" s="391" t="inlineStr">
        <is>
          <t> </t>
        </is>
      </c>
      <c r="R384" s="38" t="inlineStr">
        <is>
          <t> </t>
        </is>
      </c>
      <c r="S384" s="391" t="inlineStr">
        <is>
          <t> </t>
        </is>
      </c>
      <c r="T384" s="391" t="inlineStr">
        <is>
          <t> </t>
        </is>
      </c>
      <c r="U384" s="391" t="inlineStr">
        <is>
          <t> </t>
        </is>
      </c>
      <c r="V384" s="391" t="inlineStr">
        <is>
          <t> </t>
        </is>
      </c>
      <c r="W384" s="391" t="inlineStr">
        <is>
          <t> </t>
        </is>
      </c>
      <c r="X384" s="391" t="inlineStr">
        <is>
          <t> </t>
        </is>
      </c>
      <c r="Y384" s="392" t="inlineStr">
        <is>
          <t> </t>
        </is>
      </c>
      <c r="Z384" s="391" t="inlineStr">
        <is>
          <t> </t>
        </is>
      </c>
      <c r="AA384" s="391" t="inlineStr">
        <is>
          <t> </t>
        </is>
      </c>
      <c r="AB384" s="391" t="inlineStr">
        <is>
          <t> </t>
        </is>
      </c>
      <c r="AC384" s="391" t="inlineStr">
        <is>
          <t> </t>
        </is>
      </c>
      <c r="AD384" s="391" t="inlineStr">
        <is>
          <t> </t>
        </is>
      </c>
      <c r="AE384" s="391" t="inlineStr">
        <is>
          <t> </t>
        </is>
      </c>
      <c r="AF384" s="38" t="inlineStr">
        <is>
          <t> </t>
        </is>
      </c>
      <c r="AG384" s="391" t="inlineStr">
        <is>
          <t> </t>
        </is>
      </c>
      <c r="AH384" s="391" t="n"/>
      <c r="AI384" s="391" t="inlineStr">
        <is>
          <t> </t>
        </is>
      </c>
      <c r="AJ384" s="391" t="inlineStr">
        <is>
          <t> </t>
        </is>
      </c>
      <c r="AK384" s="391" t="inlineStr">
        <is>
          <t> </t>
        </is>
      </c>
      <c r="AL384" s="391" t="inlineStr">
        <is>
          <t> </t>
        </is>
      </c>
      <c r="AM384" s="391" t="inlineStr">
        <is>
          <t> </t>
        </is>
      </c>
      <c r="AN384" s="391" t="inlineStr">
        <is>
          <t> </t>
        </is>
      </c>
      <c r="AO384" s="391" t="n"/>
      <c r="AP384" s="319" t="n"/>
      <c r="AQ384" s="319" t="n"/>
      <c r="AR384" s="319" t="n"/>
    </row>
    <row r="385" ht="15.75" customHeight="1" s="1264">
      <c r="A385" s="319" t="inlineStr">
        <is>
          <t> </t>
        </is>
      </c>
      <c r="B385" s="319" t="inlineStr">
        <is>
          <t> </t>
        </is>
      </c>
      <c r="C385" s="319" t="inlineStr">
        <is>
          <t> </t>
        </is>
      </c>
      <c r="D385" s="38" t="inlineStr">
        <is>
          <t> </t>
        </is>
      </c>
      <c r="E385" s="391" t="inlineStr">
        <is>
          <t> </t>
        </is>
      </c>
      <c r="F385" s="391" t="inlineStr">
        <is>
          <t> </t>
        </is>
      </c>
      <c r="G385" s="391" t="inlineStr">
        <is>
          <t> </t>
        </is>
      </c>
      <c r="H385" s="391" t="inlineStr">
        <is>
          <t> </t>
        </is>
      </c>
      <c r="I385" s="391" t="inlineStr">
        <is>
          <t> </t>
        </is>
      </c>
      <c r="J385" s="391" t="inlineStr">
        <is>
          <t> </t>
        </is>
      </c>
      <c r="K385" s="38" t="inlineStr">
        <is>
          <t> </t>
        </is>
      </c>
      <c r="L385" s="391" t="inlineStr">
        <is>
          <t> </t>
        </is>
      </c>
      <c r="M385" s="391" t="inlineStr">
        <is>
          <t> </t>
        </is>
      </c>
      <c r="N385" s="391" t="inlineStr">
        <is>
          <t> </t>
        </is>
      </c>
      <c r="O385" s="391" t="inlineStr">
        <is>
          <t> </t>
        </is>
      </c>
      <c r="P385" s="391" t="inlineStr">
        <is>
          <t> </t>
        </is>
      </c>
      <c r="Q385" s="391" t="inlineStr">
        <is>
          <t> </t>
        </is>
      </c>
      <c r="R385" s="38" t="inlineStr">
        <is>
          <t> </t>
        </is>
      </c>
      <c r="S385" s="391" t="inlineStr">
        <is>
          <t> </t>
        </is>
      </c>
      <c r="T385" s="391" t="inlineStr">
        <is>
          <t> </t>
        </is>
      </c>
      <c r="U385" s="391" t="inlineStr">
        <is>
          <t> </t>
        </is>
      </c>
      <c r="V385" s="391" t="inlineStr">
        <is>
          <t> </t>
        </is>
      </c>
      <c r="W385" s="391" t="inlineStr">
        <is>
          <t> </t>
        </is>
      </c>
      <c r="X385" s="391" t="inlineStr">
        <is>
          <t> </t>
        </is>
      </c>
      <c r="Y385" s="392" t="inlineStr">
        <is>
          <t> </t>
        </is>
      </c>
      <c r="Z385" s="391" t="inlineStr">
        <is>
          <t> </t>
        </is>
      </c>
      <c r="AA385" s="391" t="inlineStr">
        <is>
          <t> </t>
        </is>
      </c>
      <c r="AB385" s="391" t="inlineStr">
        <is>
          <t> </t>
        </is>
      </c>
      <c r="AC385" s="391" t="inlineStr">
        <is>
          <t> </t>
        </is>
      </c>
      <c r="AD385" s="391" t="inlineStr">
        <is>
          <t> </t>
        </is>
      </c>
      <c r="AE385" s="391" t="inlineStr">
        <is>
          <t> </t>
        </is>
      </c>
      <c r="AF385" s="38" t="inlineStr">
        <is>
          <t> </t>
        </is>
      </c>
      <c r="AG385" s="391" t="inlineStr">
        <is>
          <t> </t>
        </is>
      </c>
      <c r="AH385" s="391" t="n"/>
      <c r="AI385" s="391" t="inlineStr">
        <is>
          <t> </t>
        </is>
      </c>
      <c r="AJ385" s="391" t="inlineStr">
        <is>
          <t> </t>
        </is>
      </c>
      <c r="AK385" s="391" t="inlineStr">
        <is>
          <t> </t>
        </is>
      </c>
      <c r="AL385" s="391" t="inlineStr">
        <is>
          <t> </t>
        </is>
      </c>
      <c r="AM385" s="391" t="inlineStr">
        <is>
          <t> </t>
        </is>
      </c>
      <c r="AN385" s="391" t="inlineStr">
        <is>
          <t> </t>
        </is>
      </c>
      <c r="AO385" s="391" t="n"/>
      <c r="AP385" s="319" t="n"/>
      <c r="AQ385" s="319" t="n"/>
      <c r="AR385" s="319" t="n"/>
    </row>
    <row r="386" ht="15.75" customHeight="1" s="1264">
      <c r="A386" s="319" t="inlineStr">
        <is>
          <t> </t>
        </is>
      </c>
      <c r="B386" s="319" t="inlineStr">
        <is>
          <t> </t>
        </is>
      </c>
      <c r="C386" s="319" t="inlineStr">
        <is>
          <t> </t>
        </is>
      </c>
      <c r="D386" s="38" t="inlineStr">
        <is>
          <t> </t>
        </is>
      </c>
      <c r="E386" s="391" t="inlineStr">
        <is>
          <t> </t>
        </is>
      </c>
      <c r="F386" s="391" t="inlineStr">
        <is>
          <t> </t>
        </is>
      </c>
      <c r="G386" s="391" t="inlineStr">
        <is>
          <t> </t>
        </is>
      </c>
      <c r="H386" s="391" t="inlineStr">
        <is>
          <t> </t>
        </is>
      </c>
      <c r="I386" s="391" t="inlineStr">
        <is>
          <t> </t>
        </is>
      </c>
      <c r="J386" s="391" t="inlineStr">
        <is>
          <t> </t>
        </is>
      </c>
      <c r="K386" s="38" t="inlineStr">
        <is>
          <t> </t>
        </is>
      </c>
      <c r="L386" s="391" t="inlineStr">
        <is>
          <t> </t>
        </is>
      </c>
      <c r="M386" s="391" t="inlineStr">
        <is>
          <t> </t>
        </is>
      </c>
      <c r="N386" s="391" t="inlineStr">
        <is>
          <t> </t>
        </is>
      </c>
      <c r="O386" s="391" t="inlineStr">
        <is>
          <t> </t>
        </is>
      </c>
      <c r="P386" s="391" t="inlineStr">
        <is>
          <t> </t>
        </is>
      </c>
      <c r="Q386" s="391" t="inlineStr">
        <is>
          <t> </t>
        </is>
      </c>
      <c r="R386" s="38" t="inlineStr">
        <is>
          <t> </t>
        </is>
      </c>
      <c r="S386" s="391" t="inlineStr">
        <is>
          <t> </t>
        </is>
      </c>
      <c r="T386" s="391" t="inlineStr">
        <is>
          <t> </t>
        </is>
      </c>
      <c r="U386" s="391" t="inlineStr">
        <is>
          <t> </t>
        </is>
      </c>
      <c r="V386" s="391" t="inlineStr">
        <is>
          <t> </t>
        </is>
      </c>
      <c r="W386" s="391" t="inlineStr">
        <is>
          <t> </t>
        </is>
      </c>
      <c r="X386" s="391" t="inlineStr">
        <is>
          <t> </t>
        </is>
      </c>
      <c r="Y386" s="392" t="inlineStr">
        <is>
          <t> </t>
        </is>
      </c>
      <c r="Z386" s="391" t="inlineStr">
        <is>
          <t> </t>
        </is>
      </c>
      <c r="AA386" s="391" t="inlineStr">
        <is>
          <t> </t>
        </is>
      </c>
      <c r="AB386" s="391" t="inlineStr">
        <is>
          <t> </t>
        </is>
      </c>
      <c r="AC386" s="391" t="inlineStr">
        <is>
          <t> </t>
        </is>
      </c>
      <c r="AD386" s="391" t="inlineStr">
        <is>
          <t> </t>
        </is>
      </c>
      <c r="AE386" s="391" t="inlineStr">
        <is>
          <t> </t>
        </is>
      </c>
      <c r="AF386" s="38" t="inlineStr">
        <is>
          <t> </t>
        </is>
      </c>
      <c r="AG386" s="391" t="inlineStr">
        <is>
          <t> </t>
        </is>
      </c>
      <c r="AH386" s="391" t="n"/>
      <c r="AI386" s="391" t="inlineStr">
        <is>
          <t> </t>
        </is>
      </c>
      <c r="AJ386" s="391" t="inlineStr">
        <is>
          <t> </t>
        </is>
      </c>
      <c r="AK386" s="391" t="inlineStr">
        <is>
          <t> </t>
        </is>
      </c>
      <c r="AL386" s="391" t="inlineStr">
        <is>
          <t> </t>
        </is>
      </c>
      <c r="AM386" s="391" t="inlineStr">
        <is>
          <t> </t>
        </is>
      </c>
      <c r="AN386" s="391" t="inlineStr">
        <is>
          <t> </t>
        </is>
      </c>
      <c r="AO386" s="391" t="n"/>
      <c r="AP386" s="319" t="n"/>
      <c r="AQ386" s="319" t="n"/>
      <c r="AR386" s="319" t="n"/>
    </row>
    <row r="387" ht="15.75" customHeight="1" s="1264">
      <c r="A387" s="319" t="inlineStr">
        <is>
          <t> </t>
        </is>
      </c>
      <c r="B387" s="319" t="inlineStr">
        <is>
          <t> </t>
        </is>
      </c>
      <c r="C387" s="319" t="inlineStr">
        <is>
          <t> </t>
        </is>
      </c>
      <c r="D387" s="38" t="inlineStr">
        <is>
          <t> </t>
        </is>
      </c>
      <c r="E387" s="391" t="inlineStr">
        <is>
          <t> </t>
        </is>
      </c>
      <c r="F387" s="391" t="inlineStr">
        <is>
          <t> </t>
        </is>
      </c>
      <c r="G387" s="391" t="inlineStr">
        <is>
          <t> </t>
        </is>
      </c>
      <c r="H387" s="391" t="inlineStr">
        <is>
          <t> </t>
        </is>
      </c>
      <c r="I387" s="391" t="inlineStr">
        <is>
          <t> </t>
        </is>
      </c>
      <c r="J387" s="391" t="inlineStr">
        <is>
          <t> </t>
        </is>
      </c>
      <c r="K387" s="38" t="inlineStr">
        <is>
          <t> </t>
        </is>
      </c>
      <c r="L387" s="391" t="inlineStr">
        <is>
          <t> </t>
        </is>
      </c>
      <c r="M387" s="391" t="inlineStr">
        <is>
          <t> </t>
        </is>
      </c>
      <c r="N387" s="391" t="inlineStr">
        <is>
          <t> </t>
        </is>
      </c>
      <c r="O387" s="391" t="inlineStr">
        <is>
          <t> </t>
        </is>
      </c>
      <c r="P387" s="391" t="inlineStr">
        <is>
          <t> </t>
        </is>
      </c>
      <c r="Q387" s="391" t="inlineStr">
        <is>
          <t> </t>
        </is>
      </c>
      <c r="R387" s="38" t="inlineStr">
        <is>
          <t> </t>
        </is>
      </c>
      <c r="S387" s="391" t="inlineStr">
        <is>
          <t> </t>
        </is>
      </c>
      <c r="T387" s="391" t="inlineStr">
        <is>
          <t> </t>
        </is>
      </c>
      <c r="U387" s="391" t="inlineStr">
        <is>
          <t> </t>
        </is>
      </c>
      <c r="V387" s="391" t="inlineStr">
        <is>
          <t> </t>
        </is>
      </c>
      <c r="W387" s="391" t="inlineStr">
        <is>
          <t> </t>
        </is>
      </c>
      <c r="X387" s="391" t="inlineStr">
        <is>
          <t> </t>
        </is>
      </c>
      <c r="Y387" s="392" t="inlineStr">
        <is>
          <t> </t>
        </is>
      </c>
      <c r="Z387" s="391" t="inlineStr">
        <is>
          <t> </t>
        </is>
      </c>
      <c r="AA387" s="391" t="inlineStr">
        <is>
          <t> </t>
        </is>
      </c>
      <c r="AB387" s="391" t="inlineStr">
        <is>
          <t> </t>
        </is>
      </c>
      <c r="AC387" s="391" t="inlineStr">
        <is>
          <t> </t>
        </is>
      </c>
      <c r="AD387" s="391" t="inlineStr">
        <is>
          <t> </t>
        </is>
      </c>
      <c r="AE387" s="391" t="inlineStr">
        <is>
          <t> </t>
        </is>
      </c>
      <c r="AF387" s="38" t="inlineStr">
        <is>
          <t> </t>
        </is>
      </c>
      <c r="AG387" s="391" t="inlineStr">
        <is>
          <t> </t>
        </is>
      </c>
      <c r="AH387" s="391" t="n"/>
      <c r="AI387" s="391" t="inlineStr">
        <is>
          <t> </t>
        </is>
      </c>
      <c r="AJ387" s="391" t="inlineStr">
        <is>
          <t> </t>
        </is>
      </c>
      <c r="AK387" s="391" t="inlineStr">
        <is>
          <t> </t>
        </is>
      </c>
      <c r="AL387" s="391" t="inlineStr">
        <is>
          <t> </t>
        </is>
      </c>
      <c r="AM387" s="391" t="inlineStr">
        <is>
          <t> </t>
        </is>
      </c>
      <c r="AN387" s="391" t="inlineStr">
        <is>
          <t> </t>
        </is>
      </c>
      <c r="AO387" s="391" t="n"/>
      <c r="AP387" s="319" t="n"/>
      <c r="AQ387" s="319" t="n"/>
      <c r="AR387" s="319" t="n"/>
    </row>
    <row r="388" ht="15.75" customHeight="1" s="1264">
      <c r="A388" s="319" t="inlineStr">
        <is>
          <t> </t>
        </is>
      </c>
      <c r="B388" s="319" t="inlineStr">
        <is>
          <t> </t>
        </is>
      </c>
      <c r="C388" s="319" t="inlineStr">
        <is>
          <t> </t>
        </is>
      </c>
      <c r="D388" s="38" t="inlineStr">
        <is>
          <t> </t>
        </is>
      </c>
      <c r="E388" s="391" t="inlineStr">
        <is>
          <t> </t>
        </is>
      </c>
      <c r="F388" s="391" t="inlineStr">
        <is>
          <t> </t>
        </is>
      </c>
      <c r="G388" s="391" t="inlineStr">
        <is>
          <t> </t>
        </is>
      </c>
      <c r="H388" s="391" t="inlineStr">
        <is>
          <t> </t>
        </is>
      </c>
      <c r="I388" s="391" t="inlineStr">
        <is>
          <t> </t>
        </is>
      </c>
      <c r="J388" s="391" t="inlineStr">
        <is>
          <t> </t>
        </is>
      </c>
      <c r="K388" s="38" t="inlineStr">
        <is>
          <t> </t>
        </is>
      </c>
      <c r="L388" s="391" t="inlineStr">
        <is>
          <t> </t>
        </is>
      </c>
      <c r="M388" s="391" t="inlineStr">
        <is>
          <t> </t>
        </is>
      </c>
      <c r="N388" s="391" t="inlineStr">
        <is>
          <t> </t>
        </is>
      </c>
      <c r="O388" s="391" t="inlineStr">
        <is>
          <t> </t>
        </is>
      </c>
      <c r="P388" s="391" t="inlineStr">
        <is>
          <t> </t>
        </is>
      </c>
      <c r="Q388" s="391" t="inlineStr">
        <is>
          <t> </t>
        </is>
      </c>
      <c r="R388" s="38" t="inlineStr">
        <is>
          <t> </t>
        </is>
      </c>
      <c r="S388" s="391" t="inlineStr">
        <is>
          <t> </t>
        </is>
      </c>
      <c r="T388" s="391" t="inlineStr">
        <is>
          <t> </t>
        </is>
      </c>
      <c r="U388" s="391" t="inlineStr">
        <is>
          <t> </t>
        </is>
      </c>
      <c r="V388" s="391" t="inlineStr">
        <is>
          <t> </t>
        </is>
      </c>
      <c r="W388" s="391" t="inlineStr">
        <is>
          <t> </t>
        </is>
      </c>
      <c r="X388" s="391" t="inlineStr">
        <is>
          <t> </t>
        </is>
      </c>
      <c r="Y388" s="392" t="inlineStr">
        <is>
          <t> </t>
        </is>
      </c>
      <c r="Z388" s="391" t="inlineStr">
        <is>
          <t> </t>
        </is>
      </c>
      <c r="AA388" s="391" t="inlineStr">
        <is>
          <t> </t>
        </is>
      </c>
      <c r="AB388" s="391" t="inlineStr">
        <is>
          <t> </t>
        </is>
      </c>
      <c r="AC388" s="391" t="inlineStr">
        <is>
          <t> </t>
        </is>
      </c>
      <c r="AD388" s="391" t="inlineStr">
        <is>
          <t> </t>
        </is>
      </c>
      <c r="AE388" s="391" t="inlineStr">
        <is>
          <t> </t>
        </is>
      </c>
      <c r="AF388" s="38" t="inlineStr">
        <is>
          <t> </t>
        </is>
      </c>
      <c r="AG388" s="391" t="inlineStr">
        <is>
          <t> </t>
        </is>
      </c>
      <c r="AH388" s="391" t="n"/>
      <c r="AI388" s="391" t="inlineStr">
        <is>
          <t> </t>
        </is>
      </c>
      <c r="AJ388" s="391" t="inlineStr">
        <is>
          <t> </t>
        </is>
      </c>
      <c r="AK388" s="391" t="inlineStr">
        <is>
          <t> </t>
        </is>
      </c>
      <c r="AL388" s="391" t="inlineStr">
        <is>
          <t> </t>
        </is>
      </c>
      <c r="AM388" s="391" t="inlineStr">
        <is>
          <t> </t>
        </is>
      </c>
      <c r="AN388" s="391" t="inlineStr">
        <is>
          <t> </t>
        </is>
      </c>
      <c r="AO388" s="391" t="n"/>
      <c r="AP388" s="319" t="n"/>
      <c r="AQ388" s="319" t="n"/>
      <c r="AR388" s="319" t="n"/>
    </row>
    <row r="389" ht="15.75" customHeight="1" s="1264">
      <c r="A389" s="319" t="inlineStr">
        <is>
          <t> </t>
        </is>
      </c>
      <c r="B389" s="319" t="inlineStr">
        <is>
          <t> </t>
        </is>
      </c>
      <c r="C389" s="319" t="inlineStr">
        <is>
          <t> </t>
        </is>
      </c>
      <c r="D389" s="38" t="inlineStr">
        <is>
          <t> </t>
        </is>
      </c>
      <c r="E389" s="391" t="inlineStr">
        <is>
          <t> </t>
        </is>
      </c>
      <c r="F389" s="391" t="inlineStr">
        <is>
          <t> </t>
        </is>
      </c>
      <c r="G389" s="391" t="inlineStr">
        <is>
          <t> </t>
        </is>
      </c>
      <c r="H389" s="391" t="inlineStr">
        <is>
          <t> </t>
        </is>
      </c>
      <c r="I389" s="391" t="inlineStr">
        <is>
          <t> </t>
        </is>
      </c>
      <c r="J389" s="391" t="inlineStr">
        <is>
          <t> </t>
        </is>
      </c>
      <c r="K389" s="38" t="inlineStr">
        <is>
          <t> </t>
        </is>
      </c>
      <c r="L389" s="391" t="inlineStr">
        <is>
          <t> </t>
        </is>
      </c>
      <c r="M389" s="391" t="inlineStr">
        <is>
          <t> </t>
        </is>
      </c>
      <c r="N389" s="391" t="inlineStr">
        <is>
          <t> </t>
        </is>
      </c>
      <c r="O389" s="391" t="inlineStr">
        <is>
          <t> </t>
        </is>
      </c>
      <c r="P389" s="391" t="inlineStr">
        <is>
          <t> </t>
        </is>
      </c>
      <c r="Q389" s="391" t="inlineStr">
        <is>
          <t> </t>
        </is>
      </c>
      <c r="R389" s="38" t="inlineStr">
        <is>
          <t> </t>
        </is>
      </c>
      <c r="S389" s="391" t="inlineStr">
        <is>
          <t> </t>
        </is>
      </c>
      <c r="T389" s="391" t="inlineStr">
        <is>
          <t> </t>
        </is>
      </c>
      <c r="U389" s="391" t="inlineStr">
        <is>
          <t> </t>
        </is>
      </c>
      <c r="V389" s="391" t="inlineStr">
        <is>
          <t> </t>
        </is>
      </c>
      <c r="W389" s="391" t="inlineStr">
        <is>
          <t> </t>
        </is>
      </c>
      <c r="X389" s="391" t="inlineStr">
        <is>
          <t> </t>
        </is>
      </c>
      <c r="Y389" s="392" t="inlineStr">
        <is>
          <t> </t>
        </is>
      </c>
      <c r="Z389" s="391" t="inlineStr">
        <is>
          <t> </t>
        </is>
      </c>
      <c r="AA389" s="391" t="inlineStr">
        <is>
          <t> </t>
        </is>
      </c>
      <c r="AB389" s="391" t="inlineStr">
        <is>
          <t> </t>
        </is>
      </c>
      <c r="AC389" s="391" t="inlineStr">
        <is>
          <t> </t>
        </is>
      </c>
      <c r="AD389" s="391" t="inlineStr">
        <is>
          <t> </t>
        </is>
      </c>
      <c r="AE389" s="391" t="inlineStr">
        <is>
          <t> </t>
        </is>
      </c>
      <c r="AF389" s="38" t="inlineStr">
        <is>
          <t> </t>
        </is>
      </c>
      <c r="AG389" s="391" t="inlineStr">
        <is>
          <t> </t>
        </is>
      </c>
      <c r="AH389" s="391" t="n"/>
      <c r="AI389" s="391" t="inlineStr">
        <is>
          <t> </t>
        </is>
      </c>
      <c r="AJ389" s="391" t="inlineStr">
        <is>
          <t> </t>
        </is>
      </c>
      <c r="AK389" s="391" t="inlineStr">
        <is>
          <t> </t>
        </is>
      </c>
      <c r="AL389" s="391" t="inlineStr">
        <is>
          <t> </t>
        </is>
      </c>
      <c r="AM389" s="391" t="inlineStr">
        <is>
          <t> </t>
        </is>
      </c>
      <c r="AN389" s="391" t="inlineStr">
        <is>
          <t> </t>
        </is>
      </c>
      <c r="AO389" s="391" t="n"/>
      <c r="AP389" s="319" t="n"/>
      <c r="AQ389" s="319" t="n"/>
      <c r="AR389" s="319" t="n"/>
    </row>
    <row r="390" ht="15.75" customHeight="1" s="1264">
      <c r="A390" s="319" t="inlineStr">
        <is>
          <t> </t>
        </is>
      </c>
      <c r="B390" s="319" t="inlineStr">
        <is>
          <t> </t>
        </is>
      </c>
      <c r="C390" s="319" t="inlineStr">
        <is>
          <t> </t>
        </is>
      </c>
      <c r="D390" s="38" t="inlineStr">
        <is>
          <t> </t>
        </is>
      </c>
      <c r="E390" s="391" t="inlineStr">
        <is>
          <t> </t>
        </is>
      </c>
      <c r="F390" s="391" t="inlineStr">
        <is>
          <t> </t>
        </is>
      </c>
      <c r="G390" s="391" t="inlineStr">
        <is>
          <t> </t>
        </is>
      </c>
      <c r="H390" s="391" t="inlineStr">
        <is>
          <t> </t>
        </is>
      </c>
      <c r="I390" s="391" t="inlineStr">
        <is>
          <t> </t>
        </is>
      </c>
      <c r="J390" s="391" t="inlineStr">
        <is>
          <t> </t>
        </is>
      </c>
      <c r="K390" s="38" t="inlineStr">
        <is>
          <t> </t>
        </is>
      </c>
      <c r="L390" s="391" t="inlineStr">
        <is>
          <t> </t>
        </is>
      </c>
      <c r="M390" s="391" t="inlineStr">
        <is>
          <t> </t>
        </is>
      </c>
      <c r="N390" s="391" t="inlineStr">
        <is>
          <t> </t>
        </is>
      </c>
      <c r="O390" s="391" t="inlineStr">
        <is>
          <t> </t>
        </is>
      </c>
      <c r="P390" s="391" t="inlineStr">
        <is>
          <t> </t>
        </is>
      </c>
      <c r="Q390" s="391" t="inlineStr">
        <is>
          <t> </t>
        </is>
      </c>
      <c r="R390" s="38" t="inlineStr">
        <is>
          <t> </t>
        </is>
      </c>
      <c r="S390" s="391" t="inlineStr">
        <is>
          <t> </t>
        </is>
      </c>
      <c r="T390" s="391" t="inlineStr">
        <is>
          <t> </t>
        </is>
      </c>
      <c r="U390" s="391" t="inlineStr">
        <is>
          <t> </t>
        </is>
      </c>
      <c r="V390" s="391" t="inlineStr">
        <is>
          <t> </t>
        </is>
      </c>
      <c r="W390" s="391" t="inlineStr">
        <is>
          <t> </t>
        </is>
      </c>
      <c r="X390" s="391" t="inlineStr">
        <is>
          <t> </t>
        </is>
      </c>
      <c r="Y390" s="392" t="inlineStr">
        <is>
          <t> </t>
        </is>
      </c>
      <c r="Z390" s="391" t="inlineStr">
        <is>
          <t> </t>
        </is>
      </c>
      <c r="AA390" s="391" t="inlineStr">
        <is>
          <t> </t>
        </is>
      </c>
      <c r="AB390" s="391" t="inlineStr">
        <is>
          <t> </t>
        </is>
      </c>
      <c r="AC390" s="391" t="inlineStr">
        <is>
          <t> </t>
        </is>
      </c>
      <c r="AD390" s="391" t="inlineStr">
        <is>
          <t> </t>
        </is>
      </c>
      <c r="AE390" s="391" t="inlineStr">
        <is>
          <t> </t>
        </is>
      </c>
      <c r="AF390" s="38" t="inlineStr">
        <is>
          <t> </t>
        </is>
      </c>
      <c r="AG390" s="391" t="inlineStr">
        <is>
          <t> </t>
        </is>
      </c>
      <c r="AH390" s="391" t="n"/>
      <c r="AI390" s="391" t="inlineStr">
        <is>
          <t> </t>
        </is>
      </c>
      <c r="AJ390" s="391" t="inlineStr">
        <is>
          <t> </t>
        </is>
      </c>
      <c r="AK390" s="391" t="inlineStr">
        <is>
          <t> </t>
        </is>
      </c>
      <c r="AL390" s="391" t="inlineStr">
        <is>
          <t> </t>
        </is>
      </c>
      <c r="AM390" s="391" t="inlineStr">
        <is>
          <t> </t>
        </is>
      </c>
      <c r="AN390" s="391" t="inlineStr">
        <is>
          <t> </t>
        </is>
      </c>
      <c r="AO390" s="391" t="n"/>
      <c r="AP390" s="319" t="n"/>
      <c r="AQ390" s="319" t="n"/>
      <c r="AR390" s="319" t="n"/>
    </row>
    <row r="391" ht="15.75" customHeight="1" s="1264">
      <c r="A391" s="319" t="inlineStr">
        <is>
          <t> </t>
        </is>
      </c>
      <c r="B391" s="319" t="inlineStr">
        <is>
          <t> </t>
        </is>
      </c>
      <c r="C391" s="319" t="inlineStr">
        <is>
          <t> </t>
        </is>
      </c>
      <c r="D391" s="38" t="inlineStr">
        <is>
          <t> </t>
        </is>
      </c>
      <c r="E391" s="391" t="inlineStr">
        <is>
          <t> </t>
        </is>
      </c>
      <c r="F391" s="391" t="inlineStr">
        <is>
          <t> </t>
        </is>
      </c>
      <c r="G391" s="391" t="inlineStr">
        <is>
          <t> </t>
        </is>
      </c>
      <c r="H391" s="391" t="inlineStr">
        <is>
          <t> </t>
        </is>
      </c>
      <c r="I391" s="391" t="inlineStr">
        <is>
          <t> </t>
        </is>
      </c>
      <c r="J391" s="391" t="inlineStr">
        <is>
          <t> </t>
        </is>
      </c>
      <c r="K391" s="38" t="inlineStr">
        <is>
          <t> </t>
        </is>
      </c>
      <c r="L391" s="391" t="inlineStr">
        <is>
          <t> </t>
        </is>
      </c>
      <c r="M391" s="391" t="inlineStr">
        <is>
          <t> </t>
        </is>
      </c>
      <c r="N391" s="391" t="inlineStr">
        <is>
          <t> </t>
        </is>
      </c>
      <c r="O391" s="391" t="inlineStr">
        <is>
          <t> </t>
        </is>
      </c>
      <c r="P391" s="391" t="inlineStr">
        <is>
          <t> </t>
        </is>
      </c>
      <c r="Q391" s="391" t="inlineStr">
        <is>
          <t> </t>
        </is>
      </c>
      <c r="R391" s="38" t="inlineStr">
        <is>
          <t> </t>
        </is>
      </c>
      <c r="S391" s="391" t="inlineStr">
        <is>
          <t> </t>
        </is>
      </c>
      <c r="T391" s="391" t="inlineStr">
        <is>
          <t> </t>
        </is>
      </c>
      <c r="U391" s="391" t="inlineStr">
        <is>
          <t> </t>
        </is>
      </c>
      <c r="V391" s="391" t="inlineStr">
        <is>
          <t> </t>
        </is>
      </c>
      <c r="W391" s="391" t="inlineStr">
        <is>
          <t> </t>
        </is>
      </c>
      <c r="X391" s="391" t="inlineStr">
        <is>
          <t> </t>
        </is>
      </c>
      <c r="Y391" s="392" t="inlineStr">
        <is>
          <t> </t>
        </is>
      </c>
      <c r="Z391" s="391" t="inlineStr">
        <is>
          <t> </t>
        </is>
      </c>
      <c r="AA391" s="391" t="inlineStr">
        <is>
          <t> </t>
        </is>
      </c>
      <c r="AB391" s="391" t="inlineStr">
        <is>
          <t> </t>
        </is>
      </c>
      <c r="AC391" s="391" t="inlineStr">
        <is>
          <t> </t>
        </is>
      </c>
      <c r="AD391" s="391" t="inlineStr">
        <is>
          <t> </t>
        </is>
      </c>
      <c r="AE391" s="391" t="inlineStr">
        <is>
          <t> </t>
        </is>
      </c>
      <c r="AF391" s="38" t="inlineStr">
        <is>
          <t> </t>
        </is>
      </c>
      <c r="AG391" s="391" t="inlineStr">
        <is>
          <t> </t>
        </is>
      </c>
      <c r="AH391" s="391" t="n"/>
      <c r="AI391" s="391" t="inlineStr">
        <is>
          <t> </t>
        </is>
      </c>
      <c r="AJ391" s="391" t="inlineStr">
        <is>
          <t> </t>
        </is>
      </c>
      <c r="AK391" s="391" t="inlineStr">
        <is>
          <t> </t>
        </is>
      </c>
      <c r="AL391" s="391" t="inlineStr">
        <is>
          <t> </t>
        </is>
      </c>
      <c r="AM391" s="391" t="inlineStr">
        <is>
          <t> </t>
        </is>
      </c>
      <c r="AN391" s="391" t="inlineStr">
        <is>
          <t> </t>
        </is>
      </c>
      <c r="AO391" s="391" t="n"/>
      <c r="AP391" s="319" t="n"/>
      <c r="AQ391" s="319" t="n"/>
      <c r="AR391" s="319" t="n"/>
    </row>
    <row r="392" ht="15.75" customHeight="1" s="1264">
      <c r="A392" s="319" t="inlineStr">
        <is>
          <t> </t>
        </is>
      </c>
      <c r="B392" s="319" t="inlineStr">
        <is>
          <t> </t>
        </is>
      </c>
      <c r="C392" s="319" t="inlineStr">
        <is>
          <t> </t>
        </is>
      </c>
      <c r="D392" s="38" t="inlineStr">
        <is>
          <t> </t>
        </is>
      </c>
      <c r="E392" s="391" t="inlineStr">
        <is>
          <t> </t>
        </is>
      </c>
      <c r="F392" s="391" t="inlineStr">
        <is>
          <t> </t>
        </is>
      </c>
      <c r="G392" s="391" t="inlineStr">
        <is>
          <t> </t>
        </is>
      </c>
      <c r="H392" s="391" t="inlineStr">
        <is>
          <t> </t>
        </is>
      </c>
      <c r="I392" s="391" t="inlineStr">
        <is>
          <t> </t>
        </is>
      </c>
      <c r="J392" s="391" t="inlineStr">
        <is>
          <t> </t>
        </is>
      </c>
      <c r="K392" s="38" t="inlineStr">
        <is>
          <t> </t>
        </is>
      </c>
      <c r="L392" s="391" t="inlineStr">
        <is>
          <t> </t>
        </is>
      </c>
      <c r="M392" s="391" t="inlineStr">
        <is>
          <t> </t>
        </is>
      </c>
      <c r="N392" s="391" t="inlineStr">
        <is>
          <t> </t>
        </is>
      </c>
      <c r="O392" s="391" t="inlineStr">
        <is>
          <t> </t>
        </is>
      </c>
      <c r="P392" s="391" t="inlineStr">
        <is>
          <t> </t>
        </is>
      </c>
      <c r="Q392" s="391" t="inlineStr">
        <is>
          <t> </t>
        </is>
      </c>
      <c r="R392" s="38" t="inlineStr">
        <is>
          <t> </t>
        </is>
      </c>
      <c r="S392" s="391" t="inlineStr">
        <is>
          <t> </t>
        </is>
      </c>
      <c r="T392" s="391" t="inlineStr">
        <is>
          <t> </t>
        </is>
      </c>
      <c r="U392" s="391" t="inlineStr">
        <is>
          <t> </t>
        </is>
      </c>
      <c r="V392" s="391" t="inlineStr">
        <is>
          <t> </t>
        </is>
      </c>
      <c r="W392" s="391" t="inlineStr">
        <is>
          <t> </t>
        </is>
      </c>
      <c r="X392" s="391" t="inlineStr">
        <is>
          <t> </t>
        </is>
      </c>
      <c r="Y392" s="392" t="inlineStr">
        <is>
          <t> </t>
        </is>
      </c>
      <c r="Z392" s="391" t="inlineStr">
        <is>
          <t> </t>
        </is>
      </c>
      <c r="AA392" s="391" t="inlineStr">
        <is>
          <t> </t>
        </is>
      </c>
      <c r="AB392" s="391" t="inlineStr">
        <is>
          <t> </t>
        </is>
      </c>
      <c r="AC392" s="391" t="inlineStr">
        <is>
          <t> </t>
        </is>
      </c>
      <c r="AD392" s="391" t="inlineStr">
        <is>
          <t> </t>
        </is>
      </c>
      <c r="AE392" s="391" t="inlineStr">
        <is>
          <t> </t>
        </is>
      </c>
      <c r="AF392" s="38" t="inlineStr">
        <is>
          <t> </t>
        </is>
      </c>
      <c r="AG392" s="391" t="inlineStr">
        <is>
          <t> </t>
        </is>
      </c>
      <c r="AH392" s="391" t="n"/>
      <c r="AI392" s="391" t="inlineStr">
        <is>
          <t> </t>
        </is>
      </c>
      <c r="AJ392" s="391" t="inlineStr">
        <is>
          <t> </t>
        </is>
      </c>
      <c r="AK392" s="391" t="inlineStr">
        <is>
          <t> </t>
        </is>
      </c>
      <c r="AL392" s="391" t="inlineStr">
        <is>
          <t> </t>
        </is>
      </c>
      <c r="AM392" s="391" t="inlineStr">
        <is>
          <t> </t>
        </is>
      </c>
      <c r="AN392" s="391" t="inlineStr">
        <is>
          <t> </t>
        </is>
      </c>
      <c r="AO392" s="391" t="n"/>
      <c r="AP392" s="319" t="n"/>
      <c r="AQ392" s="319" t="n"/>
      <c r="AR392" s="319" t="n"/>
    </row>
    <row r="393" ht="15.75" customHeight="1" s="1264">
      <c r="A393" s="319" t="inlineStr">
        <is>
          <t> </t>
        </is>
      </c>
      <c r="B393" s="319" t="inlineStr">
        <is>
          <t> </t>
        </is>
      </c>
      <c r="C393" s="319" t="inlineStr">
        <is>
          <t> </t>
        </is>
      </c>
      <c r="D393" s="38" t="inlineStr">
        <is>
          <t> </t>
        </is>
      </c>
      <c r="E393" s="391" t="inlineStr">
        <is>
          <t> </t>
        </is>
      </c>
      <c r="F393" s="391" t="inlineStr">
        <is>
          <t> </t>
        </is>
      </c>
      <c r="G393" s="391" t="inlineStr">
        <is>
          <t> </t>
        </is>
      </c>
      <c r="H393" s="391" t="inlineStr">
        <is>
          <t> </t>
        </is>
      </c>
      <c r="I393" s="391" t="inlineStr">
        <is>
          <t> </t>
        </is>
      </c>
      <c r="J393" s="391" t="inlineStr">
        <is>
          <t> </t>
        </is>
      </c>
      <c r="K393" s="38" t="inlineStr">
        <is>
          <t> </t>
        </is>
      </c>
      <c r="L393" s="391" t="inlineStr">
        <is>
          <t> </t>
        </is>
      </c>
      <c r="M393" s="391" t="inlineStr">
        <is>
          <t> </t>
        </is>
      </c>
      <c r="N393" s="391" t="inlineStr">
        <is>
          <t> </t>
        </is>
      </c>
      <c r="O393" s="391" t="inlineStr">
        <is>
          <t> </t>
        </is>
      </c>
      <c r="P393" s="391" t="inlineStr">
        <is>
          <t> </t>
        </is>
      </c>
      <c r="Q393" s="391" t="inlineStr">
        <is>
          <t> </t>
        </is>
      </c>
      <c r="R393" s="38" t="inlineStr">
        <is>
          <t> </t>
        </is>
      </c>
      <c r="S393" s="391" t="inlineStr">
        <is>
          <t> </t>
        </is>
      </c>
      <c r="T393" s="391" t="inlineStr">
        <is>
          <t> </t>
        </is>
      </c>
      <c r="U393" s="391" t="inlineStr">
        <is>
          <t> </t>
        </is>
      </c>
      <c r="V393" s="391" t="inlineStr">
        <is>
          <t> </t>
        </is>
      </c>
      <c r="W393" s="391" t="inlineStr">
        <is>
          <t> </t>
        </is>
      </c>
      <c r="X393" s="391" t="inlineStr">
        <is>
          <t> </t>
        </is>
      </c>
      <c r="Y393" s="392" t="inlineStr">
        <is>
          <t> </t>
        </is>
      </c>
      <c r="Z393" s="391" t="inlineStr">
        <is>
          <t> </t>
        </is>
      </c>
      <c r="AA393" s="391" t="inlineStr">
        <is>
          <t> </t>
        </is>
      </c>
      <c r="AB393" s="391" t="inlineStr">
        <is>
          <t> </t>
        </is>
      </c>
      <c r="AC393" s="391" t="inlineStr">
        <is>
          <t> </t>
        </is>
      </c>
      <c r="AD393" s="391" t="inlineStr">
        <is>
          <t> </t>
        </is>
      </c>
      <c r="AE393" s="391" t="inlineStr">
        <is>
          <t> </t>
        </is>
      </c>
      <c r="AF393" s="38" t="inlineStr">
        <is>
          <t> </t>
        </is>
      </c>
      <c r="AG393" s="391" t="inlineStr">
        <is>
          <t> </t>
        </is>
      </c>
      <c r="AH393" s="391" t="n"/>
      <c r="AI393" s="391" t="inlineStr">
        <is>
          <t> </t>
        </is>
      </c>
      <c r="AJ393" s="391" t="inlineStr">
        <is>
          <t> </t>
        </is>
      </c>
      <c r="AK393" s="391" t="inlineStr">
        <is>
          <t> </t>
        </is>
      </c>
      <c r="AL393" s="391" t="inlineStr">
        <is>
          <t> </t>
        </is>
      </c>
      <c r="AM393" s="391" t="inlineStr">
        <is>
          <t> </t>
        </is>
      </c>
      <c r="AN393" s="391" t="inlineStr">
        <is>
          <t> </t>
        </is>
      </c>
      <c r="AO393" s="391" t="n"/>
      <c r="AP393" s="319" t="n"/>
      <c r="AQ393" s="319" t="n"/>
      <c r="AR393" s="319" t="n"/>
    </row>
    <row r="394" ht="15.75" customHeight="1" s="1264">
      <c r="A394" s="319" t="inlineStr">
        <is>
          <t> </t>
        </is>
      </c>
      <c r="B394" s="319" t="inlineStr">
        <is>
          <t> </t>
        </is>
      </c>
      <c r="C394" s="319" t="inlineStr">
        <is>
          <t> </t>
        </is>
      </c>
      <c r="D394" s="38" t="inlineStr">
        <is>
          <t> </t>
        </is>
      </c>
      <c r="E394" s="391" t="inlineStr">
        <is>
          <t> </t>
        </is>
      </c>
      <c r="F394" s="391" t="inlineStr">
        <is>
          <t> </t>
        </is>
      </c>
      <c r="G394" s="391" t="inlineStr">
        <is>
          <t> </t>
        </is>
      </c>
      <c r="H394" s="391" t="inlineStr">
        <is>
          <t> </t>
        </is>
      </c>
      <c r="I394" s="391" t="inlineStr">
        <is>
          <t> </t>
        </is>
      </c>
      <c r="J394" s="391" t="inlineStr">
        <is>
          <t> </t>
        </is>
      </c>
      <c r="K394" s="38" t="inlineStr">
        <is>
          <t> </t>
        </is>
      </c>
      <c r="L394" s="391" t="inlineStr">
        <is>
          <t> </t>
        </is>
      </c>
      <c r="M394" s="391" t="inlineStr">
        <is>
          <t> </t>
        </is>
      </c>
      <c r="N394" s="391" t="inlineStr">
        <is>
          <t> </t>
        </is>
      </c>
      <c r="O394" s="391" t="inlineStr">
        <is>
          <t> </t>
        </is>
      </c>
      <c r="P394" s="391" t="inlineStr">
        <is>
          <t> </t>
        </is>
      </c>
      <c r="Q394" s="391" t="inlineStr">
        <is>
          <t> </t>
        </is>
      </c>
      <c r="R394" s="38" t="inlineStr">
        <is>
          <t> </t>
        </is>
      </c>
      <c r="S394" s="391" t="inlineStr">
        <is>
          <t> </t>
        </is>
      </c>
      <c r="T394" s="391" t="inlineStr">
        <is>
          <t> </t>
        </is>
      </c>
      <c r="U394" s="391" t="inlineStr">
        <is>
          <t> </t>
        </is>
      </c>
      <c r="V394" s="391" t="inlineStr">
        <is>
          <t> </t>
        </is>
      </c>
      <c r="W394" s="391" t="inlineStr">
        <is>
          <t> </t>
        </is>
      </c>
      <c r="X394" s="391" t="inlineStr">
        <is>
          <t> </t>
        </is>
      </c>
      <c r="Y394" s="392" t="inlineStr">
        <is>
          <t> </t>
        </is>
      </c>
      <c r="Z394" s="391" t="inlineStr">
        <is>
          <t> </t>
        </is>
      </c>
      <c r="AA394" s="391" t="inlineStr">
        <is>
          <t> </t>
        </is>
      </c>
      <c r="AB394" s="391" t="inlineStr">
        <is>
          <t> </t>
        </is>
      </c>
      <c r="AC394" s="391" t="inlineStr">
        <is>
          <t> </t>
        </is>
      </c>
      <c r="AD394" s="391" t="inlineStr">
        <is>
          <t> </t>
        </is>
      </c>
      <c r="AE394" s="391" t="inlineStr">
        <is>
          <t> </t>
        </is>
      </c>
      <c r="AF394" s="38" t="inlineStr">
        <is>
          <t> </t>
        </is>
      </c>
      <c r="AG394" s="391" t="inlineStr">
        <is>
          <t> </t>
        </is>
      </c>
      <c r="AH394" s="391" t="n"/>
      <c r="AI394" s="391" t="inlineStr">
        <is>
          <t> </t>
        </is>
      </c>
      <c r="AJ394" s="391" t="inlineStr">
        <is>
          <t> </t>
        </is>
      </c>
      <c r="AK394" s="391" t="inlineStr">
        <is>
          <t> </t>
        </is>
      </c>
      <c r="AL394" s="391" t="inlineStr">
        <is>
          <t> </t>
        </is>
      </c>
      <c r="AM394" s="391" t="inlineStr">
        <is>
          <t> </t>
        </is>
      </c>
      <c r="AN394" s="391" t="inlineStr">
        <is>
          <t> </t>
        </is>
      </c>
      <c r="AO394" s="391" t="n"/>
      <c r="AP394" s="319" t="n"/>
      <c r="AQ394" s="319" t="n"/>
      <c r="AR394" s="319" t="n"/>
    </row>
    <row r="395" ht="15.75" customHeight="1" s="1264">
      <c r="A395" s="319" t="inlineStr">
        <is>
          <t> </t>
        </is>
      </c>
      <c r="B395" s="319" t="inlineStr">
        <is>
          <t> </t>
        </is>
      </c>
      <c r="C395" s="319" t="inlineStr">
        <is>
          <t> </t>
        </is>
      </c>
      <c r="D395" s="38" t="inlineStr">
        <is>
          <t> </t>
        </is>
      </c>
      <c r="E395" s="391" t="inlineStr">
        <is>
          <t> </t>
        </is>
      </c>
      <c r="F395" s="391" t="inlineStr">
        <is>
          <t> </t>
        </is>
      </c>
      <c r="G395" s="391" t="inlineStr">
        <is>
          <t> </t>
        </is>
      </c>
      <c r="H395" s="391" t="inlineStr">
        <is>
          <t> </t>
        </is>
      </c>
      <c r="I395" s="391" t="inlineStr">
        <is>
          <t> </t>
        </is>
      </c>
      <c r="J395" s="391" t="inlineStr">
        <is>
          <t> </t>
        </is>
      </c>
      <c r="K395" s="38" t="inlineStr">
        <is>
          <t> </t>
        </is>
      </c>
      <c r="L395" s="391" t="inlineStr">
        <is>
          <t> </t>
        </is>
      </c>
      <c r="M395" s="391" t="inlineStr">
        <is>
          <t> </t>
        </is>
      </c>
      <c r="N395" s="391" t="inlineStr">
        <is>
          <t> </t>
        </is>
      </c>
      <c r="O395" s="391" t="inlineStr">
        <is>
          <t> </t>
        </is>
      </c>
      <c r="P395" s="391" t="inlineStr">
        <is>
          <t> </t>
        </is>
      </c>
      <c r="Q395" s="391" t="inlineStr">
        <is>
          <t> </t>
        </is>
      </c>
      <c r="R395" s="38" t="inlineStr">
        <is>
          <t> </t>
        </is>
      </c>
      <c r="S395" s="391" t="inlineStr">
        <is>
          <t> </t>
        </is>
      </c>
      <c r="T395" s="391" t="inlineStr">
        <is>
          <t> </t>
        </is>
      </c>
      <c r="U395" s="391" t="inlineStr">
        <is>
          <t> </t>
        </is>
      </c>
      <c r="V395" s="391" t="inlineStr">
        <is>
          <t> </t>
        </is>
      </c>
      <c r="W395" s="391" t="inlineStr">
        <is>
          <t> </t>
        </is>
      </c>
      <c r="X395" s="391" t="inlineStr">
        <is>
          <t> </t>
        </is>
      </c>
      <c r="Y395" s="392" t="inlineStr">
        <is>
          <t> </t>
        </is>
      </c>
      <c r="Z395" s="391" t="inlineStr">
        <is>
          <t> </t>
        </is>
      </c>
      <c r="AA395" s="391" t="inlineStr">
        <is>
          <t> </t>
        </is>
      </c>
      <c r="AB395" s="391" t="inlineStr">
        <is>
          <t> </t>
        </is>
      </c>
      <c r="AC395" s="391" t="inlineStr">
        <is>
          <t> </t>
        </is>
      </c>
      <c r="AD395" s="391" t="inlineStr">
        <is>
          <t> </t>
        </is>
      </c>
      <c r="AE395" s="391" t="inlineStr">
        <is>
          <t> </t>
        </is>
      </c>
      <c r="AF395" s="38" t="inlineStr">
        <is>
          <t> </t>
        </is>
      </c>
      <c r="AG395" s="391" t="inlineStr">
        <is>
          <t> </t>
        </is>
      </c>
      <c r="AH395" s="391" t="n"/>
      <c r="AI395" s="391" t="inlineStr">
        <is>
          <t> </t>
        </is>
      </c>
      <c r="AJ395" s="391" t="inlineStr">
        <is>
          <t> </t>
        </is>
      </c>
      <c r="AK395" s="391" t="inlineStr">
        <is>
          <t> </t>
        </is>
      </c>
      <c r="AL395" s="391" t="inlineStr">
        <is>
          <t> </t>
        </is>
      </c>
      <c r="AM395" s="391" t="inlineStr">
        <is>
          <t> </t>
        </is>
      </c>
      <c r="AN395" s="391" t="inlineStr">
        <is>
          <t> </t>
        </is>
      </c>
      <c r="AO395" s="391" t="n"/>
      <c r="AP395" s="319" t="n"/>
      <c r="AQ395" s="319" t="n"/>
      <c r="AR395" s="319" t="n"/>
    </row>
    <row r="396" ht="15.75" customHeight="1" s="1264">
      <c r="A396" s="319" t="inlineStr">
        <is>
          <t> </t>
        </is>
      </c>
      <c r="B396" s="319" t="inlineStr">
        <is>
          <t> </t>
        </is>
      </c>
      <c r="C396" s="319" t="inlineStr">
        <is>
          <t> </t>
        </is>
      </c>
      <c r="D396" s="38" t="inlineStr">
        <is>
          <t> </t>
        </is>
      </c>
      <c r="E396" s="391" t="inlineStr">
        <is>
          <t> </t>
        </is>
      </c>
      <c r="F396" s="391" t="inlineStr">
        <is>
          <t> </t>
        </is>
      </c>
      <c r="G396" s="391" t="inlineStr">
        <is>
          <t> </t>
        </is>
      </c>
      <c r="H396" s="391" t="inlineStr">
        <is>
          <t> </t>
        </is>
      </c>
      <c r="I396" s="391" t="inlineStr">
        <is>
          <t> </t>
        </is>
      </c>
      <c r="J396" s="391" t="inlineStr">
        <is>
          <t> </t>
        </is>
      </c>
      <c r="K396" s="38" t="inlineStr">
        <is>
          <t> </t>
        </is>
      </c>
      <c r="L396" s="391" t="inlineStr">
        <is>
          <t> </t>
        </is>
      </c>
      <c r="M396" s="391" t="inlineStr">
        <is>
          <t> </t>
        </is>
      </c>
      <c r="N396" s="391" t="inlineStr">
        <is>
          <t> </t>
        </is>
      </c>
      <c r="O396" s="391" t="inlineStr">
        <is>
          <t> </t>
        </is>
      </c>
      <c r="P396" s="391" t="inlineStr">
        <is>
          <t> </t>
        </is>
      </c>
      <c r="Q396" s="391" t="inlineStr">
        <is>
          <t> </t>
        </is>
      </c>
      <c r="R396" s="38" t="inlineStr">
        <is>
          <t> </t>
        </is>
      </c>
      <c r="S396" s="391" t="inlineStr">
        <is>
          <t> </t>
        </is>
      </c>
      <c r="T396" s="391" t="inlineStr">
        <is>
          <t> </t>
        </is>
      </c>
      <c r="U396" s="391" t="inlineStr">
        <is>
          <t> </t>
        </is>
      </c>
      <c r="V396" s="391" t="inlineStr">
        <is>
          <t> </t>
        </is>
      </c>
      <c r="W396" s="391" t="inlineStr">
        <is>
          <t> </t>
        </is>
      </c>
      <c r="X396" s="391" t="inlineStr">
        <is>
          <t> </t>
        </is>
      </c>
      <c r="Y396" s="392" t="inlineStr">
        <is>
          <t> </t>
        </is>
      </c>
      <c r="Z396" s="391" t="inlineStr">
        <is>
          <t> </t>
        </is>
      </c>
      <c r="AA396" s="391" t="inlineStr">
        <is>
          <t> </t>
        </is>
      </c>
      <c r="AB396" s="391" t="inlineStr">
        <is>
          <t> </t>
        </is>
      </c>
      <c r="AC396" s="391" t="inlineStr">
        <is>
          <t> </t>
        </is>
      </c>
      <c r="AD396" s="391" t="inlineStr">
        <is>
          <t> </t>
        </is>
      </c>
      <c r="AE396" s="391" t="inlineStr">
        <is>
          <t> </t>
        </is>
      </c>
      <c r="AF396" s="38" t="inlineStr">
        <is>
          <t> </t>
        </is>
      </c>
      <c r="AG396" s="391" t="inlineStr">
        <is>
          <t> </t>
        </is>
      </c>
      <c r="AH396" s="391" t="n"/>
      <c r="AI396" s="391" t="inlineStr">
        <is>
          <t> </t>
        </is>
      </c>
      <c r="AJ396" s="391" t="inlineStr">
        <is>
          <t> </t>
        </is>
      </c>
      <c r="AK396" s="391" t="inlineStr">
        <is>
          <t> </t>
        </is>
      </c>
      <c r="AL396" s="391" t="inlineStr">
        <is>
          <t> </t>
        </is>
      </c>
      <c r="AM396" s="391" t="inlineStr">
        <is>
          <t> </t>
        </is>
      </c>
      <c r="AN396" s="391" t="inlineStr">
        <is>
          <t> </t>
        </is>
      </c>
      <c r="AO396" s="391" t="n"/>
      <c r="AP396" s="319" t="n"/>
      <c r="AQ396" s="319" t="n"/>
      <c r="AR396" s="319" t="n"/>
    </row>
    <row r="397" ht="15.75" customHeight="1" s="1264">
      <c r="A397" s="319" t="inlineStr">
        <is>
          <t> </t>
        </is>
      </c>
      <c r="B397" s="319" t="inlineStr">
        <is>
          <t> </t>
        </is>
      </c>
      <c r="C397" s="319" t="inlineStr">
        <is>
          <t> </t>
        </is>
      </c>
      <c r="D397" s="38" t="inlineStr">
        <is>
          <t> </t>
        </is>
      </c>
      <c r="E397" s="391" t="inlineStr">
        <is>
          <t> </t>
        </is>
      </c>
      <c r="F397" s="391" t="inlineStr">
        <is>
          <t> </t>
        </is>
      </c>
      <c r="G397" s="391" t="inlineStr">
        <is>
          <t> </t>
        </is>
      </c>
      <c r="H397" s="391" t="inlineStr">
        <is>
          <t> </t>
        </is>
      </c>
      <c r="I397" s="391" t="inlineStr">
        <is>
          <t> </t>
        </is>
      </c>
      <c r="J397" s="391" t="inlineStr">
        <is>
          <t> </t>
        </is>
      </c>
      <c r="K397" s="38" t="inlineStr">
        <is>
          <t> </t>
        </is>
      </c>
      <c r="L397" s="391" t="inlineStr">
        <is>
          <t> </t>
        </is>
      </c>
      <c r="M397" s="391" t="inlineStr">
        <is>
          <t> </t>
        </is>
      </c>
      <c r="N397" s="391" t="inlineStr">
        <is>
          <t> </t>
        </is>
      </c>
      <c r="O397" s="391" t="inlineStr">
        <is>
          <t> </t>
        </is>
      </c>
      <c r="P397" s="391" t="inlineStr">
        <is>
          <t> </t>
        </is>
      </c>
      <c r="Q397" s="391" t="inlineStr">
        <is>
          <t> </t>
        </is>
      </c>
      <c r="R397" s="38" t="inlineStr">
        <is>
          <t> </t>
        </is>
      </c>
      <c r="S397" s="391" t="inlineStr">
        <is>
          <t> </t>
        </is>
      </c>
      <c r="T397" s="391" t="inlineStr">
        <is>
          <t> </t>
        </is>
      </c>
      <c r="U397" s="391" t="inlineStr">
        <is>
          <t> </t>
        </is>
      </c>
      <c r="V397" s="391" t="inlineStr">
        <is>
          <t> </t>
        </is>
      </c>
      <c r="W397" s="391" t="inlineStr">
        <is>
          <t> </t>
        </is>
      </c>
      <c r="X397" s="391" t="inlineStr">
        <is>
          <t> </t>
        </is>
      </c>
      <c r="Y397" s="392" t="inlineStr">
        <is>
          <t> </t>
        </is>
      </c>
      <c r="Z397" s="391" t="inlineStr">
        <is>
          <t> </t>
        </is>
      </c>
      <c r="AA397" s="391" t="inlineStr">
        <is>
          <t> </t>
        </is>
      </c>
      <c r="AB397" s="391" t="inlineStr">
        <is>
          <t> </t>
        </is>
      </c>
      <c r="AC397" s="391" t="inlineStr">
        <is>
          <t> </t>
        </is>
      </c>
      <c r="AD397" s="391" t="inlineStr">
        <is>
          <t> </t>
        </is>
      </c>
      <c r="AE397" s="391" t="inlineStr">
        <is>
          <t> </t>
        </is>
      </c>
      <c r="AF397" s="38" t="inlineStr">
        <is>
          <t> </t>
        </is>
      </c>
      <c r="AG397" s="391" t="inlineStr">
        <is>
          <t> </t>
        </is>
      </c>
      <c r="AH397" s="391" t="n"/>
      <c r="AI397" s="391" t="inlineStr">
        <is>
          <t> </t>
        </is>
      </c>
      <c r="AJ397" s="391" t="inlineStr">
        <is>
          <t> </t>
        </is>
      </c>
      <c r="AK397" s="391" t="inlineStr">
        <is>
          <t> </t>
        </is>
      </c>
      <c r="AL397" s="391" t="inlineStr">
        <is>
          <t> </t>
        </is>
      </c>
      <c r="AM397" s="391" t="inlineStr">
        <is>
          <t> </t>
        </is>
      </c>
      <c r="AN397" s="391" t="inlineStr">
        <is>
          <t> </t>
        </is>
      </c>
      <c r="AO397" s="391" t="n"/>
      <c r="AP397" s="319" t="n"/>
      <c r="AQ397" s="319" t="n"/>
      <c r="AR397" s="319" t="n"/>
    </row>
    <row r="398" ht="15.75" customHeight="1" s="1264">
      <c r="A398" s="319" t="inlineStr">
        <is>
          <t> </t>
        </is>
      </c>
      <c r="B398" s="319" t="inlineStr">
        <is>
          <t> </t>
        </is>
      </c>
      <c r="C398" s="319" t="inlineStr">
        <is>
          <t> </t>
        </is>
      </c>
      <c r="D398" s="38" t="inlineStr">
        <is>
          <t> </t>
        </is>
      </c>
      <c r="E398" s="391" t="inlineStr">
        <is>
          <t> </t>
        </is>
      </c>
      <c r="F398" s="391" t="inlineStr">
        <is>
          <t> </t>
        </is>
      </c>
      <c r="G398" s="391" t="inlineStr">
        <is>
          <t> </t>
        </is>
      </c>
      <c r="H398" s="391" t="inlineStr">
        <is>
          <t> </t>
        </is>
      </c>
      <c r="I398" s="391" t="inlineStr">
        <is>
          <t> </t>
        </is>
      </c>
      <c r="J398" s="391" t="inlineStr">
        <is>
          <t> </t>
        </is>
      </c>
      <c r="K398" s="38" t="inlineStr">
        <is>
          <t> </t>
        </is>
      </c>
      <c r="L398" s="391" t="inlineStr">
        <is>
          <t> </t>
        </is>
      </c>
      <c r="M398" s="391" t="inlineStr">
        <is>
          <t> </t>
        </is>
      </c>
      <c r="N398" s="391" t="inlineStr">
        <is>
          <t> </t>
        </is>
      </c>
      <c r="O398" s="391" t="inlineStr">
        <is>
          <t> </t>
        </is>
      </c>
      <c r="P398" s="391" t="inlineStr">
        <is>
          <t> </t>
        </is>
      </c>
      <c r="Q398" s="391" t="inlineStr">
        <is>
          <t> </t>
        </is>
      </c>
      <c r="R398" s="38" t="inlineStr">
        <is>
          <t> </t>
        </is>
      </c>
      <c r="S398" s="391" t="inlineStr">
        <is>
          <t> </t>
        </is>
      </c>
      <c r="T398" s="391" t="inlineStr">
        <is>
          <t> </t>
        </is>
      </c>
      <c r="U398" s="391" t="inlineStr">
        <is>
          <t> </t>
        </is>
      </c>
      <c r="V398" s="391" t="inlineStr">
        <is>
          <t> </t>
        </is>
      </c>
      <c r="W398" s="391" t="inlineStr">
        <is>
          <t> </t>
        </is>
      </c>
      <c r="X398" s="391" t="inlineStr">
        <is>
          <t> </t>
        </is>
      </c>
      <c r="Y398" s="392" t="inlineStr">
        <is>
          <t> </t>
        </is>
      </c>
      <c r="Z398" s="391" t="inlineStr">
        <is>
          <t> </t>
        </is>
      </c>
      <c r="AA398" s="391" t="inlineStr">
        <is>
          <t> </t>
        </is>
      </c>
      <c r="AB398" s="391" t="inlineStr">
        <is>
          <t> </t>
        </is>
      </c>
      <c r="AC398" s="391" t="inlineStr">
        <is>
          <t> </t>
        </is>
      </c>
      <c r="AD398" s="391" t="inlineStr">
        <is>
          <t> </t>
        </is>
      </c>
      <c r="AE398" s="391" t="inlineStr">
        <is>
          <t> </t>
        </is>
      </c>
      <c r="AF398" s="38" t="inlineStr">
        <is>
          <t> </t>
        </is>
      </c>
      <c r="AG398" s="391" t="inlineStr">
        <is>
          <t> </t>
        </is>
      </c>
      <c r="AH398" s="391" t="n"/>
      <c r="AI398" s="391" t="inlineStr">
        <is>
          <t> </t>
        </is>
      </c>
      <c r="AJ398" s="391" t="inlineStr">
        <is>
          <t> </t>
        </is>
      </c>
      <c r="AK398" s="391" t="inlineStr">
        <is>
          <t> </t>
        </is>
      </c>
      <c r="AL398" s="391" t="inlineStr">
        <is>
          <t> </t>
        </is>
      </c>
      <c r="AM398" s="391" t="inlineStr">
        <is>
          <t> </t>
        </is>
      </c>
      <c r="AN398" s="391" t="inlineStr">
        <is>
          <t> </t>
        </is>
      </c>
      <c r="AO398" s="391" t="n"/>
      <c r="AP398" s="319" t="n"/>
      <c r="AQ398" s="319" t="n"/>
      <c r="AR398" s="319" t="n"/>
    </row>
    <row r="399" ht="15.75" customHeight="1" s="1264">
      <c r="A399" s="319" t="inlineStr">
        <is>
          <t> </t>
        </is>
      </c>
      <c r="B399" s="319" t="inlineStr">
        <is>
          <t> </t>
        </is>
      </c>
      <c r="C399" s="319" t="inlineStr">
        <is>
          <t> </t>
        </is>
      </c>
      <c r="D399" s="38" t="inlineStr">
        <is>
          <t> </t>
        </is>
      </c>
      <c r="E399" s="391" t="inlineStr">
        <is>
          <t> </t>
        </is>
      </c>
      <c r="F399" s="391" t="inlineStr">
        <is>
          <t> </t>
        </is>
      </c>
      <c r="G399" s="391" t="inlineStr">
        <is>
          <t> </t>
        </is>
      </c>
      <c r="H399" s="391" t="inlineStr">
        <is>
          <t> </t>
        </is>
      </c>
      <c r="I399" s="391" t="inlineStr">
        <is>
          <t> </t>
        </is>
      </c>
      <c r="J399" s="391" t="inlineStr">
        <is>
          <t> </t>
        </is>
      </c>
      <c r="K399" s="38" t="inlineStr">
        <is>
          <t> </t>
        </is>
      </c>
      <c r="L399" s="391" t="inlineStr">
        <is>
          <t> </t>
        </is>
      </c>
      <c r="M399" s="391" t="inlineStr">
        <is>
          <t> </t>
        </is>
      </c>
      <c r="N399" s="391" t="inlineStr">
        <is>
          <t> </t>
        </is>
      </c>
      <c r="O399" s="391" t="inlineStr">
        <is>
          <t> </t>
        </is>
      </c>
      <c r="P399" s="391" t="inlineStr">
        <is>
          <t> </t>
        </is>
      </c>
      <c r="Q399" s="391" t="inlineStr">
        <is>
          <t> </t>
        </is>
      </c>
      <c r="R399" s="38" t="inlineStr">
        <is>
          <t> </t>
        </is>
      </c>
      <c r="S399" s="391" t="inlineStr">
        <is>
          <t> </t>
        </is>
      </c>
      <c r="T399" s="391" t="inlineStr">
        <is>
          <t> </t>
        </is>
      </c>
      <c r="U399" s="391" t="inlineStr">
        <is>
          <t> </t>
        </is>
      </c>
      <c r="V399" s="391" t="inlineStr">
        <is>
          <t> </t>
        </is>
      </c>
      <c r="W399" s="391" t="inlineStr">
        <is>
          <t> </t>
        </is>
      </c>
      <c r="X399" s="391" t="inlineStr">
        <is>
          <t> </t>
        </is>
      </c>
      <c r="Y399" s="392" t="inlineStr">
        <is>
          <t> </t>
        </is>
      </c>
      <c r="Z399" s="391" t="inlineStr">
        <is>
          <t> </t>
        </is>
      </c>
      <c r="AA399" s="391" t="inlineStr">
        <is>
          <t> </t>
        </is>
      </c>
      <c r="AB399" s="391" t="inlineStr">
        <is>
          <t> </t>
        </is>
      </c>
      <c r="AC399" s="391" t="inlineStr">
        <is>
          <t> </t>
        </is>
      </c>
      <c r="AD399" s="391" t="inlineStr">
        <is>
          <t> </t>
        </is>
      </c>
      <c r="AE399" s="391" t="inlineStr">
        <is>
          <t> </t>
        </is>
      </c>
      <c r="AF399" s="38" t="inlineStr">
        <is>
          <t> </t>
        </is>
      </c>
      <c r="AG399" s="391" t="inlineStr">
        <is>
          <t> </t>
        </is>
      </c>
      <c r="AH399" s="391" t="n"/>
      <c r="AI399" s="391" t="inlineStr">
        <is>
          <t> </t>
        </is>
      </c>
      <c r="AJ399" s="391" t="inlineStr">
        <is>
          <t> </t>
        </is>
      </c>
      <c r="AK399" s="391" t="inlineStr">
        <is>
          <t> </t>
        </is>
      </c>
      <c r="AL399" s="391" t="inlineStr">
        <is>
          <t> </t>
        </is>
      </c>
      <c r="AM399" s="391" t="inlineStr">
        <is>
          <t> </t>
        </is>
      </c>
      <c r="AN399" s="391" t="inlineStr">
        <is>
          <t> </t>
        </is>
      </c>
      <c r="AO399" s="391" t="n"/>
      <c r="AP399" s="319" t="n"/>
      <c r="AQ399" s="319" t="n"/>
      <c r="AR399" s="319" t="n"/>
    </row>
    <row r="400" ht="15.75" customHeight="1" s="1264">
      <c r="A400" s="319" t="inlineStr">
        <is>
          <t> </t>
        </is>
      </c>
      <c r="B400" s="319" t="inlineStr">
        <is>
          <t> </t>
        </is>
      </c>
      <c r="C400" s="319" t="inlineStr">
        <is>
          <t> </t>
        </is>
      </c>
      <c r="D400" s="38" t="inlineStr">
        <is>
          <t> </t>
        </is>
      </c>
      <c r="E400" s="391" t="inlineStr">
        <is>
          <t> </t>
        </is>
      </c>
      <c r="F400" s="391" t="inlineStr">
        <is>
          <t> </t>
        </is>
      </c>
      <c r="G400" s="391" t="inlineStr">
        <is>
          <t> </t>
        </is>
      </c>
      <c r="H400" s="391" t="inlineStr">
        <is>
          <t> </t>
        </is>
      </c>
      <c r="I400" s="391" t="inlineStr">
        <is>
          <t> </t>
        </is>
      </c>
      <c r="J400" s="391" t="inlineStr">
        <is>
          <t> </t>
        </is>
      </c>
      <c r="K400" s="38" t="inlineStr">
        <is>
          <t> </t>
        </is>
      </c>
      <c r="L400" s="391" t="inlineStr">
        <is>
          <t> </t>
        </is>
      </c>
      <c r="M400" s="391" t="inlineStr">
        <is>
          <t> </t>
        </is>
      </c>
      <c r="N400" s="391" t="inlineStr">
        <is>
          <t> </t>
        </is>
      </c>
      <c r="O400" s="391" t="inlineStr">
        <is>
          <t> </t>
        </is>
      </c>
      <c r="P400" s="391" t="inlineStr">
        <is>
          <t> </t>
        </is>
      </c>
      <c r="Q400" s="391" t="inlineStr">
        <is>
          <t> </t>
        </is>
      </c>
      <c r="R400" s="38" t="inlineStr">
        <is>
          <t> </t>
        </is>
      </c>
      <c r="S400" s="391" t="inlineStr">
        <is>
          <t> </t>
        </is>
      </c>
      <c r="T400" s="391" t="inlineStr">
        <is>
          <t> </t>
        </is>
      </c>
      <c r="U400" s="391" t="inlineStr">
        <is>
          <t> </t>
        </is>
      </c>
      <c r="V400" s="391" t="inlineStr">
        <is>
          <t> </t>
        </is>
      </c>
      <c r="W400" s="391" t="inlineStr">
        <is>
          <t> </t>
        </is>
      </c>
      <c r="X400" s="391" t="inlineStr">
        <is>
          <t> </t>
        </is>
      </c>
      <c r="Y400" s="392" t="inlineStr">
        <is>
          <t> </t>
        </is>
      </c>
      <c r="Z400" s="391" t="inlineStr">
        <is>
          <t> </t>
        </is>
      </c>
      <c r="AA400" s="391" t="inlineStr">
        <is>
          <t> </t>
        </is>
      </c>
      <c r="AB400" s="391" t="inlineStr">
        <is>
          <t> </t>
        </is>
      </c>
      <c r="AC400" s="391" t="inlineStr">
        <is>
          <t> </t>
        </is>
      </c>
      <c r="AD400" s="391" t="inlineStr">
        <is>
          <t> </t>
        </is>
      </c>
      <c r="AE400" s="391" t="inlineStr">
        <is>
          <t> </t>
        </is>
      </c>
      <c r="AF400" s="38" t="inlineStr">
        <is>
          <t> </t>
        </is>
      </c>
      <c r="AG400" s="391" t="inlineStr">
        <is>
          <t> </t>
        </is>
      </c>
      <c r="AH400" s="391" t="n"/>
      <c r="AI400" s="391" t="inlineStr">
        <is>
          <t> </t>
        </is>
      </c>
      <c r="AJ400" s="391" t="inlineStr">
        <is>
          <t> </t>
        </is>
      </c>
      <c r="AK400" s="391" t="inlineStr">
        <is>
          <t> </t>
        </is>
      </c>
      <c r="AL400" s="391" t="inlineStr">
        <is>
          <t> </t>
        </is>
      </c>
      <c r="AM400" s="391" t="inlineStr">
        <is>
          <t> </t>
        </is>
      </c>
      <c r="AN400" s="391" t="inlineStr">
        <is>
          <t> </t>
        </is>
      </c>
      <c r="AO400" s="391" t="n"/>
      <c r="AP400" s="319" t="n"/>
      <c r="AQ400" s="319" t="n"/>
      <c r="AR400" s="319" t="n"/>
    </row>
    <row r="401" ht="15.75" customHeight="1" s="1264">
      <c r="A401" s="319" t="inlineStr">
        <is>
          <t> </t>
        </is>
      </c>
      <c r="B401" s="319" t="inlineStr">
        <is>
          <t> </t>
        </is>
      </c>
      <c r="C401" s="319" t="inlineStr">
        <is>
          <t> </t>
        </is>
      </c>
      <c r="D401" s="38" t="inlineStr">
        <is>
          <t> </t>
        </is>
      </c>
      <c r="E401" s="391" t="inlineStr">
        <is>
          <t> </t>
        </is>
      </c>
      <c r="F401" s="391" t="inlineStr">
        <is>
          <t> </t>
        </is>
      </c>
      <c r="G401" s="391" t="inlineStr">
        <is>
          <t> </t>
        </is>
      </c>
      <c r="H401" s="391" t="inlineStr">
        <is>
          <t> </t>
        </is>
      </c>
      <c r="I401" s="391" t="inlineStr">
        <is>
          <t> </t>
        </is>
      </c>
      <c r="J401" s="391" t="inlineStr">
        <is>
          <t> </t>
        </is>
      </c>
      <c r="K401" s="38" t="inlineStr">
        <is>
          <t> </t>
        </is>
      </c>
      <c r="L401" s="391" t="inlineStr">
        <is>
          <t> </t>
        </is>
      </c>
      <c r="M401" s="391" t="inlineStr">
        <is>
          <t> </t>
        </is>
      </c>
      <c r="N401" s="391" t="inlineStr">
        <is>
          <t> </t>
        </is>
      </c>
      <c r="O401" s="391" t="inlineStr">
        <is>
          <t> </t>
        </is>
      </c>
      <c r="P401" s="391" t="inlineStr">
        <is>
          <t> </t>
        </is>
      </c>
      <c r="Q401" s="391" t="inlineStr">
        <is>
          <t> </t>
        </is>
      </c>
      <c r="R401" s="38" t="inlineStr">
        <is>
          <t> </t>
        </is>
      </c>
      <c r="S401" s="391" t="inlineStr">
        <is>
          <t> </t>
        </is>
      </c>
      <c r="T401" s="391" t="inlineStr">
        <is>
          <t> </t>
        </is>
      </c>
      <c r="U401" s="391" t="inlineStr">
        <is>
          <t> </t>
        </is>
      </c>
      <c r="V401" s="391" t="inlineStr">
        <is>
          <t> </t>
        </is>
      </c>
      <c r="W401" s="391" t="inlineStr">
        <is>
          <t> </t>
        </is>
      </c>
      <c r="X401" s="391" t="inlineStr">
        <is>
          <t> </t>
        </is>
      </c>
      <c r="Y401" s="392" t="inlineStr">
        <is>
          <t> </t>
        </is>
      </c>
      <c r="Z401" s="391" t="inlineStr">
        <is>
          <t> </t>
        </is>
      </c>
      <c r="AA401" s="391" t="inlineStr">
        <is>
          <t> </t>
        </is>
      </c>
      <c r="AB401" s="391" t="inlineStr">
        <is>
          <t> </t>
        </is>
      </c>
      <c r="AC401" s="391" t="inlineStr">
        <is>
          <t> </t>
        </is>
      </c>
      <c r="AD401" s="391" t="inlineStr">
        <is>
          <t> </t>
        </is>
      </c>
      <c r="AE401" s="391" t="inlineStr">
        <is>
          <t> </t>
        </is>
      </c>
      <c r="AF401" s="38" t="inlineStr">
        <is>
          <t> </t>
        </is>
      </c>
      <c r="AG401" s="391" t="inlineStr">
        <is>
          <t> </t>
        </is>
      </c>
      <c r="AH401" s="391" t="n"/>
      <c r="AI401" s="391" t="inlineStr">
        <is>
          <t> </t>
        </is>
      </c>
      <c r="AJ401" s="391" t="inlineStr">
        <is>
          <t> </t>
        </is>
      </c>
      <c r="AK401" s="391" t="inlineStr">
        <is>
          <t> </t>
        </is>
      </c>
      <c r="AL401" s="391" t="inlineStr">
        <is>
          <t> </t>
        </is>
      </c>
      <c r="AM401" s="391" t="inlineStr">
        <is>
          <t> </t>
        </is>
      </c>
      <c r="AN401" s="391" t="inlineStr">
        <is>
          <t> </t>
        </is>
      </c>
      <c r="AO401" s="391" t="n"/>
      <c r="AP401" s="319" t="n"/>
      <c r="AQ401" s="319" t="n"/>
      <c r="AR401" s="319" t="n"/>
    </row>
    <row r="402" ht="15.75" customHeight="1" s="1264">
      <c r="A402" s="319" t="inlineStr">
        <is>
          <t> </t>
        </is>
      </c>
      <c r="B402" s="319" t="inlineStr">
        <is>
          <t> </t>
        </is>
      </c>
      <c r="C402" s="319" t="inlineStr">
        <is>
          <t> </t>
        </is>
      </c>
      <c r="D402" s="38" t="inlineStr">
        <is>
          <t> </t>
        </is>
      </c>
      <c r="E402" s="391" t="inlineStr">
        <is>
          <t> </t>
        </is>
      </c>
      <c r="F402" s="391" t="inlineStr">
        <is>
          <t> </t>
        </is>
      </c>
      <c r="G402" s="391" t="inlineStr">
        <is>
          <t> </t>
        </is>
      </c>
      <c r="H402" s="391" t="inlineStr">
        <is>
          <t> </t>
        </is>
      </c>
      <c r="I402" s="391" t="inlineStr">
        <is>
          <t> </t>
        </is>
      </c>
      <c r="J402" s="391" t="inlineStr">
        <is>
          <t> </t>
        </is>
      </c>
      <c r="K402" s="38" t="inlineStr">
        <is>
          <t> </t>
        </is>
      </c>
      <c r="L402" s="391" t="inlineStr">
        <is>
          <t> </t>
        </is>
      </c>
      <c r="M402" s="391" t="inlineStr">
        <is>
          <t> </t>
        </is>
      </c>
      <c r="N402" s="391" t="inlineStr">
        <is>
          <t> </t>
        </is>
      </c>
      <c r="O402" s="391" t="inlineStr">
        <is>
          <t> </t>
        </is>
      </c>
      <c r="P402" s="391" t="inlineStr">
        <is>
          <t> </t>
        </is>
      </c>
      <c r="Q402" s="391" t="inlineStr">
        <is>
          <t> </t>
        </is>
      </c>
      <c r="R402" s="38" t="inlineStr">
        <is>
          <t> </t>
        </is>
      </c>
      <c r="S402" s="391" t="inlineStr">
        <is>
          <t> </t>
        </is>
      </c>
      <c r="T402" s="391" t="inlineStr">
        <is>
          <t> </t>
        </is>
      </c>
      <c r="U402" s="391" t="inlineStr">
        <is>
          <t> </t>
        </is>
      </c>
      <c r="V402" s="391" t="inlineStr">
        <is>
          <t> </t>
        </is>
      </c>
      <c r="W402" s="391" t="inlineStr">
        <is>
          <t> </t>
        </is>
      </c>
      <c r="X402" s="391" t="inlineStr">
        <is>
          <t> </t>
        </is>
      </c>
      <c r="Y402" s="392" t="inlineStr">
        <is>
          <t> </t>
        </is>
      </c>
      <c r="Z402" s="391" t="inlineStr">
        <is>
          <t> </t>
        </is>
      </c>
      <c r="AA402" s="391" t="inlineStr">
        <is>
          <t> </t>
        </is>
      </c>
      <c r="AB402" s="391" t="inlineStr">
        <is>
          <t> </t>
        </is>
      </c>
      <c r="AC402" s="391" t="inlineStr">
        <is>
          <t> </t>
        </is>
      </c>
      <c r="AD402" s="391" t="inlineStr">
        <is>
          <t> </t>
        </is>
      </c>
      <c r="AE402" s="391" t="inlineStr">
        <is>
          <t> </t>
        </is>
      </c>
      <c r="AF402" s="38" t="inlineStr">
        <is>
          <t> </t>
        </is>
      </c>
      <c r="AG402" s="391" t="inlineStr">
        <is>
          <t> </t>
        </is>
      </c>
      <c r="AH402" s="391" t="n"/>
      <c r="AI402" s="391" t="inlineStr">
        <is>
          <t> </t>
        </is>
      </c>
      <c r="AJ402" s="391" t="inlineStr">
        <is>
          <t> </t>
        </is>
      </c>
      <c r="AK402" s="391" t="inlineStr">
        <is>
          <t> </t>
        </is>
      </c>
      <c r="AL402" s="391" t="inlineStr">
        <is>
          <t> </t>
        </is>
      </c>
      <c r="AM402" s="391" t="inlineStr">
        <is>
          <t> </t>
        </is>
      </c>
      <c r="AN402" s="391" t="inlineStr">
        <is>
          <t> </t>
        </is>
      </c>
      <c r="AO402" s="391" t="n"/>
      <c r="AP402" s="319" t="n"/>
      <c r="AQ402" s="319" t="n"/>
      <c r="AR402" s="319" t="n"/>
    </row>
    <row r="403" ht="15.75" customHeight="1" s="1264">
      <c r="A403" s="319" t="inlineStr">
        <is>
          <t> </t>
        </is>
      </c>
      <c r="B403" s="319" t="inlineStr">
        <is>
          <t> </t>
        </is>
      </c>
      <c r="C403" s="319" t="inlineStr">
        <is>
          <t> </t>
        </is>
      </c>
      <c r="D403" s="38" t="inlineStr">
        <is>
          <t> </t>
        </is>
      </c>
      <c r="E403" s="391" t="inlineStr">
        <is>
          <t> </t>
        </is>
      </c>
      <c r="F403" s="391" t="inlineStr">
        <is>
          <t> </t>
        </is>
      </c>
      <c r="G403" s="391" t="inlineStr">
        <is>
          <t> </t>
        </is>
      </c>
      <c r="H403" s="391" t="inlineStr">
        <is>
          <t> </t>
        </is>
      </c>
      <c r="I403" s="391" t="inlineStr">
        <is>
          <t> </t>
        </is>
      </c>
      <c r="J403" s="391" t="inlineStr">
        <is>
          <t> </t>
        </is>
      </c>
      <c r="K403" s="38" t="inlineStr">
        <is>
          <t> </t>
        </is>
      </c>
      <c r="L403" s="391" t="inlineStr">
        <is>
          <t> </t>
        </is>
      </c>
      <c r="M403" s="391" t="inlineStr">
        <is>
          <t> </t>
        </is>
      </c>
      <c r="N403" s="391" t="inlineStr">
        <is>
          <t> </t>
        </is>
      </c>
      <c r="O403" s="391" t="inlineStr">
        <is>
          <t> </t>
        </is>
      </c>
      <c r="P403" s="391" t="inlineStr">
        <is>
          <t> </t>
        </is>
      </c>
      <c r="Q403" s="391" t="inlineStr">
        <is>
          <t> </t>
        </is>
      </c>
      <c r="R403" s="38" t="inlineStr">
        <is>
          <t> </t>
        </is>
      </c>
      <c r="S403" s="391" t="inlineStr">
        <is>
          <t> </t>
        </is>
      </c>
      <c r="T403" s="391" t="inlineStr">
        <is>
          <t> </t>
        </is>
      </c>
      <c r="U403" s="391" t="inlineStr">
        <is>
          <t> </t>
        </is>
      </c>
      <c r="V403" s="391" t="inlineStr">
        <is>
          <t> </t>
        </is>
      </c>
      <c r="W403" s="391" t="inlineStr">
        <is>
          <t> </t>
        </is>
      </c>
      <c r="X403" s="391" t="inlineStr">
        <is>
          <t> </t>
        </is>
      </c>
      <c r="Y403" s="392" t="inlineStr">
        <is>
          <t> </t>
        </is>
      </c>
      <c r="Z403" s="391" t="inlineStr">
        <is>
          <t> </t>
        </is>
      </c>
      <c r="AA403" s="391" t="inlineStr">
        <is>
          <t> </t>
        </is>
      </c>
      <c r="AB403" s="391" t="inlineStr">
        <is>
          <t> </t>
        </is>
      </c>
      <c r="AC403" s="391" t="inlineStr">
        <is>
          <t> </t>
        </is>
      </c>
      <c r="AD403" s="391" t="inlineStr">
        <is>
          <t> </t>
        </is>
      </c>
      <c r="AE403" s="391" t="inlineStr">
        <is>
          <t> </t>
        </is>
      </c>
      <c r="AF403" s="38" t="inlineStr">
        <is>
          <t> </t>
        </is>
      </c>
      <c r="AG403" s="391" t="inlineStr">
        <is>
          <t> </t>
        </is>
      </c>
      <c r="AH403" s="391" t="n"/>
      <c r="AI403" s="391" t="inlineStr">
        <is>
          <t> </t>
        </is>
      </c>
      <c r="AJ403" s="391" t="inlineStr">
        <is>
          <t> </t>
        </is>
      </c>
      <c r="AK403" s="391" t="inlineStr">
        <is>
          <t> </t>
        </is>
      </c>
      <c r="AL403" s="391" t="inlineStr">
        <is>
          <t> </t>
        </is>
      </c>
      <c r="AM403" s="391" t="inlineStr">
        <is>
          <t> </t>
        </is>
      </c>
      <c r="AN403" s="391" t="inlineStr">
        <is>
          <t> </t>
        </is>
      </c>
      <c r="AO403" s="391" t="n"/>
      <c r="AP403" s="319" t="n"/>
      <c r="AQ403" s="319" t="n"/>
      <c r="AR403" s="319" t="n"/>
    </row>
    <row r="404" ht="15.75" customHeight="1" s="1264">
      <c r="A404" s="319" t="inlineStr">
        <is>
          <t> </t>
        </is>
      </c>
      <c r="B404" s="319" t="inlineStr">
        <is>
          <t> </t>
        </is>
      </c>
      <c r="C404" s="319" t="inlineStr">
        <is>
          <t> </t>
        </is>
      </c>
      <c r="D404" s="38" t="inlineStr">
        <is>
          <t> </t>
        </is>
      </c>
      <c r="E404" s="391" t="inlineStr">
        <is>
          <t> </t>
        </is>
      </c>
      <c r="F404" s="391" t="inlineStr">
        <is>
          <t> </t>
        </is>
      </c>
      <c r="G404" s="391" t="inlineStr">
        <is>
          <t> </t>
        </is>
      </c>
      <c r="H404" s="391" t="inlineStr">
        <is>
          <t> </t>
        </is>
      </c>
      <c r="I404" s="391" t="inlineStr">
        <is>
          <t> </t>
        </is>
      </c>
      <c r="J404" s="391" t="inlineStr">
        <is>
          <t> </t>
        </is>
      </c>
      <c r="K404" s="38" t="inlineStr">
        <is>
          <t> </t>
        </is>
      </c>
      <c r="L404" s="391" t="inlineStr">
        <is>
          <t> </t>
        </is>
      </c>
      <c r="M404" s="391" t="inlineStr">
        <is>
          <t> </t>
        </is>
      </c>
      <c r="N404" s="391" t="inlineStr">
        <is>
          <t> </t>
        </is>
      </c>
      <c r="O404" s="391" t="inlineStr">
        <is>
          <t> </t>
        </is>
      </c>
      <c r="P404" s="391" t="inlineStr">
        <is>
          <t> </t>
        </is>
      </c>
      <c r="Q404" s="391" t="inlineStr">
        <is>
          <t> </t>
        </is>
      </c>
      <c r="R404" s="38" t="inlineStr">
        <is>
          <t> </t>
        </is>
      </c>
      <c r="S404" s="391" t="inlineStr">
        <is>
          <t> </t>
        </is>
      </c>
      <c r="T404" s="391" t="inlineStr">
        <is>
          <t> </t>
        </is>
      </c>
      <c r="U404" s="391" t="inlineStr">
        <is>
          <t> </t>
        </is>
      </c>
      <c r="V404" s="391" t="inlineStr">
        <is>
          <t> </t>
        </is>
      </c>
      <c r="W404" s="391" t="inlineStr">
        <is>
          <t> </t>
        </is>
      </c>
      <c r="X404" s="391" t="inlineStr">
        <is>
          <t> </t>
        </is>
      </c>
      <c r="Y404" s="392" t="inlineStr">
        <is>
          <t> </t>
        </is>
      </c>
      <c r="Z404" s="391" t="inlineStr">
        <is>
          <t> </t>
        </is>
      </c>
      <c r="AA404" s="391" t="inlineStr">
        <is>
          <t> </t>
        </is>
      </c>
      <c r="AB404" s="391" t="inlineStr">
        <is>
          <t> </t>
        </is>
      </c>
      <c r="AC404" s="391" t="inlineStr">
        <is>
          <t> </t>
        </is>
      </c>
      <c r="AD404" s="391" t="inlineStr">
        <is>
          <t> </t>
        </is>
      </c>
      <c r="AE404" s="391" t="inlineStr">
        <is>
          <t> </t>
        </is>
      </c>
      <c r="AF404" s="38" t="inlineStr">
        <is>
          <t> </t>
        </is>
      </c>
      <c r="AG404" s="391" t="inlineStr">
        <is>
          <t> </t>
        </is>
      </c>
      <c r="AH404" s="391" t="n"/>
      <c r="AI404" s="391" t="inlineStr">
        <is>
          <t> </t>
        </is>
      </c>
      <c r="AJ404" s="391" t="inlineStr">
        <is>
          <t> </t>
        </is>
      </c>
      <c r="AK404" s="391" t="inlineStr">
        <is>
          <t> </t>
        </is>
      </c>
      <c r="AL404" s="391" t="inlineStr">
        <is>
          <t> </t>
        </is>
      </c>
      <c r="AM404" s="391" t="inlineStr">
        <is>
          <t> </t>
        </is>
      </c>
      <c r="AN404" s="391" t="inlineStr">
        <is>
          <t> </t>
        </is>
      </c>
      <c r="AO404" s="391" t="n"/>
      <c r="AP404" s="319" t="n"/>
      <c r="AQ404" s="319" t="n"/>
      <c r="AR404" s="319" t="n"/>
    </row>
    <row r="405" ht="15.75" customHeight="1" s="1264">
      <c r="A405" s="319" t="inlineStr">
        <is>
          <t> </t>
        </is>
      </c>
      <c r="B405" s="319" t="inlineStr">
        <is>
          <t> </t>
        </is>
      </c>
      <c r="C405" s="319" t="inlineStr">
        <is>
          <t> </t>
        </is>
      </c>
      <c r="D405" s="38" t="inlineStr">
        <is>
          <t> </t>
        </is>
      </c>
      <c r="E405" s="391" t="inlineStr">
        <is>
          <t> </t>
        </is>
      </c>
      <c r="F405" s="391" t="inlineStr">
        <is>
          <t> </t>
        </is>
      </c>
      <c r="G405" s="391" t="inlineStr">
        <is>
          <t> </t>
        </is>
      </c>
      <c r="H405" s="391" t="inlineStr">
        <is>
          <t> </t>
        </is>
      </c>
      <c r="I405" s="391" t="inlineStr">
        <is>
          <t> </t>
        </is>
      </c>
      <c r="J405" s="391" t="inlineStr">
        <is>
          <t> </t>
        </is>
      </c>
      <c r="K405" s="38" t="inlineStr">
        <is>
          <t> </t>
        </is>
      </c>
      <c r="L405" s="391" t="inlineStr">
        <is>
          <t> </t>
        </is>
      </c>
      <c r="M405" s="391" t="inlineStr">
        <is>
          <t> </t>
        </is>
      </c>
      <c r="N405" s="391" t="inlineStr">
        <is>
          <t> </t>
        </is>
      </c>
      <c r="O405" s="391" t="inlineStr">
        <is>
          <t> </t>
        </is>
      </c>
      <c r="P405" s="391" t="inlineStr">
        <is>
          <t> </t>
        </is>
      </c>
      <c r="Q405" s="391" t="inlineStr">
        <is>
          <t> </t>
        </is>
      </c>
      <c r="R405" s="38" t="inlineStr">
        <is>
          <t> </t>
        </is>
      </c>
      <c r="S405" s="391" t="inlineStr">
        <is>
          <t> </t>
        </is>
      </c>
      <c r="T405" s="391" t="inlineStr">
        <is>
          <t> </t>
        </is>
      </c>
      <c r="U405" s="391" t="inlineStr">
        <is>
          <t> </t>
        </is>
      </c>
      <c r="V405" s="391" t="inlineStr">
        <is>
          <t> </t>
        </is>
      </c>
      <c r="W405" s="391" t="inlineStr">
        <is>
          <t> </t>
        </is>
      </c>
      <c r="X405" s="391" t="inlineStr">
        <is>
          <t> </t>
        </is>
      </c>
      <c r="Y405" s="392" t="inlineStr">
        <is>
          <t> </t>
        </is>
      </c>
      <c r="Z405" s="391" t="inlineStr">
        <is>
          <t> </t>
        </is>
      </c>
      <c r="AA405" s="391" t="inlineStr">
        <is>
          <t> </t>
        </is>
      </c>
      <c r="AB405" s="391" t="inlineStr">
        <is>
          <t> </t>
        </is>
      </c>
      <c r="AC405" s="391" t="inlineStr">
        <is>
          <t> </t>
        </is>
      </c>
      <c r="AD405" s="391" t="inlineStr">
        <is>
          <t> </t>
        </is>
      </c>
      <c r="AE405" s="391" t="inlineStr">
        <is>
          <t> </t>
        </is>
      </c>
      <c r="AF405" s="38" t="inlineStr">
        <is>
          <t> </t>
        </is>
      </c>
      <c r="AG405" s="391" t="inlineStr">
        <is>
          <t> </t>
        </is>
      </c>
      <c r="AH405" s="391" t="n"/>
      <c r="AI405" s="391" t="inlineStr">
        <is>
          <t> </t>
        </is>
      </c>
      <c r="AJ405" s="391" t="inlineStr">
        <is>
          <t> </t>
        </is>
      </c>
      <c r="AK405" s="391" t="inlineStr">
        <is>
          <t> </t>
        </is>
      </c>
      <c r="AL405" s="391" t="inlineStr">
        <is>
          <t> </t>
        </is>
      </c>
      <c r="AM405" s="391" t="inlineStr">
        <is>
          <t> </t>
        </is>
      </c>
      <c r="AN405" s="391" t="inlineStr">
        <is>
          <t> </t>
        </is>
      </c>
      <c r="AO405" s="391" t="n"/>
      <c r="AP405" s="319" t="n"/>
      <c r="AQ405" s="319" t="n"/>
      <c r="AR405" s="319" t="n"/>
    </row>
    <row r="406" ht="15.75" customHeight="1" s="1264">
      <c r="A406" s="319" t="inlineStr">
        <is>
          <t> </t>
        </is>
      </c>
      <c r="B406" s="319" t="inlineStr">
        <is>
          <t> </t>
        </is>
      </c>
      <c r="C406" s="319" t="inlineStr">
        <is>
          <t> </t>
        </is>
      </c>
      <c r="D406" s="38" t="inlineStr">
        <is>
          <t> </t>
        </is>
      </c>
      <c r="E406" s="391" t="inlineStr">
        <is>
          <t> </t>
        </is>
      </c>
      <c r="F406" s="391" t="inlineStr">
        <is>
          <t> </t>
        </is>
      </c>
      <c r="G406" s="391" t="inlineStr">
        <is>
          <t> </t>
        </is>
      </c>
      <c r="H406" s="391" t="inlineStr">
        <is>
          <t> </t>
        </is>
      </c>
      <c r="I406" s="391" t="inlineStr">
        <is>
          <t> </t>
        </is>
      </c>
      <c r="J406" s="391" t="inlineStr">
        <is>
          <t> </t>
        </is>
      </c>
      <c r="K406" s="38" t="inlineStr">
        <is>
          <t> </t>
        </is>
      </c>
      <c r="L406" s="391" t="inlineStr">
        <is>
          <t> </t>
        </is>
      </c>
      <c r="M406" s="391" t="inlineStr">
        <is>
          <t> </t>
        </is>
      </c>
      <c r="N406" s="391" t="inlineStr">
        <is>
          <t> </t>
        </is>
      </c>
      <c r="O406" s="391" t="inlineStr">
        <is>
          <t> </t>
        </is>
      </c>
      <c r="P406" s="391" t="inlineStr">
        <is>
          <t> </t>
        </is>
      </c>
      <c r="Q406" s="391" t="inlineStr">
        <is>
          <t> </t>
        </is>
      </c>
      <c r="R406" s="38" t="inlineStr">
        <is>
          <t> </t>
        </is>
      </c>
      <c r="S406" s="391" t="inlineStr">
        <is>
          <t> </t>
        </is>
      </c>
      <c r="T406" s="391" t="inlineStr">
        <is>
          <t> </t>
        </is>
      </c>
      <c r="U406" s="391" t="inlineStr">
        <is>
          <t> </t>
        </is>
      </c>
      <c r="V406" s="391" t="inlineStr">
        <is>
          <t> </t>
        </is>
      </c>
      <c r="W406" s="391" t="inlineStr">
        <is>
          <t> </t>
        </is>
      </c>
      <c r="X406" s="391" t="inlineStr">
        <is>
          <t> </t>
        </is>
      </c>
      <c r="Y406" s="392" t="inlineStr">
        <is>
          <t> </t>
        </is>
      </c>
      <c r="Z406" s="391" t="inlineStr">
        <is>
          <t> </t>
        </is>
      </c>
      <c r="AA406" s="391" t="inlineStr">
        <is>
          <t> </t>
        </is>
      </c>
      <c r="AB406" s="391" t="inlineStr">
        <is>
          <t> </t>
        </is>
      </c>
      <c r="AC406" s="391" t="inlineStr">
        <is>
          <t> </t>
        </is>
      </c>
      <c r="AD406" s="391" t="inlineStr">
        <is>
          <t> </t>
        </is>
      </c>
      <c r="AE406" s="391" t="inlineStr">
        <is>
          <t> </t>
        </is>
      </c>
      <c r="AF406" s="38" t="inlineStr">
        <is>
          <t> </t>
        </is>
      </c>
      <c r="AG406" s="391" t="inlineStr">
        <is>
          <t> </t>
        </is>
      </c>
      <c r="AH406" s="391" t="n"/>
      <c r="AI406" s="391" t="inlineStr">
        <is>
          <t> </t>
        </is>
      </c>
      <c r="AJ406" s="391" t="inlineStr">
        <is>
          <t> </t>
        </is>
      </c>
      <c r="AK406" s="391" t="inlineStr">
        <is>
          <t> </t>
        </is>
      </c>
      <c r="AL406" s="391" t="inlineStr">
        <is>
          <t> </t>
        </is>
      </c>
      <c r="AM406" s="391" t="inlineStr">
        <is>
          <t> </t>
        </is>
      </c>
      <c r="AN406" s="391" t="inlineStr">
        <is>
          <t> </t>
        </is>
      </c>
      <c r="AO406" s="391" t="n"/>
      <c r="AP406" s="319" t="n"/>
      <c r="AQ406" s="319" t="n"/>
      <c r="AR406" s="319" t="n"/>
    </row>
    <row r="407" ht="15.75" customHeight="1" s="1264">
      <c r="A407" s="319" t="inlineStr">
        <is>
          <t> </t>
        </is>
      </c>
      <c r="B407" s="319" t="inlineStr">
        <is>
          <t> </t>
        </is>
      </c>
      <c r="C407" s="319" t="inlineStr">
        <is>
          <t> </t>
        </is>
      </c>
      <c r="D407" s="38" t="inlineStr">
        <is>
          <t> </t>
        </is>
      </c>
      <c r="E407" s="391" t="inlineStr">
        <is>
          <t> </t>
        </is>
      </c>
      <c r="F407" s="391" t="inlineStr">
        <is>
          <t> </t>
        </is>
      </c>
      <c r="G407" s="391" t="inlineStr">
        <is>
          <t> </t>
        </is>
      </c>
      <c r="H407" s="391" t="inlineStr">
        <is>
          <t> </t>
        </is>
      </c>
      <c r="I407" s="391" t="inlineStr">
        <is>
          <t> </t>
        </is>
      </c>
      <c r="J407" s="391" t="inlineStr">
        <is>
          <t> </t>
        </is>
      </c>
      <c r="K407" s="38" t="inlineStr">
        <is>
          <t> </t>
        </is>
      </c>
      <c r="L407" s="391" t="inlineStr">
        <is>
          <t> </t>
        </is>
      </c>
      <c r="M407" s="391" t="inlineStr">
        <is>
          <t> </t>
        </is>
      </c>
      <c r="N407" s="391" t="inlineStr">
        <is>
          <t> </t>
        </is>
      </c>
      <c r="O407" s="391" t="inlineStr">
        <is>
          <t> </t>
        </is>
      </c>
      <c r="P407" s="391" t="inlineStr">
        <is>
          <t> </t>
        </is>
      </c>
      <c r="Q407" s="391" t="inlineStr">
        <is>
          <t> </t>
        </is>
      </c>
      <c r="R407" s="38" t="inlineStr">
        <is>
          <t> </t>
        </is>
      </c>
      <c r="S407" s="391" t="inlineStr">
        <is>
          <t> </t>
        </is>
      </c>
      <c r="T407" s="391" t="inlineStr">
        <is>
          <t> </t>
        </is>
      </c>
      <c r="U407" s="391" t="inlineStr">
        <is>
          <t> </t>
        </is>
      </c>
      <c r="V407" s="391" t="inlineStr">
        <is>
          <t> </t>
        </is>
      </c>
      <c r="W407" s="391" t="inlineStr">
        <is>
          <t> </t>
        </is>
      </c>
      <c r="X407" s="391" t="inlineStr">
        <is>
          <t> </t>
        </is>
      </c>
      <c r="Y407" s="392" t="inlineStr">
        <is>
          <t> </t>
        </is>
      </c>
      <c r="Z407" s="391" t="inlineStr">
        <is>
          <t> </t>
        </is>
      </c>
      <c r="AA407" s="391" t="inlineStr">
        <is>
          <t> </t>
        </is>
      </c>
      <c r="AB407" s="391" t="inlineStr">
        <is>
          <t> </t>
        </is>
      </c>
      <c r="AC407" s="391" t="inlineStr">
        <is>
          <t> </t>
        </is>
      </c>
      <c r="AD407" s="391" t="inlineStr">
        <is>
          <t> </t>
        </is>
      </c>
      <c r="AE407" s="391" t="inlineStr">
        <is>
          <t> </t>
        </is>
      </c>
      <c r="AF407" s="38" t="inlineStr">
        <is>
          <t> </t>
        </is>
      </c>
      <c r="AG407" s="391" t="inlineStr">
        <is>
          <t> </t>
        </is>
      </c>
      <c r="AH407" s="391" t="n"/>
      <c r="AI407" s="391" t="inlineStr">
        <is>
          <t> </t>
        </is>
      </c>
      <c r="AJ407" s="391" t="inlineStr">
        <is>
          <t> </t>
        </is>
      </c>
      <c r="AK407" s="391" t="inlineStr">
        <is>
          <t> </t>
        </is>
      </c>
      <c r="AL407" s="391" t="inlineStr">
        <is>
          <t> </t>
        </is>
      </c>
      <c r="AM407" s="391" t="inlineStr">
        <is>
          <t> </t>
        </is>
      </c>
      <c r="AN407" s="391" t="inlineStr">
        <is>
          <t> </t>
        </is>
      </c>
      <c r="AO407" s="391" t="n"/>
      <c r="AP407" s="319" t="n"/>
      <c r="AQ407" s="319" t="n"/>
      <c r="AR407" s="319" t="n"/>
    </row>
    <row r="408" ht="15.75" customHeight="1" s="1264">
      <c r="A408" s="319" t="inlineStr">
        <is>
          <t> </t>
        </is>
      </c>
      <c r="B408" s="319" t="inlineStr">
        <is>
          <t> </t>
        </is>
      </c>
      <c r="C408" s="319" t="inlineStr">
        <is>
          <t> </t>
        </is>
      </c>
      <c r="D408" s="38" t="inlineStr">
        <is>
          <t> </t>
        </is>
      </c>
      <c r="E408" s="391" t="inlineStr">
        <is>
          <t> </t>
        </is>
      </c>
      <c r="F408" s="391" t="inlineStr">
        <is>
          <t> </t>
        </is>
      </c>
      <c r="G408" s="391" t="inlineStr">
        <is>
          <t> </t>
        </is>
      </c>
      <c r="H408" s="391" t="inlineStr">
        <is>
          <t> </t>
        </is>
      </c>
      <c r="I408" s="391" t="inlineStr">
        <is>
          <t> </t>
        </is>
      </c>
      <c r="J408" s="391" t="inlineStr">
        <is>
          <t> </t>
        </is>
      </c>
      <c r="K408" s="38" t="inlineStr">
        <is>
          <t> </t>
        </is>
      </c>
      <c r="L408" s="391" t="inlineStr">
        <is>
          <t> </t>
        </is>
      </c>
      <c r="M408" s="391" t="inlineStr">
        <is>
          <t> </t>
        </is>
      </c>
      <c r="N408" s="391" t="inlineStr">
        <is>
          <t> </t>
        </is>
      </c>
      <c r="O408" s="391" t="inlineStr">
        <is>
          <t> </t>
        </is>
      </c>
      <c r="P408" s="391" t="inlineStr">
        <is>
          <t> </t>
        </is>
      </c>
      <c r="Q408" s="391" t="inlineStr">
        <is>
          <t> </t>
        </is>
      </c>
      <c r="R408" s="38" t="inlineStr">
        <is>
          <t> </t>
        </is>
      </c>
      <c r="S408" s="391" t="inlineStr">
        <is>
          <t> </t>
        </is>
      </c>
      <c r="T408" s="391" t="inlineStr">
        <is>
          <t> </t>
        </is>
      </c>
      <c r="U408" s="391" t="inlineStr">
        <is>
          <t> </t>
        </is>
      </c>
      <c r="V408" s="391" t="inlineStr">
        <is>
          <t> </t>
        </is>
      </c>
      <c r="W408" s="391" t="inlineStr">
        <is>
          <t> </t>
        </is>
      </c>
      <c r="X408" s="391" t="inlineStr">
        <is>
          <t> </t>
        </is>
      </c>
      <c r="Y408" s="392" t="inlineStr">
        <is>
          <t> </t>
        </is>
      </c>
      <c r="Z408" s="391" t="inlineStr">
        <is>
          <t> </t>
        </is>
      </c>
      <c r="AA408" s="391" t="inlineStr">
        <is>
          <t> </t>
        </is>
      </c>
      <c r="AB408" s="391" t="inlineStr">
        <is>
          <t> </t>
        </is>
      </c>
      <c r="AC408" s="391" t="inlineStr">
        <is>
          <t> </t>
        </is>
      </c>
      <c r="AD408" s="391" t="inlineStr">
        <is>
          <t> </t>
        </is>
      </c>
      <c r="AE408" s="391" t="inlineStr">
        <is>
          <t> </t>
        </is>
      </c>
      <c r="AF408" s="38" t="inlineStr">
        <is>
          <t> </t>
        </is>
      </c>
      <c r="AG408" s="391" t="inlineStr">
        <is>
          <t> </t>
        </is>
      </c>
      <c r="AH408" s="391" t="n"/>
      <c r="AI408" s="391" t="inlineStr">
        <is>
          <t> </t>
        </is>
      </c>
      <c r="AJ408" s="391" t="inlineStr">
        <is>
          <t> </t>
        </is>
      </c>
      <c r="AK408" s="391" t="inlineStr">
        <is>
          <t> </t>
        </is>
      </c>
      <c r="AL408" s="391" t="inlineStr">
        <is>
          <t> </t>
        </is>
      </c>
      <c r="AM408" s="391" t="inlineStr">
        <is>
          <t> </t>
        </is>
      </c>
      <c r="AN408" s="391" t="inlineStr">
        <is>
          <t> </t>
        </is>
      </c>
      <c r="AO408" s="391" t="n"/>
      <c r="AP408" s="319" t="n"/>
      <c r="AQ408" s="319" t="n"/>
      <c r="AR408" s="319" t="n"/>
    </row>
    <row r="409" ht="15.75" customHeight="1" s="1264">
      <c r="A409" s="319" t="inlineStr">
        <is>
          <t> </t>
        </is>
      </c>
      <c r="B409" s="319" t="inlineStr">
        <is>
          <t> </t>
        </is>
      </c>
      <c r="C409" s="319" t="inlineStr">
        <is>
          <t> </t>
        </is>
      </c>
      <c r="D409" s="38" t="inlineStr">
        <is>
          <t> </t>
        </is>
      </c>
      <c r="E409" s="391" t="inlineStr">
        <is>
          <t> </t>
        </is>
      </c>
      <c r="F409" s="391" t="inlineStr">
        <is>
          <t> </t>
        </is>
      </c>
      <c r="G409" s="391" t="inlineStr">
        <is>
          <t> </t>
        </is>
      </c>
      <c r="H409" s="391" t="inlineStr">
        <is>
          <t> </t>
        </is>
      </c>
      <c r="I409" s="391" t="inlineStr">
        <is>
          <t> </t>
        </is>
      </c>
      <c r="J409" s="391" t="inlineStr">
        <is>
          <t> </t>
        </is>
      </c>
      <c r="K409" s="38" t="inlineStr">
        <is>
          <t> </t>
        </is>
      </c>
      <c r="L409" s="391" t="inlineStr">
        <is>
          <t> </t>
        </is>
      </c>
      <c r="M409" s="391" t="inlineStr">
        <is>
          <t> </t>
        </is>
      </c>
      <c r="N409" s="391" t="inlineStr">
        <is>
          <t> </t>
        </is>
      </c>
      <c r="O409" s="391" t="inlineStr">
        <is>
          <t> </t>
        </is>
      </c>
      <c r="P409" s="391" t="inlineStr">
        <is>
          <t> </t>
        </is>
      </c>
      <c r="Q409" s="391" t="inlineStr">
        <is>
          <t> </t>
        </is>
      </c>
      <c r="R409" s="38" t="inlineStr">
        <is>
          <t> </t>
        </is>
      </c>
      <c r="S409" s="391" t="inlineStr">
        <is>
          <t> </t>
        </is>
      </c>
      <c r="T409" s="391" t="inlineStr">
        <is>
          <t> </t>
        </is>
      </c>
      <c r="U409" s="391" t="inlineStr">
        <is>
          <t> </t>
        </is>
      </c>
      <c r="V409" s="391" t="inlineStr">
        <is>
          <t> </t>
        </is>
      </c>
      <c r="W409" s="391" t="inlineStr">
        <is>
          <t> </t>
        </is>
      </c>
      <c r="X409" s="391" t="inlineStr">
        <is>
          <t> </t>
        </is>
      </c>
      <c r="Y409" s="392" t="inlineStr">
        <is>
          <t> </t>
        </is>
      </c>
      <c r="Z409" s="391" t="inlineStr">
        <is>
          <t> </t>
        </is>
      </c>
      <c r="AA409" s="391" t="inlineStr">
        <is>
          <t> </t>
        </is>
      </c>
      <c r="AB409" s="391" t="inlineStr">
        <is>
          <t> </t>
        </is>
      </c>
      <c r="AC409" s="391" t="inlineStr">
        <is>
          <t> </t>
        </is>
      </c>
      <c r="AD409" s="391" t="inlineStr">
        <is>
          <t> </t>
        </is>
      </c>
      <c r="AE409" s="391" t="inlineStr">
        <is>
          <t> </t>
        </is>
      </c>
      <c r="AF409" s="38" t="inlineStr">
        <is>
          <t> </t>
        </is>
      </c>
      <c r="AG409" s="391" t="inlineStr">
        <is>
          <t> </t>
        </is>
      </c>
      <c r="AH409" s="391" t="n"/>
      <c r="AI409" s="391" t="inlineStr">
        <is>
          <t> </t>
        </is>
      </c>
      <c r="AJ409" s="391" t="inlineStr">
        <is>
          <t> </t>
        </is>
      </c>
      <c r="AK409" s="391" t="inlineStr">
        <is>
          <t> </t>
        </is>
      </c>
      <c r="AL409" s="391" t="inlineStr">
        <is>
          <t> </t>
        </is>
      </c>
      <c r="AM409" s="391" t="inlineStr">
        <is>
          <t> </t>
        </is>
      </c>
      <c r="AN409" s="391" t="inlineStr">
        <is>
          <t> </t>
        </is>
      </c>
      <c r="AO409" s="391" t="n"/>
      <c r="AP409" s="319" t="n"/>
      <c r="AQ409" s="319" t="n"/>
      <c r="AR409" s="319" t="n"/>
    </row>
    <row r="410" ht="15.75" customHeight="1" s="1264">
      <c r="A410" s="319" t="inlineStr">
        <is>
          <t> </t>
        </is>
      </c>
      <c r="B410" s="319" t="inlineStr">
        <is>
          <t> </t>
        </is>
      </c>
      <c r="C410" s="319" t="inlineStr">
        <is>
          <t> </t>
        </is>
      </c>
      <c r="D410" s="38" t="inlineStr">
        <is>
          <t> </t>
        </is>
      </c>
      <c r="E410" s="391" t="inlineStr">
        <is>
          <t> </t>
        </is>
      </c>
      <c r="F410" s="391" t="inlineStr">
        <is>
          <t> </t>
        </is>
      </c>
      <c r="G410" s="391" t="inlineStr">
        <is>
          <t> </t>
        </is>
      </c>
      <c r="H410" s="391" t="inlineStr">
        <is>
          <t> </t>
        </is>
      </c>
      <c r="I410" s="391" t="inlineStr">
        <is>
          <t> </t>
        </is>
      </c>
      <c r="J410" s="391" t="inlineStr">
        <is>
          <t> </t>
        </is>
      </c>
      <c r="K410" s="38" t="inlineStr">
        <is>
          <t> </t>
        </is>
      </c>
      <c r="L410" s="391" t="inlineStr">
        <is>
          <t> </t>
        </is>
      </c>
      <c r="M410" s="391" t="inlineStr">
        <is>
          <t> </t>
        </is>
      </c>
      <c r="N410" s="391" t="inlineStr">
        <is>
          <t> </t>
        </is>
      </c>
      <c r="O410" s="391" t="inlineStr">
        <is>
          <t> </t>
        </is>
      </c>
      <c r="P410" s="391" t="inlineStr">
        <is>
          <t> </t>
        </is>
      </c>
      <c r="Q410" s="391" t="inlineStr">
        <is>
          <t> </t>
        </is>
      </c>
      <c r="R410" s="38" t="inlineStr">
        <is>
          <t> </t>
        </is>
      </c>
      <c r="S410" s="391" t="inlineStr">
        <is>
          <t> </t>
        </is>
      </c>
      <c r="T410" s="391" t="inlineStr">
        <is>
          <t> </t>
        </is>
      </c>
      <c r="U410" s="391" t="inlineStr">
        <is>
          <t> </t>
        </is>
      </c>
      <c r="V410" s="391" t="inlineStr">
        <is>
          <t> </t>
        </is>
      </c>
      <c r="W410" s="391" t="inlineStr">
        <is>
          <t> </t>
        </is>
      </c>
      <c r="X410" s="391" t="inlineStr">
        <is>
          <t> </t>
        </is>
      </c>
      <c r="Y410" s="392" t="inlineStr">
        <is>
          <t> </t>
        </is>
      </c>
      <c r="Z410" s="391" t="inlineStr">
        <is>
          <t> </t>
        </is>
      </c>
      <c r="AA410" s="391" t="inlineStr">
        <is>
          <t> </t>
        </is>
      </c>
      <c r="AB410" s="391" t="inlineStr">
        <is>
          <t> </t>
        </is>
      </c>
      <c r="AC410" s="391" t="inlineStr">
        <is>
          <t> </t>
        </is>
      </c>
      <c r="AD410" s="391" t="inlineStr">
        <is>
          <t> </t>
        </is>
      </c>
      <c r="AE410" s="391" t="inlineStr">
        <is>
          <t> </t>
        </is>
      </c>
      <c r="AF410" s="38" t="inlineStr">
        <is>
          <t> </t>
        </is>
      </c>
      <c r="AG410" s="391" t="inlineStr">
        <is>
          <t> </t>
        </is>
      </c>
      <c r="AH410" s="391" t="n"/>
      <c r="AI410" s="391" t="inlineStr">
        <is>
          <t> </t>
        </is>
      </c>
      <c r="AJ410" s="391" t="inlineStr">
        <is>
          <t> </t>
        </is>
      </c>
      <c r="AK410" s="391" t="inlineStr">
        <is>
          <t> </t>
        </is>
      </c>
      <c r="AL410" s="391" t="inlineStr">
        <is>
          <t> </t>
        </is>
      </c>
      <c r="AM410" s="391" t="inlineStr">
        <is>
          <t> </t>
        </is>
      </c>
      <c r="AN410" s="391" t="inlineStr">
        <is>
          <t> </t>
        </is>
      </c>
      <c r="AO410" s="391" t="n"/>
      <c r="AP410" s="319" t="n"/>
      <c r="AQ410" s="319" t="n"/>
      <c r="AR410" s="319" t="n"/>
    </row>
    <row r="411" ht="15.75" customHeight="1" s="1264">
      <c r="A411" s="319" t="inlineStr">
        <is>
          <t> </t>
        </is>
      </c>
      <c r="B411" s="319" t="inlineStr">
        <is>
          <t> </t>
        </is>
      </c>
      <c r="C411" s="319" t="inlineStr">
        <is>
          <t> </t>
        </is>
      </c>
      <c r="D411" s="38" t="inlineStr">
        <is>
          <t> </t>
        </is>
      </c>
      <c r="E411" s="391" t="inlineStr">
        <is>
          <t> </t>
        </is>
      </c>
      <c r="F411" s="391" t="inlineStr">
        <is>
          <t> </t>
        </is>
      </c>
      <c r="G411" s="391" t="inlineStr">
        <is>
          <t> </t>
        </is>
      </c>
      <c r="H411" s="391" t="inlineStr">
        <is>
          <t> </t>
        </is>
      </c>
      <c r="I411" s="391" t="inlineStr">
        <is>
          <t> </t>
        </is>
      </c>
      <c r="J411" s="391" t="inlineStr">
        <is>
          <t> </t>
        </is>
      </c>
      <c r="K411" s="38" t="inlineStr">
        <is>
          <t> </t>
        </is>
      </c>
      <c r="L411" s="391" t="inlineStr">
        <is>
          <t> </t>
        </is>
      </c>
      <c r="M411" s="391" t="inlineStr">
        <is>
          <t> </t>
        </is>
      </c>
      <c r="N411" s="391" t="inlineStr">
        <is>
          <t> </t>
        </is>
      </c>
      <c r="O411" s="391" t="inlineStr">
        <is>
          <t> </t>
        </is>
      </c>
      <c r="P411" s="391" t="inlineStr">
        <is>
          <t> </t>
        </is>
      </c>
      <c r="Q411" s="391" t="inlineStr">
        <is>
          <t> </t>
        </is>
      </c>
      <c r="R411" s="38" t="inlineStr">
        <is>
          <t> </t>
        </is>
      </c>
      <c r="S411" s="391" t="inlineStr">
        <is>
          <t> </t>
        </is>
      </c>
      <c r="T411" s="391" t="inlineStr">
        <is>
          <t> </t>
        </is>
      </c>
      <c r="U411" s="391" t="inlineStr">
        <is>
          <t> </t>
        </is>
      </c>
      <c r="V411" s="391" t="inlineStr">
        <is>
          <t> </t>
        </is>
      </c>
      <c r="W411" s="391" t="inlineStr">
        <is>
          <t> </t>
        </is>
      </c>
      <c r="X411" s="391" t="inlineStr">
        <is>
          <t> </t>
        </is>
      </c>
      <c r="Y411" s="392" t="inlineStr">
        <is>
          <t> </t>
        </is>
      </c>
      <c r="Z411" s="391" t="inlineStr">
        <is>
          <t> </t>
        </is>
      </c>
      <c r="AA411" s="391" t="inlineStr">
        <is>
          <t> </t>
        </is>
      </c>
      <c r="AB411" s="391" t="inlineStr">
        <is>
          <t> </t>
        </is>
      </c>
      <c r="AC411" s="391" t="inlineStr">
        <is>
          <t> </t>
        </is>
      </c>
      <c r="AD411" s="391" t="inlineStr">
        <is>
          <t> </t>
        </is>
      </c>
      <c r="AE411" s="391" t="inlineStr">
        <is>
          <t> </t>
        </is>
      </c>
      <c r="AF411" s="38" t="inlineStr">
        <is>
          <t> </t>
        </is>
      </c>
      <c r="AG411" s="391" t="inlineStr">
        <is>
          <t> </t>
        </is>
      </c>
      <c r="AH411" s="391" t="n"/>
      <c r="AI411" s="391" t="inlineStr">
        <is>
          <t> </t>
        </is>
      </c>
      <c r="AJ411" s="391" t="inlineStr">
        <is>
          <t> </t>
        </is>
      </c>
      <c r="AK411" s="391" t="inlineStr">
        <is>
          <t> </t>
        </is>
      </c>
      <c r="AL411" s="391" t="inlineStr">
        <is>
          <t> </t>
        </is>
      </c>
      <c r="AM411" s="391" t="inlineStr">
        <is>
          <t> </t>
        </is>
      </c>
      <c r="AN411" s="391" t="inlineStr">
        <is>
          <t> </t>
        </is>
      </c>
      <c r="AO411" s="391" t="n"/>
      <c r="AP411" s="319" t="n"/>
      <c r="AQ411" s="319" t="n"/>
      <c r="AR411" s="319" t="n"/>
    </row>
    <row r="412" ht="15.75" customHeight="1" s="1264">
      <c r="A412" s="319" t="inlineStr">
        <is>
          <t> </t>
        </is>
      </c>
      <c r="B412" s="319" t="inlineStr">
        <is>
          <t> </t>
        </is>
      </c>
      <c r="C412" s="319" t="inlineStr">
        <is>
          <t> </t>
        </is>
      </c>
      <c r="D412" s="38" t="inlineStr">
        <is>
          <t> </t>
        </is>
      </c>
      <c r="E412" s="391" t="inlineStr">
        <is>
          <t> </t>
        </is>
      </c>
      <c r="F412" s="391" t="inlineStr">
        <is>
          <t> </t>
        </is>
      </c>
      <c r="G412" s="391" t="inlineStr">
        <is>
          <t> </t>
        </is>
      </c>
      <c r="H412" s="391" t="inlineStr">
        <is>
          <t> </t>
        </is>
      </c>
      <c r="I412" s="391" t="inlineStr">
        <is>
          <t> </t>
        </is>
      </c>
      <c r="J412" s="391" t="inlineStr">
        <is>
          <t> </t>
        </is>
      </c>
      <c r="K412" s="38" t="inlineStr">
        <is>
          <t> </t>
        </is>
      </c>
      <c r="L412" s="391" t="inlineStr">
        <is>
          <t> </t>
        </is>
      </c>
      <c r="M412" s="391" t="inlineStr">
        <is>
          <t> </t>
        </is>
      </c>
      <c r="N412" s="391" t="inlineStr">
        <is>
          <t> </t>
        </is>
      </c>
      <c r="O412" s="391" t="inlineStr">
        <is>
          <t> </t>
        </is>
      </c>
      <c r="P412" s="391" t="inlineStr">
        <is>
          <t> </t>
        </is>
      </c>
      <c r="Q412" s="391" t="inlineStr">
        <is>
          <t> </t>
        </is>
      </c>
      <c r="R412" s="38" t="inlineStr">
        <is>
          <t> </t>
        </is>
      </c>
      <c r="S412" s="391" t="inlineStr">
        <is>
          <t> </t>
        </is>
      </c>
      <c r="T412" s="391" t="inlineStr">
        <is>
          <t> </t>
        </is>
      </c>
      <c r="U412" s="391" t="inlineStr">
        <is>
          <t> </t>
        </is>
      </c>
      <c r="V412" s="391" t="inlineStr">
        <is>
          <t> </t>
        </is>
      </c>
      <c r="W412" s="391" t="inlineStr">
        <is>
          <t> </t>
        </is>
      </c>
      <c r="X412" s="391" t="inlineStr">
        <is>
          <t> </t>
        </is>
      </c>
      <c r="Y412" s="392" t="inlineStr">
        <is>
          <t> </t>
        </is>
      </c>
      <c r="Z412" s="391" t="inlineStr">
        <is>
          <t> </t>
        </is>
      </c>
      <c r="AA412" s="391" t="inlineStr">
        <is>
          <t> </t>
        </is>
      </c>
      <c r="AB412" s="391" t="inlineStr">
        <is>
          <t> </t>
        </is>
      </c>
      <c r="AC412" s="391" t="inlineStr">
        <is>
          <t> </t>
        </is>
      </c>
      <c r="AD412" s="391" t="inlineStr">
        <is>
          <t> </t>
        </is>
      </c>
      <c r="AE412" s="391" t="inlineStr">
        <is>
          <t> </t>
        </is>
      </c>
      <c r="AF412" s="38" t="inlineStr">
        <is>
          <t> </t>
        </is>
      </c>
      <c r="AG412" s="391" t="inlineStr">
        <is>
          <t> </t>
        </is>
      </c>
      <c r="AH412" s="391" t="n"/>
      <c r="AI412" s="391" t="inlineStr">
        <is>
          <t> </t>
        </is>
      </c>
      <c r="AJ412" s="391" t="inlineStr">
        <is>
          <t> </t>
        </is>
      </c>
      <c r="AK412" s="391" t="inlineStr">
        <is>
          <t> </t>
        </is>
      </c>
      <c r="AL412" s="391" t="inlineStr">
        <is>
          <t> </t>
        </is>
      </c>
      <c r="AM412" s="391" t="inlineStr">
        <is>
          <t> </t>
        </is>
      </c>
      <c r="AN412" s="391" t="inlineStr">
        <is>
          <t> </t>
        </is>
      </c>
      <c r="AO412" s="391" t="n"/>
      <c r="AP412" s="319" t="n"/>
      <c r="AQ412" s="319" t="n"/>
      <c r="AR412" s="319" t="n"/>
    </row>
    <row r="413" ht="15.75" customHeight="1" s="1264">
      <c r="A413" s="319" t="inlineStr">
        <is>
          <t> </t>
        </is>
      </c>
      <c r="B413" s="319" t="inlineStr">
        <is>
          <t> </t>
        </is>
      </c>
      <c r="C413" s="319" t="inlineStr">
        <is>
          <t> </t>
        </is>
      </c>
      <c r="D413" s="38" t="inlineStr">
        <is>
          <t> </t>
        </is>
      </c>
      <c r="E413" s="391" t="inlineStr">
        <is>
          <t> </t>
        </is>
      </c>
      <c r="F413" s="391" t="inlineStr">
        <is>
          <t> </t>
        </is>
      </c>
      <c r="G413" s="391" t="inlineStr">
        <is>
          <t> </t>
        </is>
      </c>
      <c r="H413" s="391" t="inlineStr">
        <is>
          <t> </t>
        </is>
      </c>
      <c r="I413" s="391" t="inlineStr">
        <is>
          <t> </t>
        </is>
      </c>
      <c r="J413" s="391" t="inlineStr">
        <is>
          <t> </t>
        </is>
      </c>
      <c r="K413" s="38" t="inlineStr">
        <is>
          <t> </t>
        </is>
      </c>
      <c r="L413" s="391" t="inlineStr">
        <is>
          <t> </t>
        </is>
      </c>
      <c r="M413" s="391" t="inlineStr">
        <is>
          <t> </t>
        </is>
      </c>
      <c r="N413" s="391" t="inlineStr">
        <is>
          <t> </t>
        </is>
      </c>
      <c r="O413" s="391" t="inlineStr">
        <is>
          <t> </t>
        </is>
      </c>
      <c r="P413" s="391" t="inlineStr">
        <is>
          <t> </t>
        </is>
      </c>
      <c r="Q413" s="391" t="inlineStr">
        <is>
          <t> </t>
        </is>
      </c>
      <c r="R413" s="38" t="inlineStr">
        <is>
          <t> </t>
        </is>
      </c>
      <c r="S413" s="391" t="inlineStr">
        <is>
          <t> </t>
        </is>
      </c>
      <c r="T413" s="391" t="inlineStr">
        <is>
          <t> </t>
        </is>
      </c>
      <c r="U413" s="391" t="inlineStr">
        <is>
          <t> </t>
        </is>
      </c>
      <c r="V413" s="391" t="inlineStr">
        <is>
          <t> </t>
        </is>
      </c>
      <c r="W413" s="391" t="inlineStr">
        <is>
          <t> </t>
        </is>
      </c>
      <c r="X413" s="391" t="inlineStr">
        <is>
          <t> </t>
        </is>
      </c>
      <c r="Y413" s="392" t="inlineStr">
        <is>
          <t> </t>
        </is>
      </c>
      <c r="Z413" s="391" t="inlineStr">
        <is>
          <t> </t>
        </is>
      </c>
      <c r="AA413" s="391" t="inlineStr">
        <is>
          <t> </t>
        </is>
      </c>
      <c r="AB413" s="391" t="inlineStr">
        <is>
          <t> </t>
        </is>
      </c>
      <c r="AC413" s="391" t="inlineStr">
        <is>
          <t> </t>
        </is>
      </c>
      <c r="AD413" s="391" t="inlineStr">
        <is>
          <t> </t>
        </is>
      </c>
      <c r="AE413" s="391" t="inlineStr">
        <is>
          <t> </t>
        </is>
      </c>
      <c r="AF413" s="38" t="inlineStr">
        <is>
          <t> </t>
        </is>
      </c>
      <c r="AG413" s="391" t="inlineStr">
        <is>
          <t> </t>
        </is>
      </c>
      <c r="AH413" s="391" t="n"/>
      <c r="AI413" s="391" t="inlineStr">
        <is>
          <t> </t>
        </is>
      </c>
      <c r="AJ413" s="391" t="inlineStr">
        <is>
          <t> </t>
        </is>
      </c>
      <c r="AK413" s="391" t="inlineStr">
        <is>
          <t> </t>
        </is>
      </c>
      <c r="AL413" s="391" t="inlineStr">
        <is>
          <t> </t>
        </is>
      </c>
      <c r="AM413" s="391" t="inlineStr">
        <is>
          <t> </t>
        </is>
      </c>
      <c r="AN413" s="391" t="inlineStr">
        <is>
          <t> </t>
        </is>
      </c>
      <c r="AO413" s="391" t="n"/>
      <c r="AP413" s="319" t="n"/>
      <c r="AQ413" s="319" t="n"/>
      <c r="AR413" s="319" t="n"/>
    </row>
    <row r="414" ht="15.75" customHeight="1" s="1264">
      <c r="A414" s="319" t="inlineStr">
        <is>
          <t> </t>
        </is>
      </c>
      <c r="B414" s="319" t="inlineStr">
        <is>
          <t> </t>
        </is>
      </c>
      <c r="C414" s="319" t="inlineStr">
        <is>
          <t> </t>
        </is>
      </c>
      <c r="D414" s="38" t="inlineStr">
        <is>
          <t> </t>
        </is>
      </c>
      <c r="E414" s="391" t="inlineStr">
        <is>
          <t> </t>
        </is>
      </c>
      <c r="F414" s="391" t="inlineStr">
        <is>
          <t> </t>
        </is>
      </c>
      <c r="G414" s="391" t="inlineStr">
        <is>
          <t> </t>
        </is>
      </c>
      <c r="H414" s="391" t="inlineStr">
        <is>
          <t> </t>
        </is>
      </c>
      <c r="I414" s="391" t="inlineStr">
        <is>
          <t> </t>
        </is>
      </c>
      <c r="J414" s="391" t="inlineStr">
        <is>
          <t> </t>
        </is>
      </c>
      <c r="K414" s="38" t="inlineStr">
        <is>
          <t> </t>
        </is>
      </c>
      <c r="L414" s="391" t="inlineStr">
        <is>
          <t> </t>
        </is>
      </c>
      <c r="M414" s="391" t="inlineStr">
        <is>
          <t> </t>
        </is>
      </c>
      <c r="N414" s="391" t="inlineStr">
        <is>
          <t> </t>
        </is>
      </c>
      <c r="O414" s="391" t="inlineStr">
        <is>
          <t> </t>
        </is>
      </c>
      <c r="P414" s="391" t="inlineStr">
        <is>
          <t> </t>
        </is>
      </c>
      <c r="Q414" s="391" t="inlineStr">
        <is>
          <t> </t>
        </is>
      </c>
      <c r="R414" s="38" t="inlineStr">
        <is>
          <t> </t>
        </is>
      </c>
      <c r="S414" s="391" t="inlineStr">
        <is>
          <t> </t>
        </is>
      </c>
      <c r="T414" s="391" t="inlineStr">
        <is>
          <t> </t>
        </is>
      </c>
      <c r="U414" s="391" t="inlineStr">
        <is>
          <t> </t>
        </is>
      </c>
      <c r="V414" s="391" t="inlineStr">
        <is>
          <t> </t>
        </is>
      </c>
      <c r="W414" s="391" t="inlineStr">
        <is>
          <t> </t>
        </is>
      </c>
      <c r="X414" s="391" t="inlineStr">
        <is>
          <t> </t>
        </is>
      </c>
      <c r="Y414" s="392" t="inlineStr">
        <is>
          <t> </t>
        </is>
      </c>
      <c r="Z414" s="391" t="inlineStr">
        <is>
          <t> </t>
        </is>
      </c>
      <c r="AA414" s="391" t="inlineStr">
        <is>
          <t> </t>
        </is>
      </c>
      <c r="AB414" s="391" t="inlineStr">
        <is>
          <t> </t>
        </is>
      </c>
      <c r="AC414" s="391" t="inlineStr">
        <is>
          <t> </t>
        </is>
      </c>
      <c r="AD414" s="391" t="inlineStr">
        <is>
          <t> </t>
        </is>
      </c>
      <c r="AE414" s="391" t="inlineStr">
        <is>
          <t> </t>
        </is>
      </c>
      <c r="AF414" s="38" t="inlineStr">
        <is>
          <t> </t>
        </is>
      </c>
      <c r="AG414" s="391" t="inlineStr">
        <is>
          <t> </t>
        </is>
      </c>
      <c r="AH414" s="391" t="n"/>
      <c r="AI414" s="391" t="inlineStr">
        <is>
          <t> </t>
        </is>
      </c>
      <c r="AJ414" s="391" t="inlineStr">
        <is>
          <t> </t>
        </is>
      </c>
      <c r="AK414" s="391" t="inlineStr">
        <is>
          <t> </t>
        </is>
      </c>
      <c r="AL414" s="391" t="inlineStr">
        <is>
          <t> </t>
        </is>
      </c>
      <c r="AM414" s="391" t="inlineStr">
        <is>
          <t> </t>
        </is>
      </c>
      <c r="AN414" s="391" t="inlineStr">
        <is>
          <t> </t>
        </is>
      </c>
      <c r="AO414" s="391" t="n"/>
      <c r="AP414" s="319" t="n"/>
      <c r="AQ414" s="319" t="n"/>
      <c r="AR414" s="319" t="n"/>
    </row>
    <row r="415" ht="15.75" customHeight="1" s="1264">
      <c r="A415" s="319" t="inlineStr">
        <is>
          <t> </t>
        </is>
      </c>
      <c r="B415" s="319" t="inlineStr">
        <is>
          <t> </t>
        </is>
      </c>
      <c r="C415" s="319" t="inlineStr">
        <is>
          <t> </t>
        </is>
      </c>
      <c r="D415" s="38" t="inlineStr">
        <is>
          <t> </t>
        </is>
      </c>
      <c r="E415" s="391" t="inlineStr">
        <is>
          <t> </t>
        </is>
      </c>
      <c r="F415" s="391" t="inlineStr">
        <is>
          <t> </t>
        </is>
      </c>
      <c r="G415" s="391" t="inlineStr">
        <is>
          <t> </t>
        </is>
      </c>
      <c r="H415" s="391" t="inlineStr">
        <is>
          <t> </t>
        </is>
      </c>
      <c r="I415" s="391" t="inlineStr">
        <is>
          <t> </t>
        </is>
      </c>
      <c r="J415" s="391" t="inlineStr">
        <is>
          <t> </t>
        </is>
      </c>
      <c r="K415" s="38" t="inlineStr">
        <is>
          <t> </t>
        </is>
      </c>
      <c r="L415" s="391" t="inlineStr">
        <is>
          <t> </t>
        </is>
      </c>
      <c r="M415" s="391" t="inlineStr">
        <is>
          <t> </t>
        </is>
      </c>
      <c r="N415" s="391" t="inlineStr">
        <is>
          <t> </t>
        </is>
      </c>
      <c r="O415" s="391" t="inlineStr">
        <is>
          <t> </t>
        </is>
      </c>
      <c r="P415" s="391" t="inlineStr">
        <is>
          <t> </t>
        </is>
      </c>
      <c r="Q415" s="391" t="inlineStr">
        <is>
          <t> </t>
        </is>
      </c>
      <c r="R415" s="38" t="inlineStr">
        <is>
          <t> </t>
        </is>
      </c>
      <c r="S415" s="391" t="inlineStr">
        <is>
          <t> </t>
        </is>
      </c>
      <c r="T415" s="391" t="inlineStr">
        <is>
          <t> </t>
        </is>
      </c>
      <c r="U415" s="391" t="inlineStr">
        <is>
          <t> </t>
        </is>
      </c>
      <c r="V415" s="391" t="inlineStr">
        <is>
          <t> </t>
        </is>
      </c>
      <c r="W415" s="391" t="inlineStr">
        <is>
          <t> </t>
        </is>
      </c>
      <c r="X415" s="391" t="inlineStr">
        <is>
          <t> </t>
        </is>
      </c>
      <c r="Y415" s="392" t="inlineStr">
        <is>
          <t> </t>
        </is>
      </c>
      <c r="Z415" s="391" t="inlineStr">
        <is>
          <t> </t>
        </is>
      </c>
      <c r="AA415" s="391" t="inlineStr">
        <is>
          <t> </t>
        </is>
      </c>
      <c r="AB415" s="391" t="inlineStr">
        <is>
          <t> </t>
        </is>
      </c>
      <c r="AC415" s="391" t="inlineStr">
        <is>
          <t> </t>
        </is>
      </c>
      <c r="AD415" s="391" t="inlineStr">
        <is>
          <t> </t>
        </is>
      </c>
      <c r="AE415" s="391" t="inlineStr">
        <is>
          <t> </t>
        </is>
      </c>
      <c r="AF415" s="38" t="inlineStr">
        <is>
          <t> </t>
        </is>
      </c>
      <c r="AG415" s="391" t="inlineStr">
        <is>
          <t> </t>
        </is>
      </c>
      <c r="AH415" s="391" t="n"/>
      <c r="AI415" s="391" t="inlineStr">
        <is>
          <t> </t>
        </is>
      </c>
      <c r="AJ415" s="391" t="inlineStr">
        <is>
          <t> </t>
        </is>
      </c>
      <c r="AK415" s="391" t="inlineStr">
        <is>
          <t> </t>
        </is>
      </c>
      <c r="AL415" s="391" t="inlineStr">
        <is>
          <t> </t>
        </is>
      </c>
      <c r="AM415" s="391" t="inlineStr">
        <is>
          <t> </t>
        </is>
      </c>
      <c r="AN415" s="391" t="inlineStr">
        <is>
          <t> </t>
        </is>
      </c>
      <c r="AO415" s="391" t="n"/>
      <c r="AP415" s="319" t="n"/>
      <c r="AQ415" s="319" t="n"/>
      <c r="AR415" s="319" t="n"/>
    </row>
    <row r="416" ht="15.75" customHeight="1" s="1264">
      <c r="A416" s="319" t="inlineStr">
        <is>
          <t> </t>
        </is>
      </c>
      <c r="B416" s="319" t="inlineStr">
        <is>
          <t> </t>
        </is>
      </c>
      <c r="C416" s="319" t="inlineStr">
        <is>
          <t> </t>
        </is>
      </c>
      <c r="D416" s="38" t="inlineStr">
        <is>
          <t> </t>
        </is>
      </c>
      <c r="E416" s="391" t="inlineStr">
        <is>
          <t> </t>
        </is>
      </c>
      <c r="F416" s="391" t="inlineStr">
        <is>
          <t> </t>
        </is>
      </c>
      <c r="G416" s="391" t="inlineStr">
        <is>
          <t> </t>
        </is>
      </c>
      <c r="H416" s="391" t="inlineStr">
        <is>
          <t> </t>
        </is>
      </c>
      <c r="I416" s="391" t="inlineStr">
        <is>
          <t> </t>
        </is>
      </c>
      <c r="J416" s="391" t="inlineStr">
        <is>
          <t> </t>
        </is>
      </c>
      <c r="K416" s="38" t="inlineStr">
        <is>
          <t> </t>
        </is>
      </c>
      <c r="L416" s="391" t="inlineStr">
        <is>
          <t> </t>
        </is>
      </c>
      <c r="M416" s="391" t="inlineStr">
        <is>
          <t> </t>
        </is>
      </c>
      <c r="N416" s="391" t="inlineStr">
        <is>
          <t> </t>
        </is>
      </c>
      <c r="O416" s="391" t="inlineStr">
        <is>
          <t> </t>
        </is>
      </c>
      <c r="P416" s="391" t="inlineStr">
        <is>
          <t> </t>
        </is>
      </c>
      <c r="Q416" s="391" t="inlineStr">
        <is>
          <t> </t>
        </is>
      </c>
      <c r="R416" s="38" t="inlineStr">
        <is>
          <t> </t>
        </is>
      </c>
      <c r="S416" s="391" t="inlineStr">
        <is>
          <t> </t>
        </is>
      </c>
      <c r="T416" s="391" t="inlineStr">
        <is>
          <t> </t>
        </is>
      </c>
      <c r="U416" s="391" t="inlineStr">
        <is>
          <t> </t>
        </is>
      </c>
      <c r="V416" s="391" t="inlineStr">
        <is>
          <t> </t>
        </is>
      </c>
      <c r="W416" s="391" t="inlineStr">
        <is>
          <t> </t>
        </is>
      </c>
      <c r="X416" s="391" t="inlineStr">
        <is>
          <t> </t>
        </is>
      </c>
      <c r="Y416" s="392" t="inlineStr">
        <is>
          <t> </t>
        </is>
      </c>
      <c r="Z416" s="391" t="inlineStr">
        <is>
          <t> </t>
        </is>
      </c>
      <c r="AA416" s="391" t="inlineStr">
        <is>
          <t> </t>
        </is>
      </c>
      <c r="AB416" s="391" t="inlineStr">
        <is>
          <t> </t>
        </is>
      </c>
      <c r="AC416" s="391" t="inlineStr">
        <is>
          <t> </t>
        </is>
      </c>
      <c r="AD416" s="391" t="inlineStr">
        <is>
          <t> </t>
        </is>
      </c>
      <c r="AE416" s="391" t="inlineStr">
        <is>
          <t> </t>
        </is>
      </c>
      <c r="AF416" s="38" t="inlineStr">
        <is>
          <t> </t>
        </is>
      </c>
      <c r="AG416" s="391" t="inlineStr">
        <is>
          <t> </t>
        </is>
      </c>
      <c r="AH416" s="391" t="n"/>
      <c r="AI416" s="391" t="inlineStr">
        <is>
          <t> </t>
        </is>
      </c>
      <c r="AJ416" s="391" t="inlineStr">
        <is>
          <t> </t>
        </is>
      </c>
      <c r="AK416" s="391" t="inlineStr">
        <is>
          <t> </t>
        </is>
      </c>
      <c r="AL416" s="391" t="inlineStr">
        <is>
          <t> </t>
        </is>
      </c>
      <c r="AM416" s="391" t="inlineStr">
        <is>
          <t> </t>
        </is>
      </c>
      <c r="AN416" s="391" t="inlineStr">
        <is>
          <t> </t>
        </is>
      </c>
      <c r="AO416" s="391" t="n"/>
      <c r="AP416" s="319" t="n"/>
      <c r="AQ416" s="319" t="n"/>
      <c r="AR416" s="319" t="n"/>
    </row>
    <row r="417" ht="15.75" customHeight="1" s="1264">
      <c r="A417" s="319" t="inlineStr">
        <is>
          <t> </t>
        </is>
      </c>
      <c r="B417" s="319" t="inlineStr">
        <is>
          <t> </t>
        </is>
      </c>
      <c r="C417" s="319" t="inlineStr">
        <is>
          <t> </t>
        </is>
      </c>
      <c r="D417" s="38" t="inlineStr">
        <is>
          <t> </t>
        </is>
      </c>
      <c r="E417" s="391" t="inlineStr">
        <is>
          <t> </t>
        </is>
      </c>
      <c r="F417" s="391" t="inlineStr">
        <is>
          <t> </t>
        </is>
      </c>
      <c r="G417" s="391" t="inlineStr">
        <is>
          <t> </t>
        </is>
      </c>
      <c r="H417" s="391" t="inlineStr">
        <is>
          <t> </t>
        </is>
      </c>
      <c r="I417" s="391" t="inlineStr">
        <is>
          <t> </t>
        </is>
      </c>
      <c r="J417" s="391" t="inlineStr">
        <is>
          <t> </t>
        </is>
      </c>
      <c r="K417" s="38" t="inlineStr">
        <is>
          <t> </t>
        </is>
      </c>
      <c r="L417" s="391" t="inlineStr">
        <is>
          <t> </t>
        </is>
      </c>
      <c r="M417" s="391" t="inlineStr">
        <is>
          <t> </t>
        </is>
      </c>
      <c r="N417" s="391" t="inlineStr">
        <is>
          <t> </t>
        </is>
      </c>
      <c r="O417" s="391" t="inlineStr">
        <is>
          <t> </t>
        </is>
      </c>
      <c r="P417" s="391" t="inlineStr">
        <is>
          <t> </t>
        </is>
      </c>
      <c r="Q417" s="391" t="inlineStr">
        <is>
          <t> </t>
        </is>
      </c>
      <c r="R417" s="38" t="inlineStr">
        <is>
          <t> </t>
        </is>
      </c>
      <c r="S417" s="391" t="inlineStr">
        <is>
          <t> </t>
        </is>
      </c>
      <c r="T417" s="391" t="inlineStr">
        <is>
          <t> </t>
        </is>
      </c>
      <c r="U417" s="391" t="inlineStr">
        <is>
          <t> </t>
        </is>
      </c>
      <c r="V417" s="391" t="inlineStr">
        <is>
          <t> </t>
        </is>
      </c>
      <c r="W417" s="391" t="inlineStr">
        <is>
          <t> </t>
        </is>
      </c>
      <c r="X417" s="391" t="inlineStr">
        <is>
          <t> </t>
        </is>
      </c>
      <c r="Y417" s="392" t="inlineStr">
        <is>
          <t> </t>
        </is>
      </c>
      <c r="Z417" s="391" t="inlineStr">
        <is>
          <t> </t>
        </is>
      </c>
      <c r="AA417" s="391" t="inlineStr">
        <is>
          <t> </t>
        </is>
      </c>
      <c r="AB417" s="391" t="inlineStr">
        <is>
          <t> </t>
        </is>
      </c>
      <c r="AC417" s="391" t="inlineStr">
        <is>
          <t> </t>
        </is>
      </c>
      <c r="AD417" s="391" t="inlineStr">
        <is>
          <t> </t>
        </is>
      </c>
      <c r="AE417" s="391" t="inlineStr">
        <is>
          <t> </t>
        </is>
      </c>
      <c r="AF417" s="38" t="inlineStr">
        <is>
          <t> </t>
        </is>
      </c>
      <c r="AG417" s="391" t="inlineStr">
        <is>
          <t> </t>
        </is>
      </c>
      <c r="AH417" s="391" t="n"/>
      <c r="AI417" s="391" t="inlineStr">
        <is>
          <t> </t>
        </is>
      </c>
      <c r="AJ417" s="391" t="inlineStr">
        <is>
          <t> </t>
        </is>
      </c>
      <c r="AK417" s="391" t="inlineStr">
        <is>
          <t> </t>
        </is>
      </c>
      <c r="AL417" s="391" t="inlineStr">
        <is>
          <t> </t>
        </is>
      </c>
      <c r="AM417" s="391" t="inlineStr">
        <is>
          <t> </t>
        </is>
      </c>
      <c r="AN417" s="391" t="inlineStr">
        <is>
          <t> </t>
        </is>
      </c>
      <c r="AO417" s="391" t="n"/>
      <c r="AP417" s="319" t="n"/>
      <c r="AQ417" s="319" t="n"/>
      <c r="AR417" s="319" t="n"/>
    </row>
    <row r="418" ht="15.75" customHeight="1" s="1264">
      <c r="A418" s="319" t="inlineStr">
        <is>
          <t> </t>
        </is>
      </c>
      <c r="B418" s="319" t="inlineStr">
        <is>
          <t> </t>
        </is>
      </c>
      <c r="C418" s="319" t="inlineStr">
        <is>
          <t> </t>
        </is>
      </c>
      <c r="D418" s="38" t="inlineStr">
        <is>
          <t> </t>
        </is>
      </c>
      <c r="E418" s="391" t="inlineStr">
        <is>
          <t> </t>
        </is>
      </c>
      <c r="F418" s="391" t="inlineStr">
        <is>
          <t> </t>
        </is>
      </c>
      <c r="G418" s="391" t="inlineStr">
        <is>
          <t> </t>
        </is>
      </c>
      <c r="H418" s="391" t="inlineStr">
        <is>
          <t> </t>
        </is>
      </c>
      <c r="I418" s="391" t="inlineStr">
        <is>
          <t> </t>
        </is>
      </c>
      <c r="J418" s="391" t="inlineStr">
        <is>
          <t> </t>
        </is>
      </c>
      <c r="K418" s="38" t="inlineStr">
        <is>
          <t> </t>
        </is>
      </c>
      <c r="L418" s="391" t="inlineStr">
        <is>
          <t> </t>
        </is>
      </c>
      <c r="M418" s="391" t="inlineStr">
        <is>
          <t> </t>
        </is>
      </c>
      <c r="N418" s="391" t="inlineStr">
        <is>
          <t> </t>
        </is>
      </c>
      <c r="O418" s="391" t="inlineStr">
        <is>
          <t> </t>
        </is>
      </c>
      <c r="P418" s="391" t="inlineStr">
        <is>
          <t> </t>
        </is>
      </c>
      <c r="Q418" s="391" t="inlineStr">
        <is>
          <t> </t>
        </is>
      </c>
      <c r="R418" s="38" t="inlineStr">
        <is>
          <t> </t>
        </is>
      </c>
      <c r="S418" s="391" t="inlineStr">
        <is>
          <t> </t>
        </is>
      </c>
      <c r="T418" s="391" t="inlineStr">
        <is>
          <t> </t>
        </is>
      </c>
      <c r="U418" s="391" t="inlineStr">
        <is>
          <t> </t>
        </is>
      </c>
      <c r="V418" s="391" t="inlineStr">
        <is>
          <t> </t>
        </is>
      </c>
      <c r="W418" s="391" t="inlineStr">
        <is>
          <t> </t>
        </is>
      </c>
      <c r="X418" s="391" t="inlineStr">
        <is>
          <t> </t>
        </is>
      </c>
      <c r="Y418" s="392" t="inlineStr">
        <is>
          <t> </t>
        </is>
      </c>
      <c r="Z418" s="391" t="inlineStr">
        <is>
          <t> </t>
        </is>
      </c>
      <c r="AA418" s="391" t="inlineStr">
        <is>
          <t> </t>
        </is>
      </c>
      <c r="AB418" s="391" t="inlineStr">
        <is>
          <t> </t>
        </is>
      </c>
      <c r="AC418" s="391" t="inlineStr">
        <is>
          <t> </t>
        </is>
      </c>
      <c r="AD418" s="391" t="inlineStr">
        <is>
          <t> </t>
        </is>
      </c>
      <c r="AE418" s="391" t="inlineStr">
        <is>
          <t> </t>
        </is>
      </c>
      <c r="AF418" s="38" t="inlineStr">
        <is>
          <t> </t>
        </is>
      </c>
      <c r="AG418" s="391" t="inlineStr">
        <is>
          <t> </t>
        </is>
      </c>
      <c r="AH418" s="391" t="n"/>
      <c r="AI418" s="391" t="inlineStr">
        <is>
          <t> </t>
        </is>
      </c>
      <c r="AJ418" s="391" t="inlineStr">
        <is>
          <t> </t>
        </is>
      </c>
      <c r="AK418" s="391" t="inlineStr">
        <is>
          <t> </t>
        </is>
      </c>
      <c r="AL418" s="391" t="inlineStr">
        <is>
          <t> </t>
        </is>
      </c>
      <c r="AM418" s="391" t="inlineStr">
        <is>
          <t> </t>
        </is>
      </c>
      <c r="AN418" s="391" t="inlineStr">
        <is>
          <t> </t>
        </is>
      </c>
      <c r="AO418" s="391" t="n"/>
      <c r="AP418" s="319" t="n"/>
      <c r="AQ418" s="319" t="n"/>
      <c r="AR418" s="319" t="n"/>
    </row>
    <row r="419" ht="15.75" customHeight="1" s="1264">
      <c r="A419" s="319" t="inlineStr">
        <is>
          <t> </t>
        </is>
      </c>
      <c r="B419" s="319" t="inlineStr">
        <is>
          <t> </t>
        </is>
      </c>
      <c r="C419" s="319" t="inlineStr">
        <is>
          <t> </t>
        </is>
      </c>
      <c r="D419" s="38" t="inlineStr">
        <is>
          <t> </t>
        </is>
      </c>
      <c r="E419" s="391" t="inlineStr">
        <is>
          <t> </t>
        </is>
      </c>
      <c r="F419" s="391" t="inlineStr">
        <is>
          <t> </t>
        </is>
      </c>
      <c r="G419" s="391" t="inlineStr">
        <is>
          <t> </t>
        </is>
      </c>
      <c r="H419" s="391" t="inlineStr">
        <is>
          <t> </t>
        </is>
      </c>
      <c r="I419" s="391" t="inlineStr">
        <is>
          <t> </t>
        </is>
      </c>
      <c r="J419" s="391" t="inlineStr">
        <is>
          <t> </t>
        </is>
      </c>
      <c r="K419" s="38" t="inlineStr">
        <is>
          <t> </t>
        </is>
      </c>
      <c r="L419" s="391" t="inlineStr">
        <is>
          <t> </t>
        </is>
      </c>
      <c r="M419" s="391" t="inlineStr">
        <is>
          <t> </t>
        </is>
      </c>
      <c r="N419" s="391" t="inlineStr">
        <is>
          <t> </t>
        </is>
      </c>
      <c r="O419" s="391" t="inlineStr">
        <is>
          <t> </t>
        </is>
      </c>
      <c r="P419" s="391" t="inlineStr">
        <is>
          <t> </t>
        </is>
      </c>
      <c r="Q419" s="391" t="inlineStr">
        <is>
          <t> </t>
        </is>
      </c>
      <c r="R419" s="38" t="inlineStr">
        <is>
          <t> </t>
        </is>
      </c>
      <c r="S419" s="391" t="inlineStr">
        <is>
          <t> </t>
        </is>
      </c>
      <c r="T419" s="391" t="inlineStr">
        <is>
          <t> </t>
        </is>
      </c>
      <c r="U419" s="391" t="inlineStr">
        <is>
          <t> </t>
        </is>
      </c>
      <c r="V419" s="391" t="inlineStr">
        <is>
          <t> </t>
        </is>
      </c>
      <c r="W419" s="391" t="inlineStr">
        <is>
          <t> </t>
        </is>
      </c>
      <c r="X419" s="391" t="inlineStr">
        <is>
          <t> </t>
        </is>
      </c>
      <c r="Y419" s="392" t="inlineStr">
        <is>
          <t> </t>
        </is>
      </c>
      <c r="Z419" s="391" t="inlineStr">
        <is>
          <t> </t>
        </is>
      </c>
      <c r="AA419" s="391" t="inlineStr">
        <is>
          <t> </t>
        </is>
      </c>
      <c r="AB419" s="391" t="inlineStr">
        <is>
          <t> </t>
        </is>
      </c>
      <c r="AC419" s="391" t="inlineStr">
        <is>
          <t> </t>
        </is>
      </c>
      <c r="AD419" s="391" t="inlineStr">
        <is>
          <t> </t>
        </is>
      </c>
      <c r="AE419" s="391" t="inlineStr">
        <is>
          <t> </t>
        </is>
      </c>
      <c r="AF419" s="38" t="inlineStr">
        <is>
          <t> </t>
        </is>
      </c>
      <c r="AG419" s="391" t="inlineStr">
        <is>
          <t> </t>
        </is>
      </c>
      <c r="AH419" s="391" t="n"/>
      <c r="AI419" s="391" t="inlineStr">
        <is>
          <t> </t>
        </is>
      </c>
      <c r="AJ419" s="391" t="inlineStr">
        <is>
          <t> </t>
        </is>
      </c>
      <c r="AK419" s="391" t="inlineStr">
        <is>
          <t> </t>
        </is>
      </c>
      <c r="AL419" s="391" t="inlineStr">
        <is>
          <t> </t>
        </is>
      </c>
      <c r="AM419" s="391" t="inlineStr">
        <is>
          <t> </t>
        </is>
      </c>
      <c r="AN419" s="391" t="inlineStr">
        <is>
          <t> </t>
        </is>
      </c>
      <c r="AO419" s="391" t="n"/>
      <c r="AP419" s="319" t="n"/>
      <c r="AQ419" s="319" t="n"/>
      <c r="AR419" s="319" t="n"/>
    </row>
    <row r="420" ht="15.75" customHeight="1" s="1264">
      <c r="A420" s="319" t="inlineStr">
        <is>
          <t> </t>
        </is>
      </c>
      <c r="B420" s="319" t="inlineStr">
        <is>
          <t> </t>
        </is>
      </c>
      <c r="C420" s="319" t="inlineStr">
        <is>
          <t> </t>
        </is>
      </c>
      <c r="D420" s="38" t="inlineStr">
        <is>
          <t> </t>
        </is>
      </c>
      <c r="E420" s="391" t="inlineStr">
        <is>
          <t> </t>
        </is>
      </c>
      <c r="F420" s="391" t="inlineStr">
        <is>
          <t> </t>
        </is>
      </c>
      <c r="G420" s="391" t="inlineStr">
        <is>
          <t> </t>
        </is>
      </c>
      <c r="H420" s="391" t="inlineStr">
        <is>
          <t> </t>
        </is>
      </c>
      <c r="I420" s="391" t="inlineStr">
        <is>
          <t> </t>
        </is>
      </c>
      <c r="J420" s="391" t="inlineStr">
        <is>
          <t> </t>
        </is>
      </c>
      <c r="K420" s="38" t="inlineStr">
        <is>
          <t> </t>
        </is>
      </c>
      <c r="L420" s="391" t="inlineStr">
        <is>
          <t> </t>
        </is>
      </c>
      <c r="M420" s="391" t="inlineStr">
        <is>
          <t> </t>
        </is>
      </c>
      <c r="N420" s="391" t="inlineStr">
        <is>
          <t> </t>
        </is>
      </c>
      <c r="O420" s="391" t="inlineStr">
        <is>
          <t> </t>
        </is>
      </c>
      <c r="P420" s="391" t="inlineStr">
        <is>
          <t> </t>
        </is>
      </c>
      <c r="Q420" s="391" t="inlineStr">
        <is>
          <t> </t>
        </is>
      </c>
      <c r="R420" s="38" t="inlineStr">
        <is>
          <t> </t>
        </is>
      </c>
      <c r="S420" s="391" t="inlineStr">
        <is>
          <t> </t>
        </is>
      </c>
      <c r="T420" s="391" t="inlineStr">
        <is>
          <t> </t>
        </is>
      </c>
      <c r="U420" s="391" t="inlineStr">
        <is>
          <t> </t>
        </is>
      </c>
      <c r="V420" s="391" t="inlineStr">
        <is>
          <t> </t>
        </is>
      </c>
      <c r="W420" s="391" t="inlineStr">
        <is>
          <t> </t>
        </is>
      </c>
      <c r="X420" s="391" t="inlineStr">
        <is>
          <t> </t>
        </is>
      </c>
      <c r="Y420" s="392" t="inlineStr">
        <is>
          <t> </t>
        </is>
      </c>
      <c r="Z420" s="391" t="inlineStr">
        <is>
          <t> </t>
        </is>
      </c>
      <c r="AA420" s="391" t="inlineStr">
        <is>
          <t> </t>
        </is>
      </c>
      <c r="AB420" s="391" t="inlineStr">
        <is>
          <t> </t>
        </is>
      </c>
      <c r="AC420" s="391" t="inlineStr">
        <is>
          <t> </t>
        </is>
      </c>
      <c r="AD420" s="391" t="inlineStr">
        <is>
          <t> </t>
        </is>
      </c>
      <c r="AE420" s="391" t="inlineStr">
        <is>
          <t> </t>
        </is>
      </c>
      <c r="AF420" s="38" t="inlineStr">
        <is>
          <t> </t>
        </is>
      </c>
      <c r="AG420" s="391" t="inlineStr">
        <is>
          <t> </t>
        </is>
      </c>
      <c r="AH420" s="391" t="n"/>
      <c r="AI420" s="391" t="inlineStr">
        <is>
          <t> </t>
        </is>
      </c>
      <c r="AJ420" s="391" t="inlineStr">
        <is>
          <t> </t>
        </is>
      </c>
      <c r="AK420" s="391" t="inlineStr">
        <is>
          <t> </t>
        </is>
      </c>
      <c r="AL420" s="391" t="inlineStr">
        <is>
          <t> </t>
        </is>
      </c>
      <c r="AM420" s="391" t="inlineStr">
        <is>
          <t> </t>
        </is>
      </c>
      <c r="AN420" s="391" t="inlineStr">
        <is>
          <t> </t>
        </is>
      </c>
      <c r="AO420" s="391" t="n"/>
      <c r="AP420" s="319" t="n"/>
      <c r="AQ420" s="319" t="n"/>
      <c r="AR420" s="319" t="n"/>
    </row>
    <row r="421" ht="15.75" customHeight="1" s="1264">
      <c r="A421" s="319" t="inlineStr">
        <is>
          <t> </t>
        </is>
      </c>
      <c r="B421" s="319" t="inlineStr">
        <is>
          <t> </t>
        </is>
      </c>
      <c r="C421" s="319" t="inlineStr">
        <is>
          <t> </t>
        </is>
      </c>
      <c r="D421" s="38" t="inlineStr">
        <is>
          <t> </t>
        </is>
      </c>
      <c r="E421" s="391" t="inlineStr">
        <is>
          <t> </t>
        </is>
      </c>
      <c r="F421" s="391" t="inlineStr">
        <is>
          <t> </t>
        </is>
      </c>
      <c r="G421" s="391" t="inlineStr">
        <is>
          <t> </t>
        </is>
      </c>
      <c r="H421" s="391" t="inlineStr">
        <is>
          <t> </t>
        </is>
      </c>
      <c r="I421" s="391" t="inlineStr">
        <is>
          <t> </t>
        </is>
      </c>
      <c r="J421" s="391" t="inlineStr">
        <is>
          <t> </t>
        </is>
      </c>
      <c r="K421" s="38" t="inlineStr">
        <is>
          <t> </t>
        </is>
      </c>
      <c r="L421" s="391" t="inlineStr">
        <is>
          <t> </t>
        </is>
      </c>
      <c r="M421" s="391" t="inlineStr">
        <is>
          <t> </t>
        </is>
      </c>
      <c r="N421" s="391" t="inlineStr">
        <is>
          <t> </t>
        </is>
      </c>
      <c r="O421" s="391" t="inlineStr">
        <is>
          <t> </t>
        </is>
      </c>
      <c r="P421" s="391" t="inlineStr">
        <is>
          <t> </t>
        </is>
      </c>
      <c r="Q421" s="391" t="inlineStr">
        <is>
          <t> </t>
        </is>
      </c>
      <c r="R421" s="38" t="inlineStr">
        <is>
          <t> </t>
        </is>
      </c>
      <c r="S421" s="391" t="inlineStr">
        <is>
          <t> </t>
        </is>
      </c>
      <c r="T421" s="391" t="inlineStr">
        <is>
          <t> </t>
        </is>
      </c>
      <c r="U421" s="391" t="inlineStr">
        <is>
          <t> </t>
        </is>
      </c>
      <c r="V421" s="391" t="inlineStr">
        <is>
          <t> </t>
        </is>
      </c>
      <c r="W421" s="391" t="inlineStr">
        <is>
          <t> </t>
        </is>
      </c>
      <c r="X421" s="391" t="inlineStr">
        <is>
          <t> </t>
        </is>
      </c>
      <c r="Y421" s="392" t="inlineStr">
        <is>
          <t> </t>
        </is>
      </c>
      <c r="Z421" s="391" t="inlineStr">
        <is>
          <t> </t>
        </is>
      </c>
      <c r="AA421" s="391" t="inlineStr">
        <is>
          <t> </t>
        </is>
      </c>
      <c r="AB421" s="391" t="inlineStr">
        <is>
          <t> </t>
        </is>
      </c>
      <c r="AC421" s="391" t="inlineStr">
        <is>
          <t> </t>
        </is>
      </c>
      <c r="AD421" s="391" t="inlineStr">
        <is>
          <t> </t>
        </is>
      </c>
      <c r="AE421" s="391" t="inlineStr">
        <is>
          <t> </t>
        </is>
      </c>
      <c r="AF421" s="38" t="inlineStr">
        <is>
          <t> </t>
        </is>
      </c>
      <c r="AG421" s="391" t="inlineStr">
        <is>
          <t> </t>
        </is>
      </c>
      <c r="AH421" s="391" t="n"/>
      <c r="AI421" s="391" t="inlineStr">
        <is>
          <t> </t>
        </is>
      </c>
      <c r="AJ421" s="391" t="inlineStr">
        <is>
          <t> </t>
        </is>
      </c>
      <c r="AK421" s="391" t="inlineStr">
        <is>
          <t> </t>
        </is>
      </c>
      <c r="AL421" s="391" t="inlineStr">
        <is>
          <t> </t>
        </is>
      </c>
      <c r="AM421" s="391" t="inlineStr">
        <is>
          <t> </t>
        </is>
      </c>
      <c r="AN421" s="391" t="inlineStr">
        <is>
          <t> </t>
        </is>
      </c>
      <c r="AO421" s="391" t="n"/>
      <c r="AP421" s="319" t="n"/>
      <c r="AQ421" s="319" t="n"/>
      <c r="AR421" s="319" t="n"/>
    </row>
    <row r="422" ht="15.75" customHeight="1" s="1264">
      <c r="A422" s="319" t="inlineStr">
        <is>
          <t> </t>
        </is>
      </c>
      <c r="B422" s="319" t="inlineStr">
        <is>
          <t> </t>
        </is>
      </c>
      <c r="C422" s="319" t="inlineStr">
        <is>
          <t> </t>
        </is>
      </c>
      <c r="D422" s="38" t="inlineStr">
        <is>
          <t> </t>
        </is>
      </c>
      <c r="E422" s="391" t="inlineStr">
        <is>
          <t> </t>
        </is>
      </c>
      <c r="F422" s="391" t="inlineStr">
        <is>
          <t> </t>
        </is>
      </c>
      <c r="G422" s="391" t="inlineStr">
        <is>
          <t> </t>
        </is>
      </c>
      <c r="H422" s="391" t="inlineStr">
        <is>
          <t> </t>
        </is>
      </c>
      <c r="I422" s="391" t="inlineStr">
        <is>
          <t> </t>
        </is>
      </c>
      <c r="J422" s="391" t="inlineStr">
        <is>
          <t> </t>
        </is>
      </c>
      <c r="K422" s="38" t="inlineStr">
        <is>
          <t> </t>
        </is>
      </c>
      <c r="L422" s="391" t="inlineStr">
        <is>
          <t> </t>
        </is>
      </c>
      <c r="M422" s="391" t="inlineStr">
        <is>
          <t> </t>
        </is>
      </c>
      <c r="N422" s="391" t="inlineStr">
        <is>
          <t> </t>
        </is>
      </c>
      <c r="O422" s="391" t="inlineStr">
        <is>
          <t> </t>
        </is>
      </c>
      <c r="P422" s="391" t="inlineStr">
        <is>
          <t> </t>
        </is>
      </c>
      <c r="Q422" s="391" t="inlineStr">
        <is>
          <t> </t>
        </is>
      </c>
      <c r="R422" s="38" t="inlineStr">
        <is>
          <t> </t>
        </is>
      </c>
      <c r="S422" s="391" t="inlineStr">
        <is>
          <t> </t>
        </is>
      </c>
      <c r="T422" s="391" t="inlineStr">
        <is>
          <t> </t>
        </is>
      </c>
      <c r="U422" s="391" t="inlineStr">
        <is>
          <t> </t>
        </is>
      </c>
      <c r="V422" s="391" t="inlineStr">
        <is>
          <t> </t>
        </is>
      </c>
      <c r="W422" s="391" t="inlineStr">
        <is>
          <t> </t>
        </is>
      </c>
      <c r="X422" s="391" t="inlineStr">
        <is>
          <t> </t>
        </is>
      </c>
      <c r="Y422" s="392" t="inlineStr">
        <is>
          <t> </t>
        </is>
      </c>
      <c r="Z422" s="391" t="inlineStr">
        <is>
          <t> </t>
        </is>
      </c>
      <c r="AA422" s="391" t="inlineStr">
        <is>
          <t> </t>
        </is>
      </c>
      <c r="AB422" s="391" t="inlineStr">
        <is>
          <t> </t>
        </is>
      </c>
      <c r="AC422" s="391" t="inlineStr">
        <is>
          <t> </t>
        </is>
      </c>
      <c r="AD422" s="391" t="inlineStr">
        <is>
          <t> </t>
        </is>
      </c>
      <c r="AE422" s="391" t="inlineStr">
        <is>
          <t> </t>
        </is>
      </c>
      <c r="AF422" s="38" t="inlineStr">
        <is>
          <t> </t>
        </is>
      </c>
      <c r="AG422" s="391" t="inlineStr">
        <is>
          <t> </t>
        </is>
      </c>
      <c r="AH422" s="391" t="n"/>
      <c r="AI422" s="391" t="inlineStr">
        <is>
          <t> </t>
        </is>
      </c>
      <c r="AJ422" s="391" t="inlineStr">
        <is>
          <t> </t>
        </is>
      </c>
      <c r="AK422" s="391" t="inlineStr">
        <is>
          <t> </t>
        </is>
      </c>
      <c r="AL422" s="391" t="inlineStr">
        <is>
          <t> </t>
        </is>
      </c>
      <c r="AM422" s="391" t="inlineStr">
        <is>
          <t> </t>
        </is>
      </c>
      <c r="AN422" s="391" t="inlineStr">
        <is>
          <t> </t>
        </is>
      </c>
      <c r="AO422" s="391" t="n"/>
      <c r="AP422" s="319" t="n"/>
      <c r="AQ422" s="319" t="n"/>
      <c r="AR422" s="319" t="n"/>
    </row>
    <row r="423" ht="15.75" customHeight="1" s="1264">
      <c r="A423" s="319" t="inlineStr">
        <is>
          <t> </t>
        </is>
      </c>
      <c r="B423" s="319" t="inlineStr">
        <is>
          <t> </t>
        </is>
      </c>
      <c r="C423" s="319" t="inlineStr">
        <is>
          <t> </t>
        </is>
      </c>
      <c r="D423" s="38" t="inlineStr">
        <is>
          <t> </t>
        </is>
      </c>
      <c r="E423" s="391" t="inlineStr">
        <is>
          <t> </t>
        </is>
      </c>
      <c r="F423" s="391" t="inlineStr">
        <is>
          <t> </t>
        </is>
      </c>
      <c r="G423" s="391" t="inlineStr">
        <is>
          <t> </t>
        </is>
      </c>
      <c r="H423" s="391" t="inlineStr">
        <is>
          <t> </t>
        </is>
      </c>
      <c r="I423" s="391" t="inlineStr">
        <is>
          <t> </t>
        </is>
      </c>
      <c r="J423" s="391" t="inlineStr">
        <is>
          <t> </t>
        </is>
      </c>
      <c r="K423" s="38" t="inlineStr">
        <is>
          <t> </t>
        </is>
      </c>
      <c r="L423" s="391" t="inlineStr">
        <is>
          <t> </t>
        </is>
      </c>
      <c r="M423" s="391" t="inlineStr">
        <is>
          <t> </t>
        </is>
      </c>
      <c r="N423" s="391" t="inlineStr">
        <is>
          <t> </t>
        </is>
      </c>
      <c r="O423" s="391" t="inlineStr">
        <is>
          <t> </t>
        </is>
      </c>
      <c r="P423" s="391" t="inlineStr">
        <is>
          <t> </t>
        </is>
      </c>
      <c r="Q423" s="391" t="inlineStr">
        <is>
          <t> </t>
        </is>
      </c>
      <c r="R423" s="38" t="inlineStr">
        <is>
          <t> </t>
        </is>
      </c>
      <c r="S423" s="391" t="inlineStr">
        <is>
          <t> </t>
        </is>
      </c>
      <c r="T423" s="391" t="inlineStr">
        <is>
          <t> </t>
        </is>
      </c>
      <c r="U423" s="391" t="inlineStr">
        <is>
          <t> </t>
        </is>
      </c>
      <c r="V423" s="391" t="inlineStr">
        <is>
          <t> </t>
        </is>
      </c>
      <c r="W423" s="391" t="inlineStr">
        <is>
          <t> </t>
        </is>
      </c>
      <c r="X423" s="391" t="inlineStr">
        <is>
          <t> </t>
        </is>
      </c>
      <c r="Y423" s="392" t="inlineStr">
        <is>
          <t> </t>
        </is>
      </c>
      <c r="Z423" s="391" t="inlineStr">
        <is>
          <t> </t>
        </is>
      </c>
      <c r="AA423" s="391" t="inlineStr">
        <is>
          <t> </t>
        </is>
      </c>
      <c r="AB423" s="391" t="inlineStr">
        <is>
          <t> </t>
        </is>
      </c>
      <c r="AC423" s="391" t="inlineStr">
        <is>
          <t> </t>
        </is>
      </c>
      <c r="AD423" s="391" t="inlineStr">
        <is>
          <t> </t>
        </is>
      </c>
      <c r="AE423" s="391" t="inlineStr">
        <is>
          <t> </t>
        </is>
      </c>
      <c r="AF423" s="38" t="inlineStr">
        <is>
          <t> </t>
        </is>
      </c>
      <c r="AG423" s="391" t="inlineStr">
        <is>
          <t> </t>
        </is>
      </c>
      <c r="AH423" s="391" t="n"/>
      <c r="AI423" s="391" t="inlineStr">
        <is>
          <t> </t>
        </is>
      </c>
      <c r="AJ423" s="391" t="inlineStr">
        <is>
          <t> </t>
        </is>
      </c>
      <c r="AK423" s="391" t="inlineStr">
        <is>
          <t> </t>
        </is>
      </c>
      <c r="AL423" s="391" t="inlineStr">
        <is>
          <t> </t>
        </is>
      </c>
      <c r="AM423" s="391" t="inlineStr">
        <is>
          <t> </t>
        </is>
      </c>
      <c r="AN423" s="391" t="inlineStr">
        <is>
          <t> </t>
        </is>
      </c>
      <c r="AO423" s="391" t="n"/>
      <c r="AP423" s="319" t="n"/>
      <c r="AQ423" s="319" t="n"/>
      <c r="AR423" s="319" t="n"/>
    </row>
    <row r="424" ht="15.75" customHeight="1" s="1264">
      <c r="A424" s="319" t="inlineStr">
        <is>
          <t> </t>
        </is>
      </c>
      <c r="B424" s="319" t="inlineStr">
        <is>
          <t> </t>
        </is>
      </c>
      <c r="C424" s="319" t="inlineStr">
        <is>
          <t> </t>
        </is>
      </c>
      <c r="D424" s="38" t="inlineStr">
        <is>
          <t> </t>
        </is>
      </c>
      <c r="E424" s="391" t="inlineStr">
        <is>
          <t> </t>
        </is>
      </c>
      <c r="F424" s="391" t="inlineStr">
        <is>
          <t> </t>
        </is>
      </c>
      <c r="G424" s="391" t="inlineStr">
        <is>
          <t> </t>
        </is>
      </c>
      <c r="H424" s="391" t="inlineStr">
        <is>
          <t> </t>
        </is>
      </c>
      <c r="I424" s="391" t="inlineStr">
        <is>
          <t> </t>
        </is>
      </c>
      <c r="J424" s="391" t="inlineStr">
        <is>
          <t> </t>
        </is>
      </c>
      <c r="K424" s="38" t="inlineStr">
        <is>
          <t> </t>
        </is>
      </c>
      <c r="L424" s="391" t="inlineStr">
        <is>
          <t> </t>
        </is>
      </c>
      <c r="M424" s="391" t="inlineStr">
        <is>
          <t> </t>
        </is>
      </c>
      <c r="N424" s="391" t="inlineStr">
        <is>
          <t> </t>
        </is>
      </c>
      <c r="O424" s="391" t="inlineStr">
        <is>
          <t> </t>
        </is>
      </c>
      <c r="P424" s="391" t="inlineStr">
        <is>
          <t> </t>
        </is>
      </c>
      <c r="Q424" s="391" t="inlineStr">
        <is>
          <t> </t>
        </is>
      </c>
      <c r="R424" s="38" t="inlineStr">
        <is>
          <t> </t>
        </is>
      </c>
      <c r="S424" s="391" t="inlineStr">
        <is>
          <t> </t>
        </is>
      </c>
      <c r="T424" s="391" t="inlineStr">
        <is>
          <t> </t>
        </is>
      </c>
      <c r="U424" s="391" t="inlineStr">
        <is>
          <t> </t>
        </is>
      </c>
      <c r="V424" s="391" t="inlineStr">
        <is>
          <t> </t>
        </is>
      </c>
      <c r="W424" s="391" t="inlineStr">
        <is>
          <t> </t>
        </is>
      </c>
      <c r="X424" s="391" t="inlineStr">
        <is>
          <t> </t>
        </is>
      </c>
      <c r="Y424" s="392" t="inlineStr">
        <is>
          <t> </t>
        </is>
      </c>
      <c r="Z424" s="391" t="inlineStr">
        <is>
          <t> </t>
        </is>
      </c>
      <c r="AA424" s="391" t="inlineStr">
        <is>
          <t> </t>
        </is>
      </c>
      <c r="AB424" s="391" t="inlineStr">
        <is>
          <t> </t>
        </is>
      </c>
      <c r="AC424" s="391" t="inlineStr">
        <is>
          <t> </t>
        </is>
      </c>
      <c r="AD424" s="391" t="inlineStr">
        <is>
          <t> </t>
        </is>
      </c>
      <c r="AE424" s="391" t="inlineStr">
        <is>
          <t> </t>
        </is>
      </c>
      <c r="AF424" s="38" t="inlineStr">
        <is>
          <t> </t>
        </is>
      </c>
      <c r="AG424" s="391" t="inlineStr">
        <is>
          <t> </t>
        </is>
      </c>
      <c r="AH424" s="391" t="n"/>
      <c r="AI424" s="391" t="inlineStr">
        <is>
          <t> </t>
        </is>
      </c>
      <c r="AJ424" s="391" t="inlineStr">
        <is>
          <t> </t>
        </is>
      </c>
      <c r="AK424" s="391" t="inlineStr">
        <is>
          <t> </t>
        </is>
      </c>
      <c r="AL424" s="391" t="inlineStr">
        <is>
          <t> </t>
        </is>
      </c>
      <c r="AM424" s="391" t="inlineStr">
        <is>
          <t> </t>
        </is>
      </c>
      <c r="AN424" s="391" t="inlineStr">
        <is>
          <t> </t>
        </is>
      </c>
      <c r="AO424" s="391" t="n"/>
      <c r="AP424" s="319" t="n"/>
      <c r="AQ424" s="319" t="n"/>
      <c r="AR424" s="319" t="n"/>
    </row>
    <row r="425" ht="15.75" customHeight="1" s="1264">
      <c r="A425" s="319" t="inlineStr">
        <is>
          <t> </t>
        </is>
      </c>
      <c r="B425" s="319" t="inlineStr">
        <is>
          <t> </t>
        </is>
      </c>
      <c r="C425" s="319" t="inlineStr">
        <is>
          <t> </t>
        </is>
      </c>
      <c r="D425" s="38" t="inlineStr">
        <is>
          <t> </t>
        </is>
      </c>
      <c r="E425" s="391" t="inlineStr">
        <is>
          <t> </t>
        </is>
      </c>
      <c r="F425" s="391" t="inlineStr">
        <is>
          <t> </t>
        </is>
      </c>
      <c r="G425" s="391" t="inlineStr">
        <is>
          <t> </t>
        </is>
      </c>
      <c r="H425" s="391" t="inlineStr">
        <is>
          <t> </t>
        </is>
      </c>
      <c r="I425" s="391" t="inlineStr">
        <is>
          <t> </t>
        </is>
      </c>
      <c r="J425" s="391" t="inlineStr">
        <is>
          <t> </t>
        </is>
      </c>
      <c r="K425" s="38" t="inlineStr">
        <is>
          <t> </t>
        </is>
      </c>
      <c r="L425" s="391" t="inlineStr">
        <is>
          <t> </t>
        </is>
      </c>
      <c r="M425" s="391" t="inlineStr">
        <is>
          <t> </t>
        </is>
      </c>
      <c r="N425" s="391" t="inlineStr">
        <is>
          <t> </t>
        </is>
      </c>
      <c r="O425" s="391" t="inlineStr">
        <is>
          <t> </t>
        </is>
      </c>
      <c r="P425" s="391" t="inlineStr">
        <is>
          <t> </t>
        </is>
      </c>
      <c r="Q425" s="391" t="inlineStr">
        <is>
          <t> </t>
        </is>
      </c>
      <c r="R425" s="38" t="inlineStr">
        <is>
          <t> </t>
        </is>
      </c>
      <c r="S425" s="391" t="inlineStr">
        <is>
          <t> </t>
        </is>
      </c>
      <c r="T425" s="391" t="inlineStr">
        <is>
          <t> </t>
        </is>
      </c>
      <c r="U425" s="391" t="inlineStr">
        <is>
          <t> </t>
        </is>
      </c>
      <c r="V425" s="391" t="inlineStr">
        <is>
          <t> </t>
        </is>
      </c>
      <c r="W425" s="391" t="inlineStr">
        <is>
          <t> </t>
        </is>
      </c>
      <c r="X425" s="391" t="inlineStr">
        <is>
          <t> </t>
        </is>
      </c>
      <c r="Y425" s="392" t="inlineStr">
        <is>
          <t> </t>
        </is>
      </c>
      <c r="Z425" s="391" t="inlineStr">
        <is>
          <t> </t>
        </is>
      </c>
      <c r="AA425" s="391" t="inlineStr">
        <is>
          <t> </t>
        </is>
      </c>
      <c r="AB425" s="391" t="inlineStr">
        <is>
          <t> </t>
        </is>
      </c>
      <c r="AC425" s="391" t="inlineStr">
        <is>
          <t> </t>
        </is>
      </c>
      <c r="AD425" s="391" t="inlineStr">
        <is>
          <t> </t>
        </is>
      </c>
      <c r="AE425" s="391" t="inlineStr">
        <is>
          <t> </t>
        </is>
      </c>
      <c r="AF425" s="38" t="inlineStr">
        <is>
          <t> </t>
        </is>
      </c>
      <c r="AG425" s="391" t="inlineStr">
        <is>
          <t> </t>
        </is>
      </c>
      <c r="AH425" s="391" t="n"/>
      <c r="AI425" s="391" t="inlineStr">
        <is>
          <t> </t>
        </is>
      </c>
      <c r="AJ425" s="391" t="inlineStr">
        <is>
          <t> </t>
        </is>
      </c>
      <c r="AK425" s="391" t="inlineStr">
        <is>
          <t> </t>
        </is>
      </c>
      <c r="AL425" s="391" t="inlineStr">
        <is>
          <t> </t>
        </is>
      </c>
      <c r="AM425" s="391" t="inlineStr">
        <is>
          <t> </t>
        </is>
      </c>
      <c r="AN425" s="391" t="inlineStr">
        <is>
          <t> </t>
        </is>
      </c>
      <c r="AO425" s="391" t="n"/>
      <c r="AP425" s="319" t="n"/>
      <c r="AQ425" s="319" t="n"/>
      <c r="AR425" s="319" t="n"/>
    </row>
    <row r="426" ht="15.75" customHeight="1" s="1264">
      <c r="A426" s="319" t="inlineStr">
        <is>
          <t> </t>
        </is>
      </c>
      <c r="B426" s="319" t="inlineStr">
        <is>
          <t> </t>
        </is>
      </c>
      <c r="C426" s="319" t="inlineStr">
        <is>
          <t> </t>
        </is>
      </c>
      <c r="D426" s="38" t="inlineStr">
        <is>
          <t> </t>
        </is>
      </c>
      <c r="E426" s="391" t="inlineStr">
        <is>
          <t> </t>
        </is>
      </c>
      <c r="F426" s="391" t="inlineStr">
        <is>
          <t> </t>
        </is>
      </c>
      <c r="G426" s="391" t="inlineStr">
        <is>
          <t> </t>
        </is>
      </c>
      <c r="H426" s="391" t="inlineStr">
        <is>
          <t> </t>
        </is>
      </c>
      <c r="I426" s="391" t="inlineStr">
        <is>
          <t> </t>
        </is>
      </c>
      <c r="J426" s="391" t="inlineStr">
        <is>
          <t> </t>
        </is>
      </c>
      <c r="K426" s="38" t="inlineStr">
        <is>
          <t> </t>
        </is>
      </c>
      <c r="L426" s="391" t="inlineStr">
        <is>
          <t> </t>
        </is>
      </c>
      <c r="M426" s="391" t="inlineStr">
        <is>
          <t> </t>
        </is>
      </c>
      <c r="N426" s="391" t="inlineStr">
        <is>
          <t> </t>
        </is>
      </c>
      <c r="O426" s="391" t="inlineStr">
        <is>
          <t> </t>
        </is>
      </c>
      <c r="P426" s="391" t="inlineStr">
        <is>
          <t> </t>
        </is>
      </c>
      <c r="Q426" s="391" t="inlineStr">
        <is>
          <t> </t>
        </is>
      </c>
      <c r="R426" s="38" t="inlineStr">
        <is>
          <t> </t>
        </is>
      </c>
      <c r="S426" s="391" t="inlineStr">
        <is>
          <t> </t>
        </is>
      </c>
      <c r="T426" s="391" t="inlineStr">
        <is>
          <t> </t>
        </is>
      </c>
      <c r="U426" s="391" t="inlineStr">
        <is>
          <t> </t>
        </is>
      </c>
      <c r="V426" s="391" t="inlineStr">
        <is>
          <t> </t>
        </is>
      </c>
      <c r="W426" s="391" t="inlineStr">
        <is>
          <t> </t>
        </is>
      </c>
      <c r="X426" s="391" t="inlineStr">
        <is>
          <t> </t>
        </is>
      </c>
      <c r="Y426" s="392" t="inlineStr">
        <is>
          <t> </t>
        </is>
      </c>
      <c r="Z426" s="391" t="inlineStr">
        <is>
          <t> </t>
        </is>
      </c>
      <c r="AA426" s="391" t="inlineStr">
        <is>
          <t> </t>
        </is>
      </c>
      <c r="AB426" s="391" t="inlineStr">
        <is>
          <t> </t>
        </is>
      </c>
      <c r="AC426" s="391" t="inlineStr">
        <is>
          <t> </t>
        </is>
      </c>
      <c r="AD426" s="391" t="inlineStr">
        <is>
          <t> </t>
        </is>
      </c>
      <c r="AE426" s="391" t="inlineStr">
        <is>
          <t> </t>
        </is>
      </c>
      <c r="AF426" s="38" t="inlineStr">
        <is>
          <t> </t>
        </is>
      </c>
      <c r="AG426" s="391" t="inlineStr">
        <is>
          <t> </t>
        </is>
      </c>
      <c r="AH426" s="391" t="n"/>
      <c r="AI426" s="391" t="inlineStr">
        <is>
          <t> </t>
        </is>
      </c>
      <c r="AJ426" s="391" t="inlineStr">
        <is>
          <t> </t>
        </is>
      </c>
      <c r="AK426" s="391" t="inlineStr">
        <is>
          <t> </t>
        </is>
      </c>
      <c r="AL426" s="391" t="inlineStr">
        <is>
          <t> </t>
        </is>
      </c>
      <c r="AM426" s="391" t="inlineStr">
        <is>
          <t> </t>
        </is>
      </c>
      <c r="AN426" s="391" t="inlineStr">
        <is>
          <t> </t>
        </is>
      </c>
      <c r="AO426" s="391" t="n"/>
      <c r="AP426" s="319" t="n"/>
      <c r="AQ426" s="319" t="n"/>
      <c r="AR426" s="319" t="n"/>
    </row>
    <row r="427" ht="15.75" customHeight="1" s="1264">
      <c r="A427" s="319" t="inlineStr">
        <is>
          <t> </t>
        </is>
      </c>
      <c r="B427" s="319" t="inlineStr">
        <is>
          <t> </t>
        </is>
      </c>
      <c r="C427" s="319" t="inlineStr">
        <is>
          <t> </t>
        </is>
      </c>
      <c r="D427" s="38" t="inlineStr">
        <is>
          <t> </t>
        </is>
      </c>
      <c r="E427" s="391" t="inlineStr">
        <is>
          <t> </t>
        </is>
      </c>
      <c r="F427" s="391" t="inlineStr">
        <is>
          <t> </t>
        </is>
      </c>
      <c r="G427" s="391" t="inlineStr">
        <is>
          <t> </t>
        </is>
      </c>
      <c r="H427" s="391" t="inlineStr">
        <is>
          <t> </t>
        </is>
      </c>
      <c r="I427" s="391" t="inlineStr">
        <is>
          <t> </t>
        </is>
      </c>
      <c r="J427" s="391" t="inlineStr">
        <is>
          <t> </t>
        </is>
      </c>
      <c r="K427" s="38" t="inlineStr">
        <is>
          <t> </t>
        </is>
      </c>
      <c r="L427" s="391" t="inlineStr">
        <is>
          <t> </t>
        </is>
      </c>
      <c r="M427" s="391" t="inlineStr">
        <is>
          <t> </t>
        </is>
      </c>
      <c r="N427" s="391" t="inlineStr">
        <is>
          <t> </t>
        </is>
      </c>
      <c r="O427" s="391" t="inlineStr">
        <is>
          <t> </t>
        </is>
      </c>
      <c r="P427" s="391" t="inlineStr">
        <is>
          <t> </t>
        </is>
      </c>
      <c r="Q427" s="391" t="inlineStr">
        <is>
          <t> </t>
        </is>
      </c>
      <c r="R427" s="38" t="inlineStr">
        <is>
          <t> </t>
        </is>
      </c>
      <c r="S427" s="391" t="inlineStr">
        <is>
          <t> </t>
        </is>
      </c>
      <c r="T427" s="391" t="inlineStr">
        <is>
          <t> </t>
        </is>
      </c>
      <c r="U427" s="391" t="inlineStr">
        <is>
          <t> </t>
        </is>
      </c>
      <c r="V427" s="391" t="inlineStr">
        <is>
          <t> </t>
        </is>
      </c>
      <c r="W427" s="391" t="inlineStr">
        <is>
          <t> </t>
        </is>
      </c>
      <c r="X427" s="391" t="inlineStr">
        <is>
          <t> </t>
        </is>
      </c>
      <c r="Y427" s="392" t="inlineStr">
        <is>
          <t> </t>
        </is>
      </c>
      <c r="Z427" s="391" t="inlineStr">
        <is>
          <t> </t>
        </is>
      </c>
      <c r="AA427" s="391" t="inlineStr">
        <is>
          <t> </t>
        </is>
      </c>
      <c r="AB427" s="391" t="inlineStr">
        <is>
          <t> </t>
        </is>
      </c>
      <c r="AC427" s="391" t="inlineStr">
        <is>
          <t> </t>
        </is>
      </c>
      <c r="AD427" s="391" t="inlineStr">
        <is>
          <t> </t>
        </is>
      </c>
      <c r="AE427" s="391" t="inlineStr">
        <is>
          <t> </t>
        </is>
      </c>
      <c r="AF427" s="38" t="inlineStr">
        <is>
          <t> </t>
        </is>
      </c>
      <c r="AG427" s="391" t="inlineStr">
        <is>
          <t> </t>
        </is>
      </c>
      <c r="AH427" s="391" t="n"/>
      <c r="AI427" s="391" t="inlineStr">
        <is>
          <t> </t>
        </is>
      </c>
      <c r="AJ427" s="391" t="inlineStr">
        <is>
          <t> </t>
        </is>
      </c>
      <c r="AK427" s="391" t="inlineStr">
        <is>
          <t> </t>
        </is>
      </c>
      <c r="AL427" s="391" t="inlineStr">
        <is>
          <t> </t>
        </is>
      </c>
      <c r="AM427" s="391" t="inlineStr">
        <is>
          <t> </t>
        </is>
      </c>
      <c r="AN427" s="391" t="inlineStr">
        <is>
          <t> </t>
        </is>
      </c>
      <c r="AO427" s="391" t="n"/>
      <c r="AP427" s="319" t="n"/>
      <c r="AQ427" s="319" t="n"/>
      <c r="AR427" s="319" t="n"/>
    </row>
    <row r="428" ht="15.75" customHeight="1" s="1264">
      <c r="A428" s="319" t="inlineStr">
        <is>
          <t> </t>
        </is>
      </c>
      <c r="B428" s="319" t="inlineStr">
        <is>
          <t> </t>
        </is>
      </c>
      <c r="C428" s="319" t="inlineStr">
        <is>
          <t> </t>
        </is>
      </c>
      <c r="D428" s="38" t="inlineStr">
        <is>
          <t> </t>
        </is>
      </c>
      <c r="E428" s="391" t="inlineStr">
        <is>
          <t> </t>
        </is>
      </c>
      <c r="F428" s="391" t="inlineStr">
        <is>
          <t> </t>
        </is>
      </c>
      <c r="G428" s="391" t="inlineStr">
        <is>
          <t> </t>
        </is>
      </c>
      <c r="H428" s="391" t="inlineStr">
        <is>
          <t> </t>
        </is>
      </c>
      <c r="I428" s="391" t="inlineStr">
        <is>
          <t> </t>
        </is>
      </c>
      <c r="J428" s="391" t="inlineStr">
        <is>
          <t> </t>
        </is>
      </c>
      <c r="K428" s="38" t="inlineStr">
        <is>
          <t> </t>
        </is>
      </c>
      <c r="L428" s="391" t="inlineStr">
        <is>
          <t> </t>
        </is>
      </c>
      <c r="M428" s="391" t="inlineStr">
        <is>
          <t> </t>
        </is>
      </c>
      <c r="N428" s="391" t="inlineStr">
        <is>
          <t> </t>
        </is>
      </c>
      <c r="O428" s="391" t="inlineStr">
        <is>
          <t> </t>
        </is>
      </c>
      <c r="P428" s="391" t="inlineStr">
        <is>
          <t> </t>
        </is>
      </c>
      <c r="Q428" s="391" t="inlineStr">
        <is>
          <t> </t>
        </is>
      </c>
      <c r="R428" s="38" t="inlineStr">
        <is>
          <t> </t>
        </is>
      </c>
      <c r="S428" s="391" t="inlineStr">
        <is>
          <t> </t>
        </is>
      </c>
      <c r="T428" s="391" t="inlineStr">
        <is>
          <t> </t>
        </is>
      </c>
      <c r="U428" s="391" t="inlineStr">
        <is>
          <t> </t>
        </is>
      </c>
      <c r="V428" s="391" t="inlineStr">
        <is>
          <t> </t>
        </is>
      </c>
      <c r="W428" s="391" t="inlineStr">
        <is>
          <t> </t>
        </is>
      </c>
      <c r="X428" s="391" t="inlineStr">
        <is>
          <t> </t>
        </is>
      </c>
      <c r="Y428" s="392" t="inlineStr">
        <is>
          <t> </t>
        </is>
      </c>
      <c r="Z428" s="391" t="inlineStr">
        <is>
          <t> </t>
        </is>
      </c>
      <c r="AA428" s="391" t="inlineStr">
        <is>
          <t> </t>
        </is>
      </c>
      <c r="AB428" s="391" t="inlineStr">
        <is>
          <t> </t>
        </is>
      </c>
      <c r="AC428" s="391" t="inlineStr">
        <is>
          <t> </t>
        </is>
      </c>
      <c r="AD428" s="391" t="inlineStr">
        <is>
          <t> </t>
        </is>
      </c>
      <c r="AE428" s="391" t="inlineStr">
        <is>
          <t> </t>
        </is>
      </c>
      <c r="AF428" s="38" t="inlineStr">
        <is>
          <t> </t>
        </is>
      </c>
      <c r="AG428" s="391" t="inlineStr">
        <is>
          <t> </t>
        </is>
      </c>
      <c r="AH428" s="391" t="n"/>
      <c r="AI428" s="391" t="inlineStr">
        <is>
          <t> </t>
        </is>
      </c>
      <c r="AJ428" s="391" t="inlineStr">
        <is>
          <t> </t>
        </is>
      </c>
      <c r="AK428" s="391" t="inlineStr">
        <is>
          <t> </t>
        </is>
      </c>
      <c r="AL428" s="391" t="inlineStr">
        <is>
          <t> </t>
        </is>
      </c>
      <c r="AM428" s="391" t="inlineStr">
        <is>
          <t> </t>
        </is>
      </c>
      <c r="AN428" s="391" t="inlineStr">
        <is>
          <t> </t>
        </is>
      </c>
      <c r="AO428" s="391" t="n"/>
      <c r="AP428" s="319" t="n"/>
      <c r="AQ428" s="319" t="n"/>
      <c r="AR428" s="319" t="n"/>
    </row>
    <row r="429" ht="15.75" customHeight="1" s="1264">
      <c r="A429" s="319" t="inlineStr">
        <is>
          <t> </t>
        </is>
      </c>
      <c r="B429" s="319" t="inlineStr">
        <is>
          <t> </t>
        </is>
      </c>
      <c r="C429" s="319" t="inlineStr">
        <is>
          <t> </t>
        </is>
      </c>
      <c r="D429" s="38" t="inlineStr">
        <is>
          <t> </t>
        </is>
      </c>
      <c r="E429" s="391" t="inlineStr">
        <is>
          <t> </t>
        </is>
      </c>
      <c r="F429" s="391" t="inlineStr">
        <is>
          <t> </t>
        </is>
      </c>
      <c r="G429" s="391" t="inlineStr">
        <is>
          <t> </t>
        </is>
      </c>
      <c r="H429" s="391" t="inlineStr">
        <is>
          <t> </t>
        </is>
      </c>
      <c r="I429" s="391" t="inlineStr">
        <is>
          <t> </t>
        </is>
      </c>
      <c r="J429" s="391" t="inlineStr">
        <is>
          <t> </t>
        </is>
      </c>
      <c r="K429" s="38" t="inlineStr">
        <is>
          <t> </t>
        </is>
      </c>
      <c r="L429" s="391" t="inlineStr">
        <is>
          <t> </t>
        </is>
      </c>
      <c r="M429" s="391" t="inlineStr">
        <is>
          <t> </t>
        </is>
      </c>
      <c r="N429" s="391" t="inlineStr">
        <is>
          <t> </t>
        </is>
      </c>
      <c r="O429" s="391" t="inlineStr">
        <is>
          <t> </t>
        </is>
      </c>
      <c r="P429" s="391" t="inlineStr">
        <is>
          <t> </t>
        </is>
      </c>
      <c r="Q429" s="391" t="inlineStr">
        <is>
          <t> </t>
        </is>
      </c>
      <c r="R429" s="38" t="inlineStr">
        <is>
          <t> </t>
        </is>
      </c>
      <c r="S429" s="391" t="inlineStr">
        <is>
          <t> </t>
        </is>
      </c>
      <c r="T429" s="391" t="inlineStr">
        <is>
          <t> </t>
        </is>
      </c>
      <c r="U429" s="391" t="inlineStr">
        <is>
          <t> </t>
        </is>
      </c>
      <c r="V429" s="391" t="inlineStr">
        <is>
          <t> </t>
        </is>
      </c>
      <c r="W429" s="391" t="inlineStr">
        <is>
          <t> </t>
        </is>
      </c>
      <c r="X429" s="391" t="inlineStr">
        <is>
          <t> </t>
        </is>
      </c>
      <c r="Y429" s="392" t="inlineStr">
        <is>
          <t> </t>
        </is>
      </c>
      <c r="Z429" s="391" t="inlineStr">
        <is>
          <t> </t>
        </is>
      </c>
      <c r="AA429" s="391" t="inlineStr">
        <is>
          <t> </t>
        </is>
      </c>
      <c r="AB429" s="391" t="inlineStr">
        <is>
          <t> </t>
        </is>
      </c>
      <c r="AC429" s="391" t="inlineStr">
        <is>
          <t> </t>
        </is>
      </c>
      <c r="AD429" s="391" t="inlineStr">
        <is>
          <t> </t>
        </is>
      </c>
      <c r="AE429" s="391" t="inlineStr">
        <is>
          <t> </t>
        </is>
      </c>
      <c r="AF429" s="38" t="inlineStr">
        <is>
          <t> </t>
        </is>
      </c>
      <c r="AG429" s="391" t="inlineStr">
        <is>
          <t> </t>
        </is>
      </c>
      <c r="AH429" s="391" t="n"/>
      <c r="AI429" s="391" t="inlineStr">
        <is>
          <t> </t>
        </is>
      </c>
      <c r="AJ429" s="391" t="inlineStr">
        <is>
          <t> </t>
        </is>
      </c>
      <c r="AK429" s="391" t="inlineStr">
        <is>
          <t> </t>
        </is>
      </c>
      <c r="AL429" s="391" t="inlineStr">
        <is>
          <t> </t>
        </is>
      </c>
      <c r="AM429" s="391" t="inlineStr">
        <is>
          <t> </t>
        </is>
      </c>
      <c r="AN429" s="391" t="inlineStr">
        <is>
          <t> </t>
        </is>
      </c>
      <c r="AO429" s="391" t="n"/>
      <c r="AP429" s="319" t="n"/>
      <c r="AQ429" s="319" t="n"/>
      <c r="AR429" s="319" t="n"/>
    </row>
    <row r="430" ht="15.75" customHeight="1" s="1264">
      <c r="A430" s="319" t="inlineStr">
        <is>
          <t> </t>
        </is>
      </c>
      <c r="B430" s="319" t="inlineStr">
        <is>
          <t> </t>
        </is>
      </c>
      <c r="C430" s="319" t="inlineStr">
        <is>
          <t> </t>
        </is>
      </c>
      <c r="D430" s="38" t="inlineStr">
        <is>
          <t> </t>
        </is>
      </c>
      <c r="E430" s="391" t="inlineStr">
        <is>
          <t> </t>
        </is>
      </c>
      <c r="F430" s="391" t="inlineStr">
        <is>
          <t> </t>
        </is>
      </c>
      <c r="G430" s="391" t="inlineStr">
        <is>
          <t> </t>
        </is>
      </c>
      <c r="H430" s="391" t="inlineStr">
        <is>
          <t> </t>
        </is>
      </c>
      <c r="I430" s="391" t="inlineStr">
        <is>
          <t> </t>
        </is>
      </c>
      <c r="J430" s="391" t="inlineStr">
        <is>
          <t> </t>
        </is>
      </c>
      <c r="K430" s="38" t="inlineStr">
        <is>
          <t> </t>
        </is>
      </c>
      <c r="L430" s="391" t="inlineStr">
        <is>
          <t> </t>
        </is>
      </c>
      <c r="M430" s="391" t="inlineStr">
        <is>
          <t> </t>
        </is>
      </c>
      <c r="N430" s="391" t="inlineStr">
        <is>
          <t> </t>
        </is>
      </c>
      <c r="O430" s="391" t="inlineStr">
        <is>
          <t> </t>
        </is>
      </c>
      <c r="P430" s="391" t="inlineStr">
        <is>
          <t> </t>
        </is>
      </c>
      <c r="Q430" s="391" t="inlineStr">
        <is>
          <t> </t>
        </is>
      </c>
      <c r="R430" s="38" t="inlineStr">
        <is>
          <t> </t>
        </is>
      </c>
      <c r="S430" s="391" t="inlineStr">
        <is>
          <t> </t>
        </is>
      </c>
      <c r="T430" s="391" t="inlineStr">
        <is>
          <t> </t>
        </is>
      </c>
      <c r="U430" s="391" t="inlineStr">
        <is>
          <t> </t>
        </is>
      </c>
      <c r="V430" s="391" t="inlineStr">
        <is>
          <t> </t>
        </is>
      </c>
      <c r="W430" s="391" t="inlineStr">
        <is>
          <t> </t>
        </is>
      </c>
      <c r="X430" s="391" t="inlineStr">
        <is>
          <t> </t>
        </is>
      </c>
      <c r="Y430" s="392" t="inlineStr">
        <is>
          <t> </t>
        </is>
      </c>
      <c r="Z430" s="391" t="inlineStr">
        <is>
          <t> </t>
        </is>
      </c>
      <c r="AA430" s="391" t="inlineStr">
        <is>
          <t> </t>
        </is>
      </c>
      <c r="AB430" s="391" t="inlineStr">
        <is>
          <t> </t>
        </is>
      </c>
      <c r="AC430" s="391" t="inlineStr">
        <is>
          <t> </t>
        </is>
      </c>
      <c r="AD430" s="391" t="inlineStr">
        <is>
          <t> </t>
        </is>
      </c>
      <c r="AE430" s="391" t="inlineStr">
        <is>
          <t> </t>
        </is>
      </c>
      <c r="AF430" s="38" t="inlineStr">
        <is>
          <t> </t>
        </is>
      </c>
      <c r="AG430" s="391" t="inlineStr">
        <is>
          <t> </t>
        </is>
      </c>
      <c r="AH430" s="391" t="n"/>
      <c r="AI430" s="391" t="inlineStr">
        <is>
          <t> </t>
        </is>
      </c>
      <c r="AJ430" s="391" t="inlineStr">
        <is>
          <t> </t>
        </is>
      </c>
      <c r="AK430" s="391" t="inlineStr">
        <is>
          <t> </t>
        </is>
      </c>
      <c r="AL430" s="391" t="inlineStr">
        <is>
          <t> </t>
        </is>
      </c>
      <c r="AM430" s="391" t="inlineStr">
        <is>
          <t> </t>
        </is>
      </c>
      <c r="AN430" s="391" t="inlineStr">
        <is>
          <t> </t>
        </is>
      </c>
      <c r="AO430" s="391" t="n"/>
      <c r="AP430" s="319" t="n"/>
      <c r="AQ430" s="319" t="n"/>
      <c r="AR430" s="319" t="n"/>
    </row>
    <row r="431" ht="15.75" customHeight="1" s="1264">
      <c r="A431" s="319" t="inlineStr">
        <is>
          <t> </t>
        </is>
      </c>
      <c r="B431" s="319" t="inlineStr">
        <is>
          <t> </t>
        </is>
      </c>
      <c r="C431" s="319" t="inlineStr">
        <is>
          <t> </t>
        </is>
      </c>
      <c r="D431" s="38" t="inlineStr">
        <is>
          <t> </t>
        </is>
      </c>
      <c r="E431" s="391" t="inlineStr">
        <is>
          <t> </t>
        </is>
      </c>
      <c r="F431" s="391" t="inlineStr">
        <is>
          <t> </t>
        </is>
      </c>
      <c r="G431" s="391" t="inlineStr">
        <is>
          <t> </t>
        </is>
      </c>
      <c r="H431" s="391" t="inlineStr">
        <is>
          <t> </t>
        </is>
      </c>
      <c r="I431" s="391" t="inlineStr">
        <is>
          <t> </t>
        </is>
      </c>
      <c r="J431" s="391" t="inlineStr">
        <is>
          <t> </t>
        </is>
      </c>
      <c r="K431" s="38" t="inlineStr">
        <is>
          <t> </t>
        </is>
      </c>
      <c r="L431" s="391" t="inlineStr">
        <is>
          <t> </t>
        </is>
      </c>
      <c r="M431" s="391" t="inlineStr">
        <is>
          <t> </t>
        </is>
      </c>
      <c r="N431" s="391" t="inlineStr">
        <is>
          <t> </t>
        </is>
      </c>
      <c r="O431" s="391" t="inlineStr">
        <is>
          <t> </t>
        </is>
      </c>
      <c r="P431" s="391" t="inlineStr">
        <is>
          <t> </t>
        </is>
      </c>
      <c r="Q431" s="391" t="inlineStr">
        <is>
          <t> </t>
        </is>
      </c>
      <c r="R431" s="38" t="inlineStr">
        <is>
          <t> </t>
        </is>
      </c>
      <c r="S431" s="391" t="inlineStr">
        <is>
          <t> </t>
        </is>
      </c>
      <c r="T431" s="391" t="inlineStr">
        <is>
          <t> </t>
        </is>
      </c>
      <c r="U431" s="391" t="inlineStr">
        <is>
          <t> </t>
        </is>
      </c>
      <c r="V431" s="391" t="inlineStr">
        <is>
          <t> </t>
        </is>
      </c>
      <c r="W431" s="391" t="inlineStr">
        <is>
          <t> </t>
        </is>
      </c>
      <c r="X431" s="391" t="inlineStr">
        <is>
          <t> </t>
        </is>
      </c>
      <c r="Y431" s="392" t="inlineStr">
        <is>
          <t> </t>
        </is>
      </c>
      <c r="Z431" s="391" t="inlineStr">
        <is>
          <t> </t>
        </is>
      </c>
      <c r="AA431" s="391" t="inlineStr">
        <is>
          <t> </t>
        </is>
      </c>
      <c r="AB431" s="391" t="inlineStr">
        <is>
          <t> </t>
        </is>
      </c>
      <c r="AC431" s="391" t="inlineStr">
        <is>
          <t> </t>
        </is>
      </c>
      <c r="AD431" s="391" t="inlineStr">
        <is>
          <t> </t>
        </is>
      </c>
      <c r="AE431" s="391" t="inlineStr">
        <is>
          <t> </t>
        </is>
      </c>
      <c r="AF431" s="38" t="inlineStr">
        <is>
          <t> </t>
        </is>
      </c>
      <c r="AG431" s="391" t="inlineStr">
        <is>
          <t> </t>
        </is>
      </c>
      <c r="AH431" s="391" t="n"/>
      <c r="AI431" s="391" t="inlineStr">
        <is>
          <t> </t>
        </is>
      </c>
      <c r="AJ431" s="391" t="inlineStr">
        <is>
          <t> </t>
        </is>
      </c>
      <c r="AK431" s="391" t="inlineStr">
        <is>
          <t> </t>
        </is>
      </c>
      <c r="AL431" s="391" t="inlineStr">
        <is>
          <t> </t>
        </is>
      </c>
      <c r="AM431" s="391" t="inlineStr">
        <is>
          <t> </t>
        </is>
      </c>
      <c r="AN431" s="391" t="inlineStr">
        <is>
          <t> </t>
        </is>
      </c>
      <c r="AO431" s="391" t="n"/>
      <c r="AP431" s="319" t="n"/>
      <c r="AQ431" s="319" t="n"/>
      <c r="AR431" s="319" t="n"/>
    </row>
    <row r="432" ht="15.75" customHeight="1" s="1264">
      <c r="A432" s="319" t="inlineStr">
        <is>
          <t> </t>
        </is>
      </c>
      <c r="B432" s="319" t="inlineStr">
        <is>
          <t> </t>
        </is>
      </c>
      <c r="C432" s="319" t="inlineStr">
        <is>
          <t> </t>
        </is>
      </c>
      <c r="D432" s="38" t="inlineStr">
        <is>
          <t> </t>
        </is>
      </c>
      <c r="E432" s="391" t="inlineStr">
        <is>
          <t> </t>
        </is>
      </c>
      <c r="F432" s="391" t="inlineStr">
        <is>
          <t> </t>
        </is>
      </c>
      <c r="G432" s="391" t="inlineStr">
        <is>
          <t> </t>
        </is>
      </c>
      <c r="H432" s="391" t="inlineStr">
        <is>
          <t> </t>
        </is>
      </c>
      <c r="I432" s="391" t="inlineStr">
        <is>
          <t> </t>
        </is>
      </c>
      <c r="J432" s="391" t="inlineStr">
        <is>
          <t> </t>
        </is>
      </c>
      <c r="K432" s="38" t="inlineStr">
        <is>
          <t> </t>
        </is>
      </c>
      <c r="L432" s="391" t="inlineStr">
        <is>
          <t> </t>
        </is>
      </c>
      <c r="M432" s="391" t="inlineStr">
        <is>
          <t> </t>
        </is>
      </c>
      <c r="N432" s="391" t="inlineStr">
        <is>
          <t> </t>
        </is>
      </c>
      <c r="O432" s="391" t="inlineStr">
        <is>
          <t> </t>
        </is>
      </c>
      <c r="P432" s="391" t="inlineStr">
        <is>
          <t> </t>
        </is>
      </c>
      <c r="Q432" s="391" t="inlineStr">
        <is>
          <t> </t>
        </is>
      </c>
      <c r="R432" s="38" t="inlineStr">
        <is>
          <t> </t>
        </is>
      </c>
      <c r="S432" s="391" t="inlineStr">
        <is>
          <t> </t>
        </is>
      </c>
      <c r="T432" s="391" t="inlineStr">
        <is>
          <t> </t>
        </is>
      </c>
      <c r="U432" s="391" t="inlineStr">
        <is>
          <t> </t>
        </is>
      </c>
      <c r="V432" s="391" t="inlineStr">
        <is>
          <t> </t>
        </is>
      </c>
      <c r="W432" s="391" t="inlineStr">
        <is>
          <t> </t>
        </is>
      </c>
      <c r="X432" s="391" t="inlineStr">
        <is>
          <t> </t>
        </is>
      </c>
      <c r="Y432" s="392" t="inlineStr">
        <is>
          <t> </t>
        </is>
      </c>
      <c r="Z432" s="391" t="inlineStr">
        <is>
          <t> </t>
        </is>
      </c>
      <c r="AA432" s="391" t="inlineStr">
        <is>
          <t> </t>
        </is>
      </c>
      <c r="AB432" s="391" t="inlineStr">
        <is>
          <t> </t>
        </is>
      </c>
      <c r="AC432" s="391" t="inlineStr">
        <is>
          <t> </t>
        </is>
      </c>
      <c r="AD432" s="391" t="inlineStr">
        <is>
          <t> </t>
        </is>
      </c>
      <c r="AE432" s="391" t="inlineStr">
        <is>
          <t> </t>
        </is>
      </c>
      <c r="AF432" s="38" t="inlineStr">
        <is>
          <t> </t>
        </is>
      </c>
      <c r="AG432" s="391" t="inlineStr">
        <is>
          <t> </t>
        </is>
      </c>
      <c r="AH432" s="391" t="n"/>
      <c r="AI432" s="391" t="inlineStr">
        <is>
          <t> </t>
        </is>
      </c>
      <c r="AJ432" s="391" t="inlineStr">
        <is>
          <t> </t>
        </is>
      </c>
      <c r="AK432" s="391" t="inlineStr">
        <is>
          <t> </t>
        </is>
      </c>
      <c r="AL432" s="391" t="inlineStr">
        <is>
          <t> </t>
        </is>
      </c>
      <c r="AM432" s="391" t="inlineStr">
        <is>
          <t> </t>
        </is>
      </c>
      <c r="AN432" s="391" t="inlineStr">
        <is>
          <t> </t>
        </is>
      </c>
      <c r="AO432" s="391" t="n"/>
      <c r="AP432" s="319" t="n"/>
      <c r="AQ432" s="319" t="n"/>
      <c r="AR432" s="319" t="n"/>
    </row>
    <row r="433" ht="15.75" customHeight="1" s="1264">
      <c r="A433" s="319" t="inlineStr">
        <is>
          <t> </t>
        </is>
      </c>
      <c r="B433" s="319" t="inlineStr">
        <is>
          <t> </t>
        </is>
      </c>
      <c r="C433" s="319" t="inlineStr">
        <is>
          <t> </t>
        </is>
      </c>
      <c r="D433" s="38" t="inlineStr">
        <is>
          <t> </t>
        </is>
      </c>
      <c r="E433" s="391" t="inlineStr">
        <is>
          <t> </t>
        </is>
      </c>
      <c r="F433" s="391" t="inlineStr">
        <is>
          <t> </t>
        </is>
      </c>
      <c r="G433" s="391" t="inlineStr">
        <is>
          <t> </t>
        </is>
      </c>
      <c r="H433" s="391" t="inlineStr">
        <is>
          <t> </t>
        </is>
      </c>
      <c r="I433" s="391" t="inlineStr">
        <is>
          <t> </t>
        </is>
      </c>
      <c r="J433" s="391" t="inlineStr">
        <is>
          <t> </t>
        </is>
      </c>
      <c r="K433" s="38" t="inlineStr">
        <is>
          <t> </t>
        </is>
      </c>
      <c r="L433" s="391" t="inlineStr">
        <is>
          <t> </t>
        </is>
      </c>
      <c r="M433" s="391" t="inlineStr">
        <is>
          <t> </t>
        </is>
      </c>
      <c r="N433" s="391" t="inlineStr">
        <is>
          <t> </t>
        </is>
      </c>
      <c r="O433" s="391" t="inlineStr">
        <is>
          <t> </t>
        </is>
      </c>
      <c r="P433" s="391" t="inlineStr">
        <is>
          <t> </t>
        </is>
      </c>
      <c r="Q433" s="391" t="inlineStr">
        <is>
          <t> </t>
        </is>
      </c>
      <c r="R433" s="38" t="inlineStr">
        <is>
          <t> </t>
        </is>
      </c>
      <c r="S433" s="391" t="inlineStr">
        <is>
          <t> </t>
        </is>
      </c>
      <c r="T433" s="391" t="inlineStr">
        <is>
          <t> </t>
        </is>
      </c>
      <c r="U433" s="391" t="inlineStr">
        <is>
          <t> </t>
        </is>
      </c>
      <c r="V433" s="391" t="inlineStr">
        <is>
          <t> </t>
        </is>
      </c>
      <c r="W433" s="391" t="inlineStr">
        <is>
          <t> </t>
        </is>
      </c>
      <c r="X433" s="391" t="inlineStr">
        <is>
          <t> </t>
        </is>
      </c>
      <c r="Y433" s="392" t="inlineStr">
        <is>
          <t> </t>
        </is>
      </c>
      <c r="Z433" s="391" t="inlineStr">
        <is>
          <t> </t>
        </is>
      </c>
      <c r="AA433" s="391" t="inlineStr">
        <is>
          <t> </t>
        </is>
      </c>
      <c r="AB433" s="391" t="inlineStr">
        <is>
          <t> </t>
        </is>
      </c>
      <c r="AC433" s="391" t="inlineStr">
        <is>
          <t> </t>
        </is>
      </c>
      <c r="AD433" s="391" t="inlineStr">
        <is>
          <t> </t>
        </is>
      </c>
      <c r="AE433" s="391" t="inlineStr">
        <is>
          <t> </t>
        </is>
      </c>
      <c r="AF433" s="38" t="inlineStr">
        <is>
          <t> </t>
        </is>
      </c>
      <c r="AG433" s="391" t="inlineStr">
        <is>
          <t> </t>
        </is>
      </c>
      <c r="AH433" s="391" t="n"/>
      <c r="AI433" s="391" t="inlineStr">
        <is>
          <t> </t>
        </is>
      </c>
      <c r="AJ433" s="391" t="inlineStr">
        <is>
          <t> </t>
        </is>
      </c>
      <c r="AK433" s="391" t="inlineStr">
        <is>
          <t> </t>
        </is>
      </c>
      <c r="AL433" s="391" t="inlineStr">
        <is>
          <t> </t>
        </is>
      </c>
      <c r="AM433" s="391" t="inlineStr">
        <is>
          <t> </t>
        </is>
      </c>
      <c r="AN433" s="391" t="inlineStr">
        <is>
          <t> </t>
        </is>
      </c>
      <c r="AO433" s="391" t="n"/>
      <c r="AP433" s="319" t="n"/>
      <c r="AQ433" s="319" t="n"/>
      <c r="AR433" s="319" t="n"/>
    </row>
    <row r="434" ht="15.75" customHeight="1" s="1264">
      <c r="A434" s="319" t="inlineStr">
        <is>
          <t> </t>
        </is>
      </c>
      <c r="B434" s="319" t="inlineStr">
        <is>
          <t> </t>
        </is>
      </c>
      <c r="C434" s="319" t="inlineStr">
        <is>
          <t> </t>
        </is>
      </c>
      <c r="D434" s="38" t="inlineStr">
        <is>
          <t> </t>
        </is>
      </c>
      <c r="E434" s="391" t="inlineStr">
        <is>
          <t> </t>
        </is>
      </c>
      <c r="F434" s="391" t="inlineStr">
        <is>
          <t> </t>
        </is>
      </c>
      <c r="G434" s="391" t="inlineStr">
        <is>
          <t> </t>
        </is>
      </c>
      <c r="H434" s="391" t="inlineStr">
        <is>
          <t> </t>
        </is>
      </c>
      <c r="I434" s="391" t="inlineStr">
        <is>
          <t> </t>
        </is>
      </c>
      <c r="J434" s="391" t="inlineStr">
        <is>
          <t> </t>
        </is>
      </c>
      <c r="K434" s="38" t="inlineStr">
        <is>
          <t> </t>
        </is>
      </c>
      <c r="L434" s="391" t="inlineStr">
        <is>
          <t> </t>
        </is>
      </c>
      <c r="M434" s="391" t="inlineStr">
        <is>
          <t> </t>
        </is>
      </c>
      <c r="N434" s="391" t="inlineStr">
        <is>
          <t> </t>
        </is>
      </c>
      <c r="O434" s="391" t="inlineStr">
        <is>
          <t> </t>
        </is>
      </c>
      <c r="P434" s="391" t="inlineStr">
        <is>
          <t> </t>
        </is>
      </c>
      <c r="Q434" s="391" t="inlineStr">
        <is>
          <t> </t>
        </is>
      </c>
      <c r="R434" s="38" t="inlineStr">
        <is>
          <t> </t>
        </is>
      </c>
      <c r="S434" s="391" t="inlineStr">
        <is>
          <t> </t>
        </is>
      </c>
      <c r="T434" s="391" t="inlineStr">
        <is>
          <t> </t>
        </is>
      </c>
      <c r="U434" s="391" t="inlineStr">
        <is>
          <t> </t>
        </is>
      </c>
      <c r="V434" s="391" t="inlineStr">
        <is>
          <t> </t>
        </is>
      </c>
      <c r="W434" s="391" t="inlineStr">
        <is>
          <t> </t>
        </is>
      </c>
      <c r="X434" s="391" t="inlineStr">
        <is>
          <t> </t>
        </is>
      </c>
      <c r="Y434" s="392" t="inlineStr">
        <is>
          <t> </t>
        </is>
      </c>
      <c r="Z434" s="391" t="inlineStr">
        <is>
          <t> </t>
        </is>
      </c>
      <c r="AA434" s="391" t="inlineStr">
        <is>
          <t> </t>
        </is>
      </c>
      <c r="AB434" s="391" t="inlineStr">
        <is>
          <t> </t>
        </is>
      </c>
      <c r="AC434" s="391" t="inlineStr">
        <is>
          <t> </t>
        </is>
      </c>
      <c r="AD434" s="391" t="inlineStr">
        <is>
          <t> </t>
        </is>
      </c>
      <c r="AE434" s="391" t="inlineStr">
        <is>
          <t> </t>
        </is>
      </c>
      <c r="AF434" s="38" t="inlineStr">
        <is>
          <t> </t>
        </is>
      </c>
      <c r="AG434" s="391" t="inlineStr">
        <is>
          <t> </t>
        </is>
      </c>
      <c r="AH434" s="391" t="n"/>
      <c r="AI434" s="391" t="inlineStr">
        <is>
          <t> </t>
        </is>
      </c>
      <c r="AJ434" s="391" t="inlineStr">
        <is>
          <t> </t>
        </is>
      </c>
      <c r="AK434" s="391" t="inlineStr">
        <is>
          <t> </t>
        </is>
      </c>
      <c r="AL434" s="391" t="inlineStr">
        <is>
          <t> </t>
        </is>
      </c>
      <c r="AM434" s="391" t="inlineStr">
        <is>
          <t> </t>
        </is>
      </c>
      <c r="AN434" s="391" t="inlineStr">
        <is>
          <t> </t>
        </is>
      </c>
      <c r="AO434" s="391" t="n"/>
      <c r="AP434" s="319" t="n"/>
      <c r="AQ434" s="319" t="n"/>
      <c r="AR434" s="319" t="n"/>
    </row>
    <row r="435" ht="15.75" customHeight="1" s="1264">
      <c r="A435" s="319" t="inlineStr">
        <is>
          <t> </t>
        </is>
      </c>
      <c r="B435" s="319" t="inlineStr">
        <is>
          <t> </t>
        </is>
      </c>
      <c r="C435" s="319" t="inlineStr">
        <is>
          <t> </t>
        </is>
      </c>
      <c r="D435" s="38" t="inlineStr">
        <is>
          <t> </t>
        </is>
      </c>
      <c r="E435" s="391" t="inlineStr">
        <is>
          <t> </t>
        </is>
      </c>
      <c r="F435" s="391" t="inlineStr">
        <is>
          <t> </t>
        </is>
      </c>
      <c r="G435" s="391" t="inlineStr">
        <is>
          <t> </t>
        </is>
      </c>
      <c r="H435" s="391" t="inlineStr">
        <is>
          <t> </t>
        </is>
      </c>
      <c r="I435" s="391" t="inlineStr">
        <is>
          <t> </t>
        </is>
      </c>
      <c r="J435" s="391" t="inlineStr">
        <is>
          <t> </t>
        </is>
      </c>
      <c r="K435" s="38" t="inlineStr">
        <is>
          <t> </t>
        </is>
      </c>
      <c r="L435" s="391" t="inlineStr">
        <is>
          <t> </t>
        </is>
      </c>
      <c r="M435" s="391" t="inlineStr">
        <is>
          <t> </t>
        </is>
      </c>
      <c r="N435" s="391" t="inlineStr">
        <is>
          <t> </t>
        </is>
      </c>
      <c r="O435" s="391" t="inlineStr">
        <is>
          <t> </t>
        </is>
      </c>
      <c r="P435" s="391" t="inlineStr">
        <is>
          <t> </t>
        </is>
      </c>
      <c r="Q435" s="391" t="inlineStr">
        <is>
          <t> </t>
        </is>
      </c>
      <c r="R435" s="38" t="inlineStr">
        <is>
          <t> </t>
        </is>
      </c>
      <c r="S435" s="391" t="inlineStr">
        <is>
          <t> </t>
        </is>
      </c>
      <c r="T435" s="391" t="inlineStr">
        <is>
          <t> </t>
        </is>
      </c>
      <c r="U435" s="391" t="inlineStr">
        <is>
          <t> </t>
        </is>
      </c>
      <c r="V435" s="391" t="inlineStr">
        <is>
          <t> </t>
        </is>
      </c>
      <c r="W435" s="391" t="inlineStr">
        <is>
          <t> </t>
        </is>
      </c>
      <c r="X435" s="391" t="inlineStr">
        <is>
          <t> </t>
        </is>
      </c>
      <c r="Y435" s="392" t="inlineStr">
        <is>
          <t> </t>
        </is>
      </c>
      <c r="Z435" s="391" t="inlineStr">
        <is>
          <t> </t>
        </is>
      </c>
      <c r="AA435" s="391" t="inlineStr">
        <is>
          <t> </t>
        </is>
      </c>
      <c r="AB435" s="391" t="inlineStr">
        <is>
          <t> </t>
        </is>
      </c>
      <c r="AC435" s="391" t="inlineStr">
        <is>
          <t> </t>
        </is>
      </c>
      <c r="AD435" s="391" t="inlineStr">
        <is>
          <t> </t>
        </is>
      </c>
      <c r="AE435" s="391" t="inlineStr">
        <is>
          <t> </t>
        </is>
      </c>
      <c r="AF435" s="38" t="inlineStr">
        <is>
          <t> </t>
        </is>
      </c>
      <c r="AG435" s="391" t="inlineStr">
        <is>
          <t> </t>
        </is>
      </c>
      <c r="AH435" s="391" t="n"/>
      <c r="AI435" s="391" t="inlineStr">
        <is>
          <t> </t>
        </is>
      </c>
      <c r="AJ435" s="391" t="inlineStr">
        <is>
          <t> </t>
        </is>
      </c>
      <c r="AK435" s="391" t="inlineStr">
        <is>
          <t> </t>
        </is>
      </c>
      <c r="AL435" s="391" t="inlineStr">
        <is>
          <t> </t>
        </is>
      </c>
      <c r="AM435" s="391" t="inlineStr">
        <is>
          <t> </t>
        </is>
      </c>
      <c r="AN435" s="391" t="inlineStr">
        <is>
          <t> </t>
        </is>
      </c>
      <c r="AO435" s="391" t="n"/>
      <c r="AP435" s="319" t="n"/>
      <c r="AQ435" s="319" t="n"/>
      <c r="AR435" s="319" t="n"/>
    </row>
    <row r="436" ht="15.75" customHeight="1" s="1264">
      <c r="A436" s="319" t="inlineStr">
        <is>
          <t> </t>
        </is>
      </c>
      <c r="B436" s="319" t="inlineStr">
        <is>
          <t> </t>
        </is>
      </c>
      <c r="C436" s="319" t="inlineStr">
        <is>
          <t> </t>
        </is>
      </c>
      <c r="D436" s="38" t="inlineStr">
        <is>
          <t> </t>
        </is>
      </c>
      <c r="E436" s="391" t="inlineStr">
        <is>
          <t> </t>
        </is>
      </c>
      <c r="F436" s="391" t="inlineStr">
        <is>
          <t> </t>
        </is>
      </c>
      <c r="G436" s="391" t="inlineStr">
        <is>
          <t> </t>
        </is>
      </c>
      <c r="H436" s="391" t="inlineStr">
        <is>
          <t> </t>
        </is>
      </c>
      <c r="I436" s="391" t="inlineStr">
        <is>
          <t> </t>
        </is>
      </c>
      <c r="J436" s="391" t="inlineStr">
        <is>
          <t> </t>
        </is>
      </c>
      <c r="K436" s="38" t="inlineStr">
        <is>
          <t> </t>
        </is>
      </c>
      <c r="L436" s="391" t="inlineStr">
        <is>
          <t> </t>
        </is>
      </c>
      <c r="M436" s="391" t="inlineStr">
        <is>
          <t> </t>
        </is>
      </c>
      <c r="N436" s="391" t="inlineStr">
        <is>
          <t> </t>
        </is>
      </c>
      <c r="O436" s="391" t="inlineStr">
        <is>
          <t> </t>
        </is>
      </c>
      <c r="P436" s="391" t="inlineStr">
        <is>
          <t> </t>
        </is>
      </c>
      <c r="Q436" s="391" t="inlineStr">
        <is>
          <t> </t>
        </is>
      </c>
      <c r="R436" s="38" t="inlineStr">
        <is>
          <t> </t>
        </is>
      </c>
      <c r="S436" s="391" t="inlineStr">
        <is>
          <t> </t>
        </is>
      </c>
      <c r="T436" s="391" t="inlineStr">
        <is>
          <t> </t>
        </is>
      </c>
      <c r="U436" s="391" t="inlineStr">
        <is>
          <t> </t>
        </is>
      </c>
      <c r="V436" s="391" t="inlineStr">
        <is>
          <t> </t>
        </is>
      </c>
      <c r="W436" s="391" t="inlineStr">
        <is>
          <t> </t>
        </is>
      </c>
      <c r="X436" s="391" t="inlineStr">
        <is>
          <t> </t>
        </is>
      </c>
      <c r="Y436" s="392" t="inlineStr">
        <is>
          <t> </t>
        </is>
      </c>
      <c r="Z436" s="391" t="inlineStr">
        <is>
          <t> </t>
        </is>
      </c>
      <c r="AA436" s="391" t="inlineStr">
        <is>
          <t> </t>
        </is>
      </c>
      <c r="AB436" s="391" t="inlineStr">
        <is>
          <t> </t>
        </is>
      </c>
      <c r="AC436" s="391" t="inlineStr">
        <is>
          <t> </t>
        </is>
      </c>
      <c r="AD436" s="391" t="inlineStr">
        <is>
          <t> </t>
        </is>
      </c>
      <c r="AE436" s="391" t="inlineStr">
        <is>
          <t> </t>
        </is>
      </c>
      <c r="AF436" s="38" t="inlineStr">
        <is>
          <t> </t>
        </is>
      </c>
      <c r="AG436" s="391" t="inlineStr">
        <is>
          <t> </t>
        </is>
      </c>
      <c r="AH436" s="391" t="n"/>
      <c r="AI436" s="391" t="inlineStr">
        <is>
          <t> </t>
        </is>
      </c>
      <c r="AJ436" s="391" t="inlineStr">
        <is>
          <t> </t>
        </is>
      </c>
      <c r="AK436" s="391" t="inlineStr">
        <is>
          <t> </t>
        </is>
      </c>
      <c r="AL436" s="391" t="inlineStr">
        <is>
          <t> </t>
        </is>
      </c>
      <c r="AM436" s="391" t="inlineStr">
        <is>
          <t> </t>
        </is>
      </c>
      <c r="AN436" s="391" t="inlineStr">
        <is>
          <t> </t>
        </is>
      </c>
      <c r="AO436" s="391" t="n"/>
      <c r="AP436" s="319" t="n"/>
      <c r="AQ436" s="319" t="n"/>
      <c r="AR436" s="319" t="n"/>
    </row>
    <row r="437" ht="15.75" customHeight="1" s="1264">
      <c r="A437" s="319" t="inlineStr">
        <is>
          <t> </t>
        </is>
      </c>
      <c r="B437" s="319" t="inlineStr">
        <is>
          <t> </t>
        </is>
      </c>
      <c r="C437" s="319" t="inlineStr">
        <is>
          <t> </t>
        </is>
      </c>
      <c r="D437" s="38" t="inlineStr">
        <is>
          <t> </t>
        </is>
      </c>
      <c r="E437" s="391" t="inlineStr">
        <is>
          <t> </t>
        </is>
      </c>
      <c r="F437" s="391" t="inlineStr">
        <is>
          <t> </t>
        </is>
      </c>
      <c r="G437" s="391" t="inlineStr">
        <is>
          <t> </t>
        </is>
      </c>
      <c r="H437" s="391" t="inlineStr">
        <is>
          <t> </t>
        </is>
      </c>
      <c r="I437" s="391" t="inlineStr">
        <is>
          <t> </t>
        </is>
      </c>
      <c r="J437" s="391" t="inlineStr">
        <is>
          <t> </t>
        </is>
      </c>
      <c r="K437" s="38" t="inlineStr">
        <is>
          <t> </t>
        </is>
      </c>
      <c r="L437" s="391" t="inlineStr">
        <is>
          <t> </t>
        </is>
      </c>
      <c r="M437" s="391" t="inlineStr">
        <is>
          <t> </t>
        </is>
      </c>
      <c r="N437" s="391" t="inlineStr">
        <is>
          <t> </t>
        </is>
      </c>
      <c r="O437" s="391" t="inlineStr">
        <is>
          <t> </t>
        </is>
      </c>
      <c r="P437" s="391" t="inlineStr">
        <is>
          <t> </t>
        </is>
      </c>
      <c r="Q437" s="391" t="inlineStr">
        <is>
          <t> </t>
        </is>
      </c>
      <c r="R437" s="38" t="inlineStr">
        <is>
          <t> </t>
        </is>
      </c>
      <c r="S437" s="391" t="inlineStr">
        <is>
          <t> </t>
        </is>
      </c>
      <c r="T437" s="391" t="inlineStr">
        <is>
          <t> </t>
        </is>
      </c>
      <c r="U437" s="391" t="inlineStr">
        <is>
          <t> </t>
        </is>
      </c>
      <c r="V437" s="391" t="inlineStr">
        <is>
          <t> </t>
        </is>
      </c>
      <c r="W437" s="391" t="inlineStr">
        <is>
          <t> </t>
        </is>
      </c>
      <c r="X437" s="391" t="inlineStr">
        <is>
          <t> </t>
        </is>
      </c>
      <c r="Y437" s="392" t="inlineStr">
        <is>
          <t> </t>
        </is>
      </c>
      <c r="Z437" s="391" t="inlineStr">
        <is>
          <t> </t>
        </is>
      </c>
      <c r="AA437" s="391" t="inlineStr">
        <is>
          <t> </t>
        </is>
      </c>
      <c r="AB437" s="391" t="inlineStr">
        <is>
          <t> </t>
        </is>
      </c>
      <c r="AC437" s="391" t="inlineStr">
        <is>
          <t> </t>
        </is>
      </c>
      <c r="AD437" s="391" t="inlineStr">
        <is>
          <t> </t>
        </is>
      </c>
      <c r="AE437" s="391" t="inlineStr">
        <is>
          <t> </t>
        </is>
      </c>
      <c r="AF437" s="38" t="inlineStr">
        <is>
          <t> </t>
        </is>
      </c>
      <c r="AG437" s="391" t="inlineStr">
        <is>
          <t> </t>
        </is>
      </c>
      <c r="AH437" s="391" t="n"/>
      <c r="AI437" s="391" t="inlineStr">
        <is>
          <t> </t>
        </is>
      </c>
      <c r="AJ437" s="391" t="inlineStr">
        <is>
          <t> </t>
        </is>
      </c>
      <c r="AK437" s="391" t="inlineStr">
        <is>
          <t> </t>
        </is>
      </c>
      <c r="AL437" s="391" t="inlineStr">
        <is>
          <t> </t>
        </is>
      </c>
      <c r="AM437" s="391" t="inlineStr">
        <is>
          <t> </t>
        </is>
      </c>
      <c r="AN437" s="391" t="inlineStr">
        <is>
          <t> </t>
        </is>
      </c>
      <c r="AO437" s="391" t="n"/>
      <c r="AP437" s="319" t="n"/>
      <c r="AQ437" s="319" t="n"/>
      <c r="AR437" s="319" t="n"/>
    </row>
    <row r="438" ht="15.75" customHeight="1" s="1264">
      <c r="A438" s="319" t="inlineStr">
        <is>
          <t> </t>
        </is>
      </c>
      <c r="B438" s="319" t="inlineStr">
        <is>
          <t> </t>
        </is>
      </c>
      <c r="C438" s="319" t="inlineStr">
        <is>
          <t> </t>
        </is>
      </c>
      <c r="D438" s="38" t="inlineStr">
        <is>
          <t> </t>
        </is>
      </c>
      <c r="E438" s="391" t="inlineStr">
        <is>
          <t> </t>
        </is>
      </c>
      <c r="F438" s="391" t="inlineStr">
        <is>
          <t> </t>
        </is>
      </c>
      <c r="G438" s="391" t="inlineStr">
        <is>
          <t> </t>
        </is>
      </c>
      <c r="H438" s="391" t="inlineStr">
        <is>
          <t> </t>
        </is>
      </c>
      <c r="I438" s="391" t="inlineStr">
        <is>
          <t> </t>
        </is>
      </c>
      <c r="J438" s="391" t="inlineStr">
        <is>
          <t> </t>
        </is>
      </c>
      <c r="K438" s="38" t="inlineStr">
        <is>
          <t> </t>
        </is>
      </c>
      <c r="L438" s="391" t="inlineStr">
        <is>
          <t> </t>
        </is>
      </c>
      <c r="M438" s="391" t="inlineStr">
        <is>
          <t> </t>
        </is>
      </c>
      <c r="N438" s="391" t="inlineStr">
        <is>
          <t> </t>
        </is>
      </c>
      <c r="O438" s="391" t="inlineStr">
        <is>
          <t> </t>
        </is>
      </c>
      <c r="P438" s="391" t="inlineStr">
        <is>
          <t> </t>
        </is>
      </c>
      <c r="Q438" s="391" t="inlineStr">
        <is>
          <t> </t>
        </is>
      </c>
      <c r="R438" s="38" t="inlineStr">
        <is>
          <t> </t>
        </is>
      </c>
      <c r="S438" s="391" t="inlineStr">
        <is>
          <t> </t>
        </is>
      </c>
      <c r="T438" s="391" t="inlineStr">
        <is>
          <t> </t>
        </is>
      </c>
      <c r="U438" s="391" t="inlineStr">
        <is>
          <t> </t>
        </is>
      </c>
      <c r="V438" s="391" t="inlineStr">
        <is>
          <t> </t>
        </is>
      </c>
      <c r="W438" s="391" t="inlineStr">
        <is>
          <t> </t>
        </is>
      </c>
      <c r="X438" s="391" t="inlineStr">
        <is>
          <t> </t>
        </is>
      </c>
      <c r="Y438" s="392" t="inlineStr">
        <is>
          <t> </t>
        </is>
      </c>
      <c r="Z438" s="391" t="inlineStr">
        <is>
          <t> </t>
        </is>
      </c>
      <c r="AA438" s="391" t="inlineStr">
        <is>
          <t> </t>
        </is>
      </c>
      <c r="AB438" s="391" t="inlineStr">
        <is>
          <t> </t>
        </is>
      </c>
      <c r="AC438" s="391" t="inlineStr">
        <is>
          <t> </t>
        </is>
      </c>
      <c r="AD438" s="391" t="inlineStr">
        <is>
          <t> </t>
        </is>
      </c>
      <c r="AE438" s="391" t="inlineStr">
        <is>
          <t> </t>
        </is>
      </c>
      <c r="AF438" s="38" t="inlineStr">
        <is>
          <t> </t>
        </is>
      </c>
      <c r="AG438" s="391" t="inlineStr">
        <is>
          <t> </t>
        </is>
      </c>
      <c r="AH438" s="391" t="n"/>
      <c r="AI438" s="391" t="inlineStr">
        <is>
          <t> </t>
        </is>
      </c>
      <c r="AJ438" s="391" t="inlineStr">
        <is>
          <t> </t>
        </is>
      </c>
      <c r="AK438" s="391" t="inlineStr">
        <is>
          <t> </t>
        </is>
      </c>
      <c r="AL438" s="391" t="inlineStr">
        <is>
          <t> </t>
        </is>
      </c>
      <c r="AM438" s="391" t="inlineStr">
        <is>
          <t> </t>
        </is>
      </c>
      <c r="AN438" s="391" t="inlineStr">
        <is>
          <t> </t>
        </is>
      </c>
      <c r="AO438" s="391" t="n"/>
      <c r="AP438" s="319" t="n"/>
      <c r="AQ438" s="319" t="n"/>
      <c r="AR438" s="319" t="n"/>
    </row>
    <row r="439" ht="15.75" customHeight="1" s="1264">
      <c r="A439" s="319" t="inlineStr">
        <is>
          <t> </t>
        </is>
      </c>
      <c r="B439" s="319" t="inlineStr">
        <is>
          <t> </t>
        </is>
      </c>
      <c r="C439" s="319" t="inlineStr">
        <is>
          <t> </t>
        </is>
      </c>
      <c r="D439" s="38" t="inlineStr">
        <is>
          <t> </t>
        </is>
      </c>
      <c r="E439" s="391" t="inlineStr">
        <is>
          <t> </t>
        </is>
      </c>
      <c r="F439" s="391" t="inlineStr">
        <is>
          <t> </t>
        </is>
      </c>
      <c r="G439" s="391" t="inlineStr">
        <is>
          <t> </t>
        </is>
      </c>
      <c r="H439" s="391" t="inlineStr">
        <is>
          <t> </t>
        </is>
      </c>
      <c r="I439" s="391" t="inlineStr">
        <is>
          <t> </t>
        </is>
      </c>
      <c r="J439" s="391" t="inlineStr">
        <is>
          <t> </t>
        </is>
      </c>
      <c r="K439" s="38" t="inlineStr">
        <is>
          <t> </t>
        </is>
      </c>
      <c r="L439" s="391" t="inlineStr">
        <is>
          <t> </t>
        </is>
      </c>
      <c r="M439" s="391" t="inlineStr">
        <is>
          <t> </t>
        </is>
      </c>
      <c r="N439" s="391" t="inlineStr">
        <is>
          <t> </t>
        </is>
      </c>
      <c r="O439" s="391" t="inlineStr">
        <is>
          <t> </t>
        </is>
      </c>
      <c r="P439" s="391" t="inlineStr">
        <is>
          <t> </t>
        </is>
      </c>
      <c r="Q439" s="391" t="inlineStr">
        <is>
          <t> </t>
        </is>
      </c>
      <c r="R439" s="38" t="inlineStr">
        <is>
          <t> </t>
        </is>
      </c>
      <c r="S439" s="391" t="inlineStr">
        <is>
          <t> </t>
        </is>
      </c>
      <c r="T439" s="391" t="inlineStr">
        <is>
          <t> </t>
        </is>
      </c>
      <c r="U439" s="391" t="inlineStr">
        <is>
          <t> </t>
        </is>
      </c>
      <c r="V439" s="391" t="inlineStr">
        <is>
          <t> </t>
        </is>
      </c>
      <c r="W439" s="391" t="inlineStr">
        <is>
          <t> </t>
        </is>
      </c>
      <c r="X439" s="391" t="inlineStr">
        <is>
          <t> </t>
        </is>
      </c>
      <c r="Y439" s="392" t="inlineStr">
        <is>
          <t> </t>
        </is>
      </c>
      <c r="Z439" s="391" t="inlineStr">
        <is>
          <t> </t>
        </is>
      </c>
      <c r="AA439" s="391" t="inlineStr">
        <is>
          <t> </t>
        </is>
      </c>
      <c r="AB439" s="391" t="inlineStr">
        <is>
          <t> </t>
        </is>
      </c>
      <c r="AC439" s="391" t="inlineStr">
        <is>
          <t> </t>
        </is>
      </c>
      <c r="AD439" s="391" t="inlineStr">
        <is>
          <t> </t>
        </is>
      </c>
      <c r="AE439" s="391" t="inlineStr">
        <is>
          <t> </t>
        </is>
      </c>
      <c r="AF439" s="38" t="inlineStr">
        <is>
          <t> </t>
        </is>
      </c>
      <c r="AG439" s="391" t="inlineStr">
        <is>
          <t> </t>
        </is>
      </c>
      <c r="AH439" s="391" t="n"/>
      <c r="AI439" s="391" t="inlineStr">
        <is>
          <t> </t>
        </is>
      </c>
      <c r="AJ439" s="391" t="inlineStr">
        <is>
          <t> </t>
        </is>
      </c>
      <c r="AK439" s="391" t="inlineStr">
        <is>
          <t> </t>
        </is>
      </c>
      <c r="AL439" s="391" t="inlineStr">
        <is>
          <t> </t>
        </is>
      </c>
      <c r="AM439" s="391" t="inlineStr">
        <is>
          <t> </t>
        </is>
      </c>
      <c r="AN439" s="391" t="inlineStr">
        <is>
          <t> </t>
        </is>
      </c>
      <c r="AO439" s="391" t="n"/>
      <c r="AP439" s="319" t="n"/>
      <c r="AQ439" s="319" t="n"/>
      <c r="AR439" s="319" t="n"/>
    </row>
    <row r="440" ht="15.75" customHeight="1" s="1264">
      <c r="A440" s="319" t="inlineStr">
        <is>
          <t> </t>
        </is>
      </c>
      <c r="B440" s="319" t="inlineStr">
        <is>
          <t> </t>
        </is>
      </c>
      <c r="C440" s="319" t="inlineStr">
        <is>
          <t> </t>
        </is>
      </c>
      <c r="D440" s="38" t="inlineStr">
        <is>
          <t> </t>
        </is>
      </c>
      <c r="E440" s="391" t="inlineStr">
        <is>
          <t> </t>
        </is>
      </c>
      <c r="F440" s="391" t="inlineStr">
        <is>
          <t> </t>
        </is>
      </c>
      <c r="G440" s="391" t="inlineStr">
        <is>
          <t> </t>
        </is>
      </c>
      <c r="H440" s="391" t="inlineStr">
        <is>
          <t> </t>
        </is>
      </c>
      <c r="I440" s="391" t="inlineStr">
        <is>
          <t> </t>
        </is>
      </c>
      <c r="J440" s="391" t="inlineStr">
        <is>
          <t> </t>
        </is>
      </c>
      <c r="K440" s="38" t="inlineStr">
        <is>
          <t> </t>
        </is>
      </c>
      <c r="L440" s="391" t="inlineStr">
        <is>
          <t> </t>
        </is>
      </c>
      <c r="M440" s="391" t="inlineStr">
        <is>
          <t> </t>
        </is>
      </c>
      <c r="N440" s="391" t="inlineStr">
        <is>
          <t> </t>
        </is>
      </c>
      <c r="O440" s="391" t="inlineStr">
        <is>
          <t> </t>
        </is>
      </c>
      <c r="P440" s="391" t="inlineStr">
        <is>
          <t> </t>
        </is>
      </c>
      <c r="Q440" s="391" t="inlineStr">
        <is>
          <t> </t>
        </is>
      </c>
      <c r="R440" s="38" t="inlineStr">
        <is>
          <t> </t>
        </is>
      </c>
      <c r="S440" s="391" t="inlineStr">
        <is>
          <t> </t>
        </is>
      </c>
      <c r="T440" s="391" t="inlineStr">
        <is>
          <t> </t>
        </is>
      </c>
      <c r="U440" s="391" t="inlineStr">
        <is>
          <t> </t>
        </is>
      </c>
      <c r="V440" s="391" t="inlineStr">
        <is>
          <t> </t>
        </is>
      </c>
      <c r="W440" s="391" t="inlineStr">
        <is>
          <t> </t>
        </is>
      </c>
      <c r="X440" s="391" t="inlineStr">
        <is>
          <t> </t>
        </is>
      </c>
      <c r="Y440" s="392" t="inlineStr">
        <is>
          <t> </t>
        </is>
      </c>
      <c r="Z440" s="391" t="inlineStr">
        <is>
          <t> </t>
        </is>
      </c>
      <c r="AA440" s="391" t="inlineStr">
        <is>
          <t> </t>
        </is>
      </c>
      <c r="AB440" s="391" t="inlineStr">
        <is>
          <t> </t>
        </is>
      </c>
      <c r="AC440" s="391" t="inlineStr">
        <is>
          <t> </t>
        </is>
      </c>
      <c r="AD440" s="391" t="inlineStr">
        <is>
          <t> </t>
        </is>
      </c>
      <c r="AE440" s="391" t="inlineStr">
        <is>
          <t> </t>
        </is>
      </c>
      <c r="AF440" s="38" t="inlineStr">
        <is>
          <t> </t>
        </is>
      </c>
      <c r="AG440" s="391" t="inlineStr">
        <is>
          <t> </t>
        </is>
      </c>
      <c r="AH440" s="391" t="n"/>
      <c r="AI440" s="391" t="inlineStr">
        <is>
          <t> </t>
        </is>
      </c>
      <c r="AJ440" s="391" t="inlineStr">
        <is>
          <t> </t>
        </is>
      </c>
      <c r="AK440" s="391" t="inlineStr">
        <is>
          <t> </t>
        </is>
      </c>
      <c r="AL440" s="391" t="inlineStr">
        <is>
          <t> </t>
        </is>
      </c>
      <c r="AM440" s="391" t="inlineStr">
        <is>
          <t> </t>
        </is>
      </c>
      <c r="AN440" s="391" t="inlineStr">
        <is>
          <t> </t>
        </is>
      </c>
      <c r="AO440" s="391" t="n"/>
      <c r="AP440" s="319" t="n"/>
      <c r="AQ440" s="319" t="n"/>
      <c r="AR440" s="319" t="n"/>
    </row>
    <row r="441" ht="15.75" customHeight="1" s="1264">
      <c r="A441" s="319" t="inlineStr">
        <is>
          <t> </t>
        </is>
      </c>
      <c r="B441" s="319" t="inlineStr">
        <is>
          <t> </t>
        </is>
      </c>
      <c r="C441" s="319" t="inlineStr">
        <is>
          <t> </t>
        </is>
      </c>
      <c r="D441" s="38" t="inlineStr">
        <is>
          <t> </t>
        </is>
      </c>
      <c r="E441" s="391" t="inlineStr">
        <is>
          <t> </t>
        </is>
      </c>
      <c r="F441" s="391" t="inlineStr">
        <is>
          <t> </t>
        </is>
      </c>
      <c r="G441" s="391" t="inlineStr">
        <is>
          <t> </t>
        </is>
      </c>
      <c r="H441" s="391" t="inlineStr">
        <is>
          <t> </t>
        </is>
      </c>
      <c r="I441" s="391" t="inlineStr">
        <is>
          <t> </t>
        </is>
      </c>
      <c r="J441" s="391" t="inlineStr">
        <is>
          <t> </t>
        </is>
      </c>
      <c r="K441" s="38" t="inlineStr">
        <is>
          <t> </t>
        </is>
      </c>
      <c r="L441" s="391" t="inlineStr">
        <is>
          <t> </t>
        </is>
      </c>
      <c r="M441" s="391" t="inlineStr">
        <is>
          <t> </t>
        </is>
      </c>
      <c r="N441" s="391" t="inlineStr">
        <is>
          <t> </t>
        </is>
      </c>
      <c r="O441" s="391" t="inlineStr">
        <is>
          <t> </t>
        </is>
      </c>
      <c r="P441" s="391" t="inlineStr">
        <is>
          <t> </t>
        </is>
      </c>
      <c r="Q441" s="391" t="inlineStr">
        <is>
          <t> </t>
        </is>
      </c>
      <c r="R441" s="38" t="inlineStr">
        <is>
          <t> </t>
        </is>
      </c>
      <c r="S441" s="391" t="inlineStr">
        <is>
          <t> </t>
        </is>
      </c>
      <c r="T441" s="391" t="inlineStr">
        <is>
          <t> </t>
        </is>
      </c>
      <c r="U441" s="391" t="inlineStr">
        <is>
          <t> </t>
        </is>
      </c>
      <c r="V441" s="391" t="inlineStr">
        <is>
          <t> </t>
        </is>
      </c>
      <c r="W441" s="391" t="inlineStr">
        <is>
          <t> </t>
        </is>
      </c>
      <c r="X441" s="391" t="inlineStr">
        <is>
          <t> </t>
        </is>
      </c>
      <c r="Y441" s="392" t="inlineStr">
        <is>
          <t> </t>
        </is>
      </c>
      <c r="Z441" s="391" t="inlineStr">
        <is>
          <t> </t>
        </is>
      </c>
      <c r="AA441" s="391" t="inlineStr">
        <is>
          <t> </t>
        </is>
      </c>
      <c r="AB441" s="391" t="inlineStr">
        <is>
          <t> </t>
        </is>
      </c>
      <c r="AC441" s="391" t="inlineStr">
        <is>
          <t> </t>
        </is>
      </c>
      <c r="AD441" s="391" t="inlineStr">
        <is>
          <t> </t>
        </is>
      </c>
      <c r="AE441" s="391" t="inlineStr">
        <is>
          <t> </t>
        </is>
      </c>
      <c r="AF441" s="38" t="inlineStr">
        <is>
          <t> </t>
        </is>
      </c>
      <c r="AG441" s="391" t="inlineStr">
        <is>
          <t> </t>
        </is>
      </c>
      <c r="AH441" s="391" t="n"/>
      <c r="AI441" s="391" t="inlineStr">
        <is>
          <t> </t>
        </is>
      </c>
      <c r="AJ441" s="391" t="inlineStr">
        <is>
          <t> </t>
        </is>
      </c>
      <c r="AK441" s="391" t="inlineStr">
        <is>
          <t> </t>
        </is>
      </c>
      <c r="AL441" s="391" t="inlineStr">
        <is>
          <t> </t>
        </is>
      </c>
      <c r="AM441" s="391" t="inlineStr">
        <is>
          <t> </t>
        </is>
      </c>
      <c r="AN441" s="391" t="inlineStr">
        <is>
          <t> </t>
        </is>
      </c>
      <c r="AO441" s="391" t="n"/>
      <c r="AP441" s="319" t="n"/>
      <c r="AQ441" s="319" t="n"/>
      <c r="AR441" s="319" t="n"/>
    </row>
    <row r="442" ht="15.75" customHeight="1" s="1264">
      <c r="A442" s="319" t="inlineStr">
        <is>
          <t> </t>
        </is>
      </c>
      <c r="B442" s="319" t="inlineStr">
        <is>
          <t> </t>
        </is>
      </c>
      <c r="C442" s="319" t="inlineStr">
        <is>
          <t> </t>
        </is>
      </c>
      <c r="D442" s="38" t="inlineStr">
        <is>
          <t> </t>
        </is>
      </c>
      <c r="E442" s="391" t="inlineStr">
        <is>
          <t> </t>
        </is>
      </c>
      <c r="F442" s="391" t="inlineStr">
        <is>
          <t> </t>
        </is>
      </c>
      <c r="G442" s="391" t="inlineStr">
        <is>
          <t> </t>
        </is>
      </c>
      <c r="H442" s="391" t="inlineStr">
        <is>
          <t> </t>
        </is>
      </c>
      <c r="I442" s="391" t="inlineStr">
        <is>
          <t> </t>
        </is>
      </c>
      <c r="J442" s="391" t="inlineStr">
        <is>
          <t> </t>
        </is>
      </c>
      <c r="K442" s="38" t="inlineStr">
        <is>
          <t> </t>
        </is>
      </c>
      <c r="L442" s="391" t="inlineStr">
        <is>
          <t> </t>
        </is>
      </c>
      <c r="M442" s="391" t="inlineStr">
        <is>
          <t> </t>
        </is>
      </c>
      <c r="N442" s="391" t="inlineStr">
        <is>
          <t> </t>
        </is>
      </c>
      <c r="O442" s="391" t="inlineStr">
        <is>
          <t> </t>
        </is>
      </c>
      <c r="P442" s="391" t="inlineStr">
        <is>
          <t> </t>
        </is>
      </c>
      <c r="Q442" s="391" t="inlineStr">
        <is>
          <t> </t>
        </is>
      </c>
      <c r="R442" s="38" t="inlineStr">
        <is>
          <t> </t>
        </is>
      </c>
      <c r="S442" s="391" t="inlineStr">
        <is>
          <t> </t>
        </is>
      </c>
      <c r="T442" s="391" t="inlineStr">
        <is>
          <t> </t>
        </is>
      </c>
      <c r="U442" s="391" t="inlineStr">
        <is>
          <t> </t>
        </is>
      </c>
      <c r="V442" s="391" t="inlineStr">
        <is>
          <t> </t>
        </is>
      </c>
      <c r="W442" s="391" t="inlineStr">
        <is>
          <t> </t>
        </is>
      </c>
      <c r="X442" s="391" t="inlineStr">
        <is>
          <t> </t>
        </is>
      </c>
      <c r="Y442" s="392" t="inlineStr">
        <is>
          <t> </t>
        </is>
      </c>
      <c r="Z442" s="391" t="inlineStr">
        <is>
          <t> </t>
        </is>
      </c>
      <c r="AA442" s="391" t="inlineStr">
        <is>
          <t> </t>
        </is>
      </c>
      <c r="AB442" s="391" t="inlineStr">
        <is>
          <t> </t>
        </is>
      </c>
      <c r="AC442" s="391" t="inlineStr">
        <is>
          <t> </t>
        </is>
      </c>
      <c r="AD442" s="391" t="inlineStr">
        <is>
          <t> </t>
        </is>
      </c>
      <c r="AE442" s="391" t="inlineStr">
        <is>
          <t> </t>
        </is>
      </c>
      <c r="AF442" s="38" t="inlineStr">
        <is>
          <t> </t>
        </is>
      </c>
      <c r="AG442" s="391" t="inlineStr">
        <is>
          <t> </t>
        </is>
      </c>
      <c r="AH442" s="391" t="n"/>
      <c r="AI442" s="391" t="inlineStr">
        <is>
          <t> </t>
        </is>
      </c>
      <c r="AJ442" s="391" t="inlineStr">
        <is>
          <t> </t>
        </is>
      </c>
      <c r="AK442" s="391" t="inlineStr">
        <is>
          <t> </t>
        </is>
      </c>
      <c r="AL442" s="391" t="inlineStr">
        <is>
          <t> </t>
        </is>
      </c>
      <c r="AM442" s="391" t="inlineStr">
        <is>
          <t> </t>
        </is>
      </c>
      <c r="AN442" s="391" t="inlineStr">
        <is>
          <t> </t>
        </is>
      </c>
      <c r="AO442" s="391" t="n"/>
      <c r="AP442" s="319" t="n"/>
      <c r="AQ442" s="319" t="n"/>
      <c r="AR442" s="319" t="n"/>
    </row>
    <row r="443" ht="15.75" customHeight="1" s="1264">
      <c r="A443" s="319" t="inlineStr">
        <is>
          <t> </t>
        </is>
      </c>
      <c r="B443" s="319" t="inlineStr">
        <is>
          <t> </t>
        </is>
      </c>
      <c r="C443" s="319" t="inlineStr">
        <is>
          <t> </t>
        </is>
      </c>
      <c r="D443" s="38" t="inlineStr">
        <is>
          <t> </t>
        </is>
      </c>
      <c r="E443" s="391" t="inlineStr">
        <is>
          <t> </t>
        </is>
      </c>
      <c r="F443" s="391" t="inlineStr">
        <is>
          <t> </t>
        </is>
      </c>
      <c r="G443" s="391" t="inlineStr">
        <is>
          <t> </t>
        </is>
      </c>
      <c r="H443" s="391" t="inlineStr">
        <is>
          <t> </t>
        </is>
      </c>
      <c r="I443" s="391" t="inlineStr">
        <is>
          <t> </t>
        </is>
      </c>
      <c r="J443" s="391" t="inlineStr">
        <is>
          <t> </t>
        </is>
      </c>
      <c r="K443" s="38" t="inlineStr">
        <is>
          <t> </t>
        </is>
      </c>
      <c r="L443" s="391" t="inlineStr">
        <is>
          <t> </t>
        </is>
      </c>
      <c r="M443" s="391" t="inlineStr">
        <is>
          <t> </t>
        </is>
      </c>
      <c r="N443" s="391" t="inlineStr">
        <is>
          <t> </t>
        </is>
      </c>
      <c r="O443" s="391" t="inlineStr">
        <is>
          <t> </t>
        </is>
      </c>
      <c r="P443" s="391" t="inlineStr">
        <is>
          <t> </t>
        </is>
      </c>
      <c r="Q443" s="391" t="inlineStr">
        <is>
          <t> </t>
        </is>
      </c>
      <c r="R443" s="38" t="inlineStr">
        <is>
          <t> </t>
        </is>
      </c>
      <c r="S443" s="391" t="inlineStr">
        <is>
          <t> </t>
        </is>
      </c>
      <c r="T443" s="391" t="inlineStr">
        <is>
          <t> </t>
        </is>
      </c>
      <c r="U443" s="391" t="inlineStr">
        <is>
          <t> </t>
        </is>
      </c>
      <c r="V443" s="391" t="inlineStr">
        <is>
          <t> </t>
        </is>
      </c>
      <c r="W443" s="391" t="inlineStr">
        <is>
          <t> </t>
        </is>
      </c>
      <c r="X443" s="391" t="inlineStr">
        <is>
          <t> </t>
        </is>
      </c>
      <c r="Y443" s="392" t="inlineStr">
        <is>
          <t> </t>
        </is>
      </c>
      <c r="Z443" s="391" t="inlineStr">
        <is>
          <t> </t>
        </is>
      </c>
      <c r="AA443" s="391" t="inlineStr">
        <is>
          <t> </t>
        </is>
      </c>
      <c r="AB443" s="391" t="inlineStr">
        <is>
          <t> </t>
        </is>
      </c>
      <c r="AC443" s="391" t="inlineStr">
        <is>
          <t> </t>
        </is>
      </c>
      <c r="AD443" s="391" t="inlineStr">
        <is>
          <t> </t>
        </is>
      </c>
      <c r="AE443" s="391" t="inlineStr">
        <is>
          <t> </t>
        </is>
      </c>
      <c r="AF443" s="38" t="inlineStr">
        <is>
          <t> </t>
        </is>
      </c>
      <c r="AG443" s="391" t="inlineStr">
        <is>
          <t> </t>
        </is>
      </c>
      <c r="AH443" s="391" t="n"/>
      <c r="AI443" s="391" t="inlineStr">
        <is>
          <t> </t>
        </is>
      </c>
      <c r="AJ443" s="391" t="inlineStr">
        <is>
          <t> </t>
        </is>
      </c>
      <c r="AK443" s="391" t="inlineStr">
        <is>
          <t> </t>
        </is>
      </c>
      <c r="AL443" s="391" t="inlineStr">
        <is>
          <t> </t>
        </is>
      </c>
      <c r="AM443" s="391" t="inlineStr">
        <is>
          <t> </t>
        </is>
      </c>
      <c r="AN443" s="391" t="inlineStr">
        <is>
          <t> </t>
        </is>
      </c>
      <c r="AO443" s="391" t="n"/>
      <c r="AP443" s="319" t="n"/>
      <c r="AQ443" s="319" t="n"/>
      <c r="AR443" s="319" t="n"/>
    </row>
    <row r="444" ht="15.75" customHeight="1" s="1264">
      <c r="A444" s="319" t="inlineStr">
        <is>
          <t> </t>
        </is>
      </c>
      <c r="B444" s="319" t="inlineStr">
        <is>
          <t> </t>
        </is>
      </c>
      <c r="C444" s="319" t="inlineStr">
        <is>
          <t> </t>
        </is>
      </c>
      <c r="D444" s="38" t="inlineStr">
        <is>
          <t> </t>
        </is>
      </c>
      <c r="E444" s="391" t="inlineStr">
        <is>
          <t> </t>
        </is>
      </c>
      <c r="F444" s="391" t="inlineStr">
        <is>
          <t> </t>
        </is>
      </c>
      <c r="G444" s="391" t="inlineStr">
        <is>
          <t> </t>
        </is>
      </c>
      <c r="H444" s="391" t="inlineStr">
        <is>
          <t> </t>
        </is>
      </c>
      <c r="I444" s="391" t="inlineStr">
        <is>
          <t> </t>
        </is>
      </c>
      <c r="J444" s="391" t="inlineStr">
        <is>
          <t> </t>
        </is>
      </c>
      <c r="K444" s="38" t="inlineStr">
        <is>
          <t> </t>
        </is>
      </c>
      <c r="L444" s="391" t="inlineStr">
        <is>
          <t> </t>
        </is>
      </c>
      <c r="M444" s="391" t="inlineStr">
        <is>
          <t> </t>
        </is>
      </c>
      <c r="N444" s="391" t="inlineStr">
        <is>
          <t> </t>
        </is>
      </c>
      <c r="O444" s="391" t="inlineStr">
        <is>
          <t> </t>
        </is>
      </c>
      <c r="P444" s="391" t="inlineStr">
        <is>
          <t> </t>
        </is>
      </c>
      <c r="Q444" s="391" t="inlineStr">
        <is>
          <t> </t>
        </is>
      </c>
      <c r="R444" s="38" t="inlineStr">
        <is>
          <t> </t>
        </is>
      </c>
      <c r="S444" s="391" t="inlineStr">
        <is>
          <t> </t>
        </is>
      </c>
      <c r="T444" s="391" t="inlineStr">
        <is>
          <t> </t>
        </is>
      </c>
      <c r="U444" s="391" t="inlineStr">
        <is>
          <t> </t>
        </is>
      </c>
      <c r="V444" s="391" t="inlineStr">
        <is>
          <t> </t>
        </is>
      </c>
      <c r="W444" s="391" t="inlineStr">
        <is>
          <t> </t>
        </is>
      </c>
      <c r="X444" s="391" t="inlineStr">
        <is>
          <t> </t>
        </is>
      </c>
      <c r="Y444" s="392" t="inlineStr">
        <is>
          <t> </t>
        </is>
      </c>
      <c r="Z444" s="391" t="inlineStr">
        <is>
          <t> </t>
        </is>
      </c>
      <c r="AA444" s="391" t="inlineStr">
        <is>
          <t> </t>
        </is>
      </c>
      <c r="AB444" s="391" t="inlineStr">
        <is>
          <t> </t>
        </is>
      </c>
      <c r="AC444" s="391" t="inlineStr">
        <is>
          <t> </t>
        </is>
      </c>
      <c r="AD444" s="391" t="inlineStr">
        <is>
          <t> </t>
        </is>
      </c>
      <c r="AE444" s="391" t="inlineStr">
        <is>
          <t> </t>
        </is>
      </c>
      <c r="AF444" s="38" t="inlineStr">
        <is>
          <t> </t>
        </is>
      </c>
      <c r="AG444" s="391" t="inlineStr">
        <is>
          <t> </t>
        </is>
      </c>
      <c r="AH444" s="391" t="n"/>
      <c r="AI444" s="391" t="inlineStr">
        <is>
          <t> </t>
        </is>
      </c>
      <c r="AJ444" s="391" t="inlineStr">
        <is>
          <t> </t>
        </is>
      </c>
      <c r="AK444" s="391" t="inlineStr">
        <is>
          <t> </t>
        </is>
      </c>
      <c r="AL444" s="391" t="inlineStr">
        <is>
          <t> </t>
        </is>
      </c>
      <c r="AM444" s="391" t="inlineStr">
        <is>
          <t> </t>
        </is>
      </c>
      <c r="AN444" s="391" t="inlineStr">
        <is>
          <t> </t>
        </is>
      </c>
      <c r="AO444" s="391" t="n"/>
      <c r="AP444" s="319" t="n"/>
      <c r="AQ444" s="319" t="n"/>
      <c r="AR444" s="319" t="n"/>
    </row>
    <row r="445" ht="15.75" customHeight="1" s="1264">
      <c r="A445" s="319" t="inlineStr">
        <is>
          <t> </t>
        </is>
      </c>
      <c r="B445" s="319" t="inlineStr">
        <is>
          <t> </t>
        </is>
      </c>
      <c r="C445" s="319" t="inlineStr">
        <is>
          <t> </t>
        </is>
      </c>
      <c r="D445" s="38" t="inlineStr">
        <is>
          <t> </t>
        </is>
      </c>
      <c r="E445" s="391" t="inlineStr">
        <is>
          <t> </t>
        </is>
      </c>
      <c r="F445" s="391" t="inlineStr">
        <is>
          <t> </t>
        </is>
      </c>
      <c r="G445" s="391" t="inlineStr">
        <is>
          <t> </t>
        </is>
      </c>
      <c r="H445" s="391" t="inlineStr">
        <is>
          <t> </t>
        </is>
      </c>
      <c r="I445" s="391" t="inlineStr">
        <is>
          <t> </t>
        </is>
      </c>
      <c r="J445" s="391" t="inlineStr">
        <is>
          <t> </t>
        </is>
      </c>
      <c r="K445" s="38" t="inlineStr">
        <is>
          <t> </t>
        </is>
      </c>
      <c r="L445" s="391" t="inlineStr">
        <is>
          <t> </t>
        </is>
      </c>
      <c r="M445" s="391" t="inlineStr">
        <is>
          <t> </t>
        </is>
      </c>
      <c r="N445" s="391" t="inlineStr">
        <is>
          <t> </t>
        </is>
      </c>
      <c r="O445" s="391" t="inlineStr">
        <is>
          <t> </t>
        </is>
      </c>
      <c r="P445" s="391" t="inlineStr">
        <is>
          <t> </t>
        </is>
      </c>
      <c r="Q445" s="391" t="inlineStr">
        <is>
          <t> </t>
        </is>
      </c>
      <c r="R445" s="38" t="inlineStr">
        <is>
          <t> </t>
        </is>
      </c>
      <c r="S445" s="391" t="inlineStr">
        <is>
          <t> </t>
        </is>
      </c>
      <c r="T445" s="391" t="inlineStr">
        <is>
          <t> </t>
        </is>
      </c>
      <c r="U445" s="391" t="inlineStr">
        <is>
          <t> </t>
        </is>
      </c>
      <c r="V445" s="391" t="inlineStr">
        <is>
          <t> </t>
        </is>
      </c>
      <c r="W445" s="391" t="inlineStr">
        <is>
          <t> </t>
        </is>
      </c>
      <c r="X445" s="391" t="inlineStr">
        <is>
          <t> </t>
        </is>
      </c>
      <c r="Y445" s="392" t="inlineStr">
        <is>
          <t> </t>
        </is>
      </c>
      <c r="Z445" s="391" t="inlineStr">
        <is>
          <t> </t>
        </is>
      </c>
      <c r="AA445" s="391" t="inlineStr">
        <is>
          <t> </t>
        </is>
      </c>
      <c r="AB445" s="391" t="inlineStr">
        <is>
          <t> </t>
        </is>
      </c>
      <c r="AC445" s="391" t="inlineStr">
        <is>
          <t> </t>
        </is>
      </c>
      <c r="AD445" s="391" t="inlineStr">
        <is>
          <t> </t>
        </is>
      </c>
      <c r="AE445" s="391" t="inlineStr">
        <is>
          <t> </t>
        </is>
      </c>
      <c r="AF445" s="38" t="inlineStr">
        <is>
          <t> </t>
        </is>
      </c>
      <c r="AG445" s="391" t="inlineStr">
        <is>
          <t> </t>
        </is>
      </c>
      <c r="AH445" s="391" t="n"/>
      <c r="AI445" s="391" t="inlineStr">
        <is>
          <t> </t>
        </is>
      </c>
      <c r="AJ445" s="391" t="inlineStr">
        <is>
          <t> </t>
        </is>
      </c>
      <c r="AK445" s="391" t="inlineStr">
        <is>
          <t> </t>
        </is>
      </c>
      <c r="AL445" s="391" t="inlineStr">
        <is>
          <t> </t>
        </is>
      </c>
      <c r="AM445" s="391" t="inlineStr">
        <is>
          <t> </t>
        </is>
      </c>
      <c r="AN445" s="391" t="inlineStr">
        <is>
          <t> </t>
        </is>
      </c>
      <c r="AO445" s="391" t="n"/>
      <c r="AP445" s="319" t="n"/>
      <c r="AQ445" s="319" t="n"/>
      <c r="AR445" s="319" t="n"/>
    </row>
    <row r="446" ht="15.75" customHeight="1" s="1264">
      <c r="A446" s="319" t="inlineStr">
        <is>
          <t> </t>
        </is>
      </c>
      <c r="B446" s="319" t="inlineStr">
        <is>
          <t> </t>
        </is>
      </c>
      <c r="C446" s="319" t="inlineStr">
        <is>
          <t> </t>
        </is>
      </c>
      <c r="D446" s="38" t="inlineStr">
        <is>
          <t> </t>
        </is>
      </c>
      <c r="E446" s="391" t="inlineStr">
        <is>
          <t> </t>
        </is>
      </c>
      <c r="F446" s="391" t="inlineStr">
        <is>
          <t> </t>
        </is>
      </c>
      <c r="G446" s="391" t="inlineStr">
        <is>
          <t> </t>
        </is>
      </c>
      <c r="H446" s="391" t="inlineStr">
        <is>
          <t> </t>
        </is>
      </c>
      <c r="I446" s="391" t="inlineStr">
        <is>
          <t> </t>
        </is>
      </c>
      <c r="J446" s="391" t="inlineStr">
        <is>
          <t> </t>
        </is>
      </c>
      <c r="K446" s="38" t="inlineStr">
        <is>
          <t> </t>
        </is>
      </c>
      <c r="L446" s="391" t="inlineStr">
        <is>
          <t> </t>
        </is>
      </c>
      <c r="M446" s="391" t="inlineStr">
        <is>
          <t> </t>
        </is>
      </c>
      <c r="N446" s="391" t="inlineStr">
        <is>
          <t> </t>
        </is>
      </c>
      <c r="O446" s="391" t="inlineStr">
        <is>
          <t> </t>
        </is>
      </c>
      <c r="P446" s="391" t="inlineStr">
        <is>
          <t> </t>
        </is>
      </c>
      <c r="Q446" s="391" t="inlineStr">
        <is>
          <t> </t>
        </is>
      </c>
      <c r="R446" s="38" t="inlineStr">
        <is>
          <t> </t>
        </is>
      </c>
      <c r="S446" s="391" t="inlineStr">
        <is>
          <t> </t>
        </is>
      </c>
      <c r="T446" s="391" t="inlineStr">
        <is>
          <t> </t>
        </is>
      </c>
      <c r="U446" s="391" t="inlineStr">
        <is>
          <t> </t>
        </is>
      </c>
      <c r="V446" s="391" t="inlineStr">
        <is>
          <t> </t>
        </is>
      </c>
      <c r="W446" s="391" t="inlineStr">
        <is>
          <t> </t>
        </is>
      </c>
      <c r="X446" s="391" t="inlineStr">
        <is>
          <t> </t>
        </is>
      </c>
      <c r="Y446" s="392" t="inlineStr">
        <is>
          <t> </t>
        </is>
      </c>
      <c r="Z446" s="391" t="inlineStr">
        <is>
          <t> </t>
        </is>
      </c>
      <c r="AA446" s="391" t="inlineStr">
        <is>
          <t> </t>
        </is>
      </c>
      <c r="AB446" s="391" t="inlineStr">
        <is>
          <t> </t>
        </is>
      </c>
      <c r="AC446" s="391" t="inlineStr">
        <is>
          <t> </t>
        </is>
      </c>
      <c r="AD446" s="391" t="inlineStr">
        <is>
          <t> </t>
        </is>
      </c>
      <c r="AE446" s="391" t="inlineStr">
        <is>
          <t> </t>
        </is>
      </c>
      <c r="AF446" s="38" t="inlineStr">
        <is>
          <t> </t>
        </is>
      </c>
      <c r="AG446" s="391" t="inlineStr">
        <is>
          <t> </t>
        </is>
      </c>
      <c r="AH446" s="391" t="n"/>
      <c r="AI446" s="391" t="inlineStr">
        <is>
          <t> </t>
        </is>
      </c>
      <c r="AJ446" s="391" t="inlineStr">
        <is>
          <t> </t>
        </is>
      </c>
      <c r="AK446" s="391" t="inlineStr">
        <is>
          <t> </t>
        </is>
      </c>
      <c r="AL446" s="391" t="inlineStr">
        <is>
          <t> </t>
        </is>
      </c>
      <c r="AM446" s="391" t="inlineStr">
        <is>
          <t> </t>
        </is>
      </c>
      <c r="AN446" s="391" t="inlineStr">
        <is>
          <t> </t>
        </is>
      </c>
      <c r="AO446" s="391" t="n"/>
      <c r="AP446" s="319" t="n"/>
      <c r="AQ446" s="319" t="n"/>
      <c r="AR446" s="319" t="n"/>
    </row>
    <row r="447" ht="15.75" customHeight="1" s="1264">
      <c r="A447" s="319" t="inlineStr">
        <is>
          <t> </t>
        </is>
      </c>
      <c r="B447" s="319" t="inlineStr">
        <is>
          <t> </t>
        </is>
      </c>
      <c r="C447" s="319" t="inlineStr">
        <is>
          <t> </t>
        </is>
      </c>
      <c r="D447" s="38" t="inlineStr">
        <is>
          <t> </t>
        </is>
      </c>
      <c r="E447" s="391" t="inlineStr">
        <is>
          <t> </t>
        </is>
      </c>
      <c r="F447" s="391" t="inlineStr">
        <is>
          <t> </t>
        </is>
      </c>
      <c r="G447" s="391" t="inlineStr">
        <is>
          <t> </t>
        </is>
      </c>
      <c r="H447" s="391" t="inlineStr">
        <is>
          <t> </t>
        </is>
      </c>
      <c r="I447" s="391" t="inlineStr">
        <is>
          <t> </t>
        </is>
      </c>
      <c r="J447" s="391" t="inlineStr">
        <is>
          <t> </t>
        </is>
      </c>
      <c r="K447" s="38" t="inlineStr">
        <is>
          <t> </t>
        </is>
      </c>
      <c r="L447" s="391" t="inlineStr">
        <is>
          <t> </t>
        </is>
      </c>
      <c r="M447" s="391" t="inlineStr">
        <is>
          <t> </t>
        </is>
      </c>
      <c r="N447" s="391" t="inlineStr">
        <is>
          <t> </t>
        </is>
      </c>
      <c r="O447" s="391" t="inlineStr">
        <is>
          <t> </t>
        </is>
      </c>
      <c r="P447" s="391" t="inlineStr">
        <is>
          <t> </t>
        </is>
      </c>
      <c r="Q447" s="391" t="inlineStr">
        <is>
          <t> </t>
        </is>
      </c>
      <c r="R447" s="38" t="inlineStr">
        <is>
          <t> </t>
        </is>
      </c>
      <c r="S447" s="391" t="inlineStr">
        <is>
          <t> </t>
        </is>
      </c>
      <c r="T447" s="391" t="inlineStr">
        <is>
          <t> </t>
        </is>
      </c>
      <c r="U447" s="391" t="inlineStr">
        <is>
          <t> </t>
        </is>
      </c>
      <c r="V447" s="391" t="inlineStr">
        <is>
          <t> </t>
        </is>
      </c>
      <c r="W447" s="391" t="inlineStr">
        <is>
          <t> </t>
        </is>
      </c>
      <c r="X447" s="391" t="inlineStr">
        <is>
          <t> </t>
        </is>
      </c>
      <c r="Y447" s="392" t="inlineStr">
        <is>
          <t> </t>
        </is>
      </c>
      <c r="Z447" s="391" t="inlineStr">
        <is>
          <t> </t>
        </is>
      </c>
      <c r="AA447" s="391" t="inlineStr">
        <is>
          <t> </t>
        </is>
      </c>
      <c r="AB447" s="391" t="inlineStr">
        <is>
          <t> </t>
        </is>
      </c>
      <c r="AC447" s="391" t="inlineStr">
        <is>
          <t> </t>
        </is>
      </c>
      <c r="AD447" s="391" t="inlineStr">
        <is>
          <t> </t>
        </is>
      </c>
      <c r="AE447" s="391" t="inlineStr">
        <is>
          <t> </t>
        </is>
      </c>
      <c r="AF447" s="38" t="inlineStr">
        <is>
          <t> </t>
        </is>
      </c>
      <c r="AG447" s="391" t="inlineStr">
        <is>
          <t> </t>
        </is>
      </c>
      <c r="AH447" s="391" t="n"/>
      <c r="AI447" s="391" t="inlineStr">
        <is>
          <t> </t>
        </is>
      </c>
      <c r="AJ447" s="391" t="inlineStr">
        <is>
          <t> </t>
        </is>
      </c>
      <c r="AK447" s="391" t="inlineStr">
        <is>
          <t> </t>
        </is>
      </c>
      <c r="AL447" s="391" t="inlineStr">
        <is>
          <t> </t>
        </is>
      </c>
      <c r="AM447" s="391" t="inlineStr">
        <is>
          <t> </t>
        </is>
      </c>
      <c r="AN447" s="391" t="inlineStr">
        <is>
          <t> </t>
        </is>
      </c>
      <c r="AO447" s="391" t="n"/>
      <c r="AP447" s="319" t="n"/>
      <c r="AQ447" s="319" t="n"/>
      <c r="AR447" s="319" t="n"/>
    </row>
    <row r="448" ht="15.75" customHeight="1" s="1264">
      <c r="A448" s="319" t="inlineStr">
        <is>
          <t> </t>
        </is>
      </c>
      <c r="B448" s="319" t="inlineStr">
        <is>
          <t> </t>
        </is>
      </c>
      <c r="C448" s="319" t="inlineStr">
        <is>
          <t> </t>
        </is>
      </c>
      <c r="D448" s="38" t="inlineStr">
        <is>
          <t> </t>
        </is>
      </c>
      <c r="E448" s="391" t="inlineStr">
        <is>
          <t> </t>
        </is>
      </c>
      <c r="F448" s="391" t="inlineStr">
        <is>
          <t> </t>
        </is>
      </c>
      <c r="G448" s="391" t="inlineStr">
        <is>
          <t> </t>
        </is>
      </c>
      <c r="H448" s="391" t="inlineStr">
        <is>
          <t> </t>
        </is>
      </c>
      <c r="I448" s="391" t="inlineStr">
        <is>
          <t> </t>
        </is>
      </c>
      <c r="J448" s="391" t="inlineStr">
        <is>
          <t> </t>
        </is>
      </c>
      <c r="K448" s="38" t="inlineStr">
        <is>
          <t> </t>
        </is>
      </c>
      <c r="L448" s="391" t="inlineStr">
        <is>
          <t> </t>
        </is>
      </c>
      <c r="M448" s="391" t="inlineStr">
        <is>
          <t> </t>
        </is>
      </c>
      <c r="N448" s="391" t="inlineStr">
        <is>
          <t> </t>
        </is>
      </c>
      <c r="O448" s="391" t="inlineStr">
        <is>
          <t> </t>
        </is>
      </c>
      <c r="P448" s="391" t="inlineStr">
        <is>
          <t> </t>
        </is>
      </c>
      <c r="Q448" s="391" t="inlineStr">
        <is>
          <t> </t>
        </is>
      </c>
      <c r="R448" s="38" t="inlineStr">
        <is>
          <t> </t>
        </is>
      </c>
      <c r="S448" s="391" t="inlineStr">
        <is>
          <t> </t>
        </is>
      </c>
      <c r="T448" s="391" t="inlineStr">
        <is>
          <t> </t>
        </is>
      </c>
      <c r="U448" s="391" t="inlineStr">
        <is>
          <t> </t>
        </is>
      </c>
      <c r="V448" s="391" t="inlineStr">
        <is>
          <t> </t>
        </is>
      </c>
      <c r="W448" s="391" t="inlineStr">
        <is>
          <t> </t>
        </is>
      </c>
      <c r="X448" s="391" t="inlineStr">
        <is>
          <t> </t>
        </is>
      </c>
      <c r="Y448" s="392" t="inlineStr">
        <is>
          <t> </t>
        </is>
      </c>
      <c r="Z448" s="391" t="inlineStr">
        <is>
          <t> </t>
        </is>
      </c>
      <c r="AA448" s="391" t="inlineStr">
        <is>
          <t> </t>
        </is>
      </c>
      <c r="AB448" s="391" t="inlineStr">
        <is>
          <t> </t>
        </is>
      </c>
      <c r="AC448" s="391" t="inlineStr">
        <is>
          <t> </t>
        </is>
      </c>
      <c r="AD448" s="391" t="inlineStr">
        <is>
          <t> </t>
        </is>
      </c>
      <c r="AE448" s="391" t="inlineStr">
        <is>
          <t> </t>
        </is>
      </c>
      <c r="AF448" s="38" t="inlineStr">
        <is>
          <t> </t>
        </is>
      </c>
      <c r="AG448" s="391" t="inlineStr">
        <is>
          <t> </t>
        </is>
      </c>
      <c r="AH448" s="391" t="n"/>
      <c r="AI448" s="391" t="inlineStr">
        <is>
          <t> </t>
        </is>
      </c>
      <c r="AJ448" s="391" t="inlineStr">
        <is>
          <t> </t>
        </is>
      </c>
      <c r="AK448" s="391" t="inlineStr">
        <is>
          <t> </t>
        </is>
      </c>
      <c r="AL448" s="391" t="inlineStr">
        <is>
          <t> </t>
        </is>
      </c>
      <c r="AM448" s="391" t="inlineStr">
        <is>
          <t> </t>
        </is>
      </c>
      <c r="AN448" s="391" t="inlineStr">
        <is>
          <t> </t>
        </is>
      </c>
      <c r="AO448" s="391" t="n"/>
      <c r="AP448" s="319" t="n"/>
      <c r="AQ448" s="319" t="n"/>
      <c r="AR448" s="319" t="n"/>
    </row>
    <row r="449" ht="15.75" customHeight="1" s="1264">
      <c r="A449" s="319" t="inlineStr">
        <is>
          <t> </t>
        </is>
      </c>
      <c r="B449" s="319" t="inlineStr">
        <is>
          <t> </t>
        </is>
      </c>
      <c r="C449" s="319" t="inlineStr">
        <is>
          <t> </t>
        </is>
      </c>
      <c r="D449" s="38" t="inlineStr">
        <is>
          <t> </t>
        </is>
      </c>
      <c r="E449" s="391" t="inlineStr">
        <is>
          <t> </t>
        </is>
      </c>
      <c r="F449" s="391" t="inlineStr">
        <is>
          <t> </t>
        </is>
      </c>
      <c r="G449" s="391" t="inlineStr">
        <is>
          <t> </t>
        </is>
      </c>
      <c r="H449" s="391" t="inlineStr">
        <is>
          <t> </t>
        </is>
      </c>
      <c r="I449" s="391" t="inlineStr">
        <is>
          <t> </t>
        </is>
      </c>
      <c r="J449" s="391" t="inlineStr">
        <is>
          <t> </t>
        </is>
      </c>
      <c r="K449" s="38" t="inlineStr">
        <is>
          <t> </t>
        </is>
      </c>
      <c r="L449" s="391" t="inlineStr">
        <is>
          <t> </t>
        </is>
      </c>
      <c r="M449" s="391" t="inlineStr">
        <is>
          <t> </t>
        </is>
      </c>
      <c r="N449" s="391" t="inlineStr">
        <is>
          <t> </t>
        </is>
      </c>
      <c r="O449" s="391" t="inlineStr">
        <is>
          <t> </t>
        </is>
      </c>
      <c r="P449" s="391" t="inlineStr">
        <is>
          <t> </t>
        </is>
      </c>
      <c r="Q449" s="391" t="inlineStr">
        <is>
          <t> </t>
        </is>
      </c>
      <c r="R449" s="38" t="inlineStr">
        <is>
          <t> </t>
        </is>
      </c>
      <c r="S449" s="391" t="inlineStr">
        <is>
          <t> </t>
        </is>
      </c>
      <c r="T449" s="391" t="inlineStr">
        <is>
          <t> </t>
        </is>
      </c>
      <c r="U449" s="391" t="inlineStr">
        <is>
          <t> </t>
        </is>
      </c>
      <c r="V449" s="391" t="inlineStr">
        <is>
          <t> </t>
        </is>
      </c>
      <c r="W449" s="391" t="inlineStr">
        <is>
          <t> </t>
        </is>
      </c>
      <c r="X449" s="391" t="inlineStr">
        <is>
          <t> </t>
        </is>
      </c>
      <c r="Y449" s="392" t="inlineStr">
        <is>
          <t> </t>
        </is>
      </c>
      <c r="Z449" s="391" t="inlineStr">
        <is>
          <t> </t>
        </is>
      </c>
      <c r="AA449" s="391" t="inlineStr">
        <is>
          <t> </t>
        </is>
      </c>
      <c r="AB449" s="391" t="inlineStr">
        <is>
          <t> </t>
        </is>
      </c>
      <c r="AC449" s="391" t="inlineStr">
        <is>
          <t> </t>
        </is>
      </c>
      <c r="AD449" s="391" t="inlineStr">
        <is>
          <t> </t>
        </is>
      </c>
      <c r="AE449" s="391" t="inlineStr">
        <is>
          <t> </t>
        </is>
      </c>
      <c r="AF449" s="38" t="inlineStr">
        <is>
          <t> </t>
        </is>
      </c>
      <c r="AG449" s="391" t="inlineStr">
        <is>
          <t> </t>
        </is>
      </c>
      <c r="AH449" s="391" t="n"/>
      <c r="AI449" s="391" t="inlineStr">
        <is>
          <t> </t>
        </is>
      </c>
      <c r="AJ449" s="391" t="inlineStr">
        <is>
          <t> </t>
        </is>
      </c>
      <c r="AK449" s="391" t="inlineStr">
        <is>
          <t> </t>
        </is>
      </c>
      <c r="AL449" s="391" t="inlineStr">
        <is>
          <t> </t>
        </is>
      </c>
      <c r="AM449" s="391" t="inlineStr">
        <is>
          <t> </t>
        </is>
      </c>
      <c r="AN449" s="391" t="inlineStr">
        <is>
          <t> </t>
        </is>
      </c>
      <c r="AO449" s="391" t="n"/>
      <c r="AP449" s="319" t="n"/>
      <c r="AQ449" s="319" t="n"/>
      <c r="AR449" s="319" t="n"/>
    </row>
    <row r="450" ht="15.75" customHeight="1" s="1264">
      <c r="A450" s="319" t="inlineStr">
        <is>
          <t> </t>
        </is>
      </c>
      <c r="B450" s="319" t="inlineStr">
        <is>
          <t> </t>
        </is>
      </c>
      <c r="C450" s="319" t="inlineStr">
        <is>
          <t> </t>
        </is>
      </c>
      <c r="D450" s="38" t="inlineStr">
        <is>
          <t> </t>
        </is>
      </c>
      <c r="E450" s="391" t="inlineStr">
        <is>
          <t> </t>
        </is>
      </c>
      <c r="F450" s="391" t="inlineStr">
        <is>
          <t> </t>
        </is>
      </c>
      <c r="G450" s="391" t="inlineStr">
        <is>
          <t> </t>
        </is>
      </c>
      <c r="H450" s="391" t="inlineStr">
        <is>
          <t> </t>
        </is>
      </c>
      <c r="I450" s="391" t="inlineStr">
        <is>
          <t> </t>
        </is>
      </c>
      <c r="J450" s="391" t="inlineStr">
        <is>
          <t> </t>
        </is>
      </c>
      <c r="K450" s="38" t="inlineStr">
        <is>
          <t> </t>
        </is>
      </c>
      <c r="L450" s="391" t="inlineStr">
        <is>
          <t> </t>
        </is>
      </c>
      <c r="M450" s="391" t="inlineStr">
        <is>
          <t> </t>
        </is>
      </c>
      <c r="N450" s="391" t="inlineStr">
        <is>
          <t> </t>
        </is>
      </c>
      <c r="O450" s="391" t="inlineStr">
        <is>
          <t> </t>
        </is>
      </c>
      <c r="P450" s="391" t="inlineStr">
        <is>
          <t> </t>
        </is>
      </c>
      <c r="Q450" s="391" t="inlineStr">
        <is>
          <t> </t>
        </is>
      </c>
      <c r="R450" s="38" t="inlineStr">
        <is>
          <t> </t>
        </is>
      </c>
      <c r="S450" s="391" t="inlineStr">
        <is>
          <t> </t>
        </is>
      </c>
      <c r="T450" s="391" t="inlineStr">
        <is>
          <t> </t>
        </is>
      </c>
      <c r="U450" s="391" t="inlineStr">
        <is>
          <t> </t>
        </is>
      </c>
      <c r="V450" s="391" t="inlineStr">
        <is>
          <t> </t>
        </is>
      </c>
      <c r="W450" s="391" t="inlineStr">
        <is>
          <t> </t>
        </is>
      </c>
      <c r="X450" s="391" t="inlineStr">
        <is>
          <t> </t>
        </is>
      </c>
      <c r="Y450" s="392" t="inlineStr">
        <is>
          <t> </t>
        </is>
      </c>
      <c r="Z450" s="391" t="inlineStr">
        <is>
          <t> </t>
        </is>
      </c>
      <c r="AA450" s="391" t="inlineStr">
        <is>
          <t> </t>
        </is>
      </c>
      <c r="AB450" s="391" t="inlineStr">
        <is>
          <t> </t>
        </is>
      </c>
      <c r="AC450" s="391" t="inlineStr">
        <is>
          <t> </t>
        </is>
      </c>
      <c r="AD450" s="391" t="inlineStr">
        <is>
          <t> </t>
        </is>
      </c>
      <c r="AE450" s="391" t="inlineStr">
        <is>
          <t> </t>
        </is>
      </c>
      <c r="AF450" s="38" t="inlineStr">
        <is>
          <t> </t>
        </is>
      </c>
      <c r="AG450" s="391" t="inlineStr">
        <is>
          <t> </t>
        </is>
      </c>
      <c r="AH450" s="391" t="n"/>
      <c r="AI450" s="391" t="inlineStr">
        <is>
          <t> </t>
        </is>
      </c>
      <c r="AJ450" s="391" t="inlineStr">
        <is>
          <t> </t>
        </is>
      </c>
      <c r="AK450" s="391" t="inlineStr">
        <is>
          <t> </t>
        </is>
      </c>
      <c r="AL450" s="391" t="inlineStr">
        <is>
          <t> </t>
        </is>
      </c>
      <c r="AM450" s="391" t="inlineStr">
        <is>
          <t> </t>
        </is>
      </c>
      <c r="AN450" s="391" t="inlineStr">
        <is>
          <t> </t>
        </is>
      </c>
      <c r="AO450" s="391" t="n"/>
      <c r="AP450" s="319" t="n"/>
      <c r="AQ450" s="319" t="n"/>
      <c r="AR450" s="319" t="n"/>
    </row>
    <row r="451" ht="15.75" customHeight="1" s="1264">
      <c r="A451" s="319" t="inlineStr">
        <is>
          <t> </t>
        </is>
      </c>
      <c r="B451" s="319" t="inlineStr">
        <is>
          <t> </t>
        </is>
      </c>
      <c r="C451" s="319" t="inlineStr">
        <is>
          <t> </t>
        </is>
      </c>
      <c r="D451" s="38" t="inlineStr">
        <is>
          <t> </t>
        </is>
      </c>
      <c r="E451" s="391" t="inlineStr">
        <is>
          <t> </t>
        </is>
      </c>
      <c r="F451" s="391" t="inlineStr">
        <is>
          <t> </t>
        </is>
      </c>
      <c r="G451" s="391" t="inlineStr">
        <is>
          <t> </t>
        </is>
      </c>
      <c r="H451" s="391" t="inlineStr">
        <is>
          <t> </t>
        </is>
      </c>
      <c r="I451" s="391" t="inlineStr">
        <is>
          <t> </t>
        </is>
      </c>
      <c r="J451" s="391" t="inlineStr">
        <is>
          <t> </t>
        </is>
      </c>
      <c r="K451" s="38" t="inlineStr">
        <is>
          <t> </t>
        </is>
      </c>
      <c r="L451" s="391" t="inlineStr">
        <is>
          <t> </t>
        </is>
      </c>
      <c r="M451" s="391" t="inlineStr">
        <is>
          <t> </t>
        </is>
      </c>
      <c r="N451" s="391" t="inlineStr">
        <is>
          <t> </t>
        </is>
      </c>
      <c r="O451" s="391" t="inlineStr">
        <is>
          <t> </t>
        </is>
      </c>
      <c r="P451" s="391" t="inlineStr">
        <is>
          <t> </t>
        </is>
      </c>
      <c r="Q451" s="391" t="inlineStr">
        <is>
          <t> </t>
        </is>
      </c>
      <c r="R451" s="38" t="inlineStr">
        <is>
          <t> </t>
        </is>
      </c>
      <c r="S451" s="391" t="inlineStr">
        <is>
          <t> </t>
        </is>
      </c>
      <c r="T451" s="391" t="inlineStr">
        <is>
          <t> </t>
        </is>
      </c>
      <c r="U451" s="391" t="inlineStr">
        <is>
          <t> </t>
        </is>
      </c>
      <c r="V451" s="391" t="inlineStr">
        <is>
          <t> </t>
        </is>
      </c>
      <c r="W451" s="391" t="inlineStr">
        <is>
          <t> </t>
        </is>
      </c>
      <c r="X451" s="391" t="inlineStr">
        <is>
          <t> </t>
        </is>
      </c>
      <c r="Y451" s="392" t="inlineStr">
        <is>
          <t> </t>
        </is>
      </c>
      <c r="Z451" s="391" t="inlineStr">
        <is>
          <t> </t>
        </is>
      </c>
      <c r="AA451" s="391" t="inlineStr">
        <is>
          <t> </t>
        </is>
      </c>
      <c r="AB451" s="391" t="inlineStr">
        <is>
          <t> </t>
        </is>
      </c>
      <c r="AC451" s="391" t="inlineStr">
        <is>
          <t> </t>
        </is>
      </c>
      <c r="AD451" s="391" t="inlineStr">
        <is>
          <t> </t>
        </is>
      </c>
      <c r="AE451" s="391" t="inlineStr">
        <is>
          <t> </t>
        </is>
      </c>
      <c r="AF451" s="38" t="inlineStr">
        <is>
          <t> </t>
        </is>
      </c>
      <c r="AG451" s="391" t="inlineStr">
        <is>
          <t> </t>
        </is>
      </c>
      <c r="AH451" s="391" t="n"/>
      <c r="AI451" s="391" t="inlineStr">
        <is>
          <t> </t>
        </is>
      </c>
      <c r="AJ451" s="391" t="inlineStr">
        <is>
          <t> </t>
        </is>
      </c>
      <c r="AK451" s="391" t="inlineStr">
        <is>
          <t> </t>
        </is>
      </c>
      <c r="AL451" s="391" t="inlineStr">
        <is>
          <t> </t>
        </is>
      </c>
      <c r="AM451" s="391" t="inlineStr">
        <is>
          <t> </t>
        </is>
      </c>
      <c r="AN451" s="391" t="inlineStr">
        <is>
          <t> </t>
        </is>
      </c>
      <c r="AO451" s="391" t="n"/>
      <c r="AP451" s="319" t="n"/>
      <c r="AQ451" s="319" t="n"/>
      <c r="AR451" s="319" t="n"/>
    </row>
    <row r="452" ht="15.75" customHeight="1" s="1264">
      <c r="A452" s="319" t="inlineStr">
        <is>
          <t> </t>
        </is>
      </c>
      <c r="B452" s="319" t="inlineStr">
        <is>
          <t> </t>
        </is>
      </c>
      <c r="C452" s="319" t="inlineStr">
        <is>
          <t> </t>
        </is>
      </c>
      <c r="D452" s="38" t="inlineStr">
        <is>
          <t> </t>
        </is>
      </c>
      <c r="E452" s="391" t="inlineStr">
        <is>
          <t> </t>
        </is>
      </c>
      <c r="F452" s="391" t="inlineStr">
        <is>
          <t> </t>
        </is>
      </c>
      <c r="G452" s="391" t="inlineStr">
        <is>
          <t> </t>
        </is>
      </c>
      <c r="H452" s="391" t="inlineStr">
        <is>
          <t> </t>
        </is>
      </c>
      <c r="I452" s="391" t="inlineStr">
        <is>
          <t> </t>
        </is>
      </c>
      <c r="J452" s="391" t="inlineStr">
        <is>
          <t> </t>
        </is>
      </c>
      <c r="K452" s="38" t="inlineStr">
        <is>
          <t> </t>
        </is>
      </c>
      <c r="L452" s="391" t="inlineStr">
        <is>
          <t> </t>
        </is>
      </c>
      <c r="M452" s="391" t="inlineStr">
        <is>
          <t> </t>
        </is>
      </c>
      <c r="N452" s="391" t="inlineStr">
        <is>
          <t> </t>
        </is>
      </c>
      <c r="O452" s="391" t="inlineStr">
        <is>
          <t> </t>
        </is>
      </c>
      <c r="P452" s="391" t="inlineStr">
        <is>
          <t> </t>
        </is>
      </c>
      <c r="Q452" s="391" t="inlineStr">
        <is>
          <t> </t>
        </is>
      </c>
      <c r="R452" s="38" t="inlineStr">
        <is>
          <t> </t>
        </is>
      </c>
      <c r="S452" s="391" t="inlineStr">
        <is>
          <t> </t>
        </is>
      </c>
      <c r="T452" s="391" t="inlineStr">
        <is>
          <t> </t>
        </is>
      </c>
      <c r="U452" s="391" t="inlineStr">
        <is>
          <t> </t>
        </is>
      </c>
      <c r="V452" s="391" t="inlineStr">
        <is>
          <t> </t>
        </is>
      </c>
      <c r="W452" s="391" t="inlineStr">
        <is>
          <t> </t>
        </is>
      </c>
      <c r="X452" s="391" t="inlineStr">
        <is>
          <t> </t>
        </is>
      </c>
      <c r="Y452" s="392" t="inlineStr">
        <is>
          <t> </t>
        </is>
      </c>
      <c r="Z452" s="391" t="inlineStr">
        <is>
          <t> </t>
        </is>
      </c>
      <c r="AA452" s="391" t="inlineStr">
        <is>
          <t> </t>
        </is>
      </c>
      <c r="AB452" s="391" t="inlineStr">
        <is>
          <t> </t>
        </is>
      </c>
      <c r="AC452" s="391" t="inlineStr">
        <is>
          <t> </t>
        </is>
      </c>
      <c r="AD452" s="391" t="inlineStr">
        <is>
          <t> </t>
        </is>
      </c>
      <c r="AE452" s="391" t="inlineStr">
        <is>
          <t> </t>
        </is>
      </c>
      <c r="AF452" s="38" t="inlineStr">
        <is>
          <t> </t>
        </is>
      </c>
      <c r="AG452" s="391" t="inlineStr">
        <is>
          <t> </t>
        </is>
      </c>
      <c r="AH452" s="391" t="n"/>
      <c r="AI452" s="391" t="inlineStr">
        <is>
          <t> </t>
        </is>
      </c>
      <c r="AJ452" s="391" t="inlineStr">
        <is>
          <t> </t>
        </is>
      </c>
      <c r="AK452" s="391" t="inlineStr">
        <is>
          <t> </t>
        </is>
      </c>
      <c r="AL452" s="391" t="inlineStr">
        <is>
          <t> </t>
        </is>
      </c>
      <c r="AM452" s="391" t="inlineStr">
        <is>
          <t> </t>
        </is>
      </c>
      <c r="AN452" s="391" t="inlineStr">
        <is>
          <t> </t>
        </is>
      </c>
      <c r="AO452" s="391" t="n"/>
      <c r="AP452" s="319" t="n"/>
      <c r="AQ452" s="319" t="n"/>
      <c r="AR452" s="319" t="n"/>
    </row>
    <row r="453" ht="15.75" customHeight="1" s="1264">
      <c r="A453" s="319" t="inlineStr">
        <is>
          <t> </t>
        </is>
      </c>
      <c r="B453" s="319" t="inlineStr">
        <is>
          <t> </t>
        </is>
      </c>
      <c r="C453" s="319" t="inlineStr">
        <is>
          <t> </t>
        </is>
      </c>
      <c r="D453" s="38" t="inlineStr">
        <is>
          <t> </t>
        </is>
      </c>
      <c r="E453" s="391" t="inlineStr">
        <is>
          <t> </t>
        </is>
      </c>
      <c r="F453" s="391" t="inlineStr">
        <is>
          <t> </t>
        </is>
      </c>
      <c r="G453" s="391" t="inlineStr">
        <is>
          <t> </t>
        </is>
      </c>
      <c r="H453" s="391" t="inlineStr">
        <is>
          <t> </t>
        </is>
      </c>
      <c r="I453" s="391" t="inlineStr">
        <is>
          <t> </t>
        </is>
      </c>
      <c r="J453" s="391" t="inlineStr">
        <is>
          <t> </t>
        </is>
      </c>
      <c r="K453" s="38" t="inlineStr">
        <is>
          <t> </t>
        </is>
      </c>
      <c r="L453" s="391" t="inlineStr">
        <is>
          <t> </t>
        </is>
      </c>
      <c r="M453" s="391" t="inlineStr">
        <is>
          <t> </t>
        </is>
      </c>
      <c r="N453" s="391" t="inlineStr">
        <is>
          <t> </t>
        </is>
      </c>
      <c r="O453" s="391" t="inlineStr">
        <is>
          <t> </t>
        </is>
      </c>
      <c r="P453" s="391" t="inlineStr">
        <is>
          <t> </t>
        </is>
      </c>
      <c r="Q453" s="391" t="inlineStr">
        <is>
          <t> </t>
        </is>
      </c>
      <c r="R453" s="38" t="inlineStr">
        <is>
          <t> </t>
        </is>
      </c>
      <c r="S453" s="391" t="inlineStr">
        <is>
          <t> </t>
        </is>
      </c>
      <c r="T453" s="391" t="inlineStr">
        <is>
          <t> </t>
        </is>
      </c>
      <c r="U453" s="391" t="inlineStr">
        <is>
          <t> </t>
        </is>
      </c>
      <c r="V453" s="391" t="inlineStr">
        <is>
          <t> </t>
        </is>
      </c>
      <c r="W453" s="391" t="inlineStr">
        <is>
          <t> </t>
        </is>
      </c>
      <c r="X453" s="391" t="inlineStr">
        <is>
          <t> </t>
        </is>
      </c>
      <c r="Y453" s="392" t="inlineStr">
        <is>
          <t> </t>
        </is>
      </c>
      <c r="Z453" s="391" t="inlineStr">
        <is>
          <t> </t>
        </is>
      </c>
      <c r="AA453" s="391" t="inlineStr">
        <is>
          <t> </t>
        </is>
      </c>
      <c r="AB453" s="391" t="inlineStr">
        <is>
          <t> </t>
        </is>
      </c>
      <c r="AC453" s="391" t="inlineStr">
        <is>
          <t> </t>
        </is>
      </c>
      <c r="AD453" s="391" t="inlineStr">
        <is>
          <t> </t>
        </is>
      </c>
      <c r="AE453" s="391" t="inlineStr">
        <is>
          <t> </t>
        </is>
      </c>
      <c r="AF453" s="38" t="inlineStr">
        <is>
          <t> </t>
        </is>
      </c>
      <c r="AG453" s="391" t="inlineStr">
        <is>
          <t> </t>
        </is>
      </c>
      <c r="AH453" s="391" t="n"/>
      <c r="AI453" s="391" t="inlineStr">
        <is>
          <t> </t>
        </is>
      </c>
      <c r="AJ453" s="391" t="inlineStr">
        <is>
          <t> </t>
        </is>
      </c>
      <c r="AK453" s="391" t="inlineStr">
        <is>
          <t> </t>
        </is>
      </c>
      <c r="AL453" s="391" t="inlineStr">
        <is>
          <t> </t>
        </is>
      </c>
      <c r="AM453" s="391" t="inlineStr">
        <is>
          <t> </t>
        </is>
      </c>
      <c r="AN453" s="391" t="inlineStr">
        <is>
          <t> </t>
        </is>
      </c>
      <c r="AO453" s="391" t="n"/>
      <c r="AP453" s="319" t="n"/>
      <c r="AQ453" s="319" t="n"/>
      <c r="AR453" s="319" t="n"/>
    </row>
    <row r="454" ht="15.75" customHeight="1" s="1264">
      <c r="A454" s="319" t="inlineStr">
        <is>
          <t> </t>
        </is>
      </c>
      <c r="B454" s="319" t="inlineStr">
        <is>
          <t> </t>
        </is>
      </c>
      <c r="C454" s="319" t="inlineStr">
        <is>
          <t> </t>
        </is>
      </c>
      <c r="D454" s="38" t="inlineStr">
        <is>
          <t> </t>
        </is>
      </c>
      <c r="E454" s="391" t="inlineStr">
        <is>
          <t> </t>
        </is>
      </c>
      <c r="F454" s="391" t="inlineStr">
        <is>
          <t> </t>
        </is>
      </c>
      <c r="G454" s="391" t="inlineStr">
        <is>
          <t> </t>
        </is>
      </c>
      <c r="H454" s="391" t="inlineStr">
        <is>
          <t> </t>
        </is>
      </c>
      <c r="I454" s="391" t="inlineStr">
        <is>
          <t> </t>
        </is>
      </c>
      <c r="J454" s="391" t="inlineStr">
        <is>
          <t> </t>
        </is>
      </c>
      <c r="K454" s="38" t="inlineStr">
        <is>
          <t> </t>
        </is>
      </c>
      <c r="L454" s="391" t="inlineStr">
        <is>
          <t> </t>
        </is>
      </c>
      <c r="M454" s="391" t="inlineStr">
        <is>
          <t> </t>
        </is>
      </c>
      <c r="N454" s="391" t="inlineStr">
        <is>
          <t> </t>
        </is>
      </c>
      <c r="O454" s="391" t="inlineStr">
        <is>
          <t> </t>
        </is>
      </c>
      <c r="P454" s="391" t="inlineStr">
        <is>
          <t> </t>
        </is>
      </c>
      <c r="Q454" s="391" t="inlineStr">
        <is>
          <t> </t>
        </is>
      </c>
      <c r="R454" s="38" t="inlineStr">
        <is>
          <t> </t>
        </is>
      </c>
      <c r="S454" s="391" t="inlineStr">
        <is>
          <t> </t>
        </is>
      </c>
      <c r="T454" s="391" t="inlineStr">
        <is>
          <t> </t>
        </is>
      </c>
      <c r="U454" s="391" t="inlineStr">
        <is>
          <t> </t>
        </is>
      </c>
      <c r="V454" s="391" t="inlineStr">
        <is>
          <t> </t>
        </is>
      </c>
      <c r="W454" s="391" t="inlineStr">
        <is>
          <t> </t>
        </is>
      </c>
      <c r="X454" s="391" t="inlineStr">
        <is>
          <t> </t>
        </is>
      </c>
      <c r="Y454" s="392" t="inlineStr">
        <is>
          <t> </t>
        </is>
      </c>
      <c r="Z454" s="391" t="inlineStr">
        <is>
          <t> </t>
        </is>
      </c>
      <c r="AA454" s="391" t="inlineStr">
        <is>
          <t> </t>
        </is>
      </c>
      <c r="AB454" s="391" t="inlineStr">
        <is>
          <t> </t>
        </is>
      </c>
      <c r="AC454" s="391" t="inlineStr">
        <is>
          <t> </t>
        </is>
      </c>
      <c r="AD454" s="391" t="inlineStr">
        <is>
          <t> </t>
        </is>
      </c>
      <c r="AE454" s="391" t="inlineStr">
        <is>
          <t> </t>
        </is>
      </c>
      <c r="AF454" s="38" t="inlineStr">
        <is>
          <t> </t>
        </is>
      </c>
      <c r="AG454" s="391" t="inlineStr">
        <is>
          <t> </t>
        </is>
      </c>
      <c r="AH454" s="391" t="n"/>
      <c r="AI454" s="391" t="inlineStr">
        <is>
          <t> </t>
        </is>
      </c>
      <c r="AJ454" s="391" t="inlineStr">
        <is>
          <t> </t>
        </is>
      </c>
      <c r="AK454" s="391" t="inlineStr">
        <is>
          <t> </t>
        </is>
      </c>
      <c r="AL454" s="391" t="inlineStr">
        <is>
          <t> </t>
        </is>
      </c>
      <c r="AM454" s="391" t="inlineStr">
        <is>
          <t> </t>
        </is>
      </c>
      <c r="AN454" s="391" t="inlineStr">
        <is>
          <t> </t>
        </is>
      </c>
      <c r="AO454" s="391" t="n"/>
      <c r="AP454" s="319" t="n"/>
      <c r="AQ454" s="319" t="n"/>
      <c r="AR454" s="319" t="n"/>
    </row>
    <row r="455" ht="15.75" customHeight="1" s="1264">
      <c r="A455" s="319" t="inlineStr">
        <is>
          <t> </t>
        </is>
      </c>
      <c r="B455" s="319" t="inlineStr">
        <is>
          <t> </t>
        </is>
      </c>
      <c r="C455" s="319" t="inlineStr">
        <is>
          <t> </t>
        </is>
      </c>
      <c r="D455" s="38" t="inlineStr">
        <is>
          <t> </t>
        </is>
      </c>
      <c r="E455" s="391" t="inlineStr">
        <is>
          <t> </t>
        </is>
      </c>
      <c r="F455" s="391" t="inlineStr">
        <is>
          <t> </t>
        </is>
      </c>
      <c r="G455" s="391" t="inlineStr">
        <is>
          <t> </t>
        </is>
      </c>
      <c r="H455" s="391" t="inlineStr">
        <is>
          <t> </t>
        </is>
      </c>
      <c r="I455" s="391" t="inlineStr">
        <is>
          <t> </t>
        </is>
      </c>
      <c r="J455" s="391" t="inlineStr">
        <is>
          <t> </t>
        </is>
      </c>
      <c r="K455" s="38" t="inlineStr">
        <is>
          <t> </t>
        </is>
      </c>
      <c r="L455" s="391" t="inlineStr">
        <is>
          <t> </t>
        </is>
      </c>
      <c r="M455" s="391" t="inlineStr">
        <is>
          <t> </t>
        </is>
      </c>
      <c r="N455" s="391" t="inlineStr">
        <is>
          <t> </t>
        </is>
      </c>
      <c r="O455" s="391" t="inlineStr">
        <is>
          <t> </t>
        </is>
      </c>
      <c r="P455" s="391" t="inlineStr">
        <is>
          <t> </t>
        </is>
      </c>
      <c r="Q455" s="391" t="inlineStr">
        <is>
          <t> </t>
        </is>
      </c>
      <c r="R455" s="38" t="inlineStr">
        <is>
          <t> </t>
        </is>
      </c>
      <c r="S455" s="391" t="inlineStr">
        <is>
          <t> </t>
        </is>
      </c>
      <c r="T455" s="391" t="inlineStr">
        <is>
          <t> </t>
        </is>
      </c>
      <c r="U455" s="391" t="inlineStr">
        <is>
          <t> </t>
        </is>
      </c>
      <c r="V455" s="391" t="inlineStr">
        <is>
          <t> </t>
        </is>
      </c>
      <c r="W455" s="391" t="inlineStr">
        <is>
          <t> </t>
        </is>
      </c>
      <c r="X455" s="391" t="inlineStr">
        <is>
          <t> </t>
        </is>
      </c>
      <c r="Y455" s="392" t="inlineStr">
        <is>
          <t> </t>
        </is>
      </c>
      <c r="Z455" s="391" t="inlineStr">
        <is>
          <t> </t>
        </is>
      </c>
      <c r="AA455" s="391" t="inlineStr">
        <is>
          <t> </t>
        </is>
      </c>
      <c r="AB455" s="391" t="inlineStr">
        <is>
          <t> </t>
        </is>
      </c>
      <c r="AC455" s="391" t="inlineStr">
        <is>
          <t> </t>
        </is>
      </c>
      <c r="AD455" s="391" t="inlineStr">
        <is>
          <t> </t>
        </is>
      </c>
      <c r="AE455" s="391" t="inlineStr">
        <is>
          <t> </t>
        </is>
      </c>
      <c r="AF455" s="38" t="inlineStr">
        <is>
          <t> </t>
        </is>
      </c>
      <c r="AG455" s="391" t="inlineStr">
        <is>
          <t> </t>
        </is>
      </c>
      <c r="AH455" s="391" t="n"/>
      <c r="AI455" s="391" t="inlineStr">
        <is>
          <t> </t>
        </is>
      </c>
      <c r="AJ455" s="391" t="inlineStr">
        <is>
          <t> </t>
        </is>
      </c>
      <c r="AK455" s="391" t="inlineStr">
        <is>
          <t> </t>
        </is>
      </c>
      <c r="AL455" s="391" t="inlineStr">
        <is>
          <t> </t>
        </is>
      </c>
      <c r="AM455" s="391" t="inlineStr">
        <is>
          <t> </t>
        </is>
      </c>
      <c r="AN455" s="391" t="inlineStr">
        <is>
          <t> </t>
        </is>
      </c>
      <c r="AO455" s="391" t="n"/>
      <c r="AP455" s="319" t="n"/>
      <c r="AQ455" s="319" t="n"/>
      <c r="AR455" s="319" t="n"/>
    </row>
    <row r="456" ht="15.75" customHeight="1" s="1264">
      <c r="A456" s="319" t="inlineStr">
        <is>
          <t> </t>
        </is>
      </c>
      <c r="B456" s="319" t="inlineStr">
        <is>
          <t> </t>
        </is>
      </c>
      <c r="C456" s="319" t="inlineStr">
        <is>
          <t> </t>
        </is>
      </c>
      <c r="D456" s="38" t="inlineStr">
        <is>
          <t> </t>
        </is>
      </c>
      <c r="E456" s="391" t="inlineStr">
        <is>
          <t> </t>
        </is>
      </c>
      <c r="F456" s="391" t="inlineStr">
        <is>
          <t> </t>
        </is>
      </c>
      <c r="G456" s="391" t="inlineStr">
        <is>
          <t> </t>
        </is>
      </c>
      <c r="H456" s="391" t="inlineStr">
        <is>
          <t> </t>
        </is>
      </c>
      <c r="I456" s="391" t="inlineStr">
        <is>
          <t> </t>
        </is>
      </c>
      <c r="J456" s="391" t="inlineStr">
        <is>
          <t> </t>
        </is>
      </c>
      <c r="K456" s="38" t="inlineStr">
        <is>
          <t> </t>
        </is>
      </c>
      <c r="L456" s="391" t="inlineStr">
        <is>
          <t> </t>
        </is>
      </c>
      <c r="M456" s="391" t="inlineStr">
        <is>
          <t> </t>
        </is>
      </c>
      <c r="N456" s="391" t="inlineStr">
        <is>
          <t> </t>
        </is>
      </c>
      <c r="O456" s="391" t="inlineStr">
        <is>
          <t> </t>
        </is>
      </c>
      <c r="P456" s="391" t="inlineStr">
        <is>
          <t> </t>
        </is>
      </c>
      <c r="Q456" s="391" t="inlineStr">
        <is>
          <t> </t>
        </is>
      </c>
      <c r="R456" s="38" t="inlineStr">
        <is>
          <t> </t>
        </is>
      </c>
      <c r="S456" s="391" t="inlineStr">
        <is>
          <t> </t>
        </is>
      </c>
      <c r="T456" s="391" t="inlineStr">
        <is>
          <t> </t>
        </is>
      </c>
      <c r="U456" s="391" t="inlineStr">
        <is>
          <t> </t>
        </is>
      </c>
      <c r="V456" s="391" t="inlineStr">
        <is>
          <t> </t>
        </is>
      </c>
      <c r="W456" s="391" t="inlineStr">
        <is>
          <t> </t>
        </is>
      </c>
      <c r="X456" s="391" t="inlineStr">
        <is>
          <t> </t>
        </is>
      </c>
      <c r="Y456" s="392" t="inlineStr">
        <is>
          <t> </t>
        </is>
      </c>
      <c r="Z456" s="391" t="inlineStr">
        <is>
          <t> </t>
        </is>
      </c>
      <c r="AA456" s="391" t="inlineStr">
        <is>
          <t> </t>
        </is>
      </c>
      <c r="AB456" s="391" t="inlineStr">
        <is>
          <t> </t>
        </is>
      </c>
      <c r="AC456" s="391" t="inlineStr">
        <is>
          <t> </t>
        </is>
      </c>
      <c r="AD456" s="391" t="inlineStr">
        <is>
          <t> </t>
        </is>
      </c>
      <c r="AE456" s="391" t="inlineStr">
        <is>
          <t> </t>
        </is>
      </c>
      <c r="AF456" s="38" t="inlineStr">
        <is>
          <t> </t>
        </is>
      </c>
      <c r="AG456" s="391" t="inlineStr">
        <is>
          <t> </t>
        </is>
      </c>
      <c r="AH456" s="391" t="n"/>
      <c r="AI456" s="391" t="inlineStr">
        <is>
          <t> </t>
        </is>
      </c>
      <c r="AJ456" s="391" t="inlineStr">
        <is>
          <t> </t>
        </is>
      </c>
      <c r="AK456" s="391" t="inlineStr">
        <is>
          <t> </t>
        </is>
      </c>
      <c r="AL456" s="391" t="inlineStr">
        <is>
          <t> </t>
        </is>
      </c>
      <c r="AM456" s="391" t="inlineStr">
        <is>
          <t> </t>
        </is>
      </c>
      <c r="AN456" s="391" t="inlineStr">
        <is>
          <t> </t>
        </is>
      </c>
      <c r="AO456" s="391" t="n"/>
      <c r="AP456" s="319" t="n"/>
      <c r="AQ456" s="319" t="n"/>
      <c r="AR456" s="319" t="n"/>
    </row>
    <row r="457" ht="15.75" customHeight="1" s="1264">
      <c r="A457" s="319" t="inlineStr">
        <is>
          <t> </t>
        </is>
      </c>
      <c r="B457" s="319" t="inlineStr">
        <is>
          <t> </t>
        </is>
      </c>
      <c r="C457" s="319" t="inlineStr">
        <is>
          <t> </t>
        </is>
      </c>
      <c r="D457" s="38" t="inlineStr">
        <is>
          <t> </t>
        </is>
      </c>
      <c r="E457" s="391" t="inlineStr">
        <is>
          <t> </t>
        </is>
      </c>
      <c r="F457" s="391" t="inlineStr">
        <is>
          <t> </t>
        </is>
      </c>
      <c r="G457" s="391" t="inlineStr">
        <is>
          <t> </t>
        </is>
      </c>
      <c r="H457" s="391" t="inlineStr">
        <is>
          <t> </t>
        </is>
      </c>
      <c r="I457" s="391" t="inlineStr">
        <is>
          <t> </t>
        </is>
      </c>
      <c r="J457" s="391" t="inlineStr">
        <is>
          <t> </t>
        </is>
      </c>
      <c r="K457" s="38" t="inlineStr">
        <is>
          <t> </t>
        </is>
      </c>
      <c r="L457" s="391" t="inlineStr">
        <is>
          <t> </t>
        </is>
      </c>
      <c r="M457" s="391" t="inlineStr">
        <is>
          <t> </t>
        </is>
      </c>
      <c r="N457" s="391" t="inlineStr">
        <is>
          <t> </t>
        </is>
      </c>
      <c r="O457" s="391" t="inlineStr">
        <is>
          <t> </t>
        </is>
      </c>
      <c r="P457" s="391" t="inlineStr">
        <is>
          <t> </t>
        </is>
      </c>
      <c r="Q457" s="391" t="inlineStr">
        <is>
          <t> </t>
        </is>
      </c>
      <c r="R457" s="38" t="inlineStr">
        <is>
          <t> </t>
        </is>
      </c>
      <c r="S457" s="391" t="inlineStr">
        <is>
          <t> </t>
        </is>
      </c>
      <c r="T457" s="391" t="inlineStr">
        <is>
          <t> </t>
        </is>
      </c>
      <c r="U457" s="391" t="inlineStr">
        <is>
          <t> </t>
        </is>
      </c>
      <c r="V457" s="391" t="inlineStr">
        <is>
          <t> </t>
        </is>
      </c>
      <c r="W457" s="391" t="inlineStr">
        <is>
          <t> </t>
        </is>
      </c>
      <c r="X457" s="391" t="inlineStr">
        <is>
          <t> </t>
        </is>
      </c>
      <c r="Y457" s="392" t="inlineStr">
        <is>
          <t> </t>
        </is>
      </c>
      <c r="Z457" s="391" t="inlineStr">
        <is>
          <t> </t>
        </is>
      </c>
      <c r="AA457" s="391" t="inlineStr">
        <is>
          <t> </t>
        </is>
      </c>
      <c r="AB457" s="391" t="inlineStr">
        <is>
          <t> </t>
        </is>
      </c>
      <c r="AC457" s="391" t="inlineStr">
        <is>
          <t> </t>
        </is>
      </c>
      <c r="AD457" s="391" t="inlineStr">
        <is>
          <t> </t>
        </is>
      </c>
      <c r="AE457" s="391" t="inlineStr">
        <is>
          <t> </t>
        </is>
      </c>
      <c r="AF457" s="38" t="inlineStr">
        <is>
          <t> </t>
        </is>
      </c>
      <c r="AG457" s="391" t="inlineStr">
        <is>
          <t> </t>
        </is>
      </c>
      <c r="AH457" s="391" t="n"/>
      <c r="AI457" s="391" t="inlineStr">
        <is>
          <t> </t>
        </is>
      </c>
      <c r="AJ457" s="391" t="inlineStr">
        <is>
          <t> </t>
        </is>
      </c>
      <c r="AK457" s="391" t="inlineStr">
        <is>
          <t> </t>
        </is>
      </c>
      <c r="AL457" s="391" t="inlineStr">
        <is>
          <t> </t>
        </is>
      </c>
      <c r="AM457" s="391" t="inlineStr">
        <is>
          <t> </t>
        </is>
      </c>
      <c r="AN457" s="391" t="inlineStr">
        <is>
          <t> </t>
        </is>
      </c>
      <c r="AO457" s="391" t="n"/>
      <c r="AP457" s="319" t="n"/>
      <c r="AQ457" s="319" t="n"/>
      <c r="AR457" s="319" t="n"/>
    </row>
    <row r="458" ht="15.75" customHeight="1" s="1264">
      <c r="A458" s="319" t="inlineStr">
        <is>
          <t> </t>
        </is>
      </c>
      <c r="B458" s="319" t="inlineStr">
        <is>
          <t> </t>
        </is>
      </c>
      <c r="C458" s="319" t="inlineStr">
        <is>
          <t> </t>
        </is>
      </c>
      <c r="D458" s="38" t="inlineStr">
        <is>
          <t> </t>
        </is>
      </c>
      <c r="E458" s="391" t="inlineStr">
        <is>
          <t> </t>
        </is>
      </c>
      <c r="F458" s="391" t="inlineStr">
        <is>
          <t> </t>
        </is>
      </c>
      <c r="G458" s="391" t="inlineStr">
        <is>
          <t> </t>
        </is>
      </c>
      <c r="H458" s="391" t="inlineStr">
        <is>
          <t> </t>
        </is>
      </c>
      <c r="I458" s="391" t="inlineStr">
        <is>
          <t> </t>
        </is>
      </c>
      <c r="J458" s="391" t="inlineStr">
        <is>
          <t> </t>
        </is>
      </c>
      <c r="K458" s="38" t="inlineStr">
        <is>
          <t> </t>
        </is>
      </c>
      <c r="L458" s="391" t="inlineStr">
        <is>
          <t> </t>
        </is>
      </c>
      <c r="M458" s="391" t="inlineStr">
        <is>
          <t> </t>
        </is>
      </c>
      <c r="N458" s="391" t="inlineStr">
        <is>
          <t> </t>
        </is>
      </c>
      <c r="O458" s="391" t="inlineStr">
        <is>
          <t> </t>
        </is>
      </c>
      <c r="P458" s="391" t="inlineStr">
        <is>
          <t> </t>
        </is>
      </c>
      <c r="Q458" s="391" t="inlineStr">
        <is>
          <t> </t>
        </is>
      </c>
      <c r="R458" s="38" t="inlineStr">
        <is>
          <t> </t>
        </is>
      </c>
      <c r="S458" s="391" t="inlineStr">
        <is>
          <t> </t>
        </is>
      </c>
      <c r="T458" s="391" t="inlineStr">
        <is>
          <t> </t>
        </is>
      </c>
      <c r="U458" s="391" t="inlineStr">
        <is>
          <t> </t>
        </is>
      </c>
      <c r="V458" s="391" t="inlineStr">
        <is>
          <t> </t>
        </is>
      </c>
      <c r="W458" s="391" t="inlineStr">
        <is>
          <t> </t>
        </is>
      </c>
      <c r="X458" s="391" t="inlineStr">
        <is>
          <t> </t>
        </is>
      </c>
      <c r="Y458" s="392" t="inlineStr">
        <is>
          <t> </t>
        </is>
      </c>
      <c r="Z458" s="391" t="inlineStr">
        <is>
          <t> </t>
        </is>
      </c>
      <c r="AA458" s="391" t="inlineStr">
        <is>
          <t> </t>
        </is>
      </c>
      <c r="AB458" s="391" t="inlineStr">
        <is>
          <t> </t>
        </is>
      </c>
      <c r="AC458" s="391" t="inlineStr">
        <is>
          <t> </t>
        </is>
      </c>
      <c r="AD458" s="391" t="inlineStr">
        <is>
          <t> </t>
        </is>
      </c>
      <c r="AE458" s="391" t="inlineStr">
        <is>
          <t> </t>
        </is>
      </c>
      <c r="AF458" s="38" t="inlineStr">
        <is>
          <t> </t>
        </is>
      </c>
      <c r="AG458" s="391" t="inlineStr">
        <is>
          <t> </t>
        </is>
      </c>
      <c r="AH458" s="391" t="n"/>
      <c r="AI458" s="391" t="inlineStr">
        <is>
          <t> </t>
        </is>
      </c>
      <c r="AJ458" s="391" t="inlineStr">
        <is>
          <t> </t>
        </is>
      </c>
      <c r="AK458" s="391" t="inlineStr">
        <is>
          <t> </t>
        </is>
      </c>
      <c r="AL458" s="391" t="inlineStr">
        <is>
          <t> </t>
        </is>
      </c>
      <c r="AM458" s="391" t="inlineStr">
        <is>
          <t> </t>
        </is>
      </c>
      <c r="AN458" s="391" t="inlineStr">
        <is>
          <t> </t>
        </is>
      </c>
      <c r="AO458" s="391" t="n"/>
      <c r="AP458" s="319" t="n"/>
      <c r="AQ458" s="319" t="n"/>
      <c r="AR458" s="319" t="n"/>
    </row>
    <row r="459" ht="15.75" customHeight="1" s="1264">
      <c r="A459" s="319" t="inlineStr">
        <is>
          <t> </t>
        </is>
      </c>
      <c r="B459" s="319" t="inlineStr">
        <is>
          <t> </t>
        </is>
      </c>
      <c r="C459" s="319" t="inlineStr">
        <is>
          <t> </t>
        </is>
      </c>
      <c r="D459" s="38" t="inlineStr">
        <is>
          <t> </t>
        </is>
      </c>
      <c r="E459" s="391" t="inlineStr">
        <is>
          <t> </t>
        </is>
      </c>
      <c r="F459" s="391" t="inlineStr">
        <is>
          <t> </t>
        </is>
      </c>
      <c r="G459" s="391" t="inlineStr">
        <is>
          <t> </t>
        </is>
      </c>
      <c r="H459" s="391" t="inlineStr">
        <is>
          <t> </t>
        </is>
      </c>
      <c r="I459" s="391" t="inlineStr">
        <is>
          <t> </t>
        </is>
      </c>
      <c r="J459" s="391" t="inlineStr">
        <is>
          <t> </t>
        </is>
      </c>
      <c r="K459" s="38" t="inlineStr">
        <is>
          <t> </t>
        </is>
      </c>
      <c r="L459" s="391" t="inlineStr">
        <is>
          <t> </t>
        </is>
      </c>
      <c r="M459" s="391" t="inlineStr">
        <is>
          <t> </t>
        </is>
      </c>
      <c r="N459" s="391" t="inlineStr">
        <is>
          <t> </t>
        </is>
      </c>
      <c r="O459" s="391" t="inlineStr">
        <is>
          <t> </t>
        </is>
      </c>
      <c r="P459" s="391" t="inlineStr">
        <is>
          <t> </t>
        </is>
      </c>
      <c r="Q459" s="391" t="inlineStr">
        <is>
          <t> </t>
        </is>
      </c>
      <c r="R459" s="38" t="inlineStr">
        <is>
          <t> </t>
        </is>
      </c>
      <c r="S459" s="391" t="inlineStr">
        <is>
          <t> </t>
        </is>
      </c>
      <c r="T459" s="391" t="inlineStr">
        <is>
          <t> </t>
        </is>
      </c>
      <c r="U459" s="391" t="inlineStr">
        <is>
          <t> </t>
        </is>
      </c>
      <c r="V459" s="391" t="inlineStr">
        <is>
          <t> </t>
        </is>
      </c>
      <c r="W459" s="391" t="inlineStr">
        <is>
          <t> </t>
        </is>
      </c>
      <c r="X459" s="391" t="inlineStr">
        <is>
          <t> </t>
        </is>
      </c>
      <c r="Y459" s="392" t="inlineStr">
        <is>
          <t> </t>
        </is>
      </c>
      <c r="Z459" s="391" t="inlineStr">
        <is>
          <t> </t>
        </is>
      </c>
      <c r="AA459" s="391" t="inlineStr">
        <is>
          <t> </t>
        </is>
      </c>
      <c r="AB459" s="391" t="inlineStr">
        <is>
          <t> </t>
        </is>
      </c>
      <c r="AC459" s="391" t="inlineStr">
        <is>
          <t> </t>
        </is>
      </c>
      <c r="AD459" s="391" t="inlineStr">
        <is>
          <t> </t>
        </is>
      </c>
      <c r="AE459" s="391" t="inlineStr">
        <is>
          <t> </t>
        </is>
      </c>
      <c r="AF459" s="38" t="inlineStr">
        <is>
          <t> </t>
        </is>
      </c>
      <c r="AG459" s="391" t="inlineStr">
        <is>
          <t> </t>
        </is>
      </c>
      <c r="AH459" s="391" t="n"/>
      <c r="AI459" s="391" t="inlineStr">
        <is>
          <t> </t>
        </is>
      </c>
      <c r="AJ459" s="391" t="inlineStr">
        <is>
          <t> </t>
        </is>
      </c>
      <c r="AK459" s="391" t="inlineStr">
        <is>
          <t> </t>
        </is>
      </c>
      <c r="AL459" s="391" t="inlineStr">
        <is>
          <t> </t>
        </is>
      </c>
      <c r="AM459" s="391" t="inlineStr">
        <is>
          <t> </t>
        </is>
      </c>
      <c r="AN459" s="391" t="inlineStr">
        <is>
          <t> </t>
        </is>
      </c>
      <c r="AO459" s="391" t="n"/>
      <c r="AP459" s="319" t="n"/>
      <c r="AQ459" s="319" t="n"/>
      <c r="AR459" s="319" t="n"/>
    </row>
    <row r="460" ht="15.75" customHeight="1" s="1264">
      <c r="A460" s="319" t="inlineStr">
        <is>
          <t> </t>
        </is>
      </c>
      <c r="B460" s="319" t="inlineStr">
        <is>
          <t> </t>
        </is>
      </c>
      <c r="C460" s="319" t="inlineStr">
        <is>
          <t> </t>
        </is>
      </c>
      <c r="D460" s="38" t="inlineStr">
        <is>
          <t> </t>
        </is>
      </c>
      <c r="E460" s="391" t="inlineStr">
        <is>
          <t> </t>
        </is>
      </c>
      <c r="F460" s="391" t="inlineStr">
        <is>
          <t> </t>
        </is>
      </c>
      <c r="G460" s="391" t="inlineStr">
        <is>
          <t> </t>
        </is>
      </c>
      <c r="H460" s="391" t="inlineStr">
        <is>
          <t> </t>
        </is>
      </c>
      <c r="I460" s="391" t="inlineStr">
        <is>
          <t> </t>
        </is>
      </c>
      <c r="J460" s="391" t="inlineStr">
        <is>
          <t> </t>
        </is>
      </c>
      <c r="K460" s="38" t="inlineStr">
        <is>
          <t> </t>
        </is>
      </c>
      <c r="L460" s="391" t="inlineStr">
        <is>
          <t> </t>
        </is>
      </c>
      <c r="M460" s="391" t="inlineStr">
        <is>
          <t> </t>
        </is>
      </c>
      <c r="N460" s="391" t="inlineStr">
        <is>
          <t> </t>
        </is>
      </c>
      <c r="O460" s="391" t="inlineStr">
        <is>
          <t> </t>
        </is>
      </c>
      <c r="P460" s="391" t="inlineStr">
        <is>
          <t> </t>
        </is>
      </c>
      <c r="Q460" s="391" t="inlineStr">
        <is>
          <t> </t>
        </is>
      </c>
      <c r="R460" s="38" t="inlineStr">
        <is>
          <t> </t>
        </is>
      </c>
      <c r="S460" s="391" t="inlineStr">
        <is>
          <t> </t>
        </is>
      </c>
      <c r="T460" s="391" t="inlineStr">
        <is>
          <t> </t>
        </is>
      </c>
      <c r="U460" s="391" t="inlineStr">
        <is>
          <t> </t>
        </is>
      </c>
      <c r="V460" s="391" t="inlineStr">
        <is>
          <t> </t>
        </is>
      </c>
      <c r="W460" s="391" t="inlineStr">
        <is>
          <t> </t>
        </is>
      </c>
      <c r="X460" s="391" t="inlineStr">
        <is>
          <t> </t>
        </is>
      </c>
      <c r="Y460" s="392" t="inlineStr">
        <is>
          <t> </t>
        </is>
      </c>
      <c r="Z460" s="391" t="inlineStr">
        <is>
          <t> </t>
        </is>
      </c>
      <c r="AA460" s="391" t="inlineStr">
        <is>
          <t> </t>
        </is>
      </c>
      <c r="AB460" s="391" t="inlineStr">
        <is>
          <t> </t>
        </is>
      </c>
      <c r="AC460" s="391" t="inlineStr">
        <is>
          <t> </t>
        </is>
      </c>
      <c r="AD460" s="391" t="inlineStr">
        <is>
          <t> </t>
        </is>
      </c>
      <c r="AE460" s="391" t="inlineStr">
        <is>
          <t> </t>
        </is>
      </c>
      <c r="AF460" s="38" t="inlineStr">
        <is>
          <t> </t>
        </is>
      </c>
      <c r="AG460" s="391" t="inlineStr">
        <is>
          <t> </t>
        </is>
      </c>
      <c r="AH460" s="391" t="n"/>
      <c r="AI460" s="391" t="inlineStr">
        <is>
          <t> </t>
        </is>
      </c>
      <c r="AJ460" s="391" t="inlineStr">
        <is>
          <t> </t>
        </is>
      </c>
      <c r="AK460" s="391" t="inlineStr">
        <is>
          <t> </t>
        </is>
      </c>
      <c r="AL460" s="391" t="inlineStr">
        <is>
          <t> </t>
        </is>
      </c>
      <c r="AM460" s="391" t="inlineStr">
        <is>
          <t> </t>
        </is>
      </c>
      <c r="AN460" s="391" t="inlineStr">
        <is>
          <t> </t>
        </is>
      </c>
      <c r="AO460" s="391" t="n"/>
      <c r="AP460" s="319" t="n"/>
      <c r="AQ460" s="319" t="n"/>
      <c r="AR460" s="319" t="n"/>
    </row>
    <row r="461" ht="15.75" customHeight="1" s="1264">
      <c r="A461" s="319" t="inlineStr">
        <is>
          <t> </t>
        </is>
      </c>
      <c r="B461" s="319" t="inlineStr">
        <is>
          <t> </t>
        </is>
      </c>
      <c r="C461" s="319" t="inlineStr">
        <is>
          <t> </t>
        </is>
      </c>
      <c r="D461" s="38" t="inlineStr">
        <is>
          <t> </t>
        </is>
      </c>
      <c r="E461" s="391" t="inlineStr">
        <is>
          <t> </t>
        </is>
      </c>
      <c r="F461" s="391" t="inlineStr">
        <is>
          <t> </t>
        </is>
      </c>
      <c r="G461" s="391" t="inlineStr">
        <is>
          <t> </t>
        </is>
      </c>
      <c r="H461" s="391" t="inlineStr">
        <is>
          <t> </t>
        </is>
      </c>
      <c r="I461" s="391" t="inlineStr">
        <is>
          <t> </t>
        </is>
      </c>
      <c r="J461" s="391" t="inlineStr">
        <is>
          <t> </t>
        </is>
      </c>
      <c r="K461" s="38" t="inlineStr">
        <is>
          <t> </t>
        </is>
      </c>
      <c r="L461" s="391" t="inlineStr">
        <is>
          <t> </t>
        </is>
      </c>
      <c r="M461" s="391" t="inlineStr">
        <is>
          <t> </t>
        </is>
      </c>
      <c r="N461" s="391" t="inlineStr">
        <is>
          <t> </t>
        </is>
      </c>
      <c r="O461" s="391" t="inlineStr">
        <is>
          <t> </t>
        </is>
      </c>
      <c r="P461" s="391" t="inlineStr">
        <is>
          <t> </t>
        </is>
      </c>
      <c r="Q461" s="391" t="inlineStr">
        <is>
          <t> </t>
        </is>
      </c>
      <c r="R461" s="38" t="inlineStr">
        <is>
          <t> </t>
        </is>
      </c>
      <c r="S461" s="391" t="inlineStr">
        <is>
          <t> </t>
        </is>
      </c>
      <c r="T461" s="391" t="inlineStr">
        <is>
          <t> </t>
        </is>
      </c>
      <c r="U461" s="391" t="inlineStr">
        <is>
          <t> </t>
        </is>
      </c>
      <c r="V461" s="391" t="inlineStr">
        <is>
          <t> </t>
        </is>
      </c>
      <c r="W461" s="391" t="inlineStr">
        <is>
          <t> </t>
        </is>
      </c>
      <c r="X461" s="391" t="inlineStr">
        <is>
          <t> </t>
        </is>
      </c>
      <c r="Y461" s="392" t="inlineStr">
        <is>
          <t> </t>
        </is>
      </c>
      <c r="Z461" s="391" t="inlineStr">
        <is>
          <t> </t>
        </is>
      </c>
      <c r="AA461" s="391" t="inlineStr">
        <is>
          <t> </t>
        </is>
      </c>
      <c r="AB461" s="391" t="inlineStr">
        <is>
          <t> </t>
        </is>
      </c>
      <c r="AC461" s="391" t="inlineStr">
        <is>
          <t> </t>
        </is>
      </c>
      <c r="AD461" s="391" t="inlineStr">
        <is>
          <t> </t>
        </is>
      </c>
      <c r="AE461" s="391" t="inlineStr">
        <is>
          <t> </t>
        </is>
      </c>
      <c r="AF461" s="38" t="inlineStr">
        <is>
          <t> </t>
        </is>
      </c>
      <c r="AG461" s="391" t="inlineStr">
        <is>
          <t> </t>
        </is>
      </c>
      <c r="AH461" s="391" t="n"/>
      <c r="AI461" s="391" t="inlineStr">
        <is>
          <t> </t>
        </is>
      </c>
      <c r="AJ461" s="391" t="inlineStr">
        <is>
          <t> </t>
        </is>
      </c>
      <c r="AK461" s="391" t="inlineStr">
        <is>
          <t> </t>
        </is>
      </c>
      <c r="AL461" s="391" t="inlineStr">
        <is>
          <t> </t>
        </is>
      </c>
      <c r="AM461" s="391" t="inlineStr">
        <is>
          <t> </t>
        </is>
      </c>
      <c r="AN461" s="391" t="inlineStr">
        <is>
          <t> </t>
        </is>
      </c>
      <c r="AO461" s="391" t="n"/>
      <c r="AP461" s="319" t="n"/>
      <c r="AQ461" s="319" t="n"/>
      <c r="AR461" s="319" t="n"/>
    </row>
    <row r="462" ht="15.75" customHeight="1" s="1264">
      <c r="A462" s="319" t="inlineStr">
        <is>
          <t> </t>
        </is>
      </c>
      <c r="B462" s="319" t="inlineStr">
        <is>
          <t> </t>
        </is>
      </c>
      <c r="C462" s="319" t="inlineStr">
        <is>
          <t> </t>
        </is>
      </c>
      <c r="D462" s="38" t="inlineStr">
        <is>
          <t> </t>
        </is>
      </c>
      <c r="E462" s="391" t="inlineStr">
        <is>
          <t> </t>
        </is>
      </c>
      <c r="F462" s="391" t="inlineStr">
        <is>
          <t> </t>
        </is>
      </c>
      <c r="G462" s="391" t="inlineStr">
        <is>
          <t> </t>
        </is>
      </c>
      <c r="H462" s="391" t="inlineStr">
        <is>
          <t> </t>
        </is>
      </c>
      <c r="I462" s="391" t="inlineStr">
        <is>
          <t> </t>
        </is>
      </c>
      <c r="J462" s="391" t="inlineStr">
        <is>
          <t> </t>
        </is>
      </c>
      <c r="K462" s="38" t="inlineStr">
        <is>
          <t> </t>
        </is>
      </c>
      <c r="L462" s="391" t="inlineStr">
        <is>
          <t> </t>
        </is>
      </c>
      <c r="M462" s="391" t="inlineStr">
        <is>
          <t> </t>
        </is>
      </c>
      <c r="N462" s="391" t="inlineStr">
        <is>
          <t> </t>
        </is>
      </c>
      <c r="O462" s="391" t="inlineStr">
        <is>
          <t> </t>
        </is>
      </c>
      <c r="P462" s="391" t="inlineStr">
        <is>
          <t> </t>
        </is>
      </c>
      <c r="Q462" s="391" t="inlineStr">
        <is>
          <t> </t>
        </is>
      </c>
      <c r="R462" s="38" t="inlineStr">
        <is>
          <t> </t>
        </is>
      </c>
      <c r="S462" s="391" t="inlineStr">
        <is>
          <t> </t>
        </is>
      </c>
      <c r="T462" s="391" t="inlineStr">
        <is>
          <t> </t>
        </is>
      </c>
      <c r="U462" s="391" t="inlineStr">
        <is>
          <t> </t>
        </is>
      </c>
      <c r="V462" s="391" t="inlineStr">
        <is>
          <t> </t>
        </is>
      </c>
      <c r="W462" s="391" t="inlineStr">
        <is>
          <t> </t>
        </is>
      </c>
      <c r="X462" s="391" t="inlineStr">
        <is>
          <t> </t>
        </is>
      </c>
      <c r="Y462" s="392" t="inlineStr">
        <is>
          <t> </t>
        </is>
      </c>
      <c r="Z462" s="391" t="inlineStr">
        <is>
          <t> </t>
        </is>
      </c>
      <c r="AA462" s="391" t="inlineStr">
        <is>
          <t> </t>
        </is>
      </c>
      <c r="AB462" s="391" t="inlineStr">
        <is>
          <t> </t>
        </is>
      </c>
      <c r="AC462" s="391" t="inlineStr">
        <is>
          <t> </t>
        </is>
      </c>
      <c r="AD462" s="391" t="inlineStr">
        <is>
          <t> </t>
        </is>
      </c>
      <c r="AE462" s="391" t="inlineStr">
        <is>
          <t> </t>
        </is>
      </c>
      <c r="AF462" s="38" t="inlineStr">
        <is>
          <t> </t>
        </is>
      </c>
      <c r="AG462" s="391" t="inlineStr">
        <is>
          <t> </t>
        </is>
      </c>
      <c r="AH462" s="391" t="n"/>
      <c r="AI462" s="391" t="inlineStr">
        <is>
          <t> </t>
        </is>
      </c>
      <c r="AJ462" s="391" t="inlineStr">
        <is>
          <t> </t>
        </is>
      </c>
      <c r="AK462" s="391" t="inlineStr">
        <is>
          <t> </t>
        </is>
      </c>
      <c r="AL462" s="391" t="inlineStr">
        <is>
          <t> </t>
        </is>
      </c>
      <c r="AM462" s="391" t="inlineStr">
        <is>
          <t> </t>
        </is>
      </c>
      <c r="AN462" s="391" t="inlineStr">
        <is>
          <t> </t>
        </is>
      </c>
      <c r="AO462" s="391" t="n"/>
      <c r="AP462" s="319" t="n"/>
      <c r="AQ462" s="319" t="n"/>
      <c r="AR462" s="319" t="n"/>
    </row>
    <row r="463" ht="15.75" customHeight="1" s="1264">
      <c r="A463" s="319" t="inlineStr">
        <is>
          <t> </t>
        </is>
      </c>
      <c r="B463" s="319" t="inlineStr">
        <is>
          <t> </t>
        </is>
      </c>
      <c r="C463" s="319" t="inlineStr">
        <is>
          <t> </t>
        </is>
      </c>
      <c r="D463" s="38" t="inlineStr">
        <is>
          <t> </t>
        </is>
      </c>
      <c r="E463" s="391" t="inlineStr">
        <is>
          <t> </t>
        </is>
      </c>
      <c r="F463" s="391" t="inlineStr">
        <is>
          <t> </t>
        </is>
      </c>
      <c r="G463" s="391" t="inlineStr">
        <is>
          <t> </t>
        </is>
      </c>
      <c r="H463" s="391" t="inlineStr">
        <is>
          <t> </t>
        </is>
      </c>
      <c r="I463" s="391" t="inlineStr">
        <is>
          <t> </t>
        </is>
      </c>
      <c r="J463" s="391" t="inlineStr">
        <is>
          <t> </t>
        </is>
      </c>
      <c r="K463" s="38" t="inlineStr">
        <is>
          <t> </t>
        </is>
      </c>
      <c r="L463" s="391" t="inlineStr">
        <is>
          <t> </t>
        </is>
      </c>
      <c r="M463" s="391" t="inlineStr">
        <is>
          <t> </t>
        </is>
      </c>
      <c r="N463" s="391" t="inlineStr">
        <is>
          <t> </t>
        </is>
      </c>
      <c r="O463" s="391" t="inlineStr">
        <is>
          <t> </t>
        </is>
      </c>
      <c r="P463" s="391" t="inlineStr">
        <is>
          <t> </t>
        </is>
      </c>
      <c r="Q463" s="391" t="inlineStr">
        <is>
          <t> </t>
        </is>
      </c>
      <c r="R463" s="38" t="inlineStr">
        <is>
          <t> </t>
        </is>
      </c>
      <c r="S463" s="391" t="inlineStr">
        <is>
          <t> </t>
        </is>
      </c>
      <c r="T463" s="391" t="inlineStr">
        <is>
          <t> </t>
        </is>
      </c>
      <c r="U463" s="391" t="inlineStr">
        <is>
          <t> </t>
        </is>
      </c>
      <c r="V463" s="391" t="inlineStr">
        <is>
          <t> </t>
        </is>
      </c>
      <c r="W463" s="391" t="inlineStr">
        <is>
          <t> </t>
        </is>
      </c>
      <c r="X463" s="391" t="inlineStr">
        <is>
          <t> </t>
        </is>
      </c>
      <c r="Y463" s="392" t="inlineStr">
        <is>
          <t> </t>
        </is>
      </c>
      <c r="Z463" s="391" t="inlineStr">
        <is>
          <t> </t>
        </is>
      </c>
      <c r="AA463" s="391" t="inlineStr">
        <is>
          <t> </t>
        </is>
      </c>
      <c r="AB463" s="391" t="inlineStr">
        <is>
          <t> </t>
        </is>
      </c>
      <c r="AC463" s="391" t="inlineStr">
        <is>
          <t> </t>
        </is>
      </c>
      <c r="AD463" s="391" t="inlineStr">
        <is>
          <t> </t>
        </is>
      </c>
      <c r="AE463" s="391" t="inlineStr">
        <is>
          <t> </t>
        </is>
      </c>
      <c r="AF463" s="38" t="inlineStr">
        <is>
          <t> </t>
        </is>
      </c>
      <c r="AG463" s="391" t="inlineStr">
        <is>
          <t> </t>
        </is>
      </c>
      <c r="AH463" s="391" t="n"/>
      <c r="AI463" s="391" t="inlineStr">
        <is>
          <t> </t>
        </is>
      </c>
      <c r="AJ463" s="391" t="inlineStr">
        <is>
          <t> </t>
        </is>
      </c>
      <c r="AK463" s="391" t="inlineStr">
        <is>
          <t> </t>
        </is>
      </c>
      <c r="AL463" s="391" t="inlineStr">
        <is>
          <t> </t>
        </is>
      </c>
      <c r="AM463" s="391" t="inlineStr">
        <is>
          <t> </t>
        </is>
      </c>
      <c r="AN463" s="391" t="inlineStr">
        <is>
          <t> </t>
        </is>
      </c>
      <c r="AO463" s="391" t="n"/>
      <c r="AP463" s="319" t="n"/>
      <c r="AQ463" s="319" t="n"/>
      <c r="AR463" s="319" t="n"/>
    </row>
    <row r="464" ht="15.75" customHeight="1" s="1264">
      <c r="A464" s="319" t="inlineStr">
        <is>
          <t> </t>
        </is>
      </c>
      <c r="B464" s="319" t="inlineStr">
        <is>
          <t> </t>
        </is>
      </c>
      <c r="C464" s="319" t="inlineStr">
        <is>
          <t> </t>
        </is>
      </c>
      <c r="D464" s="38" t="inlineStr">
        <is>
          <t> </t>
        </is>
      </c>
      <c r="E464" s="391" t="inlineStr">
        <is>
          <t> </t>
        </is>
      </c>
      <c r="F464" s="391" t="inlineStr">
        <is>
          <t> </t>
        </is>
      </c>
      <c r="G464" s="391" t="inlineStr">
        <is>
          <t> </t>
        </is>
      </c>
      <c r="H464" s="391" t="inlineStr">
        <is>
          <t> </t>
        </is>
      </c>
      <c r="I464" s="391" t="inlineStr">
        <is>
          <t> </t>
        </is>
      </c>
      <c r="J464" s="391" t="inlineStr">
        <is>
          <t> </t>
        </is>
      </c>
      <c r="K464" s="38" t="inlineStr">
        <is>
          <t> </t>
        </is>
      </c>
      <c r="L464" s="391" t="inlineStr">
        <is>
          <t> </t>
        </is>
      </c>
      <c r="M464" s="391" t="inlineStr">
        <is>
          <t> </t>
        </is>
      </c>
      <c r="N464" s="391" t="inlineStr">
        <is>
          <t> </t>
        </is>
      </c>
      <c r="O464" s="391" t="inlineStr">
        <is>
          <t> </t>
        </is>
      </c>
      <c r="P464" s="391" t="inlineStr">
        <is>
          <t> </t>
        </is>
      </c>
      <c r="Q464" s="391" t="inlineStr">
        <is>
          <t> </t>
        </is>
      </c>
      <c r="R464" s="38" t="inlineStr">
        <is>
          <t> </t>
        </is>
      </c>
      <c r="S464" s="391" t="inlineStr">
        <is>
          <t> </t>
        </is>
      </c>
      <c r="T464" s="391" t="inlineStr">
        <is>
          <t> </t>
        </is>
      </c>
      <c r="U464" s="391" t="inlineStr">
        <is>
          <t> </t>
        </is>
      </c>
      <c r="V464" s="391" t="inlineStr">
        <is>
          <t> </t>
        </is>
      </c>
      <c r="W464" s="391" t="inlineStr">
        <is>
          <t> </t>
        </is>
      </c>
      <c r="X464" s="391" t="inlineStr">
        <is>
          <t> </t>
        </is>
      </c>
      <c r="Y464" s="392" t="inlineStr">
        <is>
          <t> </t>
        </is>
      </c>
      <c r="Z464" s="391" t="inlineStr">
        <is>
          <t> </t>
        </is>
      </c>
      <c r="AA464" s="391" t="inlineStr">
        <is>
          <t> </t>
        </is>
      </c>
      <c r="AB464" s="391" t="inlineStr">
        <is>
          <t> </t>
        </is>
      </c>
      <c r="AC464" s="391" t="inlineStr">
        <is>
          <t> </t>
        </is>
      </c>
      <c r="AD464" s="391" t="inlineStr">
        <is>
          <t> </t>
        </is>
      </c>
      <c r="AE464" s="391" t="inlineStr">
        <is>
          <t> </t>
        </is>
      </c>
      <c r="AF464" s="38" t="inlineStr">
        <is>
          <t> </t>
        </is>
      </c>
      <c r="AG464" s="391" t="inlineStr">
        <is>
          <t> </t>
        </is>
      </c>
      <c r="AH464" s="391" t="n"/>
      <c r="AI464" s="391" t="inlineStr">
        <is>
          <t> </t>
        </is>
      </c>
      <c r="AJ464" s="391" t="inlineStr">
        <is>
          <t> </t>
        </is>
      </c>
      <c r="AK464" s="391" t="inlineStr">
        <is>
          <t> </t>
        </is>
      </c>
      <c r="AL464" s="391" t="inlineStr">
        <is>
          <t> </t>
        </is>
      </c>
      <c r="AM464" s="391" t="inlineStr">
        <is>
          <t> </t>
        </is>
      </c>
      <c r="AN464" s="391" t="inlineStr">
        <is>
          <t> </t>
        </is>
      </c>
      <c r="AO464" s="391" t="n"/>
      <c r="AP464" s="319" t="n"/>
      <c r="AQ464" s="319" t="n"/>
      <c r="AR464" s="319" t="n"/>
    </row>
    <row r="465" ht="15.75" customHeight="1" s="1264">
      <c r="A465" s="319" t="inlineStr">
        <is>
          <t> </t>
        </is>
      </c>
      <c r="B465" s="319" t="inlineStr">
        <is>
          <t> </t>
        </is>
      </c>
      <c r="C465" s="319" t="inlineStr">
        <is>
          <t> </t>
        </is>
      </c>
      <c r="D465" s="38" t="inlineStr">
        <is>
          <t> </t>
        </is>
      </c>
      <c r="E465" s="391" t="inlineStr">
        <is>
          <t> </t>
        </is>
      </c>
      <c r="F465" s="391" t="inlineStr">
        <is>
          <t> </t>
        </is>
      </c>
      <c r="G465" s="391" t="inlineStr">
        <is>
          <t> </t>
        </is>
      </c>
      <c r="H465" s="391" t="inlineStr">
        <is>
          <t> </t>
        </is>
      </c>
      <c r="I465" s="391" t="inlineStr">
        <is>
          <t> </t>
        </is>
      </c>
      <c r="J465" s="391" t="inlineStr">
        <is>
          <t> </t>
        </is>
      </c>
      <c r="K465" s="38" t="inlineStr">
        <is>
          <t> </t>
        </is>
      </c>
      <c r="L465" s="391" t="inlineStr">
        <is>
          <t> </t>
        </is>
      </c>
      <c r="M465" s="391" t="inlineStr">
        <is>
          <t> </t>
        </is>
      </c>
      <c r="N465" s="391" t="inlineStr">
        <is>
          <t> </t>
        </is>
      </c>
      <c r="O465" s="391" t="inlineStr">
        <is>
          <t> </t>
        </is>
      </c>
      <c r="P465" s="391" t="inlineStr">
        <is>
          <t> </t>
        </is>
      </c>
      <c r="Q465" s="391" t="inlineStr">
        <is>
          <t> </t>
        </is>
      </c>
      <c r="R465" s="38" t="inlineStr">
        <is>
          <t> </t>
        </is>
      </c>
      <c r="S465" s="391" t="inlineStr">
        <is>
          <t> </t>
        </is>
      </c>
      <c r="T465" s="391" t="inlineStr">
        <is>
          <t> </t>
        </is>
      </c>
      <c r="U465" s="391" t="inlineStr">
        <is>
          <t> </t>
        </is>
      </c>
      <c r="V465" s="391" t="inlineStr">
        <is>
          <t> </t>
        </is>
      </c>
      <c r="W465" s="391" t="inlineStr">
        <is>
          <t> </t>
        </is>
      </c>
      <c r="X465" s="391" t="inlineStr">
        <is>
          <t> </t>
        </is>
      </c>
      <c r="Y465" s="392" t="inlineStr">
        <is>
          <t> </t>
        </is>
      </c>
      <c r="Z465" s="391" t="inlineStr">
        <is>
          <t> </t>
        </is>
      </c>
      <c r="AA465" s="391" t="inlineStr">
        <is>
          <t> </t>
        </is>
      </c>
      <c r="AB465" s="391" t="inlineStr">
        <is>
          <t> </t>
        </is>
      </c>
      <c r="AC465" s="391" t="inlineStr">
        <is>
          <t> </t>
        </is>
      </c>
      <c r="AD465" s="391" t="inlineStr">
        <is>
          <t> </t>
        </is>
      </c>
      <c r="AE465" s="391" t="inlineStr">
        <is>
          <t> </t>
        </is>
      </c>
      <c r="AF465" s="38" t="inlineStr">
        <is>
          <t> </t>
        </is>
      </c>
      <c r="AG465" s="391" t="inlineStr">
        <is>
          <t> </t>
        </is>
      </c>
      <c r="AH465" s="391" t="n"/>
      <c r="AI465" s="391" t="inlineStr">
        <is>
          <t> </t>
        </is>
      </c>
      <c r="AJ465" s="391" t="inlineStr">
        <is>
          <t> </t>
        </is>
      </c>
      <c r="AK465" s="391" t="inlineStr">
        <is>
          <t> </t>
        </is>
      </c>
      <c r="AL465" s="391" t="inlineStr">
        <is>
          <t> </t>
        </is>
      </c>
      <c r="AM465" s="391" t="inlineStr">
        <is>
          <t> </t>
        </is>
      </c>
      <c r="AN465" s="391" t="inlineStr">
        <is>
          <t> </t>
        </is>
      </c>
      <c r="AO465" s="391" t="n"/>
      <c r="AP465" s="319" t="n"/>
      <c r="AQ465" s="319" t="n"/>
      <c r="AR465" s="319" t="n"/>
    </row>
    <row r="466" ht="15.75" customHeight="1" s="1264">
      <c r="A466" s="319" t="inlineStr">
        <is>
          <t> </t>
        </is>
      </c>
      <c r="B466" s="319" t="inlineStr">
        <is>
          <t> </t>
        </is>
      </c>
      <c r="C466" s="319" t="inlineStr">
        <is>
          <t> </t>
        </is>
      </c>
      <c r="D466" s="38" t="inlineStr">
        <is>
          <t> </t>
        </is>
      </c>
      <c r="E466" s="391" t="inlineStr">
        <is>
          <t> </t>
        </is>
      </c>
      <c r="F466" s="391" t="inlineStr">
        <is>
          <t> </t>
        </is>
      </c>
      <c r="G466" s="391" t="inlineStr">
        <is>
          <t> </t>
        </is>
      </c>
      <c r="H466" s="391" t="inlineStr">
        <is>
          <t> </t>
        </is>
      </c>
      <c r="I466" s="391" t="inlineStr">
        <is>
          <t> </t>
        </is>
      </c>
      <c r="J466" s="391" t="inlineStr">
        <is>
          <t> </t>
        </is>
      </c>
      <c r="K466" s="38" t="inlineStr">
        <is>
          <t> </t>
        </is>
      </c>
      <c r="L466" s="391" t="inlineStr">
        <is>
          <t> </t>
        </is>
      </c>
      <c r="M466" s="391" t="inlineStr">
        <is>
          <t> </t>
        </is>
      </c>
      <c r="N466" s="391" t="inlineStr">
        <is>
          <t> </t>
        </is>
      </c>
      <c r="O466" s="391" t="inlineStr">
        <is>
          <t> </t>
        </is>
      </c>
      <c r="P466" s="391" t="inlineStr">
        <is>
          <t> </t>
        </is>
      </c>
      <c r="Q466" s="391" t="inlineStr">
        <is>
          <t> </t>
        </is>
      </c>
      <c r="R466" s="38" t="inlineStr">
        <is>
          <t> </t>
        </is>
      </c>
      <c r="S466" s="391" t="inlineStr">
        <is>
          <t> </t>
        </is>
      </c>
      <c r="T466" s="391" t="inlineStr">
        <is>
          <t> </t>
        </is>
      </c>
      <c r="U466" s="391" t="inlineStr">
        <is>
          <t> </t>
        </is>
      </c>
      <c r="V466" s="391" t="inlineStr">
        <is>
          <t> </t>
        </is>
      </c>
      <c r="W466" s="391" t="inlineStr">
        <is>
          <t> </t>
        </is>
      </c>
      <c r="X466" s="391" t="inlineStr">
        <is>
          <t> </t>
        </is>
      </c>
      <c r="Y466" s="392" t="inlineStr">
        <is>
          <t> </t>
        </is>
      </c>
      <c r="Z466" s="391" t="inlineStr">
        <is>
          <t> </t>
        </is>
      </c>
      <c r="AA466" s="391" t="inlineStr">
        <is>
          <t> </t>
        </is>
      </c>
      <c r="AB466" s="391" t="inlineStr">
        <is>
          <t> </t>
        </is>
      </c>
      <c r="AC466" s="391" t="inlineStr">
        <is>
          <t> </t>
        </is>
      </c>
      <c r="AD466" s="391" t="inlineStr">
        <is>
          <t> </t>
        </is>
      </c>
      <c r="AE466" s="391" t="inlineStr">
        <is>
          <t> </t>
        </is>
      </c>
      <c r="AF466" s="38" t="inlineStr">
        <is>
          <t> </t>
        </is>
      </c>
      <c r="AG466" s="391" t="inlineStr">
        <is>
          <t> </t>
        </is>
      </c>
      <c r="AH466" s="391" t="n"/>
      <c r="AI466" s="391" t="inlineStr">
        <is>
          <t> </t>
        </is>
      </c>
      <c r="AJ466" s="391" t="inlineStr">
        <is>
          <t> </t>
        </is>
      </c>
      <c r="AK466" s="391" t="inlineStr">
        <is>
          <t> </t>
        </is>
      </c>
      <c r="AL466" s="391" t="inlineStr">
        <is>
          <t> </t>
        </is>
      </c>
      <c r="AM466" s="391" t="inlineStr">
        <is>
          <t> </t>
        </is>
      </c>
      <c r="AN466" s="391" t="inlineStr">
        <is>
          <t> </t>
        </is>
      </c>
      <c r="AO466" s="391" t="n"/>
      <c r="AP466" s="319" t="n"/>
      <c r="AQ466" s="319" t="n"/>
      <c r="AR466" s="319" t="n"/>
    </row>
    <row r="467" ht="15.75" customHeight="1" s="1264">
      <c r="A467" s="319" t="inlineStr">
        <is>
          <t> </t>
        </is>
      </c>
      <c r="B467" s="319" t="inlineStr">
        <is>
          <t> </t>
        </is>
      </c>
      <c r="C467" s="319" t="inlineStr">
        <is>
          <t> </t>
        </is>
      </c>
      <c r="D467" s="38" t="inlineStr">
        <is>
          <t> </t>
        </is>
      </c>
      <c r="E467" s="391" t="inlineStr">
        <is>
          <t> </t>
        </is>
      </c>
      <c r="F467" s="391" t="inlineStr">
        <is>
          <t> </t>
        </is>
      </c>
      <c r="G467" s="391" t="inlineStr">
        <is>
          <t> </t>
        </is>
      </c>
      <c r="H467" s="391" t="inlineStr">
        <is>
          <t> </t>
        </is>
      </c>
      <c r="I467" s="391" t="inlineStr">
        <is>
          <t> </t>
        </is>
      </c>
      <c r="J467" s="391" t="inlineStr">
        <is>
          <t> </t>
        </is>
      </c>
      <c r="K467" s="38" t="inlineStr">
        <is>
          <t> </t>
        </is>
      </c>
      <c r="L467" s="391" t="inlineStr">
        <is>
          <t> </t>
        </is>
      </c>
      <c r="M467" s="391" t="inlineStr">
        <is>
          <t> </t>
        </is>
      </c>
      <c r="N467" s="391" t="inlineStr">
        <is>
          <t> </t>
        </is>
      </c>
      <c r="O467" s="391" t="inlineStr">
        <is>
          <t> </t>
        </is>
      </c>
      <c r="P467" s="391" t="inlineStr">
        <is>
          <t> </t>
        </is>
      </c>
      <c r="Q467" s="391" t="inlineStr">
        <is>
          <t> </t>
        </is>
      </c>
      <c r="R467" s="38" t="inlineStr">
        <is>
          <t> </t>
        </is>
      </c>
      <c r="S467" s="391" t="inlineStr">
        <is>
          <t> </t>
        </is>
      </c>
      <c r="T467" s="391" t="inlineStr">
        <is>
          <t> </t>
        </is>
      </c>
      <c r="U467" s="391" t="inlineStr">
        <is>
          <t> </t>
        </is>
      </c>
      <c r="V467" s="391" t="inlineStr">
        <is>
          <t> </t>
        </is>
      </c>
      <c r="W467" s="391" t="inlineStr">
        <is>
          <t> </t>
        </is>
      </c>
      <c r="X467" s="391" t="inlineStr">
        <is>
          <t> </t>
        </is>
      </c>
      <c r="Y467" s="392" t="inlineStr">
        <is>
          <t> </t>
        </is>
      </c>
      <c r="Z467" s="391" t="inlineStr">
        <is>
          <t> </t>
        </is>
      </c>
      <c r="AA467" s="391" t="inlineStr">
        <is>
          <t> </t>
        </is>
      </c>
      <c r="AB467" s="391" t="inlineStr">
        <is>
          <t> </t>
        </is>
      </c>
      <c r="AC467" s="391" t="inlineStr">
        <is>
          <t> </t>
        </is>
      </c>
      <c r="AD467" s="391" t="inlineStr">
        <is>
          <t> </t>
        </is>
      </c>
      <c r="AE467" s="391" t="inlineStr">
        <is>
          <t> </t>
        </is>
      </c>
      <c r="AF467" s="38" t="inlineStr">
        <is>
          <t> </t>
        </is>
      </c>
      <c r="AG467" s="391" t="inlineStr">
        <is>
          <t> </t>
        </is>
      </c>
      <c r="AH467" s="391" t="n"/>
      <c r="AI467" s="391" t="inlineStr">
        <is>
          <t> </t>
        </is>
      </c>
      <c r="AJ467" s="391" t="inlineStr">
        <is>
          <t> </t>
        </is>
      </c>
      <c r="AK467" s="391" t="inlineStr">
        <is>
          <t> </t>
        </is>
      </c>
      <c r="AL467" s="391" t="inlineStr">
        <is>
          <t> </t>
        </is>
      </c>
      <c r="AM467" s="391" t="inlineStr">
        <is>
          <t> </t>
        </is>
      </c>
      <c r="AN467" s="391" t="inlineStr">
        <is>
          <t> </t>
        </is>
      </c>
      <c r="AO467" s="391" t="n"/>
      <c r="AP467" s="319" t="n"/>
      <c r="AQ467" s="319" t="n"/>
      <c r="AR467" s="319" t="n"/>
    </row>
    <row r="468" ht="15.75" customHeight="1" s="1264">
      <c r="A468" s="319" t="inlineStr">
        <is>
          <t> </t>
        </is>
      </c>
      <c r="B468" s="319" t="inlineStr">
        <is>
          <t> </t>
        </is>
      </c>
      <c r="C468" s="319" t="inlineStr">
        <is>
          <t> </t>
        </is>
      </c>
      <c r="D468" s="38" t="inlineStr">
        <is>
          <t> </t>
        </is>
      </c>
      <c r="E468" s="391" t="inlineStr">
        <is>
          <t> </t>
        </is>
      </c>
      <c r="F468" s="391" t="inlineStr">
        <is>
          <t> </t>
        </is>
      </c>
      <c r="G468" s="391" t="inlineStr">
        <is>
          <t> </t>
        </is>
      </c>
      <c r="H468" s="391" t="inlineStr">
        <is>
          <t> </t>
        </is>
      </c>
      <c r="I468" s="391" t="inlineStr">
        <is>
          <t> </t>
        </is>
      </c>
      <c r="J468" s="391" t="inlineStr">
        <is>
          <t> </t>
        </is>
      </c>
      <c r="K468" s="38" t="inlineStr">
        <is>
          <t> </t>
        </is>
      </c>
      <c r="L468" s="391" t="inlineStr">
        <is>
          <t> </t>
        </is>
      </c>
      <c r="M468" s="391" t="inlineStr">
        <is>
          <t> </t>
        </is>
      </c>
      <c r="N468" s="391" t="inlineStr">
        <is>
          <t> </t>
        </is>
      </c>
      <c r="O468" s="391" t="inlineStr">
        <is>
          <t> </t>
        </is>
      </c>
      <c r="P468" s="391" t="inlineStr">
        <is>
          <t> </t>
        </is>
      </c>
      <c r="Q468" s="391" t="inlineStr">
        <is>
          <t> </t>
        </is>
      </c>
      <c r="R468" s="38" t="inlineStr">
        <is>
          <t> </t>
        </is>
      </c>
      <c r="S468" s="391" t="inlineStr">
        <is>
          <t> </t>
        </is>
      </c>
      <c r="T468" s="391" t="inlineStr">
        <is>
          <t> </t>
        </is>
      </c>
      <c r="U468" s="391" t="inlineStr">
        <is>
          <t> </t>
        </is>
      </c>
      <c r="V468" s="391" t="inlineStr">
        <is>
          <t> </t>
        </is>
      </c>
      <c r="W468" s="391" t="inlineStr">
        <is>
          <t> </t>
        </is>
      </c>
      <c r="X468" s="391" t="inlineStr">
        <is>
          <t> </t>
        </is>
      </c>
      <c r="Y468" s="392" t="inlineStr">
        <is>
          <t> </t>
        </is>
      </c>
      <c r="Z468" s="391" t="inlineStr">
        <is>
          <t> </t>
        </is>
      </c>
      <c r="AA468" s="391" t="inlineStr">
        <is>
          <t> </t>
        </is>
      </c>
      <c r="AB468" s="391" t="inlineStr">
        <is>
          <t> </t>
        </is>
      </c>
      <c r="AC468" s="391" t="inlineStr">
        <is>
          <t> </t>
        </is>
      </c>
      <c r="AD468" s="391" t="inlineStr">
        <is>
          <t> </t>
        </is>
      </c>
      <c r="AE468" s="391" t="inlineStr">
        <is>
          <t> </t>
        </is>
      </c>
      <c r="AF468" s="38" t="inlineStr">
        <is>
          <t> </t>
        </is>
      </c>
      <c r="AG468" s="391" t="inlineStr">
        <is>
          <t> </t>
        </is>
      </c>
      <c r="AH468" s="391" t="n"/>
      <c r="AI468" s="391" t="inlineStr">
        <is>
          <t> </t>
        </is>
      </c>
      <c r="AJ468" s="391" t="inlineStr">
        <is>
          <t> </t>
        </is>
      </c>
      <c r="AK468" s="391" t="inlineStr">
        <is>
          <t> </t>
        </is>
      </c>
      <c r="AL468" s="391" t="inlineStr">
        <is>
          <t> </t>
        </is>
      </c>
      <c r="AM468" s="391" t="inlineStr">
        <is>
          <t> </t>
        </is>
      </c>
      <c r="AN468" s="391" t="inlineStr">
        <is>
          <t> </t>
        </is>
      </c>
      <c r="AO468" s="391" t="n"/>
      <c r="AP468" s="319" t="n"/>
      <c r="AQ468" s="319" t="n"/>
      <c r="AR468" s="319" t="n"/>
    </row>
    <row r="469" ht="15.75" customHeight="1" s="1264">
      <c r="A469" s="319" t="inlineStr">
        <is>
          <t> </t>
        </is>
      </c>
      <c r="B469" s="319" t="inlineStr">
        <is>
          <t> </t>
        </is>
      </c>
      <c r="C469" s="319" t="inlineStr">
        <is>
          <t> </t>
        </is>
      </c>
      <c r="D469" s="38" t="inlineStr">
        <is>
          <t> </t>
        </is>
      </c>
      <c r="E469" s="391" t="inlineStr">
        <is>
          <t> </t>
        </is>
      </c>
      <c r="F469" s="391" t="inlineStr">
        <is>
          <t> </t>
        </is>
      </c>
      <c r="G469" s="391" t="inlineStr">
        <is>
          <t> </t>
        </is>
      </c>
      <c r="H469" s="391" t="inlineStr">
        <is>
          <t> </t>
        </is>
      </c>
      <c r="I469" s="391" t="inlineStr">
        <is>
          <t> </t>
        </is>
      </c>
      <c r="J469" s="391" t="inlineStr">
        <is>
          <t> </t>
        </is>
      </c>
      <c r="K469" s="38" t="inlineStr">
        <is>
          <t> </t>
        </is>
      </c>
      <c r="L469" s="391" t="inlineStr">
        <is>
          <t> </t>
        </is>
      </c>
      <c r="M469" s="391" t="inlineStr">
        <is>
          <t> </t>
        </is>
      </c>
      <c r="N469" s="391" t="inlineStr">
        <is>
          <t> </t>
        </is>
      </c>
      <c r="O469" s="391" t="inlineStr">
        <is>
          <t> </t>
        </is>
      </c>
      <c r="P469" s="391" t="inlineStr">
        <is>
          <t> </t>
        </is>
      </c>
      <c r="Q469" s="391" t="inlineStr">
        <is>
          <t> </t>
        </is>
      </c>
      <c r="R469" s="38" t="inlineStr">
        <is>
          <t> </t>
        </is>
      </c>
      <c r="S469" s="391" t="inlineStr">
        <is>
          <t> </t>
        </is>
      </c>
      <c r="T469" s="391" t="inlineStr">
        <is>
          <t> </t>
        </is>
      </c>
      <c r="U469" s="391" t="inlineStr">
        <is>
          <t> </t>
        </is>
      </c>
      <c r="V469" s="391" t="inlineStr">
        <is>
          <t> </t>
        </is>
      </c>
      <c r="W469" s="391" t="inlineStr">
        <is>
          <t> </t>
        </is>
      </c>
      <c r="X469" s="391" t="inlineStr">
        <is>
          <t> </t>
        </is>
      </c>
      <c r="Y469" s="392" t="inlineStr">
        <is>
          <t> </t>
        </is>
      </c>
      <c r="Z469" s="391" t="inlineStr">
        <is>
          <t> </t>
        </is>
      </c>
      <c r="AA469" s="391" t="inlineStr">
        <is>
          <t> </t>
        </is>
      </c>
      <c r="AB469" s="391" t="inlineStr">
        <is>
          <t> </t>
        </is>
      </c>
      <c r="AC469" s="391" t="inlineStr">
        <is>
          <t> </t>
        </is>
      </c>
      <c r="AD469" s="391" t="inlineStr">
        <is>
          <t> </t>
        </is>
      </c>
      <c r="AE469" s="391" t="inlineStr">
        <is>
          <t> </t>
        </is>
      </c>
      <c r="AF469" s="38" t="inlineStr">
        <is>
          <t> </t>
        </is>
      </c>
      <c r="AG469" s="391" t="inlineStr">
        <is>
          <t> </t>
        </is>
      </c>
      <c r="AH469" s="391" t="n"/>
      <c r="AI469" s="391" t="inlineStr">
        <is>
          <t> </t>
        </is>
      </c>
      <c r="AJ469" s="391" t="inlineStr">
        <is>
          <t> </t>
        </is>
      </c>
      <c r="AK469" s="391" t="inlineStr">
        <is>
          <t> </t>
        </is>
      </c>
      <c r="AL469" s="391" t="inlineStr">
        <is>
          <t> </t>
        </is>
      </c>
      <c r="AM469" s="391" t="inlineStr">
        <is>
          <t> </t>
        </is>
      </c>
      <c r="AN469" s="391" t="inlineStr">
        <is>
          <t> </t>
        </is>
      </c>
      <c r="AO469" s="391" t="n"/>
      <c r="AP469" s="319" t="n"/>
      <c r="AQ469" s="319" t="n"/>
      <c r="AR469" s="319" t="n"/>
    </row>
    <row r="470" ht="15.75" customHeight="1" s="1264">
      <c r="A470" s="319" t="inlineStr">
        <is>
          <t> </t>
        </is>
      </c>
      <c r="B470" s="319" t="inlineStr">
        <is>
          <t> </t>
        </is>
      </c>
      <c r="C470" s="319" t="inlineStr">
        <is>
          <t> </t>
        </is>
      </c>
      <c r="D470" s="38" t="inlineStr">
        <is>
          <t> </t>
        </is>
      </c>
      <c r="E470" s="391" t="inlineStr">
        <is>
          <t> </t>
        </is>
      </c>
      <c r="F470" s="391" t="inlineStr">
        <is>
          <t> </t>
        </is>
      </c>
      <c r="G470" s="391" t="inlineStr">
        <is>
          <t> </t>
        </is>
      </c>
      <c r="H470" s="391" t="inlineStr">
        <is>
          <t> </t>
        </is>
      </c>
      <c r="I470" s="391" t="inlineStr">
        <is>
          <t> </t>
        </is>
      </c>
      <c r="J470" s="391" t="inlineStr">
        <is>
          <t> </t>
        </is>
      </c>
      <c r="K470" s="38" t="inlineStr">
        <is>
          <t> </t>
        </is>
      </c>
      <c r="L470" s="391" t="inlineStr">
        <is>
          <t> </t>
        </is>
      </c>
      <c r="M470" s="391" t="inlineStr">
        <is>
          <t> </t>
        </is>
      </c>
      <c r="N470" s="391" t="inlineStr">
        <is>
          <t> </t>
        </is>
      </c>
      <c r="O470" s="391" t="inlineStr">
        <is>
          <t> </t>
        </is>
      </c>
      <c r="P470" s="391" t="inlineStr">
        <is>
          <t> </t>
        </is>
      </c>
      <c r="Q470" s="391" t="inlineStr">
        <is>
          <t> </t>
        </is>
      </c>
      <c r="R470" s="38" t="inlineStr">
        <is>
          <t> </t>
        </is>
      </c>
      <c r="S470" s="391" t="inlineStr">
        <is>
          <t> </t>
        </is>
      </c>
      <c r="T470" s="391" t="inlineStr">
        <is>
          <t> </t>
        </is>
      </c>
      <c r="U470" s="391" t="inlineStr">
        <is>
          <t> </t>
        </is>
      </c>
      <c r="V470" s="391" t="inlineStr">
        <is>
          <t> </t>
        </is>
      </c>
      <c r="W470" s="391" t="inlineStr">
        <is>
          <t> </t>
        </is>
      </c>
      <c r="X470" s="391" t="inlineStr">
        <is>
          <t> </t>
        </is>
      </c>
      <c r="Y470" s="392" t="inlineStr">
        <is>
          <t> </t>
        </is>
      </c>
      <c r="Z470" s="391" t="inlineStr">
        <is>
          <t> </t>
        </is>
      </c>
      <c r="AA470" s="391" t="inlineStr">
        <is>
          <t> </t>
        </is>
      </c>
      <c r="AB470" s="391" t="inlineStr">
        <is>
          <t> </t>
        </is>
      </c>
      <c r="AC470" s="391" t="inlineStr">
        <is>
          <t> </t>
        </is>
      </c>
      <c r="AD470" s="391" t="inlineStr">
        <is>
          <t> </t>
        </is>
      </c>
      <c r="AE470" s="391" t="inlineStr">
        <is>
          <t> </t>
        </is>
      </c>
      <c r="AF470" s="38" t="inlineStr">
        <is>
          <t> </t>
        </is>
      </c>
      <c r="AG470" s="391" t="inlineStr">
        <is>
          <t> </t>
        </is>
      </c>
      <c r="AH470" s="391" t="n"/>
      <c r="AI470" s="391" t="inlineStr">
        <is>
          <t> </t>
        </is>
      </c>
      <c r="AJ470" s="391" t="inlineStr">
        <is>
          <t> </t>
        </is>
      </c>
      <c r="AK470" s="391" t="inlineStr">
        <is>
          <t> </t>
        </is>
      </c>
      <c r="AL470" s="391" t="inlineStr">
        <is>
          <t> </t>
        </is>
      </c>
      <c r="AM470" s="391" t="inlineStr">
        <is>
          <t> </t>
        </is>
      </c>
      <c r="AN470" s="391" t="inlineStr">
        <is>
          <t> </t>
        </is>
      </c>
      <c r="AO470" s="391" t="n"/>
      <c r="AP470" s="319" t="n"/>
      <c r="AQ470" s="319" t="n"/>
      <c r="AR470" s="319" t="n"/>
    </row>
    <row r="471" ht="15.75" customHeight="1" s="1264">
      <c r="A471" s="319" t="inlineStr">
        <is>
          <t> </t>
        </is>
      </c>
      <c r="B471" s="319" t="inlineStr">
        <is>
          <t> </t>
        </is>
      </c>
      <c r="C471" s="319" t="inlineStr">
        <is>
          <t> </t>
        </is>
      </c>
      <c r="D471" s="38" t="inlineStr">
        <is>
          <t> </t>
        </is>
      </c>
      <c r="E471" s="391" t="inlineStr">
        <is>
          <t> </t>
        </is>
      </c>
      <c r="F471" s="391" t="inlineStr">
        <is>
          <t> </t>
        </is>
      </c>
      <c r="G471" s="391" t="inlineStr">
        <is>
          <t> </t>
        </is>
      </c>
      <c r="H471" s="391" t="inlineStr">
        <is>
          <t> </t>
        </is>
      </c>
      <c r="I471" s="391" t="inlineStr">
        <is>
          <t> </t>
        </is>
      </c>
      <c r="J471" s="391" t="inlineStr">
        <is>
          <t> </t>
        </is>
      </c>
      <c r="K471" s="38" t="inlineStr">
        <is>
          <t> </t>
        </is>
      </c>
      <c r="L471" s="391" t="inlineStr">
        <is>
          <t> </t>
        </is>
      </c>
      <c r="M471" s="391" t="inlineStr">
        <is>
          <t> </t>
        </is>
      </c>
      <c r="N471" s="391" t="inlineStr">
        <is>
          <t> </t>
        </is>
      </c>
      <c r="O471" s="391" t="inlineStr">
        <is>
          <t> </t>
        </is>
      </c>
      <c r="P471" s="391" t="inlineStr">
        <is>
          <t> </t>
        </is>
      </c>
      <c r="Q471" s="391" t="inlineStr">
        <is>
          <t> </t>
        </is>
      </c>
      <c r="R471" s="38" t="inlineStr">
        <is>
          <t> </t>
        </is>
      </c>
      <c r="S471" s="391" t="inlineStr">
        <is>
          <t> </t>
        </is>
      </c>
      <c r="T471" s="391" t="inlineStr">
        <is>
          <t> </t>
        </is>
      </c>
      <c r="U471" s="391" t="inlineStr">
        <is>
          <t> </t>
        </is>
      </c>
      <c r="V471" s="391" t="inlineStr">
        <is>
          <t> </t>
        </is>
      </c>
      <c r="W471" s="391" t="inlineStr">
        <is>
          <t> </t>
        </is>
      </c>
      <c r="X471" s="391" t="inlineStr">
        <is>
          <t> </t>
        </is>
      </c>
      <c r="Y471" s="392" t="inlineStr">
        <is>
          <t> </t>
        </is>
      </c>
      <c r="Z471" s="391" t="inlineStr">
        <is>
          <t> </t>
        </is>
      </c>
      <c r="AA471" s="391" t="inlineStr">
        <is>
          <t> </t>
        </is>
      </c>
      <c r="AB471" s="391" t="inlineStr">
        <is>
          <t> </t>
        </is>
      </c>
      <c r="AC471" s="391" t="inlineStr">
        <is>
          <t> </t>
        </is>
      </c>
      <c r="AD471" s="391" t="inlineStr">
        <is>
          <t> </t>
        </is>
      </c>
      <c r="AE471" s="391" t="inlineStr">
        <is>
          <t> </t>
        </is>
      </c>
      <c r="AF471" s="38" t="inlineStr">
        <is>
          <t> </t>
        </is>
      </c>
      <c r="AG471" s="391" t="inlineStr">
        <is>
          <t> </t>
        </is>
      </c>
      <c r="AH471" s="391" t="n"/>
      <c r="AI471" s="391" t="inlineStr">
        <is>
          <t> </t>
        </is>
      </c>
      <c r="AJ471" s="391" t="inlineStr">
        <is>
          <t> </t>
        </is>
      </c>
      <c r="AK471" s="391" t="inlineStr">
        <is>
          <t> </t>
        </is>
      </c>
      <c r="AL471" s="391" t="inlineStr">
        <is>
          <t> </t>
        </is>
      </c>
      <c r="AM471" s="391" t="inlineStr">
        <is>
          <t> </t>
        </is>
      </c>
      <c r="AN471" s="391" t="inlineStr">
        <is>
          <t> </t>
        </is>
      </c>
      <c r="AO471" s="391" t="n"/>
      <c r="AP471" s="319" t="n"/>
      <c r="AQ471" s="319" t="n"/>
      <c r="AR471" s="319" t="n"/>
    </row>
    <row r="472" ht="15.75" customHeight="1" s="1264">
      <c r="A472" s="319" t="inlineStr">
        <is>
          <t> </t>
        </is>
      </c>
      <c r="B472" s="319" t="inlineStr">
        <is>
          <t> </t>
        </is>
      </c>
      <c r="C472" s="319" t="inlineStr">
        <is>
          <t> </t>
        </is>
      </c>
      <c r="D472" s="38" t="inlineStr">
        <is>
          <t> </t>
        </is>
      </c>
      <c r="E472" s="391" t="inlineStr">
        <is>
          <t> </t>
        </is>
      </c>
      <c r="F472" s="391" t="inlineStr">
        <is>
          <t> </t>
        </is>
      </c>
      <c r="G472" s="391" t="inlineStr">
        <is>
          <t> </t>
        </is>
      </c>
      <c r="H472" s="391" t="inlineStr">
        <is>
          <t> </t>
        </is>
      </c>
      <c r="I472" s="391" t="inlineStr">
        <is>
          <t> </t>
        </is>
      </c>
      <c r="J472" s="391" t="inlineStr">
        <is>
          <t> </t>
        </is>
      </c>
      <c r="K472" s="38" t="inlineStr">
        <is>
          <t> </t>
        </is>
      </c>
      <c r="L472" s="391" t="inlineStr">
        <is>
          <t> </t>
        </is>
      </c>
      <c r="M472" s="391" t="inlineStr">
        <is>
          <t> </t>
        </is>
      </c>
      <c r="N472" s="391" t="inlineStr">
        <is>
          <t> </t>
        </is>
      </c>
      <c r="O472" s="391" t="inlineStr">
        <is>
          <t> </t>
        </is>
      </c>
      <c r="P472" s="391" t="inlineStr">
        <is>
          <t> </t>
        </is>
      </c>
      <c r="Q472" s="391" t="inlineStr">
        <is>
          <t> </t>
        </is>
      </c>
      <c r="R472" s="38" t="inlineStr">
        <is>
          <t> </t>
        </is>
      </c>
      <c r="S472" s="391" t="inlineStr">
        <is>
          <t> </t>
        </is>
      </c>
      <c r="T472" s="391" t="inlineStr">
        <is>
          <t> </t>
        </is>
      </c>
      <c r="U472" s="391" t="inlineStr">
        <is>
          <t> </t>
        </is>
      </c>
      <c r="V472" s="391" t="inlineStr">
        <is>
          <t> </t>
        </is>
      </c>
      <c r="W472" s="391" t="inlineStr">
        <is>
          <t> </t>
        </is>
      </c>
      <c r="X472" s="391" t="inlineStr">
        <is>
          <t> </t>
        </is>
      </c>
      <c r="Y472" s="392" t="inlineStr">
        <is>
          <t> </t>
        </is>
      </c>
      <c r="Z472" s="391" t="inlineStr">
        <is>
          <t> </t>
        </is>
      </c>
      <c r="AA472" s="391" t="inlineStr">
        <is>
          <t> </t>
        </is>
      </c>
      <c r="AB472" s="391" t="inlineStr">
        <is>
          <t> </t>
        </is>
      </c>
      <c r="AC472" s="391" t="inlineStr">
        <is>
          <t> </t>
        </is>
      </c>
      <c r="AD472" s="391" t="inlineStr">
        <is>
          <t> </t>
        </is>
      </c>
      <c r="AE472" s="391" t="inlineStr">
        <is>
          <t> </t>
        </is>
      </c>
      <c r="AF472" s="38" t="inlineStr">
        <is>
          <t> </t>
        </is>
      </c>
      <c r="AG472" s="391" t="inlineStr">
        <is>
          <t> </t>
        </is>
      </c>
      <c r="AH472" s="391" t="n"/>
      <c r="AI472" s="391" t="inlineStr">
        <is>
          <t> </t>
        </is>
      </c>
      <c r="AJ472" s="391" t="inlineStr">
        <is>
          <t> </t>
        </is>
      </c>
      <c r="AK472" s="391" t="inlineStr">
        <is>
          <t> </t>
        </is>
      </c>
      <c r="AL472" s="391" t="inlineStr">
        <is>
          <t> </t>
        </is>
      </c>
      <c r="AM472" s="391" t="inlineStr">
        <is>
          <t> </t>
        </is>
      </c>
      <c r="AN472" s="391" t="inlineStr">
        <is>
          <t> </t>
        </is>
      </c>
      <c r="AO472" s="391" t="n"/>
      <c r="AP472" s="319" t="n"/>
      <c r="AQ472" s="319" t="n"/>
      <c r="AR472" s="319" t="n"/>
    </row>
    <row r="473" ht="15.75" customHeight="1" s="1264">
      <c r="A473" s="319" t="inlineStr">
        <is>
          <t> </t>
        </is>
      </c>
      <c r="B473" s="319" t="inlineStr">
        <is>
          <t> </t>
        </is>
      </c>
      <c r="C473" s="319" t="inlineStr">
        <is>
          <t> </t>
        </is>
      </c>
      <c r="D473" s="38" t="inlineStr">
        <is>
          <t> </t>
        </is>
      </c>
      <c r="E473" s="391" t="inlineStr">
        <is>
          <t> </t>
        </is>
      </c>
      <c r="F473" s="391" t="inlineStr">
        <is>
          <t> </t>
        </is>
      </c>
      <c r="G473" s="391" t="inlineStr">
        <is>
          <t> </t>
        </is>
      </c>
      <c r="H473" s="391" t="inlineStr">
        <is>
          <t> </t>
        </is>
      </c>
      <c r="I473" s="391" t="inlineStr">
        <is>
          <t> </t>
        </is>
      </c>
      <c r="J473" s="391" t="inlineStr">
        <is>
          <t> </t>
        </is>
      </c>
      <c r="K473" s="38" t="inlineStr">
        <is>
          <t> </t>
        </is>
      </c>
      <c r="L473" s="391" t="inlineStr">
        <is>
          <t> </t>
        </is>
      </c>
      <c r="M473" s="391" t="inlineStr">
        <is>
          <t> </t>
        </is>
      </c>
      <c r="N473" s="391" t="inlineStr">
        <is>
          <t> </t>
        </is>
      </c>
      <c r="O473" s="391" t="inlineStr">
        <is>
          <t> </t>
        </is>
      </c>
      <c r="P473" s="391" t="inlineStr">
        <is>
          <t> </t>
        </is>
      </c>
      <c r="Q473" s="391" t="inlineStr">
        <is>
          <t> </t>
        </is>
      </c>
      <c r="R473" s="38" t="inlineStr">
        <is>
          <t> </t>
        </is>
      </c>
      <c r="S473" s="391" t="inlineStr">
        <is>
          <t> </t>
        </is>
      </c>
      <c r="T473" s="391" t="inlineStr">
        <is>
          <t> </t>
        </is>
      </c>
      <c r="U473" s="391" t="inlineStr">
        <is>
          <t> </t>
        </is>
      </c>
      <c r="V473" s="391" t="inlineStr">
        <is>
          <t> </t>
        </is>
      </c>
      <c r="W473" s="391" t="inlineStr">
        <is>
          <t> </t>
        </is>
      </c>
      <c r="X473" s="391" t="inlineStr">
        <is>
          <t> </t>
        </is>
      </c>
      <c r="Y473" s="392" t="inlineStr">
        <is>
          <t> </t>
        </is>
      </c>
      <c r="Z473" s="391" t="inlineStr">
        <is>
          <t> </t>
        </is>
      </c>
      <c r="AA473" s="391" t="inlineStr">
        <is>
          <t> </t>
        </is>
      </c>
      <c r="AB473" s="391" t="inlineStr">
        <is>
          <t> </t>
        </is>
      </c>
      <c r="AC473" s="391" t="inlineStr">
        <is>
          <t> </t>
        </is>
      </c>
      <c r="AD473" s="391" t="inlineStr">
        <is>
          <t> </t>
        </is>
      </c>
      <c r="AE473" s="391" t="inlineStr">
        <is>
          <t> </t>
        </is>
      </c>
      <c r="AF473" s="38" t="inlineStr">
        <is>
          <t> </t>
        </is>
      </c>
      <c r="AG473" s="391" t="inlineStr">
        <is>
          <t> </t>
        </is>
      </c>
      <c r="AH473" s="391" t="n"/>
      <c r="AI473" s="391" t="inlineStr">
        <is>
          <t> </t>
        </is>
      </c>
      <c r="AJ473" s="391" t="inlineStr">
        <is>
          <t> </t>
        </is>
      </c>
      <c r="AK473" s="391" t="inlineStr">
        <is>
          <t> </t>
        </is>
      </c>
      <c r="AL473" s="391" t="inlineStr">
        <is>
          <t> </t>
        </is>
      </c>
      <c r="AM473" s="391" t="inlineStr">
        <is>
          <t> </t>
        </is>
      </c>
      <c r="AN473" s="391" t="inlineStr">
        <is>
          <t> </t>
        </is>
      </c>
      <c r="AO473" s="391" t="n"/>
      <c r="AP473" s="319" t="n"/>
      <c r="AQ473" s="319" t="n"/>
      <c r="AR473" s="319" t="n"/>
    </row>
    <row r="474" ht="15.75" customHeight="1" s="1264">
      <c r="A474" s="319" t="inlineStr">
        <is>
          <t> </t>
        </is>
      </c>
      <c r="B474" s="319" t="inlineStr">
        <is>
          <t> </t>
        </is>
      </c>
      <c r="C474" s="319" t="inlineStr">
        <is>
          <t> </t>
        </is>
      </c>
      <c r="D474" s="38" t="inlineStr">
        <is>
          <t> </t>
        </is>
      </c>
      <c r="E474" s="391" t="inlineStr">
        <is>
          <t> </t>
        </is>
      </c>
      <c r="F474" s="391" t="inlineStr">
        <is>
          <t> </t>
        </is>
      </c>
      <c r="G474" s="391" t="inlineStr">
        <is>
          <t> </t>
        </is>
      </c>
      <c r="H474" s="391" t="inlineStr">
        <is>
          <t> </t>
        </is>
      </c>
      <c r="I474" s="391" t="inlineStr">
        <is>
          <t> </t>
        </is>
      </c>
      <c r="J474" s="391" t="inlineStr">
        <is>
          <t> </t>
        </is>
      </c>
      <c r="K474" s="38" t="inlineStr">
        <is>
          <t> </t>
        </is>
      </c>
      <c r="L474" s="391" t="inlineStr">
        <is>
          <t> </t>
        </is>
      </c>
      <c r="M474" s="391" t="inlineStr">
        <is>
          <t> </t>
        </is>
      </c>
      <c r="N474" s="391" t="inlineStr">
        <is>
          <t> </t>
        </is>
      </c>
      <c r="O474" s="391" t="inlineStr">
        <is>
          <t> </t>
        </is>
      </c>
      <c r="P474" s="391" t="inlineStr">
        <is>
          <t> </t>
        </is>
      </c>
      <c r="Q474" s="391" t="inlineStr">
        <is>
          <t> </t>
        </is>
      </c>
      <c r="R474" s="38" t="inlineStr">
        <is>
          <t> </t>
        </is>
      </c>
      <c r="S474" s="391" t="inlineStr">
        <is>
          <t> </t>
        </is>
      </c>
      <c r="T474" s="391" t="inlineStr">
        <is>
          <t> </t>
        </is>
      </c>
      <c r="U474" s="391" t="inlineStr">
        <is>
          <t> </t>
        </is>
      </c>
      <c r="V474" s="391" t="inlineStr">
        <is>
          <t> </t>
        </is>
      </c>
      <c r="W474" s="391" t="inlineStr">
        <is>
          <t> </t>
        </is>
      </c>
      <c r="X474" s="391" t="inlineStr">
        <is>
          <t> </t>
        </is>
      </c>
      <c r="Y474" s="392" t="inlineStr">
        <is>
          <t> </t>
        </is>
      </c>
      <c r="Z474" s="391" t="inlineStr">
        <is>
          <t> </t>
        </is>
      </c>
      <c r="AA474" s="391" t="inlineStr">
        <is>
          <t> </t>
        </is>
      </c>
      <c r="AB474" s="391" t="inlineStr">
        <is>
          <t> </t>
        </is>
      </c>
      <c r="AC474" s="391" t="inlineStr">
        <is>
          <t> </t>
        </is>
      </c>
      <c r="AD474" s="391" t="inlineStr">
        <is>
          <t> </t>
        </is>
      </c>
      <c r="AE474" s="391" t="inlineStr">
        <is>
          <t> </t>
        </is>
      </c>
      <c r="AF474" s="38" t="inlineStr">
        <is>
          <t> </t>
        </is>
      </c>
      <c r="AG474" s="391" t="inlineStr">
        <is>
          <t> </t>
        </is>
      </c>
      <c r="AH474" s="391" t="n"/>
      <c r="AI474" s="391" t="inlineStr">
        <is>
          <t> </t>
        </is>
      </c>
      <c r="AJ474" s="391" t="inlineStr">
        <is>
          <t> </t>
        </is>
      </c>
      <c r="AK474" s="391" t="inlineStr">
        <is>
          <t> </t>
        </is>
      </c>
      <c r="AL474" s="391" t="inlineStr">
        <is>
          <t> </t>
        </is>
      </c>
      <c r="AM474" s="391" t="inlineStr">
        <is>
          <t> </t>
        </is>
      </c>
      <c r="AN474" s="391" t="inlineStr">
        <is>
          <t> </t>
        </is>
      </c>
      <c r="AO474" s="391" t="n"/>
      <c r="AP474" s="319" t="n"/>
      <c r="AQ474" s="319" t="n"/>
      <c r="AR474" s="319" t="n"/>
    </row>
    <row r="475" ht="15.75" customHeight="1" s="1264">
      <c r="A475" s="319" t="inlineStr">
        <is>
          <t> </t>
        </is>
      </c>
      <c r="B475" s="319" t="inlineStr">
        <is>
          <t> </t>
        </is>
      </c>
      <c r="C475" s="319" t="inlineStr">
        <is>
          <t> </t>
        </is>
      </c>
      <c r="D475" s="38" t="inlineStr">
        <is>
          <t> </t>
        </is>
      </c>
      <c r="E475" s="391" t="inlineStr">
        <is>
          <t> </t>
        </is>
      </c>
      <c r="F475" s="391" t="inlineStr">
        <is>
          <t> </t>
        </is>
      </c>
      <c r="G475" s="391" t="inlineStr">
        <is>
          <t> </t>
        </is>
      </c>
      <c r="H475" s="391" t="inlineStr">
        <is>
          <t> </t>
        </is>
      </c>
      <c r="I475" s="391" t="inlineStr">
        <is>
          <t> </t>
        </is>
      </c>
      <c r="J475" s="391" t="inlineStr">
        <is>
          <t> </t>
        </is>
      </c>
      <c r="K475" s="38" t="inlineStr">
        <is>
          <t> </t>
        </is>
      </c>
      <c r="L475" s="391" t="inlineStr">
        <is>
          <t> </t>
        </is>
      </c>
      <c r="M475" s="391" t="inlineStr">
        <is>
          <t> </t>
        </is>
      </c>
      <c r="N475" s="391" t="inlineStr">
        <is>
          <t> </t>
        </is>
      </c>
      <c r="O475" s="391" t="inlineStr">
        <is>
          <t> </t>
        </is>
      </c>
      <c r="P475" s="391" t="inlineStr">
        <is>
          <t> </t>
        </is>
      </c>
      <c r="Q475" s="391" t="inlineStr">
        <is>
          <t> </t>
        </is>
      </c>
      <c r="R475" s="38" t="inlineStr">
        <is>
          <t> </t>
        </is>
      </c>
      <c r="S475" s="391" t="inlineStr">
        <is>
          <t> </t>
        </is>
      </c>
      <c r="T475" s="391" t="inlineStr">
        <is>
          <t> </t>
        </is>
      </c>
      <c r="U475" s="391" t="inlineStr">
        <is>
          <t> </t>
        </is>
      </c>
      <c r="V475" s="391" t="inlineStr">
        <is>
          <t> </t>
        </is>
      </c>
      <c r="W475" s="391" t="inlineStr">
        <is>
          <t> </t>
        </is>
      </c>
      <c r="X475" s="391" t="inlineStr">
        <is>
          <t> </t>
        </is>
      </c>
      <c r="Y475" s="392" t="inlineStr">
        <is>
          <t> </t>
        </is>
      </c>
      <c r="Z475" s="391" t="inlineStr">
        <is>
          <t> </t>
        </is>
      </c>
      <c r="AA475" s="391" t="inlineStr">
        <is>
          <t> </t>
        </is>
      </c>
      <c r="AB475" s="391" t="inlineStr">
        <is>
          <t> </t>
        </is>
      </c>
      <c r="AC475" s="391" t="inlineStr">
        <is>
          <t> </t>
        </is>
      </c>
      <c r="AD475" s="391" t="inlineStr">
        <is>
          <t> </t>
        </is>
      </c>
      <c r="AE475" s="391" t="inlineStr">
        <is>
          <t> </t>
        </is>
      </c>
      <c r="AF475" s="38" t="inlineStr">
        <is>
          <t> </t>
        </is>
      </c>
      <c r="AG475" s="391" t="inlineStr">
        <is>
          <t> </t>
        </is>
      </c>
      <c r="AH475" s="391" t="n"/>
      <c r="AI475" s="391" t="inlineStr">
        <is>
          <t> </t>
        </is>
      </c>
      <c r="AJ475" s="391" t="inlineStr">
        <is>
          <t> </t>
        </is>
      </c>
      <c r="AK475" s="391" t="inlineStr">
        <is>
          <t> </t>
        </is>
      </c>
      <c r="AL475" s="391" t="inlineStr">
        <is>
          <t> </t>
        </is>
      </c>
      <c r="AM475" s="391" t="inlineStr">
        <is>
          <t> </t>
        </is>
      </c>
      <c r="AN475" s="391" t="inlineStr">
        <is>
          <t> </t>
        </is>
      </c>
      <c r="AO475" s="391" t="n"/>
      <c r="AP475" s="319" t="n"/>
      <c r="AQ475" s="319" t="n"/>
      <c r="AR475" s="319" t="n"/>
    </row>
    <row r="476" ht="15.75" customHeight="1" s="1264">
      <c r="A476" s="319" t="inlineStr">
        <is>
          <t> </t>
        </is>
      </c>
      <c r="B476" s="319" t="inlineStr">
        <is>
          <t> </t>
        </is>
      </c>
      <c r="C476" s="319" t="inlineStr">
        <is>
          <t> </t>
        </is>
      </c>
      <c r="D476" s="38" t="inlineStr">
        <is>
          <t> </t>
        </is>
      </c>
      <c r="E476" s="391" t="inlineStr">
        <is>
          <t> </t>
        </is>
      </c>
      <c r="F476" s="391" t="inlineStr">
        <is>
          <t> </t>
        </is>
      </c>
      <c r="G476" s="391" t="inlineStr">
        <is>
          <t> </t>
        </is>
      </c>
      <c r="H476" s="391" t="inlineStr">
        <is>
          <t> </t>
        </is>
      </c>
      <c r="I476" s="391" t="inlineStr">
        <is>
          <t> </t>
        </is>
      </c>
      <c r="J476" s="391" t="inlineStr">
        <is>
          <t> </t>
        </is>
      </c>
      <c r="K476" s="38" t="inlineStr">
        <is>
          <t> </t>
        </is>
      </c>
      <c r="L476" s="391" t="inlineStr">
        <is>
          <t> </t>
        </is>
      </c>
      <c r="M476" s="391" t="inlineStr">
        <is>
          <t> </t>
        </is>
      </c>
      <c r="N476" s="391" t="inlineStr">
        <is>
          <t> </t>
        </is>
      </c>
      <c r="O476" s="391" t="inlineStr">
        <is>
          <t> </t>
        </is>
      </c>
      <c r="P476" s="391" t="inlineStr">
        <is>
          <t> </t>
        </is>
      </c>
      <c r="Q476" s="391" t="inlineStr">
        <is>
          <t> </t>
        </is>
      </c>
      <c r="R476" s="38" t="inlineStr">
        <is>
          <t> </t>
        </is>
      </c>
      <c r="S476" s="391" t="inlineStr">
        <is>
          <t> </t>
        </is>
      </c>
      <c r="T476" s="391" t="inlineStr">
        <is>
          <t> </t>
        </is>
      </c>
      <c r="U476" s="391" t="inlineStr">
        <is>
          <t> </t>
        </is>
      </c>
      <c r="V476" s="391" t="inlineStr">
        <is>
          <t> </t>
        </is>
      </c>
      <c r="W476" s="391" t="inlineStr">
        <is>
          <t> </t>
        </is>
      </c>
      <c r="X476" s="391" t="inlineStr">
        <is>
          <t> </t>
        </is>
      </c>
      <c r="Y476" s="392" t="inlineStr">
        <is>
          <t> </t>
        </is>
      </c>
      <c r="Z476" s="391" t="inlineStr">
        <is>
          <t> </t>
        </is>
      </c>
      <c r="AA476" s="391" t="inlineStr">
        <is>
          <t> </t>
        </is>
      </c>
      <c r="AB476" s="391" t="inlineStr">
        <is>
          <t> </t>
        </is>
      </c>
      <c r="AC476" s="391" t="inlineStr">
        <is>
          <t> </t>
        </is>
      </c>
      <c r="AD476" s="391" t="inlineStr">
        <is>
          <t> </t>
        </is>
      </c>
      <c r="AE476" s="391" t="inlineStr">
        <is>
          <t> </t>
        </is>
      </c>
      <c r="AF476" s="38" t="inlineStr">
        <is>
          <t> </t>
        </is>
      </c>
      <c r="AG476" s="391" t="inlineStr">
        <is>
          <t> </t>
        </is>
      </c>
      <c r="AH476" s="391" t="n"/>
      <c r="AI476" s="391" t="inlineStr">
        <is>
          <t> </t>
        </is>
      </c>
      <c r="AJ476" s="391" t="inlineStr">
        <is>
          <t> </t>
        </is>
      </c>
      <c r="AK476" s="391" t="inlineStr">
        <is>
          <t> </t>
        </is>
      </c>
      <c r="AL476" s="391" t="inlineStr">
        <is>
          <t> </t>
        </is>
      </c>
      <c r="AM476" s="391" t="inlineStr">
        <is>
          <t> </t>
        </is>
      </c>
      <c r="AN476" s="391" t="inlineStr">
        <is>
          <t> </t>
        </is>
      </c>
      <c r="AO476" s="391" t="n"/>
      <c r="AP476" s="319" t="n"/>
      <c r="AQ476" s="319" t="n"/>
      <c r="AR476" s="319" t="n"/>
    </row>
    <row r="477" ht="15.75" customHeight="1" s="1264">
      <c r="A477" s="319" t="inlineStr">
        <is>
          <t> </t>
        </is>
      </c>
      <c r="B477" s="319" t="inlineStr">
        <is>
          <t> </t>
        </is>
      </c>
      <c r="C477" s="319" t="inlineStr">
        <is>
          <t> </t>
        </is>
      </c>
      <c r="D477" s="38" t="inlineStr">
        <is>
          <t> </t>
        </is>
      </c>
      <c r="E477" s="391" t="inlineStr">
        <is>
          <t> </t>
        </is>
      </c>
      <c r="F477" s="391" t="inlineStr">
        <is>
          <t> </t>
        </is>
      </c>
      <c r="G477" s="391" t="inlineStr">
        <is>
          <t> </t>
        </is>
      </c>
      <c r="H477" s="391" t="inlineStr">
        <is>
          <t> </t>
        </is>
      </c>
      <c r="I477" s="391" t="inlineStr">
        <is>
          <t> </t>
        </is>
      </c>
      <c r="J477" s="391" t="inlineStr">
        <is>
          <t> </t>
        </is>
      </c>
      <c r="K477" s="38" t="inlineStr">
        <is>
          <t> </t>
        </is>
      </c>
      <c r="L477" s="391" t="inlineStr">
        <is>
          <t> </t>
        </is>
      </c>
      <c r="M477" s="391" t="inlineStr">
        <is>
          <t> </t>
        </is>
      </c>
      <c r="N477" s="391" t="inlineStr">
        <is>
          <t> </t>
        </is>
      </c>
      <c r="O477" s="391" t="inlineStr">
        <is>
          <t> </t>
        </is>
      </c>
      <c r="P477" s="391" t="inlineStr">
        <is>
          <t> </t>
        </is>
      </c>
      <c r="Q477" s="391" t="inlineStr">
        <is>
          <t> </t>
        </is>
      </c>
      <c r="R477" s="38" t="inlineStr">
        <is>
          <t> </t>
        </is>
      </c>
      <c r="S477" s="391" t="inlineStr">
        <is>
          <t> </t>
        </is>
      </c>
      <c r="T477" s="391" t="inlineStr">
        <is>
          <t> </t>
        </is>
      </c>
      <c r="U477" s="391" t="inlineStr">
        <is>
          <t> </t>
        </is>
      </c>
      <c r="V477" s="391" t="inlineStr">
        <is>
          <t> </t>
        </is>
      </c>
      <c r="W477" s="391" t="inlineStr">
        <is>
          <t> </t>
        </is>
      </c>
      <c r="X477" s="391" t="inlineStr">
        <is>
          <t> </t>
        </is>
      </c>
      <c r="Y477" s="392" t="inlineStr">
        <is>
          <t> </t>
        </is>
      </c>
      <c r="Z477" s="391" t="inlineStr">
        <is>
          <t> </t>
        </is>
      </c>
      <c r="AA477" s="391" t="inlineStr">
        <is>
          <t> </t>
        </is>
      </c>
      <c r="AB477" s="391" t="inlineStr">
        <is>
          <t> </t>
        </is>
      </c>
      <c r="AC477" s="391" t="inlineStr">
        <is>
          <t> </t>
        </is>
      </c>
      <c r="AD477" s="391" t="inlineStr">
        <is>
          <t> </t>
        </is>
      </c>
      <c r="AE477" s="391" t="inlineStr">
        <is>
          <t> </t>
        </is>
      </c>
      <c r="AF477" s="38" t="inlineStr">
        <is>
          <t> </t>
        </is>
      </c>
      <c r="AG477" s="391" t="inlineStr">
        <is>
          <t> </t>
        </is>
      </c>
      <c r="AH477" s="391" t="n"/>
      <c r="AI477" s="391" t="inlineStr">
        <is>
          <t> </t>
        </is>
      </c>
      <c r="AJ477" s="391" t="inlineStr">
        <is>
          <t> </t>
        </is>
      </c>
      <c r="AK477" s="391" t="inlineStr">
        <is>
          <t> </t>
        </is>
      </c>
      <c r="AL477" s="391" t="inlineStr">
        <is>
          <t> </t>
        </is>
      </c>
      <c r="AM477" s="391" t="inlineStr">
        <is>
          <t> </t>
        </is>
      </c>
      <c r="AN477" s="391" t="inlineStr">
        <is>
          <t> </t>
        </is>
      </c>
      <c r="AO477" s="391" t="n"/>
      <c r="AP477" s="319" t="n"/>
      <c r="AQ477" s="319" t="n"/>
      <c r="AR477" s="319" t="n"/>
    </row>
    <row r="478" ht="15.75" customHeight="1" s="1264">
      <c r="A478" s="319" t="inlineStr">
        <is>
          <t> </t>
        </is>
      </c>
      <c r="B478" s="319" t="inlineStr">
        <is>
          <t> </t>
        </is>
      </c>
      <c r="C478" s="319" t="inlineStr">
        <is>
          <t> </t>
        </is>
      </c>
      <c r="D478" s="38" t="inlineStr">
        <is>
          <t> </t>
        </is>
      </c>
      <c r="E478" s="391" t="inlineStr">
        <is>
          <t> </t>
        </is>
      </c>
      <c r="F478" s="391" t="inlineStr">
        <is>
          <t> </t>
        </is>
      </c>
      <c r="G478" s="391" t="inlineStr">
        <is>
          <t> </t>
        </is>
      </c>
      <c r="H478" s="391" t="inlineStr">
        <is>
          <t> </t>
        </is>
      </c>
      <c r="I478" s="391" t="inlineStr">
        <is>
          <t> </t>
        </is>
      </c>
      <c r="J478" s="391" t="inlineStr">
        <is>
          <t> </t>
        </is>
      </c>
      <c r="K478" s="38" t="inlineStr">
        <is>
          <t> </t>
        </is>
      </c>
      <c r="L478" s="391" t="inlineStr">
        <is>
          <t> </t>
        </is>
      </c>
      <c r="M478" s="391" t="inlineStr">
        <is>
          <t> </t>
        </is>
      </c>
      <c r="N478" s="391" t="inlineStr">
        <is>
          <t> </t>
        </is>
      </c>
      <c r="O478" s="391" t="inlineStr">
        <is>
          <t> </t>
        </is>
      </c>
      <c r="P478" s="391" t="inlineStr">
        <is>
          <t> </t>
        </is>
      </c>
      <c r="Q478" s="391" t="inlineStr">
        <is>
          <t> </t>
        </is>
      </c>
      <c r="R478" s="38" t="inlineStr">
        <is>
          <t> </t>
        </is>
      </c>
      <c r="S478" s="391" t="inlineStr">
        <is>
          <t> </t>
        </is>
      </c>
      <c r="T478" s="391" t="inlineStr">
        <is>
          <t> </t>
        </is>
      </c>
      <c r="U478" s="391" t="inlineStr">
        <is>
          <t> </t>
        </is>
      </c>
      <c r="V478" s="391" t="inlineStr">
        <is>
          <t> </t>
        </is>
      </c>
      <c r="W478" s="391" t="inlineStr">
        <is>
          <t> </t>
        </is>
      </c>
      <c r="X478" s="391" t="inlineStr">
        <is>
          <t> </t>
        </is>
      </c>
      <c r="Y478" s="392" t="inlineStr">
        <is>
          <t> </t>
        </is>
      </c>
      <c r="Z478" s="391" t="inlineStr">
        <is>
          <t> </t>
        </is>
      </c>
      <c r="AA478" s="391" t="inlineStr">
        <is>
          <t> </t>
        </is>
      </c>
      <c r="AB478" s="391" t="inlineStr">
        <is>
          <t> </t>
        </is>
      </c>
      <c r="AC478" s="391" t="inlineStr">
        <is>
          <t> </t>
        </is>
      </c>
      <c r="AD478" s="391" t="inlineStr">
        <is>
          <t> </t>
        </is>
      </c>
      <c r="AE478" s="391" t="inlineStr">
        <is>
          <t> </t>
        </is>
      </c>
      <c r="AF478" s="38" t="inlineStr">
        <is>
          <t> </t>
        </is>
      </c>
      <c r="AG478" s="391" t="inlineStr">
        <is>
          <t> </t>
        </is>
      </c>
      <c r="AH478" s="391" t="n"/>
      <c r="AI478" s="391" t="inlineStr">
        <is>
          <t> </t>
        </is>
      </c>
      <c r="AJ478" s="391" t="inlineStr">
        <is>
          <t> </t>
        </is>
      </c>
      <c r="AK478" s="391" t="inlineStr">
        <is>
          <t> </t>
        </is>
      </c>
      <c r="AL478" s="391" t="inlineStr">
        <is>
          <t> </t>
        </is>
      </c>
      <c r="AM478" s="391" t="inlineStr">
        <is>
          <t> </t>
        </is>
      </c>
      <c r="AN478" s="391" t="inlineStr">
        <is>
          <t> </t>
        </is>
      </c>
      <c r="AO478" s="391" t="n"/>
      <c r="AP478" s="319" t="n"/>
      <c r="AQ478" s="319" t="n"/>
      <c r="AR478" s="319" t="n"/>
    </row>
    <row r="479" ht="15.75" customHeight="1" s="1264">
      <c r="A479" s="319" t="inlineStr">
        <is>
          <t> </t>
        </is>
      </c>
      <c r="B479" s="319" t="inlineStr">
        <is>
          <t> </t>
        </is>
      </c>
      <c r="C479" s="319" t="inlineStr">
        <is>
          <t> </t>
        </is>
      </c>
      <c r="D479" s="38" t="inlineStr">
        <is>
          <t> </t>
        </is>
      </c>
      <c r="E479" s="391" t="inlineStr">
        <is>
          <t> </t>
        </is>
      </c>
      <c r="F479" s="391" t="inlineStr">
        <is>
          <t> </t>
        </is>
      </c>
      <c r="G479" s="391" t="inlineStr">
        <is>
          <t> </t>
        </is>
      </c>
      <c r="H479" s="391" t="inlineStr">
        <is>
          <t> </t>
        </is>
      </c>
      <c r="I479" s="391" t="inlineStr">
        <is>
          <t> </t>
        </is>
      </c>
      <c r="J479" s="391" t="inlineStr">
        <is>
          <t> </t>
        </is>
      </c>
      <c r="K479" s="38" t="inlineStr">
        <is>
          <t> </t>
        </is>
      </c>
      <c r="L479" s="391" t="inlineStr">
        <is>
          <t> </t>
        </is>
      </c>
      <c r="M479" s="391" t="inlineStr">
        <is>
          <t> </t>
        </is>
      </c>
      <c r="N479" s="391" t="inlineStr">
        <is>
          <t> </t>
        </is>
      </c>
      <c r="O479" s="391" t="inlineStr">
        <is>
          <t> </t>
        </is>
      </c>
      <c r="P479" s="391" t="inlineStr">
        <is>
          <t> </t>
        </is>
      </c>
      <c r="Q479" s="391" t="inlineStr">
        <is>
          <t> </t>
        </is>
      </c>
      <c r="R479" s="38" t="inlineStr">
        <is>
          <t> </t>
        </is>
      </c>
      <c r="S479" s="391" t="inlineStr">
        <is>
          <t> </t>
        </is>
      </c>
      <c r="T479" s="391" t="inlineStr">
        <is>
          <t> </t>
        </is>
      </c>
      <c r="U479" s="391" t="inlineStr">
        <is>
          <t> </t>
        </is>
      </c>
      <c r="V479" s="391" t="inlineStr">
        <is>
          <t> </t>
        </is>
      </c>
      <c r="W479" s="391" t="inlineStr">
        <is>
          <t> </t>
        </is>
      </c>
      <c r="X479" s="391" t="inlineStr">
        <is>
          <t> </t>
        </is>
      </c>
      <c r="Y479" s="392" t="inlineStr">
        <is>
          <t> </t>
        </is>
      </c>
      <c r="Z479" s="391" t="inlineStr">
        <is>
          <t> </t>
        </is>
      </c>
      <c r="AA479" s="391" t="inlineStr">
        <is>
          <t> </t>
        </is>
      </c>
      <c r="AB479" s="391" t="inlineStr">
        <is>
          <t> </t>
        </is>
      </c>
      <c r="AC479" s="391" t="inlineStr">
        <is>
          <t> </t>
        </is>
      </c>
      <c r="AD479" s="391" t="inlineStr">
        <is>
          <t> </t>
        </is>
      </c>
      <c r="AE479" s="391" t="inlineStr">
        <is>
          <t> </t>
        </is>
      </c>
      <c r="AF479" s="38" t="inlineStr">
        <is>
          <t> </t>
        </is>
      </c>
      <c r="AG479" s="391" t="inlineStr">
        <is>
          <t> </t>
        </is>
      </c>
      <c r="AH479" s="391" t="n"/>
      <c r="AI479" s="391" t="inlineStr">
        <is>
          <t> </t>
        </is>
      </c>
      <c r="AJ479" s="391" t="inlineStr">
        <is>
          <t> </t>
        </is>
      </c>
      <c r="AK479" s="391" t="inlineStr">
        <is>
          <t> </t>
        </is>
      </c>
      <c r="AL479" s="391" t="inlineStr">
        <is>
          <t> </t>
        </is>
      </c>
      <c r="AM479" s="391" t="inlineStr">
        <is>
          <t> </t>
        </is>
      </c>
      <c r="AN479" s="391" t="inlineStr">
        <is>
          <t> </t>
        </is>
      </c>
      <c r="AO479" s="391" t="n"/>
      <c r="AP479" s="319" t="n"/>
      <c r="AQ479" s="319" t="n"/>
      <c r="AR479" s="319" t="n"/>
    </row>
    <row r="480" ht="15.75" customHeight="1" s="1264">
      <c r="A480" s="319" t="inlineStr">
        <is>
          <t> </t>
        </is>
      </c>
      <c r="B480" s="319" t="inlineStr">
        <is>
          <t> </t>
        </is>
      </c>
      <c r="C480" s="319" t="inlineStr">
        <is>
          <t> </t>
        </is>
      </c>
      <c r="D480" s="38" t="inlineStr">
        <is>
          <t> </t>
        </is>
      </c>
      <c r="E480" s="391" t="inlineStr">
        <is>
          <t> </t>
        </is>
      </c>
      <c r="F480" s="391" t="inlineStr">
        <is>
          <t> </t>
        </is>
      </c>
      <c r="G480" s="391" t="inlineStr">
        <is>
          <t> </t>
        </is>
      </c>
      <c r="H480" s="391" t="inlineStr">
        <is>
          <t> </t>
        </is>
      </c>
      <c r="I480" s="391" t="inlineStr">
        <is>
          <t> </t>
        </is>
      </c>
      <c r="J480" s="391" t="inlineStr">
        <is>
          <t> </t>
        </is>
      </c>
      <c r="K480" s="38" t="inlineStr">
        <is>
          <t> </t>
        </is>
      </c>
      <c r="L480" s="391" t="inlineStr">
        <is>
          <t> </t>
        </is>
      </c>
      <c r="M480" s="391" t="inlineStr">
        <is>
          <t> </t>
        </is>
      </c>
      <c r="N480" s="391" t="inlineStr">
        <is>
          <t> </t>
        </is>
      </c>
      <c r="O480" s="391" t="inlineStr">
        <is>
          <t> </t>
        </is>
      </c>
      <c r="P480" s="391" t="inlineStr">
        <is>
          <t> </t>
        </is>
      </c>
      <c r="Q480" s="391" t="inlineStr">
        <is>
          <t> </t>
        </is>
      </c>
      <c r="R480" s="38" t="inlineStr">
        <is>
          <t> </t>
        </is>
      </c>
      <c r="S480" s="391" t="inlineStr">
        <is>
          <t> </t>
        </is>
      </c>
      <c r="T480" s="391" t="inlineStr">
        <is>
          <t> </t>
        </is>
      </c>
      <c r="U480" s="391" t="inlineStr">
        <is>
          <t> </t>
        </is>
      </c>
      <c r="V480" s="391" t="inlineStr">
        <is>
          <t> </t>
        </is>
      </c>
      <c r="W480" s="391" t="inlineStr">
        <is>
          <t> </t>
        </is>
      </c>
      <c r="X480" s="391" t="inlineStr">
        <is>
          <t> </t>
        </is>
      </c>
      <c r="Y480" s="392" t="inlineStr">
        <is>
          <t> </t>
        </is>
      </c>
      <c r="Z480" s="391" t="inlineStr">
        <is>
          <t> </t>
        </is>
      </c>
      <c r="AA480" s="391" t="inlineStr">
        <is>
          <t> </t>
        </is>
      </c>
      <c r="AB480" s="391" t="inlineStr">
        <is>
          <t> </t>
        </is>
      </c>
      <c r="AC480" s="391" t="inlineStr">
        <is>
          <t> </t>
        </is>
      </c>
      <c r="AD480" s="391" t="inlineStr">
        <is>
          <t> </t>
        </is>
      </c>
      <c r="AE480" s="391" t="inlineStr">
        <is>
          <t> </t>
        </is>
      </c>
      <c r="AF480" s="38" t="inlineStr">
        <is>
          <t> </t>
        </is>
      </c>
      <c r="AG480" s="391" t="inlineStr">
        <is>
          <t> </t>
        </is>
      </c>
      <c r="AH480" s="391" t="n"/>
      <c r="AI480" s="391" t="inlineStr">
        <is>
          <t> </t>
        </is>
      </c>
      <c r="AJ480" s="391" t="inlineStr">
        <is>
          <t> </t>
        </is>
      </c>
      <c r="AK480" s="391" t="inlineStr">
        <is>
          <t> </t>
        </is>
      </c>
      <c r="AL480" s="391" t="inlineStr">
        <is>
          <t> </t>
        </is>
      </c>
      <c r="AM480" s="391" t="inlineStr">
        <is>
          <t> </t>
        </is>
      </c>
      <c r="AN480" s="391" t="inlineStr">
        <is>
          <t> </t>
        </is>
      </c>
      <c r="AO480" s="391" t="n"/>
      <c r="AP480" s="319" t="n"/>
      <c r="AQ480" s="319" t="n"/>
      <c r="AR480" s="319" t="n"/>
    </row>
    <row r="481" ht="15.75" customHeight="1" s="1264">
      <c r="A481" s="319" t="inlineStr">
        <is>
          <t> </t>
        </is>
      </c>
      <c r="B481" s="319" t="inlineStr">
        <is>
          <t> </t>
        </is>
      </c>
      <c r="C481" s="319" t="inlineStr">
        <is>
          <t> </t>
        </is>
      </c>
      <c r="D481" s="38" t="inlineStr">
        <is>
          <t> </t>
        </is>
      </c>
      <c r="E481" s="391" t="inlineStr">
        <is>
          <t> </t>
        </is>
      </c>
      <c r="F481" s="391" t="inlineStr">
        <is>
          <t> </t>
        </is>
      </c>
      <c r="G481" s="391" t="inlineStr">
        <is>
          <t> </t>
        </is>
      </c>
      <c r="H481" s="391" t="inlineStr">
        <is>
          <t> </t>
        </is>
      </c>
      <c r="I481" s="391" t="inlineStr">
        <is>
          <t> </t>
        </is>
      </c>
      <c r="J481" s="391" t="inlineStr">
        <is>
          <t> </t>
        </is>
      </c>
      <c r="K481" s="38" t="inlineStr">
        <is>
          <t> </t>
        </is>
      </c>
      <c r="L481" s="391" t="inlineStr">
        <is>
          <t> </t>
        </is>
      </c>
      <c r="M481" s="391" t="inlineStr">
        <is>
          <t> </t>
        </is>
      </c>
      <c r="N481" s="391" t="inlineStr">
        <is>
          <t> </t>
        </is>
      </c>
      <c r="O481" s="391" t="inlineStr">
        <is>
          <t> </t>
        </is>
      </c>
      <c r="P481" s="391" t="inlineStr">
        <is>
          <t> </t>
        </is>
      </c>
      <c r="Q481" s="391" t="inlineStr">
        <is>
          <t> </t>
        </is>
      </c>
      <c r="R481" s="38" t="inlineStr">
        <is>
          <t> </t>
        </is>
      </c>
      <c r="S481" s="391" t="inlineStr">
        <is>
          <t> </t>
        </is>
      </c>
      <c r="T481" s="391" t="inlineStr">
        <is>
          <t> </t>
        </is>
      </c>
      <c r="U481" s="391" t="inlineStr">
        <is>
          <t> </t>
        </is>
      </c>
      <c r="V481" s="391" t="inlineStr">
        <is>
          <t> </t>
        </is>
      </c>
      <c r="W481" s="391" t="inlineStr">
        <is>
          <t> </t>
        </is>
      </c>
      <c r="X481" s="391" t="inlineStr">
        <is>
          <t> </t>
        </is>
      </c>
      <c r="Y481" s="392" t="inlineStr">
        <is>
          <t> </t>
        </is>
      </c>
      <c r="Z481" s="391" t="inlineStr">
        <is>
          <t> </t>
        </is>
      </c>
      <c r="AA481" s="391" t="inlineStr">
        <is>
          <t> </t>
        </is>
      </c>
      <c r="AB481" s="391" t="inlineStr">
        <is>
          <t> </t>
        </is>
      </c>
      <c r="AC481" s="391" t="inlineStr">
        <is>
          <t> </t>
        </is>
      </c>
      <c r="AD481" s="391" t="inlineStr">
        <is>
          <t> </t>
        </is>
      </c>
      <c r="AE481" s="391" t="inlineStr">
        <is>
          <t> </t>
        </is>
      </c>
      <c r="AF481" s="38" t="inlineStr">
        <is>
          <t> </t>
        </is>
      </c>
      <c r="AG481" s="391" t="inlineStr">
        <is>
          <t> </t>
        </is>
      </c>
      <c r="AH481" s="391" t="n"/>
      <c r="AI481" s="391" t="inlineStr">
        <is>
          <t> </t>
        </is>
      </c>
      <c r="AJ481" s="391" t="inlineStr">
        <is>
          <t> </t>
        </is>
      </c>
      <c r="AK481" s="391" t="inlineStr">
        <is>
          <t> </t>
        </is>
      </c>
      <c r="AL481" s="391" t="inlineStr">
        <is>
          <t> </t>
        </is>
      </c>
      <c r="AM481" s="391" t="inlineStr">
        <is>
          <t> </t>
        </is>
      </c>
      <c r="AN481" s="391" t="inlineStr">
        <is>
          <t> </t>
        </is>
      </c>
      <c r="AO481" s="391" t="n"/>
      <c r="AP481" s="319" t="n"/>
      <c r="AQ481" s="319" t="n"/>
      <c r="AR481" s="319" t="n"/>
    </row>
    <row r="482" ht="15.75" customHeight="1" s="1264">
      <c r="A482" s="319" t="inlineStr">
        <is>
          <t> </t>
        </is>
      </c>
      <c r="B482" s="319" t="inlineStr">
        <is>
          <t> </t>
        </is>
      </c>
      <c r="C482" s="319" t="inlineStr">
        <is>
          <t> </t>
        </is>
      </c>
      <c r="D482" s="38" t="inlineStr">
        <is>
          <t> </t>
        </is>
      </c>
      <c r="E482" s="391" t="inlineStr">
        <is>
          <t> </t>
        </is>
      </c>
      <c r="F482" s="391" t="inlineStr">
        <is>
          <t> </t>
        </is>
      </c>
      <c r="G482" s="391" t="inlineStr">
        <is>
          <t> </t>
        </is>
      </c>
      <c r="H482" s="391" t="inlineStr">
        <is>
          <t> </t>
        </is>
      </c>
      <c r="I482" s="391" t="inlineStr">
        <is>
          <t> </t>
        </is>
      </c>
      <c r="J482" s="391" t="inlineStr">
        <is>
          <t> </t>
        </is>
      </c>
      <c r="K482" s="38" t="inlineStr">
        <is>
          <t> </t>
        </is>
      </c>
      <c r="L482" s="391" t="inlineStr">
        <is>
          <t> </t>
        </is>
      </c>
      <c r="M482" s="391" t="inlineStr">
        <is>
          <t> </t>
        </is>
      </c>
      <c r="N482" s="391" t="inlineStr">
        <is>
          <t> </t>
        </is>
      </c>
      <c r="O482" s="391" t="inlineStr">
        <is>
          <t> </t>
        </is>
      </c>
      <c r="P482" s="391" t="inlineStr">
        <is>
          <t> </t>
        </is>
      </c>
      <c r="Q482" s="391" t="inlineStr">
        <is>
          <t> </t>
        </is>
      </c>
      <c r="R482" s="38" t="inlineStr">
        <is>
          <t> </t>
        </is>
      </c>
      <c r="S482" s="391" t="inlineStr">
        <is>
          <t> </t>
        </is>
      </c>
      <c r="T482" s="391" t="inlineStr">
        <is>
          <t> </t>
        </is>
      </c>
      <c r="U482" s="391" t="inlineStr">
        <is>
          <t> </t>
        </is>
      </c>
      <c r="V482" s="391" t="inlineStr">
        <is>
          <t> </t>
        </is>
      </c>
      <c r="W482" s="391" t="inlineStr">
        <is>
          <t> </t>
        </is>
      </c>
      <c r="X482" s="391" t="inlineStr">
        <is>
          <t> </t>
        </is>
      </c>
      <c r="Y482" s="392" t="inlineStr">
        <is>
          <t> </t>
        </is>
      </c>
      <c r="Z482" s="391" t="inlineStr">
        <is>
          <t> </t>
        </is>
      </c>
      <c r="AA482" s="391" t="inlineStr">
        <is>
          <t> </t>
        </is>
      </c>
      <c r="AB482" s="391" t="inlineStr">
        <is>
          <t> </t>
        </is>
      </c>
      <c r="AC482" s="391" t="inlineStr">
        <is>
          <t> </t>
        </is>
      </c>
      <c r="AD482" s="391" t="inlineStr">
        <is>
          <t> </t>
        </is>
      </c>
      <c r="AE482" s="391" t="inlineStr">
        <is>
          <t> </t>
        </is>
      </c>
      <c r="AF482" s="38" t="inlineStr">
        <is>
          <t> </t>
        </is>
      </c>
      <c r="AG482" s="391" t="inlineStr">
        <is>
          <t> </t>
        </is>
      </c>
      <c r="AH482" s="391" t="n"/>
      <c r="AI482" s="391" t="inlineStr">
        <is>
          <t> </t>
        </is>
      </c>
      <c r="AJ482" s="391" t="inlineStr">
        <is>
          <t> </t>
        </is>
      </c>
      <c r="AK482" s="391" t="inlineStr">
        <is>
          <t> </t>
        </is>
      </c>
      <c r="AL482" s="391" t="inlineStr">
        <is>
          <t> </t>
        </is>
      </c>
      <c r="AM482" s="391" t="inlineStr">
        <is>
          <t> </t>
        </is>
      </c>
      <c r="AN482" s="391" t="inlineStr">
        <is>
          <t> </t>
        </is>
      </c>
      <c r="AO482" s="391" t="n"/>
      <c r="AP482" s="319" t="n"/>
      <c r="AQ482" s="319" t="n"/>
      <c r="AR482" s="319" t="n"/>
    </row>
    <row r="483" ht="15.75" customHeight="1" s="1264">
      <c r="A483" s="319" t="inlineStr">
        <is>
          <t> </t>
        </is>
      </c>
      <c r="B483" s="319" t="inlineStr">
        <is>
          <t> </t>
        </is>
      </c>
      <c r="C483" s="319" t="inlineStr">
        <is>
          <t> </t>
        </is>
      </c>
      <c r="D483" s="38" t="inlineStr">
        <is>
          <t> </t>
        </is>
      </c>
      <c r="E483" s="391" t="inlineStr">
        <is>
          <t> </t>
        </is>
      </c>
      <c r="F483" s="391" t="inlineStr">
        <is>
          <t> </t>
        </is>
      </c>
      <c r="G483" s="391" t="inlineStr">
        <is>
          <t> </t>
        </is>
      </c>
      <c r="H483" s="391" t="inlineStr">
        <is>
          <t> </t>
        </is>
      </c>
      <c r="I483" s="391" t="inlineStr">
        <is>
          <t> </t>
        </is>
      </c>
      <c r="J483" s="391" t="inlineStr">
        <is>
          <t> </t>
        </is>
      </c>
      <c r="K483" s="38" t="inlineStr">
        <is>
          <t> </t>
        </is>
      </c>
      <c r="L483" s="391" t="inlineStr">
        <is>
          <t> </t>
        </is>
      </c>
      <c r="M483" s="391" t="inlineStr">
        <is>
          <t> </t>
        </is>
      </c>
      <c r="N483" s="391" t="inlineStr">
        <is>
          <t> </t>
        </is>
      </c>
      <c r="O483" s="391" t="inlineStr">
        <is>
          <t> </t>
        </is>
      </c>
      <c r="P483" s="391" t="inlineStr">
        <is>
          <t> </t>
        </is>
      </c>
      <c r="Q483" s="391" t="inlineStr">
        <is>
          <t> </t>
        </is>
      </c>
      <c r="R483" s="38" t="inlineStr">
        <is>
          <t> </t>
        </is>
      </c>
      <c r="S483" s="391" t="inlineStr">
        <is>
          <t> </t>
        </is>
      </c>
      <c r="T483" s="391" t="inlineStr">
        <is>
          <t> </t>
        </is>
      </c>
      <c r="U483" s="391" t="inlineStr">
        <is>
          <t> </t>
        </is>
      </c>
      <c r="V483" s="391" t="inlineStr">
        <is>
          <t> </t>
        </is>
      </c>
      <c r="W483" s="391" t="inlineStr">
        <is>
          <t> </t>
        </is>
      </c>
      <c r="X483" s="391" t="inlineStr">
        <is>
          <t> </t>
        </is>
      </c>
      <c r="Y483" s="392" t="inlineStr">
        <is>
          <t> </t>
        </is>
      </c>
      <c r="Z483" s="391" t="inlineStr">
        <is>
          <t> </t>
        </is>
      </c>
      <c r="AA483" s="391" t="inlineStr">
        <is>
          <t> </t>
        </is>
      </c>
      <c r="AB483" s="391" t="inlineStr">
        <is>
          <t> </t>
        </is>
      </c>
      <c r="AC483" s="391" t="inlineStr">
        <is>
          <t> </t>
        </is>
      </c>
      <c r="AD483" s="391" t="inlineStr">
        <is>
          <t> </t>
        </is>
      </c>
      <c r="AE483" s="391" t="inlineStr">
        <is>
          <t> </t>
        </is>
      </c>
      <c r="AF483" s="38" t="inlineStr">
        <is>
          <t> </t>
        </is>
      </c>
      <c r="AG483" s="391" t="inlineStr">
        <is>
          <t> </t>
        </is>
      </c>
      <c r="AH483" s="391" t="n"/>
      <c r="AI483" s="391" t="inlineStr">
        <is>
          <t> </t>
        </is>
      </c>
      <c r="AJ483" s="391" t="inlineStr">
        <is>
          <t> </t>
        </is>
      </c>
      <c r="AK483" s="391" t="inlineStr">
        <is>
          <t> </t>
        </is>
      </c>
      <c r="AL483" s="391" t="inlineStr">
        <is>
          <t> </t>
        </is>
      </c>
      <c r="AM483" s="391" t="inlineStr">
        <is>
          <t> </t>
        </is>
      </c>
      <c r="AN483" s="391" t="inlineStr">
        <is>
          <t> </t>
        </is>
      </c>
      <c r="AO483" s="391" t="n"/>
      <c r="AP483" s="319" t="n"/>
      <c r="AQ483" s="319" t="n"/>
      <c r="AR483" s="319" t="n"/>
    </row>
    <row r="484" ht="15.75" customHeight="1" s="1264">
      <c r="A484" s="319" t="inlineStr">
        <is>
          <t> </t>
        </is>
      </c>
      <c r="B484" s="319" t="inlineStr">
        <is>
          <t> </t>
        </is>
      </c>
      <c r="C484" s="319" t="inlineStr">
        <is>
          <t> </t>
        </is>
      </c>
      <c r="D484" s="38" t="inlineStr">
        <is>
          <t> </t>
        </is>
      </c>
      <c r="E484" s="391" t="inlineStr">
        <is>
          <t> </t>
        </is>
      </c>
      <c r="F484" s="391" t="inlineStr">
        <is>
          <t> </t>
        </is>
      </c>
      <c r="G484" s="391" t="inlineStr">
        <is>
          <t> </t>
        </is>
      </c>
      <c r="H484" s="391" t="inlineStr">
        <is>
          <t> </t>
        </is>
      </c>
      <c r="I484" s="391" t="inlineStr">
        <is>
          <t> </t>
        </is>
      </c>
      <c r="J484" s="391" t="inlineStr">
        <is>
          <t> </t>
        </is>
      </c>
      <c r="K484" s="38" t="inlineStr">
        <is>
          <t> </t>
        </is>
      </c>
      <c r="L484" s="391" t="inlineStr">
        <is>
          <t> </t>
        </is>
      </c>
      <c r="M484" s="391" t="inlineStr">
        <is>
          <t> </t>
        </is>
      </c>
      <c r="N484" s="391" t="inlineStr">
        <is>
          <t> </t>
        </is>
      </c>
      <c r="O484" s="391" t="inlineStr">
        <is>
          <t> </t>
        </is>
      </c>
      <c r="P484" s="391" t="inlineStr">
        <is>
          <t> </t>
        </is>
      </c>
      <c r="Q484" s="391" t="inlineStr">
        <is>
          <t> </t>
        </is>
      </c>
      <c r="R484" s="38" t="inlineStr">
        <is>
          <t> </t>
        </is>
      </c>
      <c r="S484" s="391" t="inlineStr">
        <is>
          <t> </t>
        </is>
      </c>
      <c r="T484" s="391" t="inlineStr">
        <is>
          <t> </t>
        </is>
      </c>
      <c r="U484" s="391" t="inlineStr">
        <is>
          <t> </t>
        </is>
      </c>
      <c r="V484" s="391" t="inlineStr">
        <is>
          <t> </t>
        </is>
      </c>
      <c r="W484" s="391" t="inlineStr">
        <is>
          <t> </t>
        </is>
      </c>
      <c r="X484" s="391" t="inlineStr">
        <is>
          <t> </t>
        </is>
      </c>
      <c r="Y484" s="392" t="inlineStr">
        <is>
          <t> </t>
        </is>
      </c>
      <c r="Z484" s="391" t="inlineStr">
        <is>
          <t> </t>
        </is>
      </c>
      <c r="AA484" s="391" t="inlineStr">
        <is>
          <t> </t>
        </is>
      </c>
      <c r="AB484" s="391" t="inlineStr">
        <is>
          <t> </t>
        </is>
      </c>
      <c r="AC484" s="391" t="inlineStr">
        <is>
          <t> </t>
        </is>
      </c>
      <c r="AD484" s="391" t="inlineStr">
        <is>
          <t> </t>
        </is>
      </c>
      <c r="AE484" s="391" t="inlineStr">
        <is>
          <t> </t>
        </is>
      </c>
      <c r="AF484" s="38" t="inlineStr">
        <is>
          <t> </t>
        </is>
      </c>
      <c r="AG484" s="391" t="inlineStr">
        <is>
          <t> </t>
        </is>
      </c>
      <c r="AH484" s="391" t="n"/>
      <c r="AI484" s="391" t="inlineStr">
        <is>
          <t> </t>
        </is>
      </c>
      <c r="AJ484" s="391" t="inlineStr">
        <is>
          <t> </t>
        </is>
      </c>
      <c r="AK484" s="391" t="inlineStr">
        <is>
          <t> </t>
        </is>
      </c>
      <c r="AL484" s="391" t="inlineStr">
        <is>
          <t> </t>
        </is>
      </c>
      <c r="AM484" s="391" t="inlineStr">
        <is>
          <t> </t>
        </is>
      </c>
      <c r="AN484" s="391" t="inlineStr">
        <is>
          <t> </t>
        </is>
      </c>
      <c r="AO484" s="391" t="n"/>
      <c r="AP484" s="319" t="n"/>
      <c r="AQ484" s="319" t="n"/>
      <c r="AR484" s="319" t="n"/>
    </row>
    <row r="485" ht="15.75" customHeight="1" s="1264">
      <c r="A485" s="319" t="inlineStr">
        <is>
          <t> </t>
        </is>
      </c>
      <c r="B485" s="319" t="inlineStr">
        <is>
          <t> </t>
        </is>
      </c>
      <c r="C485" s="319" t="inlineStr">
        <is>
          <t> </t>
        </is>
      </c>
      <c r="D485" s="38" t="inlineStr">
        <is>
          <t> </t>
        </is>
      </c>
      <c r="E485" s="391" t="inlineStr">
        <is>
          <t> </t>
        </is>
      </c>
      <c r="F485" s="391" t="inlineStr">
        <is>
          <t> </t>
        </is>
      </c>
      <c r="G485" s="391" t="inlineStr">
        <is>
          <t> </t>
        </is>
      </c>
      <c r="H485" s="391" t="inlineStr">
        <is>
          <t> </t>
        </is>
      </c>
      <c r="I485" s="391" t="inlineStr">
        <is>
          <t> </t>
        </is>
      </c>
      <c r="J485" s="391" t="inlineStr">
        <is>
          <t> </t>
        </is>
      </c>
      <c r="K485" s="38" t="inlineStr">
        <is>
          <t> </t>
        </is>
      </c>
      <c r="L485" s="391" t="inlineStr">
        <is>
          <t> </t>
        </is>
      </c>
      <c r="M485" s="391" t="inlineStr">
        <is>
          <t> </t>
        </is>
      </c>
      <c r="N485" s="391" t="inlineStr">
        <is>
          <t> </t>
        </is>
      </c>
      <c r="O485" s="391" t="inlineStr">
        <is>
          <t> </t>
        </is>
      </c>
      <c r="P485" s="391" t="inlineStr">
        <is>
          <t> </t>
        </is>
      </c>
      <c r="Q485" s="391" t="inlineStr">
        <is>
          <t> </t>
        </is>
      </c>
      <c r="R485" s="38" t="inlineStr">
        <is>
          <t> </t>
        </is>
      </c>
      <c r="S485" s="391" t="inlineStr">
        <is>
          <t> </t>
        </is>
      </c>
      <c r="T485" s="391" t="inlineStr">
        <is>
          <t> </t>
        </is>
      </c>
      <c r="U485" s="391" t="inlineStr">
        <is>
          <t> </t>
        </is>
      </c>
      <c r="V485" s="391" t="inlineStr">
        <is>
          <t> </t>
        </is>
      </c>
      <c r="W485" s="391" t="inlineStr">
        <is>
          <t> </t>
        </is>
      </c>
      <c r="X485" s="391" t="inlineStr">
        <is>
          <t> </t>
        </is>
      </c>
      <c r="Y485" s="392" t="inlineStr">
        <is>
          <t> </t>
        </is>
      </c>
      <c r="Z485" s="391" t="inlineStr">
        <is>
          <t> </t>
        </is>
      </c>
      <c r="AA485" s="391" t="inlineStr">
        <is>
          <t> </t>
        </is>
      </c>
      <c r="AB485" s="391" t="inlineStr">
        <is>
          <t> </t>
        </is>
      </c>
      <c r="AC485" s="391" t="inlineStr">
        <is>
          <t> </t>
        </is>
      </c>
      <c r="AD485" s="391" t="inlineStr">
        <is>
          <t> </t>
        </is>
      </c>
      <c r="AE485" s="391" t="inlineStr">
        <is>
          <t> </t>
        </is>
      </c>
      <c r="AF485" s="38" t="inlineStr">
        <is>
          <t> </t>
        </is>
      </c>
      <c r="AG485" s="391" t="inlineStr">
        <is>
          <t> </t>
        </is>
      </c>
      <c r="AH485" s="391" t="n"/>
      <c r="AI485" s="391" t="inlineStr">
        <is>
          <t> </t>
        </is>
      </c>
      <c r="AJ485" s="391" t="inlineStr">
        <is>
          <t> </t>
        </is>
      </c>
      <c r="AK485" s="391" t="inlineStr">
        <is>
          <t> </t>
        </is>
      </c>
      <c r="AL485" s="391" t="inlineStr">
        <is>
          <t> </t>
        </is>
      </c>
      <c r="AM485" s="391" t="inlineStr">
        <is>
          <t> </t>
        </is>
      </c>
      <c r="AN485" s="391" t="inlineStr">
        <is>
          <t> </t>
        </is>
      </c>
      <c r="AO485" s="391" t="n"/>
      <c r="AP485" s="319" t="n"/>
      <c r="AQ485" s="319" t="n"/>
      <c r="AR485" s="319" t="n"/>
    </row>
    <row r="486" ht="15.75" customHeight="1" s="1264">
      <c r="A486" s="319" t="inlineStr">
        <is>
          <t> </t>
        </is>
      </c>
      <c r="B486" s="319" t="inlineStr">
        <is>
          <t> </t>
        </is>
      </c>
      <c r="C486" s="319" t="inlineStr">
        <is>
          <t> </t>
        </is>
      </c>
      <c r="D486" s="38" t="inlineStr">
        <is>
          <t> </t>
        </is>
      </c>
      <c r="E486" s="391" t="inlineStr">
        <is>
          <t> </t>
        </is>
      </c>
      <c r="F486" s="391" t="inlineStr">
        <is>
          <t> </t>
        </is>
      </c>
      <c r="G486" s="391" t="inlineStr">
        <is>
          <t> </t>
        </is>
      </c>
      <c r="H486" s="391" t="inlineStr">
        <is>
          <t> </t>
        </is>
      </c>
      <c r="I486" s="391" t="inlineStr">
        <is>
          <t> </t>
        </is>
      </c>
      <c r="J486" s="391" t="inlineStr">
        <is>
          <t> </t>
        </is>
      </c>
      <c r="K486" s="38" t="inlineStr">
        <is>
          <t> </t>
        </is>
      </c>
      <c r="L486" s="391" t="inlineStr">
        <is>
          <t> </t>
        </is>
      </c>
      <c r="M486" s="391" t="inlineStr">
        <is>
          <t> </t>
        </is>
      </c>
      <c r="N486" s="391" t="inlineStr">
        <is>
          <t> </t>
        </is>
      </c>
      <c r="O486" s="391" t="inlineStr">
        <is>
          <t> </t>
        </is>
      </c>
      <c r="P486" s="391" t="inlineStr">
        <is>
          <t> </t>
        </is>
      </c>
      <c r="Q486" s="391" t="inlineStr">
        <is>
          <t> </t>
        </is>
      </c>
      <c r="R486" s="38" t="inlineStr">
        <is>
          <t> </t>
        </is>
      </c>
      <c r="S486" s="391" t="inlineStr">
        <is>
          <t> </t>
        </is>
      </c>
      <c r="T486" s="391" t="inlineStr">
        <is>
          <t> </t>
        </is>
      </c>
      <c r="U486" s="391" t="inlineStr">
        <is>
          <t> </t>
        </is>
      </c>
      <c r="V486" s="391" t="inlineStr">
        <is>
          <t> </t>
        </is>
      </c>
      <c r="W486" s="391" t="inlineStr">
        <is>
          <t> </t>
        </is>
      </c>
      <c r="X486" s="391" t="inlineStr">
        <is>
          <t> </t>
        </is>
      </c>
      <c r="Y486" s="392" t="inlineStr">
        <is>
          <t> </t>
        </is>
      </c>
      <c r="Z486" s="391" t="inlineStr">
        <is>
          <t> </t>
        </is>
      </c>
      <c r="AA486" s="391" t="inlineStr">
        <is>
          <t> </t>
        </is>
      </c>
      <c r="AB486" s="391" t="inlineStr">
        <is>
          <t> </t>
        </is>
      </c>
      <c r="AC486" s="391" t="inlineStr">
        <is>
          <t> </t>
        </is>
      </c>
      <c r="AD486" s="391" t="inlineStr">
        <is>
          <t> </t>
        </is>
      </c>
      <c r="AE486" s="391" t="inlineStr">
        <is>
          <t> </t>
        </is>
      </c>
      <c r="AF486" s="38" t="inlineStr">
        <is>
          <t> </t>
        </is>
      </c>
      <c r="AG486" s="391" t="inlineStr">
        <is>
          <t> </t>
        </is>
      </c>
      <c r="AH486" s="391" t="n"/>
      <c r="AI486" s="391" t="inlineStr">
        <is>
          <t> </t>
        </is>
      </c>
      <c r="AJ486" s="391" t="inlineStr">
        <is>
          <t> </t>
        </is>
      </c>
      <c r="AK486" s="391" t="inlineStr">
        <is>
          <t> </t>
        </is>
      </c>
      <c r="AL486" s="391" t="inlineStr">
        <is>
          <t> </t>
        </is>
      </c>
      <c r="AM486" s="391" t="inlineStr">
        <is>
          <t> </t>
        </is>
      </c>
      <c r="AN486" s="391" t="inlineStr">
        <is>
          <t> </t>
        </is>
      </c>
      <c r="AO486" s="391" t="n"/>
      <c r="AP486" s="319" t="n"/>
      <c r="AQ486" s="319" t="n"/>
      <c r="AR486" s="319" t="n"/>
    </row>
    <row r="487" ht="15.75" customHeight="1" s="1264">
      <c r="A487" s="319" t="inlineStr">
        <is>
          <t> </t>
        </is>
      </c>
      <c r="B487" s="319" t="inlineStr">
        <is>
          <t> </t>
        </is>
      </c>
      <c r="C487" s="319" t="inlineStr">
        <is>
          <t> </t>
        </is>
      </c>
      <c r="D487" s="38" t="inlineStr">
        <is>
          <t> </t>
        </is>
      </c>
      <c r="E487" s="391" t="inlineStr">
        <is>
          <t> </t>
        </is>
      </c>
      <c r="F487" s="391" t="inlineStr">
        <is>
          <t> </t>
        </is>
      </c>
      <c r="G487" s="391" t="inlineStr">
        <is>
          <t> </t>
        </is>
      </c>
      <c r="H487" s="391" t="inlineStr">
        <is>
          <t> </t>
        </is>
      </c>
      <c r="I487" s="391" t="inlineStr">
        <is>
          <t> </t>
        </is>
      </c>
      <c r="J487" s="391" t="inlineStr">
        <is>
          <t> </t>
        </is>
      </c>
      <c r="K487" s="38" t="inlineStr">
        <is>
          <t> </t>
        </is>
      </c>
      <c r="L487" s="391" t="inlineStr">
        <is>
          <t> </t>
        </is>
      </c>
      <c r="M487" s="391" t="inlineStr">
        <is>
          <t> </t>
        </is>
      </c>
      <c r="N487" s="391" t="inlineStr">
        <is>
          <t> </t>
        </is>
      </c>
      <c r="O487" s="391" t="inlineStr">
        <is>
          <t> </t>
        </is>
      </c>
      <c r="P487" s="391" t="inlineStr">
        <is>
          <t> </t>
        </is>
      </c>
      <c r="Q487" s="391" t="inlineStr">
        <is>
          <t> </t>
        </is>
      </c>
      <c r="R487" s="38" t="inlineStr">
        <is>
          <t> </t>
        </is>
      </c>
      <c r="S487" s="391" t="inlineStr">
        <is>
          <t> </t>
        </is>
      </c>
      <c r="T487" s="391" t="inlineStr">
        <is>
          <t> </t>
        </is>
      </c>
      <c r="U487" s="391" t="inlineStr">
        <is>
          <t> </t>
        </is>
      </c>
      <c r="V487" s="391" t="inlineStr">
        <is>
          <t> </t>
        </is>
      </c>
      <c r="W487" s="391" t="inlineStr">
        <is>
          <t> </t>
        </is>
      </c>
      <c r="X487" s="391" t="inlineStr">
        <is>
          <t> </t>
        </is>
      </c>
      <c r="Y487" s="392" t="inlineStr">
        <is>
          <t> </t>
        </is>
      </c>
      <c r="Z487" s="391" t="inlineStr">
        <is>
          <t> </t>
        </is>
      </c>
      <c r="AA487" s="391" t="inlineStr">
        <is>
          <t> </t>
        </is>
      </c>
      <c r="AB487" s="391" t="inlineStr">
        <is>
          <t> </t>
        </is>
      </c>
      <c r="AC487" s="391" t="inlineStr">
        <is>
          <t> </t>
        </is>
      </c>
      <c r="AD487" s="391" t="inlineStr">
        <is>
          <t> </t>
        </is>
      </c>
      <c r="AE487" s="391" t="inlineStr">
        <is>
          <t> </t>
        </is>
      </c>
      <c r="AF487" s="38" t="inlineStr">
        <is>
          <t> </t>
        </is>
      </c>
      <c r="AG487" s="391" t="inlineStr">
        <is>
          <t> </t>
        </is>
      </c>
      <c r="AH487" s="391" t="n"/>
      <c r="AI487" s="391" t="inlineStr">
        <is>
          <t> </t>
        </is>
      </c>
      <c r="AJ487" s="391" t="inlineStr">
        <is>
          <t> </t>
        </is>
      </c>
      <c r="AK487" s="391" t="inlineStr">
        <is>
          <t> </t>
        </is>
      </c>
      <c r="AL487" s="391" t="inlineStr">
        <is>
          <t> </t>
        </is>
      </c>
      <c r="AM487" s="391" t="inlineStr">
        <is>
          <t> </t>
        </is>
      </c>
      <c r="AN487" s="391" t="inlineStr">
        <is>
          <t> </t>
        </is>
      </c>
      <c r="AO487" s="391" t="n"/>
      <c r="AP487" s="319" t="n"/>
      <c r="AQ487" s="319" t="n"/>
      <c r="AR487" s="319" t="n"/>
    </row>
    <row r="488" ht="15.75" customHeight="1" s="1264">
      <c r="A488" s="319" t="inlineStr">
        <is>
          <t> </t>
        </is>
      </c>
      <c r="B488" s="319" t="inlineStr">
        <is>
          <t> </t>
        </is>
      </c>
      <c r="C488" s="319" t="inlineStr">
        <is>
          <t> </t>
        </is>
      </c>
      <c r="D488" s="38" t="inlineStr">
        <is>
          <t> </t>
        </is>
      </c>
      <c r="E488" s="391" t="inlineStr">
        <is>
          <t> </t>
        </is>
      </c>
      <c r="F488" s="391" t="inlineStr">
        <is>
          <t> </t>
        </is>
      </c>
      <c r="G488" s="391" t="inlineStr">
        <is>
          <t> </t>
        </is>
      </c>
      <c r="H488" s="391" t="inlineStr">
        <is>
          <t> </t>
        </is>
      </c>
      <c r="I488" s="391" t="inlineStr">
        <is>
          <t> </t>
        </is>
      </c>
      <c r="J488" s="391" t="inlineStr">
        <is>
          <t> </t>
        </is>
      </c>
      <c r="K488" s="38" t="inlineStr">
        <is>
          <t> </t>
        </is>
      </c>
      <c r="L488" s="391" t="inlineStr">
        <is>
          <t> </t>
        </is>
      </c>
      <c r="M488" s="391" t="inlineStr">
        <is>
          <t> </t>
        </is>
      </c>
      <c r="N488" s="391" t="inlineStr">
        <is>
          <t> </t>
        </is>
      </c>
      <c r="O488" s="391" t="inlineStr">
        <is>
          <t> </t>
        </is>
      </c>
      <c r="P488" s="391" t="inlineStr">
        <is>
          <t> </t>
        </is>
      </c>
      <c r="Q488" s="391" t="inlineStr">
        <is>
          <t> </t>
        </is>
      </c>
      <c r="R488" s="38" t="inlineStr">
        <is>
          <t> </t>
        </is>
      </c>
      <c r="S488" s="391" t="inlineStr">
        <is>
          <t> </t>
        </is>
      </c>
      <c r="T488" s="391" t="inlineStr">
        <is>
          <t> </t>
        </is>
      </c>
      <c r="U488" s="391" t="inlineStr">
        <is>
          <t> </t>
        </is>
      </c>
      <c r="V488" s="391" t="inlineStr">
        <is>
          <t> </t>
        </is>
      </c>
      <c r="W488" s="391" t="inlineStr">
        <is>
          <t> </t>
        </is>
      </c>
      <c r="X488" s="391" t="inlineStr">
        <is>
          <t> </t>
        </is>
      </c>
      <c r="Y488" s="392" t="inlineStr">
        <is>
          <t> </t>
        </is>
      </c>
      <c r="Z488" s="391" t="inlineStr">
        <is>
          <t> </t>
        </is>
      </c>
      <c r="AA488" s="391" t="inlineStr">
        <is>
          <t> </t>
        </is>
      </c>
      <c r="AB488" s="391" t="inlineStr">
        <is>
          <t> </t>
        </is>
      </c>
      <c r="AC488" s="391" t="inlineStr">
        <is>
          <t> </t>
        </is>
      </c>
      <c r="AD488" s="391" t="inlineStr">
        <is>
          <t> </t>
        </is>
      </c>
      <c r="AE488" s="391" t="inlineStr">
        <is>
          <t> </t>
        </is>
      </c>
      <c r="AF488" s="38" t="inlineStr">
        <is>
          <t> </t>
        </is>
      </c>
      <c r="AG488" s="391" t="inlineStr">
        <is>
          <t> </t>
        </is>
      </c>
      <c r="AH488" s="391" t="n"/>
      <c r="AI488" s="391" t="inlineStr">
        <is>
          <t> </t>
        </is>
      </c>
      <c r="AJ488" s="391" t="inlineStr">
        <is>
          <t> </t>
        </is>
      </c>
      <c r="AK488" s="391" t="inlineStr">
        <is>
          <t> </t>
        </is>
      </c>
      <c r="AL488" s="391" t="inlineStr">
        <is>
          <t> </t>
        </is>
      </c>
      <c r="AM488" s="391" t="inlineStr">
        <is>
          <t> </t>
        </is>
      </c>
      <c r="AN488" s="391" t="inlineStr">
        <is>
          <t> </t>
        </is>
      </c>
      <c r="AO488" s="391" t="n"/>
      <c r="AP488" s="319" t="n"/>
      <c r="AQ488" s="319" t="n"/>
      <c r="AR488" s="319" t="n"/>
    </row>
    <row r="489" ht="15.75" customHeight="1" s="1264">
      <c r="A489" s="319" t="inlineStr">
        <is>
          <t> </t>
        </is>
      </c>
      <c r="B489" s="319" t="inlineStr">
        <is>
          <t> </t>
        </is>
      </c>
      <c r="C489" s="319" t="inlineStr">
        <is>
          <t> </t>
        </is>
      </c>
      <c r="D489" s="38" t="inlineStr">
        <is>
          <t> </t>
        </is>
      </c>
      <c r="E489" s="391" t="inlineStr">
        <is>
          <t> </t>
        </is>
      </c>
      <c r="F489" s="391" t="inlineStr">
        <is>
          <t> </t>
        </is>
      </c>
      <c r="G489" s="391" t="inlineStr">
        <is>
          <t> </t>
        </is>
      </c>
      <c r="H489" s="391" t="inlineStr">
        <is>
          <t> </t>
        </is>
      </c>
      <c r="I489" s="391" t="inlineStr">
        <is>
          <t> </t>
        </is>
      </c>
      <c r="J489" s="391" t="inlineStr">
        <is>
          <t> </t>
        </is>
      </c>
      <c r="K489" s="38" t="inlineStr">
        <is>
          <t> </t>
        </is>
      </c>
      <c r="L489" s="391" t="inlineStr">
        <is>
          <t> </t>
        </is>
      </c>
      <c r="M489" s="391" t="inlineStr">
        <is>
          <t> </t>
        </is>
      </c>
      <c r="N489" s="391" t="inlineStr">
        <is>
          <t> </t>
        </is>
      </c>
      <c r="O489" s="391" t="inlineStr">
        <is>
          <t> </t>
        </is>
      </c>
      <c r="P489" s="391" t="inlineStr">
        <is>
          <t> </t>
        </is>
      </c>
      <c r="Q489" s="391" t="inlineStr">
        <is>
          <t> </t>
        </is>
      </c>
      <c r="R489" s="38" t="inlineStr">
        <is>
          <t> </t>
        </is>
      </c>
      <c r="S489" s="391" t="inlineStr">
        <is>
          <t> </t>
        </is>
      </c>
      <c r="T489" s="391" t="inlineStr">
        <is>
          <t> </t>
        </is>
      </c>
      <c r="U489" s="391" t="inlineStr">
        <is>
          <t> </t>
        </is>
      </c>
      <c r="V489" s="391" t="inlineStr">
        <is>
          <t> </t>
        </is>
      </c>
      <c r="W489" s="391" t="inlineStr">
        <is>
          <t> </t>
        </is>
      </c>
      <c r="X489" s="391" t="inlineStr">
        <is>
          <t> </t>
        </is>
      </c>
      <c r="Y489" s="392" t="inlineStr">
        <is>
          <t> </t>
        </is>
      </c>
      <c r="Z489" s="391" t="inlineStr">
        <is>
          <t> </t>
        </is>
      </c>
      <c r="AA489" s="391" t="inlineStr">
        <is>
          <t> </t>
        </is>
      </c>
      <c r="AB489" s="391" t="inlineStr">
        <is>
          <t> </t>
        </is>
      </c>
      <c r="AC489" s="391" t="inlineStr">
        <is>
          <t> </t>
        </is>
      </c>
      <c r="AD489" s="391" t="inlineStr">
        <is>
          <t> </t>
        </is>
      </c>
      <c r="AE489" s="391" t="inlineStr">
        <is>
          <t> </t>
        </is>
      </c>
      <c r="AF489" s="38" t="inlineStr">
        <is>
          <t> </t>
        </is>
      </c>
      <c r="AG489" s="391" t="inlineStr">
        <is>
          <t> </t>
        </is>
      </c>
      <c r="AH489" s="391" t="n"/>
      <c r="AI489" s="391" t="inlineStr">
        <is>
          <t> </t>
        </is>
      </c>
      <c r="AJ489" s="391" t="inlineStr">
        <is>
          <t> </t>
        </is>
      </c>
      <c r="AK489" s="391" t="inlineStr">
        <is>
          <t> </t>
        </is>
      </c>
      <c r="AL489" s="391" t="inlineStr">
        <is>
          <t> </t>
        </is>
      </c>
      <c r="AM489" s="391" t="inlineStr">
        <is>
          <t> </t>
        </is>
      </c>
      <c r="AN489" s="391" t="inlineStr">
        <is>
          <t> </t>
        </is>
      </c>
      <c r="AO489" s="391" t="n"/>
      <c r="AP489" s="319" t="n"/>
      <c r="AQ489" s="319" t="n"/>
      <c r="AR489" s="319" t="n"/>
    </row>
    <row r="490" ht="15.75" customHeight="1" s="1264">
      <c r="A490" s="319" t="inlineStr">
        <is>
          <t> </t>
        </is>
      </c>
      <c r="B490" s="319" t="inlineStr">
        <is>
          <t> </t>
        </is>
      </c>
      <c r="C490" s="319" t="inlineStr">
        <is>
          <t> </t>
        </is>
      </c>
      <c r="D490" s="38" t="inlineStr">
        <is>
          <t> </t>
        </is>
      </c>
      <c r="E490" s="391" t="inlineStr">
        <is>
          <t> </t>
        </is>
      </c>
      <c r="F490" s="391" t="inlineStr">
        <is>
          <t> </t>
        </is>
      </c>
      <c r="G490" s="391" t="inlineStr">
        <is>
          <t> </t>
        </is>
      </c>
      <c r="H490" s="391" t="inlineStr">
        <is>
          <t> </t>
        </is>
      </c>
      <c r="I490" s="391" t="inlineStr">
        <is>
          <t> </t>
        </is>
      </c>
      <c r="J490" s="391" t="inlineStr">
        <is>
          <t> </t>
        </is>
      </c>
      <c r="K490" s="38" t="inlineStr">
        <is>
          <t> </t>
        </is>
      </c>
      <c r="L490" s="391" t="inlineStr">
        <is>
          <t> </t>
        </is>
      </c>
      <c r="M490" s="391" t="inlineStr">
        <is>
          <t> </t>
        </is>
      </c>
      <c r="N490" s="391" t="inlineStr">
        <is>
          <t> </t>
        </is>
      </c>
      <c r="O490" s="391" t="inlineStr">
        <is>
          <t> </t>
        </is>
      </c>
      <c r="P490" s="391" t="inlineStr">
        <is>
          <t> </t>
        </is>
      </c>
      <c r="Q490" s="391" t="inlineStr">
        <is>
          <t> </t>
        </is>
      </c>
      <c r="R490" s="38" t="inlineStr">
        <is>
          <t> </t>
        </is>
      </c>
      <c r="S490" s="391" t="inlineStr">
        <is>
          <t> </t>
        </is>
      </c>
      <c r="T490" s="391" t="inlineStr">
        <is>
          <t> </t>
        </is>
      </c>
      <c r="U490" s="391" t="inlineStr">
        <is>
          <t> </t>
        </is>
      </c>
      <c r="V490" s="391" t="inlineStr">
        <is>
          <t> </t>
        </is>
      </c>
      <c r="W490" s="391" t="inlineStr">
        <is>
          <t> </t>
        </is>
      </c>
      <c r="X490" s="391" t="inlineStr">
        <is>
          <t> </t>
        </is>
      </c>
      <c r="Y490" s="392" t="inlineStr">
        <is>
          <t> </t>
        </is>
      </c>
      <c r="Z490" s="391" t="inlineStr">
        <is>
          <t> </t>
        </is>
      </c>
      <c r="AA490" s="391" t="inlineStr">
        <is>
          <t> </t>
        </is>
      </c>
      <c r="AB490" s="391" t="inlineStr">
        <is>
          <t> </t>
        </is>
      </c>
      <c r="AC490" s="391" t="inlineStr">
        <is>
          <t> </t>
        </is>
      </c>
      <c r="AD490" s="391" t="inlineStr">
        <is>
          <t> </t>
        </is>
      </c>
      <c r="AE490" s="391" t="inlineStr">
        <is>
          <t> </t>
        </is>
      </c>
      <c r="AF490" s="38" t="inlineStr">
        <is>
          <t> </t>
        </is>
      </c>
      <c r="AG490" s="391" t="inlineStr">
        <is>
          <t> </t>
        </is>
      </c>
      <c r="AH490" s="391" t="n"/>
      <c r="AI490" s="391" t="inlineStr">
        <is>
          <t> </t>
        </is>
      </c>
      <c r="AJ490" s="391" t="inlineStr">
        <is>
          <t> </t>
        </is>
      </c>
      <c r="AK490" s="391" t="inlineStr">
        <is>
          <t> </t>
        </is>
      </c>
      <c r="AL490" s="391" t="inlineStr">
        <is>
          <t> </t>
        </is>
      </c>
      <c r="AM490" s="391" t="inlineStr">
        <is>
          <t> </t>
        </is>
      </c>
      <c r="AN490" s="391" t="inlineStr">
        <is>
          <t> </t>
        </is>
      </c>
      <c r="AO490" s="391" t="n"/>
      <c r="AP490" s="319" t="n"/>
      <c r="AQ490" s="319" t="n"/>
      <c r="AR490" s="319" t="n"/>
    </row>
    <row r="491" ht="15.75" customHeight="1" s="1264">
      <c r="A491" s="319" t="inlineStr">
        <is>
          <t> </t>
        </is>
      </c>
      <c r="B491" s="319" t="inlineStr">
        <is>
          <t> </t>
        </is>
      </c>
      <c r="C491" s="319" t="inlineStr">
        <is>
          <t> </t>
        </is>
      </c>
      <c r="D491" s="38" t="inlineStr">
        <is>
          <t> </t>
        </is>
      </c>
      <c r="E491" s="391" t="inlineStr">
        <is>
          <t> </t>
        </is>
      </c>
      <c r="F491" s="391" t="inlineStr">
        <is>
          <t> </t>
        </is>
      </c>
      <c r="G491" s="391" t="inlineStr">
        <is>
          <t> </t>
        </is>
      </c>
      <c r="H491" s="391" t="inlineStr">
        <is>
          <t> </t>
        </is>
      </c>
      <c r="I491" s="391" t="inlineStr">
        <is>
          <t> </t>
        </is>
      </c>
      <c r="J491" s="391" t="inlineStr">
        <is>
          <t> </t>
        </is>
      </c>
      <c r="K491" s="38" t="inlineStr">
        <is>
          <t> </t>
        </is>
      </c>
      <c r="L491" s="391" t="inlineStr">
        <is>
          <t> </t>
        </is>
      </c>
      <c r="M491" s="391" t="inlineStr">
        <is>
          <t> </t>
        </is>
      </c>
      <c r="N491" s="391" t="inlineStr">
        <is>
          <t> </t>
        </is>
      </c>
      <c r="O491" s="391" t="inlineStr">
        <is>
          <t> </t>
        </is>
      </c>
      <c r="P491" s="391" t="inlineStr">
        <is>
          <t> </t>
        </is>
      </c>
      <c r="Q491" s="391" t="inlineStr">
        <is>
          <t> </t>
        </is>
      </c>
      <c r="R491" s="38" t="inlineStr">
        <is>
          <t> </t>
        </is>
      </c>
      <c r="S491" s="391" t="inlineStr">
        <is>
          <t> </t>
        </is>
      </c>
      <c r="T491" s="391" t="inlineStr">
        <is>
          <t> </t>
        </is>
      </c>
      <c r="U491" s="391" t="inlineStr">
        <is>
          <t> </t>
        </is>
      </c>
      <c r="V491" s="391" t="inlineStr">
        <is>
          <t> </t>
        </is>
      </c>
      <c r="W491" s="391" t="inlineStr">
        <is>
          <t> </t>
        </is>
      </c>
      <c r="X491" s="391" t="inlineStr">
        <is>
          <t> </t>
        </is>
      </c>
      <c r="Y491" s="392" t="inlineStr">
        <is>
          <t> </t>
        </is>
      </c>
      <c r="Z491" s="391" t="inlineStr">
        <is>
          <t> </t>
        </is>
      </c>
      <c r="AA491" s="391" t="inlineStr">
        <is>
          <t> </t>
        </is>
      </c>
      <c r="AB491" s="391" t="inlineStr">
        <is>
          <t> </t>
        </is>
      </c>
      <c r="AC491" s="391" t="inlineStr">
        <is>
          <t> </t>
        </is>
      </c>
      <c r="AD491" s="391" t="inlineStr">
        <is>
          <t> </t>
        </is>
      </c>
      <c r="AE491" s="391" t="inlineStr">
        <is>
          <t> </t>
        </is>
      </c>
      <c r="AF491" s="38" t="inlineStr">
        <is>
          <t> </t>
        </is>
      </c>
      <c r="AG491" s="391" t="inlineStr">
        <is>
          <t> </t>
        </is>
      </c>
      <c r="AH491" s="391" t="n"/>
      <c r="AI491" s="391" t="inlineStr">
        <is>
          <t> </t>
        </is>
      </c>
      <c r="AJ491" s="391" t="inlineStr">
        <is>
          <t> </t>
        </is>
      </c>
      <c r="AK491" s="391" t="inlineStr">
        <is>
          <t> </t>
        </is>
      </c>
      <c r="AL491" s="391" t="inlineStr">
        <is>
          <t> </t>
        </is>
      </c>
      <c r="AM491" s="391" t="inlineStr">
        <is>
          <t> </t>
        </is>
      </c>
      <c r="AN491" s="391" t="inlineStr">
        <is>
          <t> </t>
        </is>
      </c>
      <c r="AO491" s="391" t="n"/>
      <c r="AP491" s="319" t="n"/>
      <c r="AQ491" s="319" t="n"/>
      <c r="AR491" s="319" t="n"/>
    </row>
    <row r="492" ht="15.75" customHeight="1" s="1264">
      <c r="A492" s="319" t="inlineStr">
        <is>
          <t> </t>
        </is>
      </c>
      <c r="B492" s="319" t="inlineStr">
        <is>
          <t> </t>
        </is>
      </c>
      <c r="C492" s="319" t="inlineStr">
        <is>
          <t> </t>
        </is>
      </c>
      <c r="D492" s="38" t="inlineStr">
        <is>
          <t> </t>
        </is>
      </c>
      <c r="E492" s="391" t="inlineStr">
        <is>
          <t> </t>
        </is>
      </c>
      <c r="F492" s="391" t="inlineStr">
        <is>
          <t> </t>
        </is>
      </c>
      <c r="G492" s="391" t="inlineStr">
        <is>
          <t> </t>
        </is>
      </c>
      <c r="H492" s="391" t="inlineStr">
        <is>
          <t> </t>
        </is>
      </c>
      <c r="I492" s="391" t="inlineStr">
        <is>
          <t> </t>
        </is>
      </c>
      <c r="J492" s="391" t="inlineStr">
        <is>
          <t> </t>
        </is>
      </c>
      <c r="K492" s="38" t="inlineStr">
        <is>
          <t> </t>
        </is>
      </c>
      <c r="L492" s="391" t="inlineStr">
        <is>
          <t> </t>
        </is>
      </c>
      <c r="M492" s="391" t="inlineStr">
        <is>
          <t> </t>
        </is>
      </c>
      <c r="N492" s="391" t="inlineStr">
        <is>
          <t> </t>
        </is>
      </c>
      <c r="O492" s="391" t="inlineStr">
        <is>
          <t> </t>
        </is>
      </c>
      <c r="P492" s="391" t="inlineStr">
        <is>
          <t> </t>
        </is>
      </c>
      <c r="Q492" s="391" t="inlineStr">
        <is>
          <t> </t>
        </is>
      </c>
      <c r="R492" s="38" t="inlineStr">
        <is>
          <t> </t>
        </is>
      </c>
      <c r="S492" s="391" t="inlineStr">
        <is>
          <t> </t>
        </is>
      </c>
      <c r="T492" s="391" t="inlineStr">
        <is>
          <t> </t>
        </is>
      </c>
      <c r="U492" s="391" t="inlineStr">
        <is>
          <t> </t>
        </is>
      </c>
      <c r="V492" s="391" t="inlineStr">
        <is>
          <t> </t>
        </is>
      </c>
      <c r="W492" s="391" t="inlineStr">
        <is>
          <t> </t>
        </is>
      </c>
      <c r="X492" s="391" t="inlineStr">
        <is>
          <t> </t>
        </is>
      </c>
      <c r="Y492" s="392" t="inlineStr">
        <is>
          <t> </t>
        </is>
      </c>
      <c r="Z492" s="391" t="inlineStr">
        <is>
          <t> </t>
        </is>
      </c>
      <c r="AA492" s="391" t="inlineStr">
        <is>
          <t> </t>
        </is>
      </c>
      <c r="AB492" s="391" t="inlineStr">
        <is>
          <t> </t>
        </is>
      </c>
      <c r="AC492" s="391" t="inlineStr">
        <is>
          <t> </t>
        </is>
      </c>
      <c r="AD492" s="391" t="inlineStr">
        <is>
          <t> </t>
        </is>
      </c>
      <c r="AE492" s="391" t="inlineStr">
        <is>
          <t> </t>
        </is>
      </c>
      <c r="AF492" s="38" t="inlineStr">
        <is>
          <t> </t>
        </is>
      </c>
      <c r="AG492" s="391" t="inlineStr">
        <is>
          <t> </t>
        </is>
      </c>
      <c r="AH492" s="391" t="n"/>
      <c r="AI492" s="391" t="inlineStr">
        <is>
          <t> </t>
        </is>
      </c>
      <c r="AJ492" s="391" t="inlineStr">
        <is>
          <t> </t>
        </is>
      </c>
      <c r="AK492" s="391" t="inlineStr">
        <is>
          <t> </t>
        </is>
      </c>
      <c r="AL492" s="391" t="inlineStr">
        <is>
          <t> </t>
        </is>
      </c>
      <c r="AM492" s="391" t="inlineStr">
        <is>
          <t> </t>
        </is>
      </c>
      <c r="AN492" s="391" t="inlineStr">
        <is>
          <t> </t>
        </is>
      </c>
      <c r="AO492" s="391" t="n"/>
      <c r="AP492" s="319" t="n"/>
      <c r="AQ492" s="319" t="n"/>
      <c r="AR492" s="319" t="n"/>
    </row>
    <row r="493" ht="15.75" customHeight="1" s="1264">
      <c r="A493" s="319" t="inlineStr">
        <is>
          <t> </t>
        </is>
      </c>
      <c r="B493" s="319" t="inlineStr">
        <is>
          <t> </t>
        </is>
      </c>
      <c r="C493" s="319" t="inlineStr">
        <is>
          <t> </t>
        </is>
      </c>
      <c r="D493" s="38" t="inlineStr">
        <is>
          <t> </t>
        </is>
      </c>
      <c r="E493" s="391" t="inlineStr">
        <is>
          <t> </t>
        </is>
      </c>
      <c r="F493" s="391" t="inlineStr">
        <is>
          <t> </t>
        </is>
      </c>
      <c r="G493" s="391" t="inlineStr">
        <is>
          <t> </t>
        </is>
      </c>
      <c r="H493" s="391" t="inlineStr">
        <is>
          <t> </t>
        </is>
      </c>
      <c r="I493" s="391" t="inlineStr">
        <is>
          <t> </t>
        </is>
      </c>
      <c r="J493" s="391" t="inlineStr">
        <is>
          <t> </t>
        </is>
      </c>
      <c r="K493" s="38" t="inlineStr">
        <is>
          <t> </t>
        </is>
      </c>
      <c r="L493" s="391" t="inlineStr">
        <is>
          <t> </t>
        </is>
      </c>
      <c r="M493" s="391" t="inlineStr">
        <is>
          <t> </t>
        </is>
      </c>
      <c r="N493" s="391" t="inlineStr">
        <is>
          <t> </t>
        </is>
      </c>
      <c r="O493" s="391" t="inlineStr">
        <is>
          <t> </t>
        </is>
      </c>
      <c r="P493" s="391" t="inlineStr">
        <is>
          <t> </t>
        </is>
      </c>
      <c r="Q493" s="391" t="inlineStr">
        <is>
          <t> </t>
        </is>
      </c>
      <c r="R493" s="38" t="inlineStr">
        <is>
          <t> </t>
        </is>
      </c>
      <c r="S493" s="391" t="inlineStr">
        <is>
          <t> </t>
        </is>
      </c>
      <c r="T493" s="391" t="inlineStr">
        <is>
          <t> </t>
        </is>
      </c>
      <c r="U493" s="391" t="inlineStr">
        <is>
          <t> </t>
        </is>
      </c>
      <c r="V493" s="391" t="inlineStr">
        <is>
          <t> </t>
        </is>
      </c>
      <c r="W493" s="391" t="inlineStr">
        <is>
          <t> </t>
        </is>
      </c>
      <c r="X493" s="391" t="inlineStr">
        <is>
          <t> </t>
        </is>
      </c>
      <c r="Y493" s="392" t="inlineStr">
        <is>
          <t> </t>
        </is>
      </c>
      <c r="Z493" s="391" t="inlineStr">
        <is>
          <t> </t>
        </is>
      </c>
      <c r="AA493" s="391" t="inlineStr">
        <is>
          <t> </t>
        </is>
      </c>
      <c r="AB493" s="391" t="inlineStr">
        <is>
          <t> </t>
        </is>
      </c>
      <c r="AC493" s="391" t="inlineStr">
        <is>
          <t> </t>
        </is>
      </c>
      <c r="AD493" s="391" t="inlineStr">
        <is>
          <t> </t>
        </is>
      </c>
      <c r="AE493" s="391" t="inlineStr">
        <is>
          <t> </t>
        </is>
      </c>
      <c r="AF493" s="38" t="inlineStr">
        <is>
          <t> </t>
        </is>
      </c>
      <c r="AG493" s="391" t="inlineStr">
        <is>
          <t> </t>
        </is>
      </c>
      <c r="AH493" s="391" t="n"/>
      <c r="AI493" s="391" t="inlineStr">
        <is>
          <t> </t>
        </is>
      </c>
      <c r="AJ493" s="391" t="inlineStr">
        <is>
          <t> </t>
        </is>
      </c>
      <c r="AK493" s="391" t="inlineStr">
        <is>
          <t> </t>
        </is>
      </c>
      <c r="AL493" s="391" t="inlineStr">
        <is>
          <t> </t>
        </is>
      </c>
      <c r="AM493" s="391" t="inlineStr">
        <is>
          <t> </t>
        </is>
      </c>
      <c r="AN493" s="391" t="inlineStr">
        <is>
          <t> </t>
        </is>
      </c>
      <c r="AO493" s="391" t="n"/>
      <c r="AP493" s="319" t="n"/>
      <c r="AQ493" s="319" t="n"/>
      <c r="AR493" s="319" t="n"/>
    </row>
    <row r="494" ht="15.75" customHeight="1" s="1264">
      <c r="A494" s="319" t="inlineStr">
        <is>
          <t> </t>
        </is>
      </c>
      <c r="B494" s="319" t="inlineStr">
        <is>
          <t> </t>
        </is>
      </c>
      <c r="C494" s="319" t="inlineStr">
        <is>
          <t> </t>
        </is>
      </c>
      <c r="D494" s="38" t="inlineStr">
        <is>
          <t> </t>
        </is>
      </c>
      <c r="E494" s="391" t="inlineStr">
        <is>
          <t> </t>
        </is>
      </c>
      <c r="F494" s="391" t="inlineStr">
        <is>
          <t> </t>
        </is>
      </c>
      <c r="G494" s="391" t="inlineStr">
        <is>
          <t> </t>
        </is>
      </c>
      <c r="H494" s="391" t="inlineStr">
        <is>
          <t> </t>
        </is>
      </c>
      <c r="I494" s="391" t="inlineStr">
        <is>
          <t> </t>
        </is>
      </c>
      <c r="J494" s="391" t="inlineStr">
        <is>
          <t> </t>
        </is>
      </c>
      <c r="K494" s="38" t="inlineStr">
        <is>
          <t> </t>
        </is>
      </c>
      <c r="L494" s="391" t="inlineStr">
        <is>
          <t> </t>
        </is>
      </c>
      <c r="M494" s="391" t="inlineStr">
        <is>
          <t> </t>
        </is>
      </c>
      <c r="N494" s="391" t="inlineStr">
        <is>
          <t> </t>
        </is>
      </c>
      <c r="O494" s="391" t="inlineStr">
        <is>
          <t> </t>
        </is>
      </c>
      <c r="P494" s="391" t="inlineStr">
        <is>
          <t> </t>
        </is>
      </c>
      <c r="Q494" s="391" t="inlineStr">
        <is>
          <t> </t>
        </is>
      </c>
      <c r="R494" s="38" t="inlineStr">
        <is>
          <t> </t>
        </is>
      </c>
      <c r="S494" s="391" t="inlineStr">
        <is>
          <t> </t>
        </is>
      </c>
      <c r="T494" s="391" t="inlineStr">
        <is>
          <t> </t>
        </is>
      </c>
      <c r="U494" s="391" t="inlineStr">
        <is>
          <t> </t>
        </is>
      </c>
      <c r="V494" s="391" t="inlineStr">
        <is>
          <t> </t>
        </is>
      </c>
      <c r="W494" s="391" t="inlineStr">
        <is>
          <t> </t>
        </is>
      </c>
      <c r="X494" s="391" t="inlineStr">
        <is>
          <t> </t>
        </is>
      </c>
      <c r="Y494" s="392" t="inlineStr">
        <is>
          <t> </t>
        </is>
      </c>
      <c r="Z494" s="391" t="inlineStr">
        <is>
          <t> </t>
        </is>
      </c>
      <c r="AA494" s="391" t="inlineStr">
        <is>
          <t> </t>
        </is>
      </c>
      <c r="AB494" s="391" t="inlineStr">
        <is>
          <t> </t>
        </is>
      </c>
      <c r="AC494" s="391" t="inlineStr">
        <is>
          <t> </t>
        </is>
      </c>
      <c r="AD494" s="391" t="inlineStr">
        <is>
          <t> </t>
        </is>
      </c>
      <c r="AE494" s="391" t="inlineStr">
        <is>
          <t> </t>
        </is>
      </c>
      <c r="AF494" s="38" t="inlineStr">
        <is>
          <t> </t>
        </is>
      </c>
      <c r="AG494" s="391" t="inlineStr">
        <is>
          <t> </t>
        </is>
      </c>
      <c r="AH494" s="391" t="n"/>
      <c r="AI494" s="391" t="inlineStr">
        <is>
          <t> </t>
        </is>
      </c>
      <c r="AJ494" s="391" t="inlineStr">
        <is>
          <t> </t>
        </is>
      </c>
      <c r="AK494" s="391" t="inlineStr">
        <is>
          <t> </t>
        </is>
      </c>
      <c r="AL494" s="391" t="inlineStr">
        <is>
          <t> </t>
        </is>
      </c>
      <c r="AM494" s="391" t="inlineStr">
        <is>
          <t> </t>
        </is>
      </c>
      <c r="AN494" s="391" t="inlineStr">
        <is>
          <t> </t>
        </is>
      </c>
      <c r="AO494" s="391" t="n"/>
      <c r="AP494" s="319" t="n"/>
      <c r="AQ494" s="319" t="n"/>
      <c r="AR494" s="319" t="n"/>
    </row>
    <row r="495" ht="15.75" customHeight="1" s="1264">
      <c r="A495" s="319" t="inlineStr">
        <is>
          <t> </t>
        </is>
      </c>
      <c r="B495" s="319" t="inlineStr">
        <is>
          <t> </t>
        </is>
      </c>
      <c r="C495" s="319" t="inlineStr">
        <is>
          <t> </t>
        </is>
      </c>
      <c r="D495" s="38" t="inlineStr">
        <is>
          <t> </t>
        </is>
      </c>
      <c r="E495" s="391" t="inlineStr">
        <is>
          <t> </t>
        </is>
      </c>
      <c r="F495" s="391" t="inlineStr">
        <is>
          <t> </t>
        </is>
      </c>
      <c r="G495" s="391" t="inlineStr">
        <is>
          <t> </t>
        </is>
      </c>
      <c r="H495" s="391" t="inlineStr">
        <is>
          <t> </t>
        </is>
      </c>
      <c r="I495" s="391" t="inlineStr">
        <is>
          <t> </t>
        </is>
      </c>
      <c r="J495" s="391" t="inlineStr">
        <is>
          <t> </t>
        </is>
      </c>
      <c r="K495" s="38" t="inlineStr">
        <is>
          <t> </t>
        </is>
      </c>
      <c r="L495" s="391" t="inlineStr">
        <is>
          <t> </t>
        </is>
      </c>
      <c r="M495" s="391" t="inlineStr">
        <is>
          <t> </t>
        </is>
      </c>
      <c r="N495" s="391" t="inlineStr">
        <is>
          <t> </t>
        </is>
      </c>
      <c r="O495" s="391" t="inlineStr">
        <is>
          <t> </t>
        </is>
      </c>
      <c r="P495" s="391" t="inlineStr">
        <is>
          <t> </t>
        </is>
      </c>
      <c r="Q495" s="391" t="inlineStr">
        <is>
          <t> </t>
        </is>
      </c>
      <c r="R495" s="38" t="inlineStr">
        <is>
          <t> </t>
        </is>
      </c>
      <c r="S495" s="391" t="inlineStr">
        <is>
          <t> </t>
        </is>
      </c>
      <c r="T495" s="391" t="inlineStr">
        <is>
          <t> </t>
        </is>
      </c>
      <c r="U495" s="391" t="inlineStr">
        <is>
          <t> </t>
        </is>
      </c>
      <c r="V495" s="391" t="inlineStr">
        <is>
          <t> </t>
        </is>
      </c>
      <c r="W495" s="391" t="inlineStr">
        <is>
          <t> </t>
        </is>
      </c>
      <c r="X495" s="391" t="inlineStr">
        <is>
          <t> </t>
        </is>
      </c>
      <c r="Y495" s="392" t="inlineStr">
        <is>
          <t> </t>
        </is>
      </c>
      <c r="Z495" s="391" t="inlineStr">
        <is>
          <t> </t>
        </is>
      </c>
      <c r="AA495" s="391" t="inlineStr">
        <is>
          <t> </t>
        </is>
      </c>
      <c r="AB495" s="391" t="inlineStr">
        <is>
          <t> </t>
        </is>
      </c>
      <c r="AC495" s="391" t="inlineStr">
        <is>
          <t> </t>
        </is>
      </c>
      <c r="AD495" s="391" t="inlineStr">
        <is>
          <t> </t>
        </is>
      </c>
      <c r="AE495" s="391" t="inlineStr">
        <is>
          <t> </t>
        </is>
      </c>
      <c r="AF495" s="38" t="inlineStr">
        <is>
          <t> </t>
        </is>
      </c>
      <c r="AG495" s="391" t="inlineStr">
        <is>
          <t> </t>
        </is>
      </c>
      <c r="AH495" s="391" t="n"/>
      <c r="AI495" s="391" t="inlineStr">
        <is>
          <t> </t>
        </is>
      </c>
      <c r="AJ495" s="391" t="inlineStr">
        <is>
          <t> </t>
        </is>
      </c>
      <c r="AK495" s="391" t="inlineStr">
        <is>
          <t> </t>
        </is>
      </c>
      <c r="AL495" s="391" t="inlineStr">
        <is>
          <t> </t>
        </is>
      </c>
      <c r="AM495" s="391" t="inlineStr">
        <is>
          <t> </t>
        </is>
      </c>
      <c r="AN495" s="391" t="inlineStr">
        <is>
          <t> </t>
        </is>
      </c>
      <c r="AO495" s="391" t="n"/>
      <c r="AP495" s="319" t="n"/>
      <c r="AQ495" s="319" t="n"/>
      <c r="AR495" s="319" t="n"/>
    </row>
    <row r="496" ht="15.75" customHeight="1" s="1264">
      <c r="A496" s="319" t="inlineStr">
        <is>
          <t> </t>
        </is>
      </c>
      <c r="B496" s="319" t="inlineStr">
        <is>
          <t> </t>
        </is>
      </c>
      <c r="C496" s="319" t="inlineStr">
        <is>
          <t> </t>
        </is>
      </c>
      <c r="D496" s="38" t="inlineStr">
        <is>
          <t> </t>
        </is>
      </c>
      <c r="E496" s="391" t="inlineStr">
        <is>
          <t> </t>
        </is>
      </c>
      <c r="F496" s="391" t="inlineStr">
        <is>
          <t> </t>
        </is>
      </c>
      <c r="G496" s="391" t="inlineStr">
        <is>
          <t> </t>
        </is>
      </c>
      <c r="H496" s="391" t="inlineStr">
        <is>
          <t> </t>
        </is>
      </c>
      <c r="I496" s="391" t="inlineStr">
        <is>
          <t> </t>
        </is>
      </c>
      <c r="J496" s="391" t="inlineStr">
        <is>
          <t> </t>
        </is>
      </c>
      <c r="K496" s="38" t="inlineStr">
        <is>
          <t> </t>
        </is>
      </c>
      <c r="L496" s="391" t="inlineStr">
        <is>
          <t> </t>
        </is>
      </c>
      <c r="M496" s="391" t="inlineStr">
        <is>
          <t> </t>
        </is>
      </c>
      <c r="N496" s="391" t="inlineStr">
        <is>
          <t> </t>
        </is>
      </c>
      <c r="O496" s="391" t="inlineStr">
        <is>
          <t> </t>
        </is>
      </c>
      <c r="P496" s="391" t="inlineStr">
        <is>
          <t> </t>
        </is>
      </c>
      <c r="Q496" s="391" t="inlineStr">
        <is>
          <t> </t>
        </is>
      </c>
      <c r="R496" s="38" t="inlineStr">
        <is>
          <t> </t>
        </is>
      </c>
      <c r="S496" s="391" t="inlineStr">
        <is>
          <t> </t>
        </is>
      </c>
      <c r="T496" s="391" t="inlineStr">
        <is>
          <t> </t>
        </is>
      </c>
      <c r="U496" s="391" t="inlineStr">
        <is>
          <t> </t>
        </is>
      </c>
      <c r="V496" s="391" t="inlineStr">
        <is>
          <t> </t>
        </is>
      </c>
      <c r="W496" s="391" t="inlineStr">
        <is>
          <t> </t>
        </is>
      </c>
      <c r="X496" s="391" t="inlineStr">
        <is>
          <t> </t>
        </is>
      </c>
      <c r="Y496" s="392" t="inlineStr">
        <is>
          <t> </t>
        </is>
      </c>
      <c r="Z496" s="391" t="inlineStr">
        <is>
          <t> </t>
        </is>
      </c>
      <c r="AA496" s="391" t="inlineStr">
        <is>
          <t> </t>
        </is>
      </c>
      <c r="AB496" s="391" t="inlineStr">
        <is>
          <t> </t>
        </is>
      </c>
      <c r="AC496" s="391" t="inlineStr">
        <is>
          <t> </t>
        </is>
      </c>
      <c r="AD496" s="391" t="inlineStr">
        <is>
          <t> </t>
        </is>
      </c>
      <c r="AE496" s="391" t="inlineStr">
        <is>
          <t> </t>
        </is>
      </c>
      <c r="AF496" s="38" t="inlineStr">
        <is>
          <t> </t>
        </is>
      </c>
      <c r="AG496" s="391" t="inlineStr">
        <is>
          <t> </t>
        </is>
      </c>
      <c r="AH496" s="391" t="n"/>
      <c r="AI496" s="391" t="inlineStr">
        <is>
          <t> </t>
        </is>
      </c>
      <c r="AJ496" s="391" t="inlineStr">
        <is>
          <t> </t>
        </is>
      </c>
      <c r="AK496" s="391" t="inlineStr">
        <is>
          <t> </t>
        </is>
      </c>
      <c r="AL496" s="391" t="inlineStr">
        <is>
          <t> </t>
        </is>
      </c>
      <c r="AM496" s="391" t="inlineStr">
        <is>
          <t> </t>
        </is>
      </c>
      <c r="AN496" s="391" t="inlineStr">
        <is>
          <t> </t>
        </is>
      </c>
      <c r="AO496" s="391" t="n"/>
      <c r="AP496" s="319" t="n"/>
      <c r="AQ496" s="319" t="n"/>
      <c r="AR496" s="319" t="n"/>
    </row>
    <row r="497" ht="15.75" customHeight="1" s="1264">
      <c r="A497" s="319" t="inlineStr">
        <is>
          <t> </t>
        </is>
      </c>
      <c r="B497" s="319" t="inlineStr">
        <is>
          <t> </t>
        </is>
      </c>
      <c r="C497" s="319" t="inlineStr">
        <is>
          <t> </t>
        </is>
      </c>
      <c r="D497" s="38" t="inlineStr">
        <is>
          <t> </t>
        </is>
      </c>
      <c r="E497" s="391" t="inlineStr">
        <is>
          <t> </t>
        </is>
      </c>
      <c r="F497" s="391" t="inlineStr">
        <is>
          <t> </t>
        </is>
      </c>
      <c r="G497" s="391" t="inlineStr">
        <is>
          <t> </t>
        </is>
      </c>
      <c r="H497" s="391" t="inlineStr">
        <is>
          <t> </t>
        </is>
      </c>
      <c r="I497" s="391" t="inlineStr">
        <is>
          <t> </t>
        </is>
      </c>
      <c r="J497" s="391" t="inlineStr">
        <is>
          <t> </t>
        </is>
      </c>
      <c r="K497" s="38" t="inlineStr">
        <is>
          <t> </t>
        </is>
      </c>
      <c r="L497" s="391" t="inlineStr">
        <is>
          <t> </t>
        </is>
      </c>
      <c r="M497" s="391" t="inlineStr">
        <is>
          <t> </t>
        </is>
      </c>
      <c r="N497" s="391" t="inlineStr">
        <is>
          <t> </t>
        </is>
      </c>
      <c r="O497" s="391" t="inlineStr">
        <is>
          <t> </t>
        </is>
      </c>
      <c r="P497" s="391" t="inlineStr">
        <is>
          <t> </t>
        </is>
      </c>
      <c r="Q497" s="391" t="inlineStr">
        <is>
          <t> </t>
        </is>
      </c>
      <c r="R497" s="38" t="inlineStr">
        <is>
          <t> </t>
        </is>
      </c>
      <c r="S497" s="391" t="inlineStr">
        <is>
          <t> </t>
        </is>
      </c>
      <c r="T497" s="391" t="inlineStr">
        <is>
          <t> </t>
        </is>
      </c>
      <c r="U497" s="391" t="inlineStr">
        <is>
          <t> </t>
        </is>
      </c>
      <c r="V497" s="391" t="inlineStr">
        <is>
          <t> </t>
        </is>
      </c>
      <c r="W497" s="391" t="inlineStr">
        <is>
          <t> </t>
        </is>
      </c>
      <c r="X497" s="391" t="inlineStr">
        <is>
          <t> </t>
        </is>
      </c>
      <c r="Y497" s="392" t="inlineStr">
        <is>
          <t> </t>
        </is>
      </c>
      <c r="Z497" s="391" t="inlineStr">
        <is>
          <t> </t>
        </is>
      </c>
      <c r="AA497" s="391" t="inlineStr">
        <is>
          <t> </t>
        </is>
      </c>
      <c r="AB497" s="391" t="inlineStr">
        <is>
          <t> </t>
        </is>
      </c>
      <c r="AC497" s="391" t="inlineStr">
        <is>
          <t> </t>
        </is>
      </c>
      <c r="AD497" s="391" t="inlineStr">
        <is>
          <t> </t>
        </is>
      </c>
      <c r="AE497" s="391" t="inlineStr">
        <is>
          <t> </t>
        </is>
      </c>
      <c r="AF497" s="38" t="inlineStr">
        <is>
          <t> </t>
        </is>
      </c>
      <c r="AG497" s="391" t="inlineStr">
        <is>
          <t> </t>
        </is>
      </c>
      <c r="AH497" s="391" t="n"/>
      <c r="AI497" s="391" t="inlineStr">
        <is>
          <t> </t>
        </is>
      </c>
      <c r="AJ497" s="391" t="inlineStr">
        <is>
          <t> </t>
        </is>
      </c>
      <c r="AK497" s="391" t="inlineStr">
        <is>
          <t> </t>
        </is>
      </c>
      <c r="AL497" s="391" t="inlineStr">
        <is>
          <t> </t>
        </is>
      </c>
      <c r="AM497" s="391" t="inlineStr">
        <is>
          <t> </t>
        </is>
      </c>
      <c r="AN497" s="391" t="inlineStr">
        <is>
          <t> </t>
        </is>
      </c>
      <c r="AO497" s="391" t="n"/>
      <c r="AP497" s="319" t="n"/>
      <c r="AQ497" s="319" t="n"/>
      <c r="AR497" s="319" t="n"/>
    </row>
    <row r="498" ht="15.75" customHeight="1" s="1264">
      <c r="A498" s="319" t="inlineStr">
        <is>
          <t> </t>
        </is>
      </c>
      <c r="B498" s="319" t="inlineStr">
        <is>
          <t> </t>
        </is>
      </c>
      <c r="C498" s="319" t="inlineStr">
        <is>
          <t> </t>
        </is>
      </c>
      <c r="D498" s="38" t="inlineStr">
        <is>
          <t> </t>
        </is>
      </c>
      <c r="E498" s="391" t="inlineStr">
        <is>
          <t> </t>
        </is>
      </c>
      <c r="F498" s="391" t="inlineStr">
        <is>
          <t> </t>
        </is>
      </c>
      <c r="G498" s="391" t="inlineStr">
        <is>
          <t> </t>
        </is>
      </c>
      <c r="H498" s="391" t="inlineStr">
        <is>
          <t> </t>
        </is>
      </c>
      <c r="I498" s="391" t="inlineStr">
        <is>
          <t> </t>
        </is>
      </c>
      <c r="J498" s="391" t="inlineStr">
        <is>
          <t> </t>
        </is>
      </c>
      <c r="K498" s="38" t="inlineStr">
        <is>
          <t> </t>
        </is>
      </c>
      <c r="L498" s="391" t="inlineStr">
        <is>
          <t> </t>
        </is>
      </c>
      <c r="M498" s="391" t="inlineStr">
        <is>
          <t> </t>
        </is>
      </c>
      <c r="N498" s="391" t="inlineStr">
        <is>
          <t> </t>
        </is>
      </c>
      <c r="O498" s="391" t="inlineStr">
        <is>
          <t> </t>
        </is>
      </c>
      <c r="P498" s="391" t="inlineStr">
        <is>
          <t> </t>
        </is>
      </c>
      <c r="Q498" s="391" t="inlineStr">
        <is>
          <t> </t>
        </is>
      </c>
      <c r="R498" s="38" t="inlineStr">
        <is>
          <t> </t>
        </is>
      </c>
      <c r="S498" s="391" t="inlineStr">
        <is>
          <t> </t>
        </is>
      </c>
      <c r="T498" s="391" t="inlineStr">
        <is>
          <t> </t>
        </is>
      </c>
      <c r="U498" s="391" t="inlineStr">
        <is>
          <t> </t>
        </is>
      </c>
      <c r="V498" s="391" t="inlineStr">
        <is>
          <t> </t>
        </is>
      </c>
      <c r="W498" s="391" t="inlineStr">
        <is>
          <t> </t>
        </is>
      </c>
      <c r="X498" s="391" t="inlineStr">
        <is>
          <t> </t>
        </is>
      </c>
      <c r="Y498" s="392" t="inlineStr">
        <is>
          <t> </t>
        </is>
      </c>
      <c r="Z498" s="391" t="inlineStr">
        <is>
          <t> </t>
        </is>
      </c>
      <c r="AA498" s="391" t="inlineStr">
        <is>
          <t> </t>
        </is>
      </c>
      <c r="AB498" s="391" t="inlineStr">
        <is>
          <t> </t>
        </is>
      </c>
      <c r="AC498" s="391" t="inlineStr">
        <is>
          <t> </t>
        </is>
      </c>
      <c r="AD498" s="391" t="inlineStr">
        <is>
          <t> </t>
        </is>
      </c>
      <c r="AE498" s="391" t="inlineStr">
        <is>
          <t> </t>
        </is>
      </c>
      <c r="AF498" s="38" t="inlineStr">
        <is>
          <t> </t>
        </is>
      </c>
      <c r="AG498" s="391" t="inlineStr">
        <is>
          <t> </t>
        </is>
      </c>
      <c r="AH498" s="391" t="n"/>
      <c r="AI498" s="391" t="inlineStr">
        <is>
          <t> </t>
        </is>
      </c>
      <c r="AJ498" s="391" t="inlineStr">
        <is>
          <t> </t>
        </is>
      </c>
      <c r="AK498" s="391" t="inlineStr">
        <is>
          <t> </t>
        </is>
      </c>
      <c r="AL498" s="391" t="inlineStr">
        <is>
          <t> </t>
        </is>
      </c>
      <c r="AM498" s="391" t="inlineStr">
        <is>
          <t> </t>
        </is>
      </c>
      <c r="AN498" s="391" t="inlineStr">
        <is>
          <t> </t>
        </is>
      </c>
      <c r="AO498" s="391" t="n"/>
      <c r="AP498" s="319" t="n"/>
      <c r="AQ498" s="319" t="n"/>
      <c r="AR498" s="319" t="n"/>
    </row>
    <row r="499" ht="15.75" customHeight="1" s="1264">
      <c r="A499" s="319" t="inlineStr">
        <is>
          <t> </t>
        </is>
      </c>
      <c r="B499" s="319" t="inlineStr">
        <is>
          <t> </t>
        </is>
      </c>
      <c r="C499" s="319" t="inlineStr">
        <is>
          <t> </t>
        </is>
      </c>
      <c r="D499" s="38" t="inlineStr">
        <is>
          <t> </t>
        </is>
      </c>
      <c r="E499" s="391" t="inlineStr">
        <is>
          <t> </t>
        </is>
      </c>
      <c r="F499" s="391" t="inlineStr">
        <is>
          <t> </t>
        </is>
      </c>
      <c r="G499" s="391" t="inlineStr">
        <is>
          <t> </t>
        </is>
      </c>
      <c r="H499" s="391" t="inlineStr">
        <is>
          <t> </t>
        </is>
      </c>
      <c r="I499" s="391" t="inlineStr">
        <is>
          <t> </t>
        </is>
      </c>
      <c r="J499" s="391" t="inlineStr">
        <is>
          <t> </t>
        </is>
      </c>
      <c r="K499" s="38" t="inlineStr">
        <is>
          <t> </t>
        </is>
      </c>
      <c r="L499" s="391" t="inlineStr">
        <is>
          <t> </t>
        </is>
      </c>
      <c r="M499" s="391" t="inlineStr">
        <is>
          <t> </t>
        </is>
      </c>
      <c r="N499" s="391" t="inlineStr">
        <is>
          <t> </t>
        </is>
      </c>
      <c r="O499" s="391" t="inlineStr">
        <is>
          <t> </t>
        </is>
      </c>
      <c r="P499" s="391" t="inlineStr">
        <is>
          <t> </t>
        </is>
      </c>
      <c r="Q499" s="391" t="inlineStr">
        <is>
          <t> </t>
        </is>
      </c>
      <c r="R499" s="38" t="inlineStr">
        <is>
          <t> </t>
        </is>
      </c>
      <c r="S499" s="391" t="inlineStr">
        <is>
          <t> </t>
        </is>
      </c>
      <c r="T499" s="391" t="inlineStr">
        <is>
          <t> </t>
        </is>
      </c>
      <c r="U499" s="391" t="inlineStr">
        <is>
          <t> </t>
        </is>
      </c>
      <c r="V499" s="391" t="inlineStr">
        <is>
          <t> </t>
        </is>
      </c>
      <c r="W499" s="391" t="inlineStr">
        <is>
          <t> </t>
        </is>
      </c>
      <c r="X499" s="391" t="inlineStr">
        <is>
          <t> </t>
        </is>
      </c>
      <c r="Y499" s="392" t="inlineStr">
        <is>
          <t> </t>
        </is>
      </c>
      <c r="Z499" s="391" t="inlineStr">
        <is>
          <t> </t>
        </is>
      </c>
      <c r="AA499" s="391" t="inlineStr">
        <is>
          <t> </t>
        </is>
      </c>
      <c r="AB499" s="391" t="inlineStr">
        <is>
          <t> </t>
        </is>
      </c>
      <c r="AC499" s="391" t="inlineStr">
        <is>
          <t> </t>
        </is>
      </c>
      <c r="AD499" s="391" t="inlineStr">
        <is>
          <t> </t>
        </is>
      </c>
      <c r="AE499" s="391" t="inlineStr">
        <is>
          <t> </t>
        </is>
      </c>
      <c r="AF499" s="38" t="inlineStr">
        <is>
          <t> </t>
        </is>
      </c>
      <c r="AG499" s="391" t="inlineStr">
        <is>
          <t> </t>
        </is>
      </c>
      <c r="AH499" s="391" t="n"/>
      <c r="AI499" s="391" t="inlineStr">
        <is>
          <t> </t>
        </is>
      </c>
      <c r="AJ499" s="391" t="inlineStr">
        <is>
          <t> </t>
        </is>
      </c>
      <c r="AK499" s="391" t="inlineStr">
        <is>
          <t> </t>
        </is>
      </c>
      <c r="AL499" s="391" t="inlineStr">
        <is>
          <t> </t>
        </is>
      </c>
      <c r="AM499" s="391" t="inlineStr">
        <is>
          <t> </t>
        </is>
      </c>
      <c r="AN499" s="391" t="inlineStr">
        <is>
          <t> </t>
        </is>
      </c>
      <c r="AO499" s="391" t="n"/>
      <c r="AP499" s="319" t="n"/>
      <c r="AQ499" s="319" t="n"/>
      <c r="AR499" s="319" t="n"/>
    </row>
    <row r="500" ht="15.75" customHeight="1" s="1264">
      <c r="A500" s="319" t="inlineStr">
        <is>
          <t> </t>
        </is>
      </c>
      <c r="B500" s="319" t="inlineStr">
        <is>
          <t> </t>
        </is>
      </c>
      <c r="C500" s="319" t="inlineStr">
        <is>
          <t> </t>
        </is>
      </c>
      <c r="D500" s="38" t="inlineStr">
        <is>
          <t> </t>
        </is>
      </c>
      <c r="E500" s="391" t="inlineStr">
        <is>
          <t> </t>
        </is>
      </c>
      <c r="F500" s="391" t="inlineStr">
        <is>
          <t> </t>
        </is>
      </c>
      <c r="G500" s="391" t="inlineStr">
        <is>
          <t> </t>
        </is>
      </c>
      <c r="H500" s="391" t="inlineStr">
        <is>
          <t> </t>
        </is>
      </c>
      <c r="I500" s="391" t="inlineStr">
        <is>
          <t> </t>
        </is>
      </c>
      <c r="J500" s="391" t="inlineStr">
        <is>
          <t> </t>
        </is>
      </c>
      <c r="K500" s="38" t="inlineStr">
        <is>
          <t> </t>
        </is>
      </c>
      <c r="L500" s="391" t="inlineStr">
        <is>
          <t> </t>
        </is>
      </c>
      <c r="M500" s="391" t="inlineStr">
        <is>
          <t> </t>
        </is>
      </c>
      <c r="N500" s="391" t="inlineStr">
        <is>
          <t> </t>
        </is>
      </c>
      <c r="O500" s="391" t="inlineStr">
        <is>
          <t> </t>
        </is>
      </c>
      <c r="P500" s="391" t="inlineStr">
        <is>
          <t> </t>
        </is>
      </c>
      <c r="Q500" s="391" t="inlineStr">
        <is>
          <t> </t>
        </is>
      </c>
      <c r="R500" s="38" t="inlineStr">
        <is>
          <t> </t>
        </is>
      </c>
      <c r="S500" s="391" t="inlineStr">
        <is>
          <t> </t>
        </is>
      </c>
      <c r="T500" s="391" t="inlineStr">
        <is>
          <t> </t>
        </is>
      </c>
      <c r="U500" s="391" t="inlineStr">
        <is>
          <t> </t>
        </is>
      </c>
      <c r="V500" s="391" t="inlineStr">
        <is>
          <t> </t>
        </is>
      </c>
      <c r="W500" s="391" t="inlineStr">
        <is>
          <t> </t>
        </is>
      </c>
      <c r="X500" s="391" t="inlineStr">
        <is>
          <t> </t>
        </is>
      </c>
      <c r="Y500" s="392" t="inlineStr">
        <is>
          <t> </t>
        </is>
      </c>
      <c r="Z500" s="391" t="inlineStr">
        <is>
          <t> </t>
        </is>
      </c>
      <c r="AA500" s="391" t="inlineStr">
        <is>
          <t> </t>
        </is>
      </c>
      <c r="AB500" s="391" t="inlineStr">
        <is>
          <t> </t>
        </is>
      </c>
      <c r="AC500" s="391" t="inlineStr">
        <is>
          <t> </t>
        </is>
      </c>
      <c r="AD500" s="391" t="inlineStr">
        <is>
          <t> </t>
        </is>
      </c>
      <c r="AE500" s="391" t="inlineStr">
        <is>
          <t> </t>
        </is>
      </c>
      <c r="AF500" s="38" t="inlineStr">
        <is>
          <t> </t>
        </is>
      </c>
      <c r="AG500" s="391" t="inlineStr">
        <is>
          <t> </t>
        </is>
      </c>
      <c r="AH500" s="391" t="n"/>
      <c r="AI500" s="391" t="inlineStr">
        <is>
          <t> </t>
        </is>
      </c>
      <c r="AJ500" s="391" t="inlineStr">
        <is>
          <t> </t>
        </is>
      </c>
      <c r="AK500" s="391" t="inlineStr">
        <is>
          <t> </t>
        </is>
      </c>
      <c r="AL500" s="391" t="inlineStr">
        <is>
          <t> </t>
        </is>
      </c>
      <c r="AM500" s="391" t="inlineStr">
        <is>
          <t> </t>
        </is>
      </c>
      <c r="AN500" s="391" t="inlineStr">
        <is>
          <t> </t>
        </is>
      </c>
      <c r="AO500" s="391" t="n"/>
      <c r="AP500" s="319" t="n"/>
      <c r="AQ500" s="319" t="n"/>
      <c r="AR500" s="319" t="n"/>
    </row>
    <row r="501" ht="15.75" customHeight="1" s="1264">
      <c r="A501" s="319" t="inlineStr">
        <is>
          <t> </t>
        </is>
      </c>
      <c r="B501" s="319" t="inlineStr">
        <is>
          <t> </t>
        </is>
      </c>
      <c r="C501" s="319" t="inlineStr">
        <is>
          <t> </t>
        </is>
      </c>
      <c r="D501" s="38" t="inlineStr">
        <is>
          <t> </t>
        </is>
      </c>
      <c r="E501" s="391" t="inlineStr">
        <is>
          <t> </t>
        </is>
      </c>
      <c r="F501" s="391" t="inlineStr">
        <is>
          <t> </t>
        </is>
      </c>
      <c r="G501" s="391" t="inlineStr">
        <is>
          <t> </t>
        </is>
      </c>
      <c r="H501" s="391" t="inlineStr">
        <is>
          <t> </t>
        </is>
      </c>
      <c r="I501" s="391" t="inlineStr">
        <is>
          <t> </t>
        </is>
      </c>
      <c r="J501" s="391" t="inlineStr">
        <is>
          <t> </t>
        </is>
      </c>
      <c r="K501" s="38" t="inlineStr">
        <is>
          <t> </t>
        </is>
      </c>
      <c r="L501" s="391" t="inlineStr">
        <is>
          <t> </t>
        </is>
      </c>
      <c r="M501" s="391" t="inlineStr">
        <is>
          <t> </t>
        </is>
      </c>
      <c r="N501" s="391" t="inlineStr">
        <is>
          <t> </t>
        </is>
      </c>
      <c r="O501" s="391" t="inlineStr">
        <is>
          <t> </t>
        </is>
      </c>
      <c r="P501" s="391" t="inlineStr">
        <is>
          <t> </t>
        </is>
      </c>
      <c r="Q501" s="391" t="inlineStr">
        <is>
          <t> </t>
        </is>
      </c>
      <c r="R501" s="38" t="inlineStr">
        <is>
          <t> </t>
        </is>
      </c>
      <c r="S501" s="391" t="inlineStr">
        <is>
          <t> </t>
        </is>
      </c>
      <c r="T501" s="391" t="inlineStr">
        <is>
          <t> </t>
        </is>
      </c>
      <c r="U501" s="391" t="inlineStr">
        <is>
          <t> </t>
        </is>
      </c>
      <c r="V501" s="391" t="inlineStr">
        <is>
          <t> </t>
        </is>
      </c>
      <c r="W501" s="391" t="inlineStr">
        <is>
          <t> </t>
        </is>
      </c>
      <c r="X501" s="391" t="inlineStr">
        <is>
          <t> </t>
        </is>
      </c>
      <c r="Y501" s="392" t="inlineStr">
        <is>
          <t> </t>
        </is>
      </c>
      <c r="Z501" s="391" t="inlineStr">
        <is>
          <t> </t>
        </is>
      </c>
      <c r="AA501" s="391" t="inlineStr">
        <is>
          <t> </t>
        </is>
      </c>
      <c r="AB501" s="391" t="inlineStr">
        <is>
          <t> </t>
        </is>
      </c>
      <c r="AC501" s="391" t="inlineStr">
        <is>
          <t> </t>
        </is>
      </c>
      <c r="AD501" s="391" t="inlineStr">
        <is>
          <t> </t>
        </is>
      </c>
      <c r="AE501" s="391" t="inlineStr">
        <is>
          <t> </t>
        </is>
      </c>
      <c r="AF501" s="38" t="inlineStr">
        <is>
          <t> </t>
        </is>
      </c>
      <c r="AG501" s="391" t="inlineStr">
        <is>
          <t> </t>
        </is>
      </c>
      <c r="AH501" s="391" t="n"/>
      <c r="AI501" s="391" t="inlineStr">
        <is>
          <t> </t>
        </is>
      </c>
      <c r="AJ501" s="391" t="inlineStr">
        <is>
          <t> </t>
        </is>
      </c>
      <c r="AK501" s="391" t="inlineStr">
        <is>
          <t> </t>
        </is>
      </c>
      <c r="AL501" s="391" t="inlineStr">
        <is>
          <t> </t>
        </is>
      </c>
      <c r="AM501" s="391" t="inlineStr">
        <is>
          <t> </t>
        </is>
      </c>
      <c r="AN501" s="391" t="inlineStr">
        <is>
          <t> </t>
        </is>
      </c>
      <c r="AO501" s="391" t="n"/>
      <c r="AP501" s="319" t="n"/>
      <c r="AQ501" s="319" t="n"/>
      <c r="AR501" s="319" t="n"/>
    </row>
    <row r="502" ht="15.75" customHeight="1" s="1264">
      <c r="A502" s="319" t="inlineStr">
        <is>
          <t> </t>
        </is>
      </c>
      <c r="B502" s="319" t="inlineStr">
        <is>
          <t> </t>
        </is>
      </c>
      <c r="C502" s="319" t="inlineStr">
        <is>
          <t> </t>
        </is>
      </c>
      <c r="D502" s="38" t="inlineStr">
        <is>
          <t> </t>
        </is>
      </c>
      <c r="E502" s="391" t="inlineStr">
        <is>
          <t> </t>
        </is>
      </c>
      <c r="F502" s="391" t="inlineStr">
        <is>
          <t> </t>
        </is>
      </c>
      <c r="G502" s="391" t="inlineStr">
        <is>
          <t> </t>
        </is>
      </c>
      <c r="H502" s="391" t="inlineStr">
        <is>
          <t> </t>
        </is>
      </c>
      <c r="I502" s="391" t="inlineStr">
        <is>
          <t> </t>
        </is>
      </c>
      <c r="J502" s="391" t="inlineStr">
        <is>
          <t> </t>
        </is>
      </c>
      <c r="K502" s="38" t="inlineStr">
        <is>
          <t> </t>
        </is>
      </c>
      <c r="L502" s="391" t="inlineStr">
        <is>
          <t> </t>
        </is>
      </c>
      <c r="M502" s="391" t="inlineStr">
        <is>
          <t> </t>
        </is>
      </c>
      <c r="N502" s="391" t="inlineStr">
        <is>
          <t> </t>
        </is>
      </c>
      <c r="O502" s="391" t="inlineStr">
        <is>
          <t> </t>
        </is>
      </c>
      <c r="P502" s="391" t="inlineStr">
        <is>
          <t> </t>
        </is>
      </c>
      <c r="Q502" s="391" t="inlineStr">
        <is>
          <t> </t>
        </is>
      </c>
      <c r="R502" s="38" t="inlineStr">
        <is>
          <t> </t>
        </is>
      </c>
      <c r="S502" s="391" t="inlineStr">
        <is>
          <t> </t>
        </is>
      </c>
      <c r="T502" s="391" t="inlineStr">
        <is>
          <t> </t>
        </is>
      </c>
      <c r="U502" s="391" t="inlineStr">
        <is>
          <t> </t>
        </is>
      </c>
      <c r="V502" s="391" t="inlineStr">
        <is>
          <t> </t>
        </is>
      </c>
      <c r="W502" s="391" t="inlineStr">
        <is>
          <t> </t>
        </is>
      </c>
      <c r="X502" s="391" t="inlineStr">
        <is>
          <t> </t>
        </is>
      </c>
      <c r="Y502" s="392" t="inlineStr">
        <is>
          <t> </t>
        </is>
      </c>
      <c r="Z502" s="391" t="inlineStr">
        <is>
          <t> </t>
        </is>
      </c>
      <c r="AA502" s="391" t="inlineStr">
        <is>
          <t> </t>
        </is>
      </c>
      <c r="AB502" s="391" t="inlineStr">
        <is>
          <t> </t>
        </is>
      </c>
      <c r="AC502" s="391" t="inlineStr">
        <is>
          <t> </t>
        </is>
      </c>
      <c r="AD502" s="391" t="inlineStr">
        <is>
          <t> </t>
        </is>
      </c>
      <c r="AE502" s="391" t="inlineStr">
        <is>
          <t> </t>
        </is>
      </c>
      <c r="AF502" s="38" t="inlineStr">
        <is>
          <t> </t>
        </is>
      </c>
      <c r="AG502" s="391" t="inlineStr">
        <is>
          <t> </t>
        </is>
      </c>
      <c r="AH502" s="391" t="n"/>
      <c r="AI502" s="391" t="inlineStr">
        <is>
          <t> </t>
        </is>
      </c>
      <c r="AJ502" s="391" t="inlineStr">
        <is>
          <t> </t>
        </is>
      </c>
      <c r="AK502" s="391" t="inlineStr">
        <is>
          <t> </t>
        </is>
      </c>
      <c r="AL502" s="391" t="inlineStr">
        <is>
          <t> </t>
        </is>
      </c>
      <c r="AM502" s="391" t="inlineStr">
        <is>
          <t> </t>
        </is>
      </c>
      <c r="AN502" s="391" t="inlineStr">
        <is>
          <t> </t>
        </is>
      </c>
      <c r="AO502" s="391" t="n"/>
      <c r="AP502" s="319" t="n"/>
      <c r="AQ502" s="319" t="n"/>
      <c r="AR502" s="319" t="n"/>
    </row>
    <row r="503" ht="15.75" customHeight="1" s="1264">
      <c r="A503" s="319" t="inlineStr">
        <is>
          <t> </t>
        </is>
      </c>
      <c r="B503" s="319" t="inlineStr">
        <is>
          <t> </t>
        </is>
      </c>
      <c r="C503" s="319" t="inlineStr">
        <is>
          <t> </t>
        </is>
      </c>
      <c r="D503" s="38" t="inlineStr">
        <is>
          <t> </t>
        </is>
      </c>
      <c r="E503" s="391" t="inlineStr">
        <is>
          <t> </t>
        </is>
      </c>
      <c r="F503" s="391" t="inlineStr">
        <is>
          <t> </t>
        </is>
      </c>
      <c r="G503" s="391" t="inlineStr">
        <is>
          <t> </t>
        </is>
      </c>
      <c r="H503" s="391" t="inlineStr">
        <is>
          <t> </t>
        </is>
      </c>
      <c r="I503" s="391" t="inlineStr">
        <is>
          <t> </t>
        </is>
      </c>
      <c r="J503" s="391" t="inlineStr">
        <is>
          <t> </t>
        </is>
      </c>
      <c r="K503" s="38" t="inlineStr">
        <is>
          <t> </t>
        </is>
      </c>
      <c r="L503" s="391" t="inlineStr">
        <is>
          <t> </t>
        </is>
      </c>
      <c r="M503" s="391" t="inlineStr">
        <is>
          <t> </t>
        </is>
      </c>
      <c r="N503" s="391" t="inlineStr">
        <is>
          <t> </t>
        </is>
      </c>
      <c r="O503" s="391" t="inlineStr">
        <is>
          <t> </t>
        </is>
      </c>
      <c r="P503" s="391" t="inlineStr">
        <is>
          <t> </t>
        </is>
      </c>
      <c r="Q503" s="391" t="inlineStr">
        <is>
          <t> </t>
        </is>
      </c>
      <c r="R503" s="38" t="inlineStr">
        <is>
          <t> </t>
        </is>
      </c>
      <c r="S503" s="391" t="inlineStr">
        <is>
          <t> </t>
        </is>
      </c>
      <c r="T503" s="391" t="inlineStr">
        <is>
          <t> </t>
        </is>
      </c>
      <c r="U503" s="391" t="inlineStr">
        <is>
          <t> </t>
        </is>
      </c>
      <c r="V503" s="391" t="inlineStr">
        <is>
          <t> </t>
        </is>
      </c>
      <c r="W503" s="391" t="inlineStr">
        <is>
          <t> </t>
        </is>
      </c>
      <c r="X503" s="391" t="inlineStr">
        <is>
          <t> </t>
        </is>
      </c>
      <c r="Y503" s="392" t="inlineStr">
        <is>
          <t> </t>
        </is>
      </c>
      <c r="Z503" s="391" t="inlineStr">
        <is>
          <t> </t>
        </is>
      </c>
      <c r="AA503" s="391" t="inlineStr">
        <is>
          <t> </t>
        </is>
      </c>
      <c r="AB503" s="391" t="inlineStr">
        <is>
          <t> </t>
        </is>
      </c>
      <c r="AC503" s="391" t="inlineStr">
        <is>
          <t> </t>
        </is>
      </c>
      <c r="AD503" s="391" t="inlineStr">
        <is>
          <t> </t>
        </is>
      </c>
      <c r="AE503" s="391" t="inlineStr">
        <is>
          <t> </t>
        </is>
      </c>
      <c r="AF503" s="38" t="inlineStr">
        <is>
          <t> </t>
        </is>
      </c>
      <c r="AG503" s="391" t="inlineStr">
        <is>
          <t> </t>
        </is>
      </c>
      <c r="AH503" s="391" t="n"/>
      <c r="AI503" s="391" t="inlineStr">
        <is>
          <t> </t>
        </is>
      </c>
      <c r="AJ503" s="391" t="inlineStr">
        <is>
          <t> </t>
        </is>
      </c>
      <c r="AK503" s="391" t="inlineStr">
        <is>
          <t> </t>
        </is>
      </c>
      <c r="AL503" s="391" t="inlineStr">
        <is>
          <t> </t>
        </is>
      </c>
      <c r="AM503" s="391" t="inlineStr">
        <is>
          <t> </t>
        </is>
      </c>
      <c r="AN503" s="391" t="inlineStr">
        <is>
          <t> </t>
        </is>
      </c>
      <c r="AO503" s="391" t="n"/>
      <c r="AP503" s="319" t="n"/>
      <c r="AQ503" s="319" t="n"/>
      <c r="AR503" s="319" t="n"/>
    </row>
    <row r="504" ht="15.75" customHeight="1" s="1264">
      <c r="A504" s="319" t="inlineStr">
        <is>
          <t> </t>
        </is>
      </c>
      <c r="B504" s="319" t="inlineStr">
        <is>
          <t> </t>
        </is>
      </c>
      <c r="C504" s="319" t="inlineStr">
        <is>
          <t> </t>
        </is>
      </c>
      <c r="D504" s="38" t="inlineStr">
        <is>
          <t> </t>
        </is>
      </c>
      <c r="E504" s="391" t="inlineStr">
        <is>
          <t> </t>
        </is>
      </c>
      <c r="F504" s="391" t="inlineStr">
        <is>
          <t> </t>
        </is>
      </c>
      <c r="G504" s="391" t="inlineStr">
        <is>
          <t> </t>
        </is>
      </c>
      <c r="H504" s="391" t="inlineStr">
        <is>
          <t> </t>
        </is>
      </c>
      <c r="I504" s="391" t="inlineStr">
        <is>
          <t> </t>
        </is>
      </c>
      <c r="J504" s="391" t="inlineStr">
        <is>
          <t> </t>
        </is>
      </c>
      <c r="K504" s="38" t="inlineStr">
        <is>
          <t> </t>
        </is>
      </c>
      <c r="L504" s="391" t="inlineStr">
        <is>
          <t> </t>
        </is>
      </c>
      <c r="M504" s="391" t="inlineStr">
        <is>
          <t> </t>
        </is>
      </c>
      <c r="N504" s="391" t="inlineStr">
        <is>
          <t> </t>
        </is>
      </c>
      <c r="O504" s="391" t="inlineStr">
        <is>
          <t> </t>
        </is>
      </c>
      <c r="P504" s="391" t="inlineStr">
        <is>
          <t> </t>
        </is>
      </c>
      <c r="Q504" s="391" t="inlineStr">
        <is>
          <t> </t>
        </is>
      </c>
      <c r="R504" s="38" t="inlineStr">
        <is>
          <t> </t>
        </is>
      </c>
      <c r="S504" s="391" t="inlineStr">
        <is>
          <t> </t>
        </is>
      </c>
      <c r="T504" s="391" t="inlineStr">
        <is>
          <t> </t>
        </is>
      </c>
      <c r="U504" s="391" t="inlineStr">
        <is>
          <t> </t>
        </is>
      </c>
      <c r="V504" s="391" t="inlineStr">
        <is>
          <t> </t>
        </is>
      </c>
      <c r="W504" s="391" t="inlineStr">
        <is>
          <t> </t>
        </is>
      </c>
      <c r="X504" s="391" t="inlineStr">
        <is>
          <t> </t>
        </is>
      </c>
      <c r="Y504" s="392" t="inlineStr">
        <is>
          <t> </t>
        </is>
      </c>
      <c r="Z504" s="391" t="inlineStr">
        <is>
          <t> </t>
        </is>
      </c>
      <c r="AA504" s="391" t="inlineStr">
        <is>
          <t> </t>
        </is>
      </c>
      <c r="AB504" s="391" t="inlineStr">
        <is>
          <t> </t>
        </is>
      </c>
      <c r="AC504" s="391" t="inlineStr">
        <is>
          <t> </t>
        </is>
      </c>
      <c r="AD504" s="391" t="inlineStr">
        <is>
          <t> </t>
        </is>
      </c>
      <c r="AE504" s="391" t="inlineStr">
        <is>
          <t> </t>
        </is>
      </c>
      <c r="AF504" s="38" t="inlineStr">
        <is>
          <t> </t>
        </is>
      </c>
      <c r="AG504" s="391" t="inlineStr">
        <is>
          <t> </t>
        </is>
      </c>
      <c r="AH504" s="391" t="n"/>
      <c r="AI504" s="391" t="inlineStr">
        <is>
          <t> </t>
        </is>
      </c>
      <c r="AJ504" s="391" t="inlineStr">
        <is>
          <t> </t>
        </is>
      </c>
      <c r="AK504" s="391" t="inlineStr">
        <is>
          <t> </t>
        </is>
      </c>
      <c r="AL504" s="391" t="inlineStr">
        <is>
          <t> </t>
        </is>
      </c>
      <c r="AM504" s="391" t="inlineStr">
        <is>
          <t> </t>
        </is>
      </c>
      <c r="AN504" s="391" t="inlineStr">
        <is>
          <t> </t>
        </is>
      </c>
      <c r="AO504" s="391" t="n"/>
      <c r="AP504" s="319" t="n"/>
      <c r="AQ504" s="319" t="n"/>
      <c r="AR504" s="319" t="n"/>
    </row>
    <row r="505" ht="15.75" customHeight="1" s="1264">
      <c r="A505" s="319" t="inlineStr">
        <is>
          <t> </t>
        </is>
      </c>
      <c r="B505" s="319" t="inlineStr">
        <is>
          <t> </t>
        </is>
      </c>
      <c r="C505" s="319" t="inlineStr">
        <is>
          <t> </t>
        </is>
      </c>
      <c r="D505" s="38" t="inlineStr">
        <is>
          <t> </t>
        </is>
      </c>
      <c r="E505" s="391" t="inlineStr">
        <is>
          <t> </t>
        </is>
      </c>
      <c r="F505" s="391" t="inlineStr">
        <is>
          <t> </t>
        </is>
      </c>
      <c r="G505" s="391" t="inlineStr">
        <is>
          <t> </t>
        </is>
      </c>
      <c r="H505" s="391" t="inlineStr">
        <is>
          <t> </t>
        </is>
      </c>
      <c r="I505" s="391" t="inlineStr">
        <is>
          <t> </t>
        </is>
      </c>
      <c r="J505" s="391" t="inlineStr">
        <is>
          <t> </t>
        </is>
      </c>
      <c r="K505" s="38" t="inlineStr">
        <is>
          <t> </t>
        </is>
      </c>
      <c r="L505" s="391" t="inlineStr">
        <is>
          <t> </t>
        </is>
      </c>
      <c r="M505" s="391" t="inlineStr">
        <is>
          <t> </t>
        </is>
      </c>
      <c r="N505" s="391" t="inlineStr">
        <is>
          <t> </t>
        </is>
      </c>
      <c r="O505" s="391" t="inlineStr">
        <is>
          <t> </t>
        </is>
      </c>
      <c r="P505" s="391" t="inlineStr">
        <is>
          <t> </t>
        </is>
      </c>
      <c r="Q505" s="391" t="inlineStr">
        <is>
          <t> </t>
        </is>
      </c>
      <c r="R505" s="38" t="inlineStr">
        <is>
          <t> </t>
        </is>
      </c>
      <c r="S505" s="391" t="inlineStr">
        <is>
          <t> </t>
        </is>
      </c>
      <c r="T505" s="391" t="inlineStr">
        <is>
          <t> </t>
        </is>
      </c>
      <c r="U505" s="391" t="inlineStr">
        <is>
          <t> </t>
        </is>
      </c>
      <c r="V505" s="391" t="inlineStr">
        <is>
          <t> </t>
        </is>
      </c>
      <c r="W505" s="391" t="inlineStr">
        <is>
          <t> </t>
        </is>
      </c>
      <c r="X505" s="391" t="inlineStr">
        <is>
          <t> </t>
        </is>
      </c>
      <c r="Y505" s="392" t="inlineStr">
        <is>
          <t> </t>
        </is>
      </c>
      <c r="Z505" s="391" t="inlineStr">
        <is>
          <t> </t>
        </is>
      </c>
      <c r="AA505" s="391" t="inlineStr">
        <is>
          <t> </t>
        </is>
      </c>
      <c r="AB505" s="391" t="inlineStr">
        <is>
          <t> </t>
        </is>
      </c>
      <c r="AC505" s="391" t="inlineStr">
        <is>
          <t> </t>
        </is>
      </c>
      <c r="AD505" s="391" t="inlineStr">
        <is>
          <t> </t>
        </is>
      </c>
      <c r="AE505" s="391" t="inlineStr">
        <is>
          <t> </t>
        </is>
      </c>
      <c r="AF505" s="38" t="inlineStr">
        <is>
          <t> </t>
        </is>
      </c>
      <c r="AG505" s="391" t="inlineStr">
        <is>
          <t> </t>
        </is>
      </c>
      <c r="AH505" s="391" t="n"/>
      <c r="AI505" s="391" t="inlineStr">
        <is>
          <t> </t>
        </is>
      </c>
      <c r="AJ505" s="391" t="inlineStr">
        <is>
          <t> </t>
        </is>
      </c>
      <c r="AK505" s="391" t="inlineStr">
        <is>
          <t> </t>
        </is>
      </c>
      <c r="AL505" s="391" t="inlineStr">
        <is>
          <t> </t>
        </is>
      </c>
      <c r="AM505" s="391" t="inlineStr">
        <is>
          <t> </t>
        </is>
      </c>
      <c r="AN505" s="391" t="inlineStr">
        <is>
          <t> </t>
        </is>
      </c>
      <c r="AO505" s="391" t="n"/>
      <c r="AP505" s="319" t="n"/>
      <c r="AQ505" s="319" t="n"/>
      <c r="AR505" s="319" t="n"/>
    </row>
    <row r="506" ht="15.75" customHeight="1" s="1264">
      <c r="A506" s="319" t="inlineStr">
        <is>
          <t> </t>
        </is>
      </c>
      <c r="B506" s="319" t="inlineStr">
        <is>
          <t> </t>
        </is>
      </c>
      <c r="C506" s="319" t="inlineStr">
        <is>
          <t> </t>
        </is>
      </c>
      <c r="D506" s="38" t="inlineStr">
        <is>
          <t> </t>
        </is>
      </c>
      <c r="E506" s="391" t="inlineStr">
        <is>
          <t> </t>
        </is>
      </c>
      <c r="F506" s="391" t="inlineStr">
        <is>
          <t> </t>
        </is>
      </c>
      <c r="G506" s="391" t="inlineStr">
        <is>
          <t> </t>
        </is>
      </c>
      <c r="H506" s="391" t="inlineStr">
        <is>
          <t> </t>
        </is>
      </c>
      <c r="I506" s="391" t="inlineStr">
        <is>
          <t> </t>
        </is>
      </c>
      <c r="J506" s="391" t="inlineStr">
        <is>
          <t> </t>
        </is>
      </c>
      <c r="K506" s="38" t="inlineStr">
        <is>
          <t> </t>
        </is>
      </c>
      <c r="L506" s="391" t="inlineStr">
        <is>
          <t> </t>
        </is>
      </c>
      <c r="M506" s="391" t="inlineStr">
        <is>
          <t> </t>
        </is>
      </c>
      <c r="N506" s="391" t="inlineStr">
        <is>
          <t> </t>
        </is>
      </c>
      <c r="O506" s="391" t="inlineStr">
        <is>
          <t> </t>
        </is>
      </c>
      <c r="P506" s="391" t="inlineStr">
        <is>
          <t> </t>
        </is>
      </c>
      <c r="Q506" s="391" t="inlineStr">
        <is>
          <t> </t>
        </is>
      </c>
      <c r="R506" s="38" t="inlineStr">
        <is>
          <t> </t>
        </is>
      </c>
      <c r="S506" s="391" t="inlineStr">
        <is>
          <t> </t>
        </is>
      </c>
      <c r="T506" s="391" t="inlineStr">
        <is>
          <t> </t>
        </is>
      </c>
      <c r="U506" s="391" t="inlineStr">
        <is>
          <t> </t>
        </is>
      </c>
      <c r="V506" s="391" t="inlineStr">
        <is>
          <t> </t>
        </is>
      </c>
      <c r="W506" s="391" t="inlineStr">
        <is>
          <t> </t>
        </is>
      </c>
      <c r="X506" s="391" t="inlineStr">
        <is>
          <t> </t>
        </is>
      </c>
      <c r="Y506" s="392" t="inlineStr">
        <is>
          <t> </t>
        </is>
      </c>
      <c r="Z506" s="391" t="inlineStr">
        <is>
          <t> </t>
        </is>
      </c>
      <c r="AA506" s="391" t="inlineStr">
        <is>
          <t> </t>
        </is>
      </c>
      <c r="AB506" s="391" t="inlineStr">
        <is>
          <t> </t>
        </is>
      </c>
      <c r="AC506" s="391" t="inlineStr">
        <is>
          <t> </t>
        </is>
      </c>
      <c r="AD506" s="391" t="inlineStr">
        <is>
          <t> </t>
        </is>
      </c>
      <c r="AE506" s="391" t="inlineStr">
        <is>
          <t> </t>
        </is>
      </c>
      <c r="AF506" s="38" t="inlineStr">
        <is>
          <t> </t>
        </is>
      </c>
      <c r="AG506" s="391" t="inlineStr">
        <is>
          <t> </t>
        </is>
      </c>
      <c r="AH506" s="391" t="n"/>
      <c r="AI506" s="391" t="inlineStr">
        <is>
          <t> </t>
        </is>
      </c>
      <c r="AJ506" s="391" t="inlineStr">
        <is>
          <t> </t>
        </is>
      </c>
      <c r="AK506" s="391" t="inlineStr">
        <is>
          <t> </t>
        </is>
      </c>
      <c r="AL506" s="391" t="inlineStr">
        <is>
          <t> </t>
        </is>
      </c>
      <c r="AM506" s="391" t="inlineStr">
        <is>
          <t> </t>
        </is>
      </c>
      <c r="AN506" s="391" t="inlineStr">
        <is>
          <t> </t>
        </is>
      </c>
      <c r="AO506" s="391" t="n"/>
      <c r="AP506" s="319" t="n"/>
      <c r="AQ506" s="319" t="n"/>
      <c r="AR506" s="319" t="n"/>
    </row>
    <row r="507" ht="15.75" customHeight="1" s="1264">
      <c r="A507" s="319" t="inlineStr">
        <is>
          <t> </t>
        </is>
      </c>
      <c r="B507" s="319" t="inlineStr">
        <is>
          <t> </t>
        </is>
      </c>
      <c r="C507" s="319" t="inlineStr">
        <is>
          <t> </t>
        </is>
      </c>
      <c r="D507" s="38" t="inlineStr">
        <is>
          <t> </t>
        </is>
      </c>
      <c r="E507" s="391" t="inlineStr">
        <is>
          <t> </t>
        </is>
      </c>
      <c r="F507" s="391" t="inlineStr">
        <is>
          <t> </t>
        </is>
      </c>
      <c r="G507" s="391" t="inlineStr">
        <is>
          <t> </t>
        </is>
      </c>
      <c r="H507" s="391" t="inlineStr">
        <is>
          <t> </t>
        </is>
      </c>
      <c r="I507" s="391" t="inlineStr">
        <is>
          <t> </t>
        </is>
      </c>
      <c r="J507" s="391" t="inlineStr">
        <is>
          <t> </t>
        </is>
      </c>
      <c r="K507" s="38" t="inlineStr">
        <is>
          <t> </t>
        </is>
      </c>
      <c r="L507" s="391" t="inlineStr">
        <is>
          <t> </t>
        </is>
      </c>
      <c r="M507" s="391" t="inlineStr">
        <is>
          <t> </t>
        </is>
      </c>
      <c r="N507" s="391" t="inlineStr">
        <is>
          <t> </t>
        </is>
      </c>
      <c r="O507" s="391" t="inlineStr">
        <is>
          <t> </t>
        </is>
      </c>
      <c r="P507" s="391" t="inlineStr">
        <is>
          <t> </t>
        </is>
      </c>
      <c r="Q507" s="391" t="inlineStr">
        <is>
          <t> </t>
        </is>
      </c>
      <c r="R507" s="38" t="inlineStr">
        <is>
          <t> </t>
        </is>
      </c>
      <c r="S507" s="391" t="inlineStr">
        <is>
          <t> </t>
        </is>
      </c>
      <c r="T507" s="391" t="inlineStr">
        <is>
          <t> </t>
        </is>
      </c>
      <c r="U507" s="391" t="inlineStr">
        <is>
          <t> </t>
        </is>
      </c>
      <c r="V507" s="391" t="inlineStr">
        <is>
          <t> </t>
        </is>
      </c>
      <c r="W507" s="391" t="inlineStr">
        <is>
          <t> </t>
        </is>
      </c>
      <c r="X507" s="391" t="inlineStr">
        <is>
          <t> </t>
        </is>
      </c>
      <c r="Y507" s="392" t="inlineStr">
        <is>
          <t> </t>
        </is>
      </c>
      <c r="Z507" s="391" t="inlineStr">
        <is>
          <t> </t>
        </is>
      </c>
      <c r="AA507" s="391" t="inlineStr">
        <is>
          <t> </t>
        </is>
      </c>
      <c r="AB507" s="391" t="inlineStr">
        <is>
          <t> </t>
        </is>
      </c>
      <c r="AC507" s="391" t="inlineStr">
        <is>
          <t> </t>
        </is>
      </c>
      <c r="AD507" s="391" t="inlineStr">
        <is>
          <t> </t>
        </is>
      </c>
      <c r="AE507" s="391" t="inlineStr">
        <is>
          <t> </t>
        </is>
      </c>
      <c r="AF507" s="38" t="inlineStr">
        <is>
          <t> </t>
        </is>
      </c>
      <c r="AG507" s="391" t="inlineStr">
        <is>
          <t> </t>
        </is>
      </c>
      <c r="AH507" s="391" t="n"/>
      <c r="AI507" s="391" t="inlineStr">
        <is>
          <t> </t>
        </is>
      </c>
      <c r="AJ507" s="391" t="inlineStr">
        <is>
          <t> </t>
        </is>
      </c>
      <c r="AK507" s="391" t="inlineStr">
        <is>
          <t> </t>
        </is>
      </c>
      <c r="AL507" s="391" t="inlineStr">
        <is>
          <t> </t>
        </is>
      </c>
      <c r="AM507" s="391" t="inlineStr">
        <is>
          <t> </t>
        </is>
      </c>
      <c r="AN507" s="391" t="inlineStr">
        <is>
          <t> </t>
        </is>
      </c>
      <c r="AO507" s="391" t="n"/>
      <c r="AP507" s="319" t="n"/>
      <c r="AQ507" s="319" t="n"/>
      <c r="AR507" s="319" t="n"/>
    </row>
    <row r="508" ht="15.75" customHeight="1" s="1264">
      <c r="A508" s="319" t="inlineStr">
        <is>
          <t> </t>
        </is>
      </c>
      <c r="B508" s="319" t="inlineStr">
        <is>
          <t> </t>
        </is>
      </c>
      <c r="C508" s="319" t="inlineStr">
        <is>
          <t> </t>
        </is>
      </c>
      <c r="D508" s="38" t="inlineStr">
        <is>
          <t> </t>
        </is>
      </c>
      <c r="E508" s="391" t="inlineStr">
        <is>
          <t> </t>
        </is>
      </c>
      <c r="F508" s="391" t="inlineStr">
        <is>
          <t> </t>
        </is>
      </c>
      <c r="G508" s="391" t="inlineStr">
        <is>
          <t> </t>
        </is>
      </c>
      <c r="H508" s="391" t="inlineStr">
        <is>
          <t> </t>
        </is>
      </c>
      <c r="I508" s="391" t="inlineStr">
        <is>
          <t> </t>
        </is>
      </c>
      <c r="J508" s="391" t="inlineStr">
        <is>
          <t> </t>
        </is>
      </c>
      <c r="K508" s="38" t="inlineStr">
        <is>
          <t> </t>
        </is>
      </c>
      <c r="L508" s="391" t="inlineStr">
        <is>
          <t> </t>
        </is>
      </c>
      <c r="M508" s="391" t="inlineStr">
        <is>
          <t> </t>
        </is>
      </c>
      <c r="N508" s="391" t="inlineStr">
        <is>
          <t> </t>
        </is>
      </c>
      <c r="O508" s="391" t="inlineStr">
        <is>
          <t> </t>
        </is>
      </c>
      <c r="P508" s="391" t="inlineStr">
        <is>
          <t> </t>
        </is>
      </c>
      <c r="Q508" s="391" t="inlineStr">
        <is>
          <t> </t>
        </is>
      </c>
      <c r="R508" s="38" t="inlineStr">
        <is>
          <t> </t>
        </is>
      </c>
      <c r="S508" s="391" t="inlineStr">
        <is>
          <t> </t>
        </is>
      </c>
      <c r="T508" s="391" t="inlineStr">
        <is>
          <t> </t>
        </is>
      </c>
      <c r="U508" s="391" t="inlineStr">
        <is>
          <t> </t>
        </is>
      </c>
      <c r="V508" s="391" t="inlineStr">
        <is>
          <t> </t>
        </is>
      </c>
      <c r="W508" s="391" t="inlineStr">
        <is>
          <t> </t>
        </is>
      </c>
      <c r="X508" s="391" t="inlineStr">
        <is>
          <t> </t>
        </is>
      </c>
      <c r="Y508" s="392" t="inlineStr">
        <is>
          <t> </t>
        </is>
      </c>
      <c r="Z508" s="391" t="inlineStr">
        <is>
          <t> </t>
        </is>
      </c>
      <c r="AA508" s="391" t="inlineStr">
        <is>
          <t> </t>
        </is>
      </c>
      <c r="AB508" s="391" t="inlineStr">
        <is>
          <t> </t>
        </is>
      </c>
      <c r="AC508" s="391" t="inlineStr">
        <is>
          <t> </t>
        </is>
      </c>
      <c r="AD508" s="391" t="inlineStr">
        <is>
          <t> </t>
        </is>
      </c>
      <c r="AE508" s="391" t="inlineStr">
        <is>
          <t> </t>
        </is>
      </c>
      <c r="AF508" s="38" t="inlineStr">
        <is>
          <t> </t>
        </is>
      </c>
      <c r="AG508" s="391" t="inlineStr">
        <is>
          <t> </t>
        </is>
      </c>
      <c r="AH508" s="391" t="n"/>
      <c r="AI508" s="391" t="inlineStr">
        <is>
          <t> </t>
        </is>
      </c>
      <c r="AJ508" s="391" t="inlineStr">
        <is>
          <t> </t>
        </is>
      </c>
      <c r="AK508" s="391" t="inlineStr">
        <is>
          <t> </t>
        </is>
      </c>
      <c r="AL508" s="391" t="inlineStr">
        <is>
          <t> </t>
        </is>
      </c>
      <c r="AM508" s="391" t="inlineStr">
        <is>
          <t> </t>
        </is>
      </c>
      <c r="AN508" s="391" t="inlineStr">
        <is>
          <t> </t>
        </is>
      </c>
      <c r="AO508" s="391" t="n"/>
      <c r="AP508" s="319" t="n"/>
      <c r="AQ508" s="319" t="n"/>
      <c r="AR508" s="319" t="n"/>
    </row>
    <row r="509" ht="15.75" customHeight="1" s="1264">
      <c r="A509" s="319" t="inlineStr">
        <is>
          <t> </t>
        </is>
      </c>
      <c r="B509" s="319" t="inlineStr">
        <is>
          <t> </t>
        </is>
      </c>
      <c r="C509" s="319" t="inlineStr">
        <is>
          <t> </t>
        </is>
      </c>
      <c r="D509" s="38" t="inlineStr">
        <is>
          <t> </t>
        </is>
      </c>
      <c r="E509" s="391" t="inlineStr">
        <is>
          <t> </t>
        </is>
      </c>
      <c r="F509" s="391" t="inlineStr">
        <is>
          <t> </t>
        </is>
      </c>
      <c r="G509" s="391" t="inlineStr">
        <is>
          <t> </t>
        </is>
      </c>
      <c r="H509" s="391" t="inlineStr">
        <is>
          <t> </t>
        </is>
      </c>
      <c r="I509" s="391" t="inlineStr">
        <is>
          <t> </t>
        </is>
      </c>
      <c r="J509" s="391" t="inlineStr">
        <is>
          <t> </t>
        </is>
      </c>
      <c r="K509" s="38" t="inlineStr">
        <is>
          <t> </t>
        </is>
      </c>
      <c r="L509" s="391" t="inlineStr">
        <is>
          <t> </t>
        </is>
      </c>
      <c r="M509" s="391" t="inlineStr">
        <is>
          <t> </t>
        </is>
      </c>
      <c r="N509" s="391" t="inlineStr">
        <is>
          <t> </t>
        </is>
      </c>
      <c r="O509" s="391" t="inlineStr">
        <is>
          <t> </t>
        </is>
      </c>
      <c r="P509" s="391" t="inlineStr">
        <is>
          <t> </t>
        </is>
      </c>
      <c r="Q509" s="391" t="inlineStr">
        <is>
          <t> </t>
        </is>
      </c>
      <c r="R509" s="38" t="inlineStr">
        <is>
          <t> </t>
        </is>
      </c>
      <c r="S509" s="391" t="inlineStr">
        <is>
          <t> </t>
        </is>
      </c>
      <c r="T509" s="391" t="inlineStr">
        <is>
          <t> </t>
        </is>
      </c>
      <c r="U509" s="391" t="inlineStr">
        <is>
          <t> </t>
        </is>
      </c>
      <c r="V509" s="391" t="inlineStr">
        <is>
          <t> </t>
        </is>
      </c>
      <c r="W509" s="391" t="inlineStr">
        <is>
          <t> </t>
        </is>
      </c>
      <c r="X509" s="391" t="inlineStr">
        <is>
          <t> </t>
        </is>
      </c>
      <c r="Y509" s="392" t="inlineStr">
        <is>
          <t> </t>
        </is>
      </c>
      <c r="Z509" s="391" t="inlineStr">
        <is>
          <t> </t>
        </is>
      </c>
      <c r="AA509" s="391" t="inlineStr">
        <is>
          <t> </t>
        </is>
      </c>
      <c r="AB509" s="391" t="inlineStr">
        <is>
          <t> </t>
        </is>
      </c>
      <c r="AC509" s="391" t="inlineStr">
        <is>
          <t> </t>
        </is>
      </c>
      <c r="AD509" s="391" t="inlineStr">
        <is>
          <t> </t>
        </is>
      </c>
      <c r="AE509" s="391" t="inlineStr">
        <is>
          <t> </t>
        </is>
      </c>
      <c r="AF509" s="38" t="inlineStr">
        <is>
          <t> </t>
        </is>
      </c>
      <c r="AG509" s="391" t="inlineStr">
        <is>
          <t> </t>
        </is>
      </c>
      <c r="AH509" s="391" t="n"/>
      <c r="AI509" s="391" t="inlineStr">
        <is>
          <t> </t>
        </is>
      </c>
      <c r="AJ509" s="391" t="inlineStr">
        <is>
          <t> </t>
        </is>
      </c>
      <c r="AK509" s="391" t="inlineStr">
        <is>
          <t> </t>
        </is>
      </c>
      <c r="AL509" s="391" t="inlineStr">
        <is>
          <t> </t>
        </is>
      </c>
      <c r="AM509" s="391" t="inlineStr">
        <is>
          <t> </t>
        </is>
      </c>
      <c r="AN509" s="391" t="inlineStr">
        <is>
          <t> </t>
        </is>
      </c>
      <c r="AO509" s="391" t="n"/>
      <c r="AP509" s="319" t="n"/>
      <c r="AQ509" s="319" t="n"/>
      <c r="AR509" s="319" t="n"/>
    </row>
    <row r="510" ht="15.75" customHeight="1" s="1264">
      <c r="A510" s="319" t="inlineStr">
        <is>
          <t> </t>
        </is>
      </c>
      <c r="B510" s="319" t="inlineStr">
        <is>
          <t> </t>
        </is>
      </c>
      <c r="C510" s="319" t="inlineStr">
        <is>
          <t> </t>
        </is>
      </c>
      <c r="D510" s="38" t="inlineStr">
        <is>
          <t> </t>
        </is>
      </c>
      <c r="E510" s="391" t="inlineStr">
        <is>
          <t> </t>
        </is>
      </c>
      <c r="F510" s="391" t="inlineStr">
        <is>
          <t> </t>
        </is>
      </c>
      <c r="G510" s="391" t="inlineStr">
        <is>
          <t> </t>
        </is>
      </c>
      <c r="H510" s="391" t="inlineStr">
        <is>
          <t> </t>
        </is>
      </c>
      <c r="I510" s="391" t="inlineStr">
        <is>
          <t> </t>
        </is>
      </c>
      <c r="J510" s="391" t="inlineStr">
        <is>
          <t> </t>
        </is>
      </c>
      <c r="K510" s="38" t="inlineStr">
        <is>
          <t> </t>
        </is>
      </c>
      <c r="L510" s="391" t="inlineStr">
        <is>
          <t> </t>
        </is>
      </c>
      <c r="M510" s="391" t="inlineStr">
        <is>
          <t> </t>
        </is>
      </c>
      <c r="N510" s="391" t="inlineStr">
        <is>
          <t> </t>
        </is>
      </c>
      <c r="O510" s="391" t="inlineStr">
        <is>
          <t> </t>
        </is>
      </c>
      <c r="P510" s="391" t="inlineStr">
        <is>
          <t> </t>
        </is>
      </c>
      <c r="Q510" s="391" t="inlineStr">
        <is>
          <t> </t>
        </is>
      </c>
      <c r="R510" s="38" t="inlineStr">
        <is>
          <t> </t>
        </is>
      </c>
      <c r="S510" s="391" t="inlineStr">
        <is>
          <t> </t>
        </is>
      </c>
      <c r="T510" s="391" t="inlineStr">
        <is>
          <t> </t>
        </is>
      </c>
      <c r="U510" s="391" t="inlineStr">
        <is>
          <t> </t>
        </is>
      </c>
      <c r="V510" s="391" t="inlineStr">
        <is>
          <t> </t>
        </is>
      </c>
      <c r="W510" s="391" t="inlineStr">
        <is>
          <t> </t>
        </is>
      </c>
      <c r="X510" s="391" t="inlineStr">
        <is>
          <t> </t>
        </is>
      </c>
      <c r="Y510" s="392" t="inlineStr">
        <is>
          <t> </t>
        </is>
      </c>
      <c r="Z510" s="391" t="inlineStr">
        <is>
          <t> </t>
        </is>
      </c>
      <c r="AA510" s="391" t="inlineStr">
        <is>
          <t> </t>
        </is>
      </c>
      <c r="AB510" s="391" t="inlineStr">
        <is>
          <t> </t>
        </is>
      </c>
      <c r="AC510" s="391" t="inlineStr">
        <is>
          <t> </t>
        </is>
      </c>
      <c r="AD510" s="391" t="inlineStr">
        <is>
          <t> </t>
        </is>
      </c>
      <c r="AE510" s="391" t="inlineStr">
        <is>
          <t> </t>
        </is>
      </c>
      <c r="AF510" s="38" t="inlineStr">
        <is>
          <t> </t>
        </is>
      </c>
      <c r="AG510" s="391" t="inlineStr">
        <is>
          <t> </t>
        </is>
      </c>
      <c r="AH510" s="391" t="n"/>
      <c r="AI510" s="391" t="inlineStr">
        <is>
          <t> </t>
        </is>
      </c>
      <c r="AJ510" s="391" t="inlineStr">
        <is>
          <t> </t>
        </is>
      </c>
      <c r="AK510" s="391" t="inlineStr">
        <is>
          <t> </t>
        </is>
      </c>
      <c r="AL510" s="391" t="inlineStr">
        <is>
          <t> </t>
        </is>
      </c>
      <c r="AM510" s="391" t="inlineStr">
        <is>
          <t> </t>
        </is>
      </c>
      <c r="AN510" s="391" t="inlineStr">
        <is>
          <t> </t>
        </is>
      </c>
      <c r="AO510" s="391" t="n"/>
      <c r="AP510" s="319" t="n"/>
      <c r="AQ510" s="319" t="n"/>
      <c r="AR510" s="319" t="n"/>
    </row>
    <row r="511" ht="15.75" customHeight="1" s="1264">
      <c r="A511" s="319" t="inlineStr">
        <is>
          <t> </t>
        </is>
      </c>
      <c r="B511" s="319" t="inlineStr">
        <is>
          <t> </t>
        </is>
      </c>
      <c r="C511" s="319" t="inlineStr">
        <is>
          <t> </t>
        </is>
      </c>
      <c r="D511" s="38" t="inlineStr">
        <is>
          <t> </t>
        </is>
      </c>
      <c r="E511" s="391" t="inlineStr">
        <is>
          <t> </t>
        </is>
      </c>
      <c r="F511" s="391" t="inlineStr">
        <is>
          <t> </t>
        </is>
      </c>
      <c r="G511" s="391" t="inlineStr">
        <is>
          <t> </t>
        </is>
      </c>
      <c r="H511" s="391" t="inlineStr">
        <is>
          <t> </t>
        </is>
      </c>
      <c r="I511" s="391" t="inlineStr">
        <is>
          <t> </t>
        </is>
      </c>
      <c r="J511" s="391" t="inlineStr">
        <is>
          <t> </t>
        </is>
      </c>
      <c r="K511" s="38" t="inlineStr">
        <is>
          <t> </t>
        </is>
      </c>
      <c r="L511" s="391" t="inlineStr">
        <is>
          <t> </t>
        </is>
      </c>
      <c r="M511" s="391" t="inlineStr">
        <is>
          <t> </t>
        </is>
      </c>
      <c r="N511" s="391" t="inlineStr">
        <is>
          <t> </t>
        </is>
      </c>
      <c r="O511" s="391" t="inlineStr">
        <is>
          <t> </t>
        </is>
      </c>
      <c r="P511" s="391" t="inlineStr">
        <is>
          <t> </t>
        </is>
      </c>
      <c r="Q511" s="391" t="inlineStr">
        <is>
          <t> </t>
        </is>
      </c>
      <c r="R511" s="38" t="inlineStr">
        <is>
          <t> </t>
        </is>
      </c>
      <c r="S511" s="391" t="inlineStr">
        <is>
          <t> </t>
        </is>
      </c>
      <c r="T511" s="391" t="inlineStr">
        <is>
          <t> </t>
        </is>
      </c>
      <c r="U511" s="391" t="inlineStr">
        <is>
          <t> </t>
        </is>
      </c>
      <c r="V511" s="391" t="inlineStr">
        <is>
          <t> </t>
        </is>
      </c>
      <c r="W511" s="391" t="inlineStr">
        <is>
          <t> </t>
        </is>
      </c>
      <c r="X511" s="391" t="inlineStr">
        <is>
          <t> </t>
        </is>
      </c>
      <c r="Y511" s="392" t="inlineStr">
        <is>
          <t> </t>
        </is>
      </c>
      <c r="Z511" s="391" t="inlineStr">
        <is>
          <t> </t>
        </is>
      </c>
      <c r="AA511" s="391" t="inlineStr">
        <is>
          <t> </t>
        </is>
      </c>
      <c r="AB511" s="391" t="inlineStr">
        <is>
          <t> </t>
        </is>
      </c>
      <c r="AC511" s="391" t="inlineStr">
        <is>
          <t> </t>
        </is>
      </c>
      <c r="AD511" s="391" t="inlineStr">
        <is>
          <t> </t>
        </is>
      </c>
      <c r="AE511" s="391" t="inlineStr">
        <is>
          <t> </t>
        </is>
      </c>
      <c r="AF511" s="38" t="inlineStr">
        <is>
          <t> </t>
        </is>
      </c>
      <c r="AG511" s="391" t="inlineStr">
        <is>
          <t> </t>
        </is>
      </c>
      <c r="AH511" s="391" t="n"/>
      <c r="AI511" s="391" t="inlineStr">
        <is>
          <t> </t>
        </is>
      </c>
      <c r="AJ511" s="391" t="inlineStr">
        <is>
          <t> </t>
        </is>
      </c>
      <c r="AK511" s="391" t="inlineStr">
        <is>
          <t> </t>
        </is>
      </c>
      <c r="AL511" s="391" t="inlineStr">
        <is>
          <t> </t>
        </is>
      </c>
      <c r="AM511" s="391" t="inlineStr">
        <is>
          <t> </t>
        </is>
      </c>
      <c r="AN511" s="391" t="inlineStr">
        <is>
          <t> </t>
        </is>
      </c>
      <c r="AO511" s="391" t="n"/>
      <c r="AP511" s="319" t="n"/>
      <c r="AQ511" s="319" t="n"/>
      <c r="AR511" s="319" t="n"/>
    </row>
    <row r="512" ht="15.75" customHeight="1" s="1264">
      <c r="A512" s="319" t="inlineStr">
        <is>
          <t> </t>
        </is>
      </c>
      <c r="B512" s="319" t="inlineStr">
        <is>
          <t> </t>
        </is>
      </c>
      <c r="C512" s="319" t="inlineStr">
        <is>
          <t> </t>
        </is>
      </c>
      <c r="D512" s="38" t="inlineStr">
        <is>
          <t> </t>
        </is>
      </c>
      <c r="E512" s="391" t="inlineStr">
        <is>
          <t> </t>
        </is>
      </c>
      <c r="F512" s="391" t="inlineStr">
        <is>
          <t> </t>
        </is>
      </c>
      <c r="G512" s="391" t="inlineStr">
        <is>
          <t> </t>
        </is>
      </c>
      <c r="H512" s="391" t="inlineStr">
        <is>
          <t> </t>
        </is>
      </c>
      <c r="I512" s="391" t="inlineStr">
        <is>
          <t> </t>
        </is>
      </c>
      <c r="J512" s="391" t="inlineStr">
        <is>
          <t> </t>
        </is>
      </c>
      <c r="K512" s="38" t="inlineStr">
        <is>
          <t> </t>
        </is>
      </c>
      <c r="L512" s="391" t="inlineStr">
        <is>
          <t> </t>
        </is>
      </c>
      <c r="M512" s="391" t="inlineStr">
        <is>
          <t> </t>
        </is>
      </c>
      <c r="N512" s="391" t="inlineStr">
        <is>
          <t> </t>
        </is>
      </c>
      <c r="O512" s="391" t="inlineStr">
        <is>
          <t> </t>
        </is>
      </c>
      <c r="P512" s="391" t="inlineStr">
        <is>
          <t> </t>
        </is>
      </c>
      <c r="Q512" s="391" t="inlineStr">
        <is>
          <t> </t>
        </is>
      </c>
      <c r="R512" s="38" t="inlineStr">
        <is>
          <t> </t>
        </is>
      </c>
      <c r="S512" s="391" t="inlineStr">
        <is>
          <t> </t>
        </is>
      </c>
      <c r="T512" s="391" t="inlineStr">
        <is>
          <t> </t>
        </is>
      </c>
      <c r="U512" s="391" t="inlineStr">
        <is>
          <t> </t>
        </is>
      </c>
      <c r="V512" s="391" t="inlineStr">
        <is>
          <t> </t>
        </is>
      </c>
      <c r="W512" s="391" t="inlineStr">
        <is>
          <t> </t>
        </is>
      </c>
      <c r="X512" s="391" t="inlineStr">
        <is>
          <t> </t>
        </is>
      </c>
      <c r="Y512" s="392" t="inlineStr">
        <is>
          <t> </t>
        </is>
      </c>
      <c r="Z512" s="391" t="inlineStr">
        <is>
          <t> </t>
        </is>
      </c>
      <c r="AA512" s="391" t="inlineStr">
        <is>
          <t> </t>
        </is>
      </c>
      <c r="AB512" s="391" t="inlineStr">
        <is>
          <t> </t>
        </is>
      </c>
      <c r="AC512" s="391" t="inlineStr">
        <is>
          <t> </t>
        </is>
      </c>
      <c r="AD512" s="391" t="inlineStr">
        <is>
          <t> </t>
        </is>
      </c>
      <c r="AE512" s="391" t="inlineStr">
        <is>
          <t> </t>
        </is>
      </c>
      <c r="AF512" s="38" t="inlineStr">
        <is>
          <t> </t>
        </is>
      </c>
      <c r="AG512" s="391" t="inlineStr">
        <is>
          <t> </t>
        </is>
      </c>
      <c r="AH512" s="391" t="n"/>
      <c r="AI512" s="391" t="inlineStr">
        <is>
          <t> </t>
        </is>
      </c>
      <c r="AJ512" s="391" t="inlineStr">
        <is>
          <t> </t>
        </is>
      </c>
      <c r="AK512" s="391" t="inlineStr">
        <is>
          <t> </t>
        </is>
      </c>
      <c r="AL512" s="391" t="inlineStr">
        <is>
          <t> </t>
        </is>
      </c>
      <c r="AM512" s="391" t="inlineStr">
        <is>
          <t> </t>
        </is>
      </c>
      <c r="AN512" s="391" t="inlineStr">
        <is>
          <t> </t>
        </is>
      </c>
      <c r="AO512" s="391" t="n"/>
      <c r="AP512" s="319" t="n"/>
      <c r="AQ512" s="319" t="n"/>
      <c r="AR512" s="319" t="n"/>
    </row>
    <row r="513" ht="15.75" customHeight="1" s="1264">
      <c r="A513" s="319" t="inlineStr">
        <is>
          <t> </t>
        </is>
      </c>
      <c r="B513" s="319" t="inlineStr">
        <is>
          <t> </t>
        </is>
      </c>
      <c r="C513" s="319" t="inlineStr">
        <is>
          <t> </t>
        </is>
      </c>
      <c r="D513" s="38" t="inlineStr">
        <is>
          <t> </t>
        </is>
      </c>
      <c r="E513" s="391" t="inlineStr">
        <is>
          <t> </t>
        </is>
      </c>
      <c r="F513" s="391" t="inlineStr">
        <is>
          <t> </t>
        </is>
      </c>
      <c r="G513" s="391" t="inlineStr">
        <is>
          <t> </t>
        </is>
      </c>
      <c r="H513" s="391" t="inlineStr">
        <is>
          <t> </t>
        </is>
      </c>
      <c r="I513" s="391" t="inlineStr">
        <is>
          <t> </t>
        </is>
      </c>
      <c r="J513" s="391" t="inlineStr">
        <is>
          <t> </t>
        </is>
      </c>
      <c r="K513" s="38" t="inlineStr">
        <is>
          <t> </t>
        </is>
      </c>
      <c r="L513" s="391" t="inlineStr">
        <is>
          <t> </t>
        </is>
      </c>
      <c r="M513" s="391" t="inlineStr">
        <is>
          <t> </t>
        </is>
      </c>
      <c r="N513" s="391" t="inlineStr">
        <is>
          <t> </t>
        </is>
      </c>
      <c r="O513" s="391" t="inlineStr">
        <is>
          <t> </t>
        </is>
      </c>
      <c r="P513" s="391" t="inlineStr">
        <is>
          <t> </t>
        </is>
      </c>
      <c r="Q513" s="391" t="inlineStr">
        <is>
          <t> </t>
        </is>
      </c>
      <c r="R513" s="38" t="inlineStr">
        <is>
          <t> </t>
        </is>
      </c>
      <c r="S513" s="391" t="inlineStr">
        <is>
          <t> </t>
        </is>
      </c>
      <c r="T513" s="391" t="inlineStr">
        <is>
          <t> </t>
        </is>
      </c>
      <c r="U513" s="391" t="inlineStr">
        <is>
          <t> </t>
        </is>
      </c>
      <c r="V513" s="391" t="inlineStr">
        <is>
          <t> </t>
        </is>
      </c>
      <c r="W513" s="391" t="inlineStr">
        <is>
          <t> </t>
        </is>
      </c>
      <c r="X513" s="391" t="inlineStr">
        <is>
          <t> </t>
        </is>
      </c>
      <c r="Y513" s="392" t="inlineStr">
        <is>
          <t> </t>
        </is>
      </c>
      <c r="Z513" s="391" t="inlineStr">
        <is>
          <t> </t>
        </is>
      </c>
      <c r="AA513" s="391" t="inlineStr">
        <is>
          <t> </t>
        </is>
      </c>
      <c r="AB513" s="391" t="inlineStr">
        <is>
          <t> </t>
        </is>
      </c>
      <c r="AC513" s="391" t="inlineStr">
        <is>
          <t> </t>
        </is>
      </c>
      <c r="AD513" s="391" t="inlineStr">
        <is>
          <t> </t>
        </is>
      </c>
      <c r="AE513" s="391" t="inlineStr">
        <is>
          <t> </t>
        </is>
      </c>
      <c r="AF513" s="38" t="inlineStr">
        <is>
          <t> </t>
        </is>
      </c>
      <c r="AG513" s="391" t="inlineStr">
        <is>
          <t> </t>
        </is>
      </c>
      <c r="AH513" s="391" t="n"/>
      <c r="AI513" s="391" t="inlineStr">
        <is>
          <t> </t>
        </is>
      </c>
      <c r="AJ513" s="391" t="inlineStr">
        <is>
          <t> </t>
        </is>
      </c>
      <c r="AK513" s="391" t="inlineStr">
        <is>
          <t> </t>
        </is>
      </c>
      <c r="AL513" s="391" t="inlineStr">
        <is>
          <t> </t>
        </is>
      </c>
      <c r="AM513" s="391" t="inlineStr">
        <is>
          <t> </t>
        </is>
      </c>
      <c r="AN513" s="391" t="inlineStr">
        <is>
          <t> </t>
        </is>
      </c>
      <c r="AO513" s="391" t="n"/>
      <c r="AP513" s="319" t="n"/>
      <c r="AQ513" s="319" t="n"/>
      <c r="AR513" s="319" t="n"/>
    </row>
    <row r="514" ht="15.75" customHeight="1" s="1264">
      <c r="A514" s="319" t="inlineStr">
        <is>
          <t> </t>
        </is>
      </c>
      <c r="B514" s="319" t="inlineStr">
        <is>
          <t> </t>
        </is>
      </c>
      <c r="C514" s="319" t="inlineStr">
        <is>
          <t> </t>
        </is>
      </c>
      <c r="D514" s="38" t="inlineStr">
        <is>
          <t> </t>
        </is>
      </c>
      <c r="E514" s="391" t="inlineStr">
        <is>
          <t> </t>
        </is>
      </c>
      <c r="F514" s="391" t="inlineStr">
        <is>
          <t> </t>
        </is>
      </c>
      <c r="G514" s="391" t="inlineStr">
        <is>
          <t> </t>
        </is>
      </c>
      <c r="H514" s="391" t="inlineStr">
        <is>
          <t> </t>
        </is>
      </c>
      <c r="I514" s="391" t="inlineStr">
        <is>
          <t> </t>
        </is>
      </c>
      <c r="J514" s="391" t="inlineStr">
        <is>
          <t> </t>
        </is>
      </c>
      <c r="K514" s="38" t="inlineStr">
        <is>
          <t> </t>
        </is>
      </c>
      <c r="L514" s="391" t="inlineStr">
        <is>
          <t> </t>
        </is>
      </c>
      <c r="M514" s="391" t="inlineStr">
        <is>
          <t> </t>
        </is>
      </c>
      <c r="N514" s="391" t="inlineStr">
        <is>
          <t> </t>
        </is>
      </c>
      <c r="O514" s="391" t="inlineStr">
        <is>
          <t> </t>
        </is>
      </c>
      <c r="P514" s="391" t="inlineStr">
        <is>
          <t> </t>
        </is>
      </c>
      <c r="Q514" s="391" t="inlineStr">
        <is>
          <t> </t>
        </is>
      </c>
      <c r="R514" s="38" t="inlineStr">
        <is>
          <t> </t>
        </is>
      </c>
      <c r="S514" s="391" t="inlineStr">
        <is>
          <t> </t>
        </is>
      </c>
      <c r="T514" s="391" t="inlineStr">
        <is>
          <t> </t>
        </is>
      </c>
      <c r="U514" s="391" t="inlineStr">
        <is>
          <t> </t>
        </is>
      </c>
      <c r="V514" s="391" t="inlineStr">
        <is>
          <t> </t>
        </is>
      </c>
      <c r="W514" s="391" t="inlineStr">
        <is>
          <t> </t>
        </is>
      </c>
      <c r="X514" s="391" t="inlineStr">
        <is>
          <t> </t>
        </is>
      </c>
      <c r="Y514" s="392" t="inlineStr">
        <is>
          <t> </t>
        </is>
      </c>
      <c r="Z514" s="391" t="inlineStr">
        <is>
          <t> </t>
        </is>
      </c>
      <c r="AA514" s="391" t="inlineStr">
        <is>
          <t> </t>
        </is>
      </c>
      <c r="AB514" s="391" t="inlineStr">
        <is>
          <t> </t>
        </is>
      </c>
      <c r="AC514" s="391" t="inlineStr">
        <is>
          <t> </t>
        </is>
      </c>
      <c r="AD514" s="391" t="inlineStr">
        <is>
          <t> </t>
        </is>
      </c>
      <c r="AE514" s="391" t="inlineStr">
        <is>
          <t> </t>
        </is>
      </c>
      <c r="AF514" s="38" t="inlineStr">
        <is>
          <t> </t>
        </is>
      </c>
      <c r="AG514" s="391" t="inlineStr">
        <is>
          <t> </t>
        </is>
      </c>
      <c r="AH514" s="391" t="n"/>
      <c r="AI514" s="391" t="inlineStr">
        <is>
          <t> </t>
        </is>
      </c>
      <c r="AJ514" s="391" t="inlineStr">
        <is>
          <t> </t>
        </is>
      </c>
      <c r="AK514" s="391" t="inlineStr">
        <is>
          <t> </t>
        </is>
      </c>
      <c r="AL514" s="391" t="inlineStr">
        <is>
          <t> </t>
        </is>
      </c>
      <c r="AM514" s="391" t="inlineStr">
        <is>
          <t> </t>
        </is>
      </c>
      <c r="AN514" s="391" t="inlineStr">
        <is>
          <t> </t>
        </is>
      </c>
      <c r="AO514" s="391" t="n"/>
      <c r="AP514" s="319" t="n"/>
      <c r="AQ514" s="319" t="n"/>
      <c r="AR514" s="319" t="n"/>
    </row>
    <row r="515" ht="15.75" customHeight="1" s="1264">
      <c r="A515" s="319" t="inlineStr">
        <is>
          <t> </t>
        </is>
      </c>
      <c r="B515" s="319" t="inlineStr">
        <is>
          <t> </t>
        </is>
      </c>
      <c r="C515" s="319" t="inlineStr">
        <is>
          <t> </t>
        </is>
      </c>
      <c r="D515" s="38" t="inlineStr">
        <is>
          <t> </t>
        </is>
      </c>
      <c r="E515" s="391" t="inlineStr">
        <is>
          <t> </t>
        </is>
      </c>
      <c r="F515" s="391" t="inlineStr">
        <is>
          <t> </t>
        </is>
      </c>
      <c r="G515" s="391" t="inlineStr">
        <is>
          <t> </t>
        </is>
      </c>
      <c r="H515" s="391" t="inlineStr">
        <is>
          <t> </t>
        </is>
      </c>
      <c r="I515" s="391" t="inlineStr">
        <is>
          <t> </t>
        </is>
      </c>
      <c r="J515" s="391" t="inlineStr">
        <is>
          <t> </t>
        </is>
      </c>
      <c r="K515" s="38" t="inlineStr">
        <is>
          <t> </t>
        </is>
      </c>
      <c r="L515" s="391" t="inlineStr">
        <is>
          <t> </t>
        </is>
      </c>
      <c r="M515" s="391" t="inlineStr">
        <is>
          <t> </t>
        </is>
      </c>
      <c r="N515" s="391" t="inlineStr">
        <is>
          <t> </t>
        </is>
      </c>
      <c r="O515" s="391" t="inlineStr">
        <is>
          <t> </t>
        </is>
      </c>
      <c r="P515" s="391" t="inlineStr">
        <is>
          <t> </t>
        </is>
      </c>
      <c r="Q515" s="391" t="inlineStr">
        <is>
          <t> </t>
        </is>
      </c>
      <c r="R515" s="38" t="inlineStr">
        <is>
          <t> </t>
        </is>
      </c>
      <c r="S515" s="391" t="inlineStr">
        <is>
          <t> </t>
        </is>
      </c>
      <c r="T515" s="391" t="inlineStr">
        <is>
          <t> </t>
        </is>
      </c>
      <c r="U515" s="391" t="inlineStr">
        <is>
          <t> </t>
        </is>
      </c>
      <c r="V515" s="391" t="inlineStr">
        <is>
          <t> </t>
        </is>
      </c>
      <c r="W515" s="391" t="inlineStr">
        <is>
          <t> </t>
        </is>
      </c>
      <c r="X515" s="391" t="inlineStr">
        <is>
          <t> </t>
        </is>
      </c>
      <c r="Y515" s="392" t="inlineStr">
        <is>
          <t> </t>
        </is>
      </c>
      <c r="Z515" s="391" t="inlineStr">
        <is>
          <t> </t>
        </is>
      </c>
      <c r="AA515" s="391" t="inlineStr">
        <is>
          <t> </t>
        </is>
      </c>
      <c r="AB515" s="391" t="inlineStr">
        <is>
          <t> </t>
        </is>
      </c>
      <c r="AC515" s="391" t="inlineStr">
        <is>
          <t> </t>
        </is>
      </c>
      <c r="AD515" s="391" t="inlineStr">
        <is>
          <t> </t>
        </is>
      </c>
      <c r="AE515" s="391" t="inlineStr">
        <is>
          <t> </t>
        </is>
      </c>
      <c r="AF515" s="38" t="inlineStr">
        <is>
          <t> </t>
        </is>
      </c>
      <c r="AG515" s="391" t="inlineStr">
        <is>
          <t> </t>
        </is>
      </c>
      <c r="AH515" s="391" t="n"/>
      <c r="AI515" s="391" t="inlineStr">
        <is>
          <t> </t>
        </is>
      </c>
      <c r="AJ515" s="391" t="inlineStr">
        <is>
          <t> </t>
        </is>
      </c>
      <c r="AK515" s="391" t="inlineStr">
        <is>
          <t> </t>
        </is>
      </c>
      <c r="AL515" s="391" t="inlineStr">
        <is>
          <t> </t>
        </is>
      </c>
      <c r="AM515" s="391" t="inlineStr">
        <is>
          <t> </t>
        </is>
      </c>
      <c r="AN515" s="391" t="inlineStr">
        <is>
          <t> </t>
        </is>
      </c>
      <c r="AO515" s="391" t="n"/>
      <c r="AP515" s="319" t="n"/>
      <c r="AQ515" s="319" t="n"/>
      <c r="AR515" s="319" t="n"/>
    </row>
    <row r="516" ht="15.75" customHeight="1" s="1264">
      <c r="A516" s="319" t="inlineStr">
        <is>
          <t> </t>
        </is>
      </c>
      <c r="B516" s="319" t="inlineStr">
        <is>
          <t> </t>
        </is>
      </c>
      <c r="C516" s="319" t="inlineStr">
        <is>
          <t> </t>
        </is>
      </c>
      <c r="D516" s="38" t="inlineStr">
        <is>
          <t> </t>
        </is>
      </c>
      <c r="E516" s="391" t="inlineStr">
        <is>
          <t> </t>
        </is>
      </c>
      <c r="F516" s="391" t="inlineStr">
        <is>
          <t> </t>
        </is>
      </c>
      <c r="G516" s="391" t="inlineStr">
        <is>
          <t> </t>
        </is>
      </c>
      <c r="H516" s="391" t="inlineStr">
        <is>
          <t> </t>
        </is>
      </c>
      <c r="I516" s="391" t="inlineStr">
        <is>
          <t> </t>
        </is>
      </c>
      <c r="J516" s="391" t="inlineStr">
        <is>
          <t> </t>
        </is>
      </c>
      <c r="K516" s="38" t="inlineStr">
        <is>
          <t> </t>
        </is>
      </c>
      <c r="L516" s="391" t="inlineStr">
        <is>
          <t> </t>
        </is>
      </c>
      <c r="M516" s="391" t="inlineStr">
        <is>
          <t> </t>
        </is>
      </c>
      <c r="N516" s="391" t="inlineStr">
        <is>
          <t> </t>
        </is>
      </c>
      <c r="O516" s="391" t="inlineStr">
        <is>
          <t> </t>
        </is>
      </c>
      <c r="P516" s="391" t="inlineStr">
        <is>
          <t> </t>
        </is>
      </c>
      <c r="Q516" s="391" t="inlineStr">
        <is>
          <t> </t>
        </is>
      </c>
      <c r="R516" s="38" t="inlineStr">
        <is>
          <t> </t>
        </is>
      </c>
      <c r="S516" s="391" t="inlineStr">
        <is>
          <t> </t>
        </is>
      </c>
      <c r="T516" s="391" t="inlineStr">
        <is>
          <t> </t>
        </is>
      </c>
      <c r="U516" s="391" t="inlineStr">
        <is>
          <t> </t>
        </is>
      </c>
      <c r="V516" s="391" t="inlineStr">
        <is>
          <t> </t>
        </is>
      </c>
      <c r="W516" s="391" t="inlineStr">
        <is>
          <t> </t>
        </is>
      </c>
      <c r="X516" s="391" t="inlineStr">
        <is>
          <t> </t>
        </is>
      </c>
      <c r="Y516" s="392" t="inlineStr">
        <is>
          <t> </t>
        </is>
      </c>
      <c r="Z516" s="391" t="inlineStr">
        <is>
          <t> </t>
        </is>
      </c>
      <c r="AA516" s="391" t="inlineStr">
        <is>
          <t> </t>
        </is>
      </c>
      <c r="AB516" s="391" t="inlineStr">
        <is>
          <t> </t>
        </is>
      </c>
      <c r="AC516" s="391" t="inlineStr">
        <is>
          <t> </t>
        </is>
      </c>
      <c r="AD516" s="391" t="inlineStr">
        <is>
          <t> </t>
        </is>
      </c>
      <c r="AE516" s="391" t="inlineStr">
        <is>
          <t> </t>
        </is>
      </c>
      <c r="AF516" s="38" t="inlineStr">
        <is>
          <t> </t>
        </is>
      </c>
      <c r="AG516" s="391" t="inlineStr">
        <is>
          <t> </t>
        </is>
      </c>
      <c r="AH516" s="391" t="n"/>
      <c r="AI516" s="391" t="inlineStr">
        <is>
          <t> </t>
        </is>
      </c>
      <c r="AJ516" s="391" t="inlineStr">
        <is>
          <t> </t>
        </is>
      </c>
      <c r="AK516" s="391" t="inlineStr">
        <is>
          <t> </t>
        </is>
      </c>
      <c r="AL516" s="391" t="inlineStr">
        <is>
          <t> </t>
        </is>
      </c>
      <c r="AM516" s="391" t="inlineStr">
        <is>
          <t> </t>
        </is>
      </c>
      <c r="AN516" s="391" t="inlineStr">
        <is>
          <t> </t>
        </is>
      </c>
      <c r="AO516" s="391" t="n"/>
      <c r="AP516" s="319" t="n"/>
      <c r="AQ516" s="319" t="n"/>
      <c r="AR516" s="319" t="n"/>
    </row>
    <row r="517" ht="15.75" customHeight="1" s="1264">
      <c r="A517" s="319" t="inlineStr">
        <is>
          <t> </t>
        </is>
      </c>
      <c r="B517" s="319" t="inlineStr">
        <is>
          <t> </t>
        </is>
      </c>
      <c r="C517" s="319" t="inlineStr">
        <is>
          <t> </t>
        </is>
      </c>
      <c r="D517" s="38" t="inlineStr">
        <is>
          <t> </t>
        </is>
      </c>
      <c r="E517" s="391" t="inlineStr">
        <is>
          <t> </t>
        </is>
      </c>
      <c r="F517" s="391" t="inlineStr">
        <is>
          <t> </t>
        </is>
      </c>
      <c r="G517" s="391" t="inlineStr">
        <is>
          <t> </t>
        </is>
      </c>
      <c r="H517" s="391" t="inlineStr">
        <is>
          <t> </t>
        </is>
      </c>
      <c r="I517" s="391" t="inlineStr">
        <is>
          <t> </t>
        </is>
      </c>
      <c r="J517" s="391" t="inlineStr">
        <is>
          <t> </t>
        </is>
      </c>
      <c r="K517" s="38" t="inlineStr">
        <is>
          <t> </t>
        </is>
      </c>
      <c r="L517" s="391" t="inlineStr">
        <is>
          <t> </t>
        </is>
      </c>
      <c r="M517" s="391" t="inlineStr">
        <is>
          <t> </t>
        </is>
      </c>
      <c r="N517" s="391" t="inlineStr">
        <is>
          <t> </t>
        </is>
      </c>
      <c r="O517" s="391" t="inlineStr">
        <is>
          <t> </t>
        </is>
      </c>
      <c r="P517" s="391" t="inlineStr">
        <is>
          <t> </t>
        </is>
      </c>
      <c r="Q517" s="391" t="inlineStr">
        <is>
          <t> </t>
        </is>
      </c>
      <c r="R517" s="38" t="inlineStr">
        <is>
          <t> </t>
        </is>
      </c>
      <c r="S517" s="391" t="inlineStr">
        <is>
          <t> </t>
        </is>
      </c>
      <c r="T517" s="391" t="inlineStr">
        <is>
          <t> </t>
        </is>
      </c>
      <c r="U517" s="391" t="inlineStr">
        <is>
          <t> </t>
        </is>
      </c>
      <c r="V517" s="391" t="inlineStr">
        <is>
          <t> </t>
        </is>
      </c>
      <c r="W517" s="391" t="inlineStr">
        <is>
          <t> </t>
        </is>
      </c>
      <c r="X517" s="391" t="inlineStr">
        <is>
          <t> </t>
        </is>
      </c>
      <c r="Y517" s="392" t="inlineStr">
        <is>
          <t> </t>
        </is>
      </c>
      <c r="Z517" s="391" t="inlineStr">
        <is>
          <t> </t>
        </is>
      </c>
      <c r="AA517" s="391" t="inlineStr">
        <is>
          <t> </t>
        </is>
      </c>
      <c r="AB517" s="391" t="inlineStr">
        <is>
          <t> </t>
        </is>
      </c>
      <c r="AC517" s="391" t="inlineStr">
        <is>
          <t> </t>
        </is>
      </c>
      <c r="AD517" s="391" t="inlineStr">
        <is>
          <t> </t>
        </is>
      </c>
      <c r="AE517" s="391" t="inlineStr">
        <is>
          <t> </t>
        </is>
      </c>
      <c r="AF517" s="38" t="inlineStr">
        <is>
          <t> </t>
        </is>
      </c>
      <c r="AG517" s="391" t="inlineStr">
        <is>
          <t> </t>
        </is>
      </c>
      <c r="AH517" s="391" t="n"/>
      <c r="AI517" s="391" t="inlineStr">
        <is>
          <t> </t>
        </is>
      </c>
      <c r="AJ517" s="391" t="inlineStr">
        <is>
          <t> </t>
        </is>
      </c>
      <c r="AK517" s="391" t="inlineStr">
        <is>
          <t> </t>
        </is>
      </c>
      <c r="AL517" s="391" t="inlineStr">
        <is>
          <t> </t>
        </is>
      </c>
      <c r="AM517" s="391" t="inlineStr">
        <is>
          <t> </t>
        </is>
      </c>
      <c r="AN517" s="391" t="inlineStr">
        <is>
          <t> </t>
        </is>
      </c>
      <c r="AO517" s="391" t="n"/>
      <c r="AP517" s="319" t="n"/>
      <c r="AQ517" s="319" t="n"/>
      <c r="AR517" s="319" t="n"/>
    </row>
    <row r="518" ht="15.75" customHeight="1" s="1264">
      <c r="A518" s="319" t="inlineStr">
        <is>
          <t> </t>
        </is>
      </c>
      <c r="B518" s="319" t="inlineStr">
        <is>
          <t> </t>
        </is>
      </c>
      <c r="C518" s="319" t="inlineStr">
        <is>
          <t> </t>
        </is>
      </c>
      <c r="D518" s="38" t="inlineStr">
        <is>
          <t> </t>
        </is>
      </c>
      <c r="E518" s="391" t="inlineStr">
        <is>
          <t> </t>
        </is>
      </c>
      <c r="F518" s="391" t="inlineStr">
        <is>
          <t> </t>
        </is>
      </c>
      <c r="G518" s="391" t="inlineStr">
        <is>
          <t> </t>
        </is>
      </c>
      <c r="H518" s="391" t="inlineStr">
        <is>
          <t> </t>
        </is>
      </c>
      <c r="I518" s="391" t="inlineStr">
        <is>
          <t> </t>
        </is>
      </c>
      <c r="J518" s="391" t="inlineStr">
        <is>
          <t> </t>
        </is>
      </c>
      <c r="K518" s="38" t="inlineStr">
        <is>
          <t> </t>
        </is>
      </c>
      <c r="L518" s="391" t="inlineStr">
        <is>
          <t> </t>
        </is>
      </c>
      <c r="M518" s="391" t="inlineStr">
        <is>
          <t> </t>
        </is>
      </c>
      <c r="N518" s="391" t="inlineStr">
        <is>
          <t> </t>
        </is>
      </c>
      <c r="O518" s="391" t="inlineStr">
        <is>
          <t> </t>
        </is>
      </c>
      <c r="P518" s="391" t="inlineStr">
        <is>
          <t> </t>
        </is>
      </c>
      <c r="Q518" s="391" t="inlineStr">
        <is>
          <t> </t>
        </is>
      </c>
      <c r="R518" s="38" t="inlineStr">
        <is>
          <t> </t>
        </is>
      </c>
      <c r="S518" s="391" t="inlineStr">
        <is>
          <t> </t>
        </is>
      </c>
      <c r="T518" s="391" t="inlineStr">
        <is>
          <t> </t>
        </is>
      </c>
      <c r="U518" s="391" t="inlineStr">
        <is>
          <t> </t>
        </is>
      </c>
      <c r="V518" s="391" t="inlineStr">
        <is>
          <t> </t>
        </is>
      </c>
      <c r="W518" s="391" t="inlineStr">
        <is>
          <t> </t>
        </is>
      </c>
      <c r="X518" s="391" t="inlineStr">
        <is>
          <t> </t>
        </is>
      </c>
      <c r="Y518" s="392" t="inlineStr">
        <is>
          <t> </t>
        </is>
      </c>
      <c r="Z518" s="391" t="inlineStr">
        <is>
          <t> </t>
        </is>
      </c>
      <c r="AA518" s="391" t="inlineStr">
        <is>
          <t> </t>
        </is>
      </c>
      <c r="AB518" s="391" t="inlineStr">
        <is>
          <t> </t>
        </is>
      </c>
      <c r="AC518" s="391" t="inlineStr">
        <is>
          <t> </t>
        </is>
      </c>
      <c r="AD518" s="391" t="inlineStr">
        <is>
          <t> </t>
        </is>
      </c>
      <c r="AE518" s="391" t="inlineStr">
        <is>
          <t> </t>
        </is>
      </c>
      <c r="AF518" s="38" t="inlineStr">
        <is>
          <t> </t>
        </is>
      </c>
      <c r="AG518" s="391" t="inlineStr">
        <is>
          <t> </t>
        </is>
      </c>
      <c r="AH518" s="391" t="n"/>
      <c r="AI518" s="391" t="inlineStr">
        <is>
          <t> </t>
        </is>
      </c>
      <c r="AJ518" s="391" t="inlineStr">
        <is>
          <t> </t>
        </is>
      </c>
      <c r="AK518" s="391" t="inlineStr">
        <is>
          <t> </t>
        </is>
      </c>
      <c r="AL518" s="391" t="inlineStr">
        <is>
          <t> </t>
        </is>
      </c>
      <c r="AM518" s="391" t="inlineStr">
        <is>
          <t> </t>
        </is>
      </c>
      <c r="AN518" s="391" t="inlineStr">
        <is>
          <t> </t>
        </is>
      </c>
      <c r="AO518" s="391" t="n"/>
      <c r="AP518" s="319" t="n"/>
      <c r="AQ518" s="319" t="n"/>
      <c r="AR518" s="319" t="n"/>
    </row>
    <row r="519" ht="15.75" customHeight="1" s="1264">
      <c r="A519" s="319" t="inlineStr">
        <is>
          <t> </t>
        </is>
      </c>
      <c r="B519" s="319" t="inlineStr">
        <is>
          <t> </t>
        </is>
      </c>
      <c r="C519" s="319" t="inlineStr">
        <is>
          <t> </t>
        </is>
      </c>
      <c r="D519" s="38" t="inlineStr">
        <is>
          <t> </t>
        </is>
      </c>
      <c r="E519" s="391" t="inlineStr">
        <is>
          <t> </t>
        </is>
      </c>
      <c r="F519" s="391" t="inlineStr">
        <is>
          <t> </t>
        </is>
      </c>
      <c r="G519" s="391" t="inlineStr">
        <is>
          <t> </t>
        </is>
      </c>
      <c r="H519" s="391" t="inlineStr">
        <is>
          <t> </t>
        </is>
      </c>
      <c r="I519" s="391" t="inlineStr">
        <is>
          <t> </t>
        </is>
      </c>
      <c r="J519" s="391" t="inlineStr">
        <is>
          <t> </t>
        </is>
      </c>
      <c r="K519" s="38" t="inlineStr">
        <is>
          <t> </t>
        </is>
      </c>
      <c r="L519" s="391" t="inlineStr">
        <is>
          <t> </t>
        </is>
      </c>
      <c r="M519" s="391" t="inlineStr">
        <is>
          <t> </t>
        </is>
      </c>
      <c r="N519" s="391" t="inlineStr">
        <is>
          <t> </t>
        </is>
      </c>
      <c r="O519" s="391" t="inlineStr">
        <is>
          <t> </t>
        </is>
      </c>
      <c r="P519" s="391" t="inlineStr">
        <is>
          <t> </t>
        </is>
      </c>
      <c r="Q519" s="391" t="inlineStr">
        <is>
          <t> </t>
        </is>
      </c>
      <c r="R519" s="38" t="inlineStr">
        <is>
          <t> </t>
        </is>
      </c>
      <c r="S519" s="391" t="inlineStr">
        <is>
          <t> </t>
        </is>
      </c>
      <c r="T519" s="391" t="inlineStr">
        <is>
          <t> </t>
        </is>
      </c>
      <c r="U519" s="391" t="inlineStr">
        <is>
          <t> </t>
        </is>
      </c>
      <c r="V519" s="391" t="inlineStr">
        <is>
          <t> </t>
        </is>
      </c>
      <c r="W519" s="391" t="inlineStr">
        <is>
          <t> </t>
        </is>
      </c>
      <c r="X519" s="391" t="inlineStr">
        <is>
          <t> </t>
        </is>
      </c>
      <c r="Y519" s="392" t="inlineStr">
        <is>
          <t> </t>
        </is>
      </c>
      <c r="Z519" s="391" t="inlineStr">
        <is>
          <t> </t>
        </is>
      </c>
      <c r="AA519" s="391" t="inlineStr">
        <is>
          <t> </t>
        </is>
      </c>
      <c r="AB519" s="391" t="inlineStr">
        <is>
          <t> </t>
        </is>
      </c>
      <c r="AC519" s="391" t="inlineStr">
        <is>
          <t> </t>
        </is>
      </c>
      <c r="AD519" s="391" t="inlineStr">
        <is>
          <t> </t>
        </is>
      </c>
      <c r="AE519" s="391" t="inlineStr">
        <is>
          <t> </t>
        </is>
      </c>
      <c r="AF519" s="38" t="inlineStr">
        <is>
          <t> </t>
        </is>
      </c>
      <c r="AG519" s="391" t="inlineStr">
        <is>
          <t> </t>
        </is>
      </c>
      <c r="AH519" s="391" t="n"/>
      <c r="AI519" s="391" t="inlineStr">
        <is>
          <t> </t>
        </is>
      </c>
      <c r="AJ519" s="391" t="inlineStr">
        <is>
          <t> </t>
        </is>
      </c>
      <c r="AK519" s="391" t="inlineStr">
        <is>
          <t> </t>
        </is>
      </c>
      <c r="AL519" s="391" t="inlineStr">
        <is>
          <t> </t>
        </is>
      </c>
      <c r="AM519" s="391" t="inlineStr">
        <is>
          <t> </t>
        </is>
      </c>
      <c r="AN519" s="391" t="inlineStr">
        <is>
          <t> </t>
        </is>
      </c>
      <c r="AO519" s="391" t="n"/>
      <c r="AP519" s="319" t="n"/>
      <c r="AQ519" s="319" t="n"/>
      <c r="AR519" s="319" t="n"/>
    </row>
    <row r="520" ht="15.75" customHeight="1" s="1264">
      <c r="A520" s="319" t="inlineStr">
        <is>
          <t> </t>
        </is>
      </c>
      <c r="B520" s="319" t="inlineStr">
        <is>
          <t> </t>
        </is>
      </c>
      <c r="C520" s="319" t="inlineStr">
        <is>
          <t> </t>
        </is>
      </c>
      <c r="D520" s="38" t="inlineStr">
        <is>
          <t> </t>
        </is>
      </c>
      <c r="E520" s="391" t="inlineStr">
        <is>
          <t> </t>
        </is>
      </c>
      <c r="F520" s="391" t="inlineStr">
        <is>
          <t> </t>
        </is>
      </c>
      <c r="G520" s="391" t="inlineStr">
        <is>
          <t> </t>
        </is>
      </c>
      <c r="H520" s="391" t="inlineStr">
        <is>
          <t> </t>
        </is>
      </c>
      <c r="I520" s="391" t="inlineStr">
        <is>
          <t> </t>
        </is>
      </c>
      <c r="J520" s="391" t="inlineStr">
        <is>
          <t> </t>
        </is>
      </c>
      <c r="K520" s="38" t="inlineStr">
        <is>
          <t> </t>
        </is>
      </c>
      <c r="L520" s="391" t="inlineStr">
        <is>
          <t> </t>
        </is>
      </c>
      <c r="M520" s="391" t="inlineStr">
        <is>
          <t> </t>
        </is>
      </c>
      <c r="N520" s="391" t="inlineStr">
        <is>
          <t> </t>
        </is>
      </c>
      <c r="O520" s="391" t="inlineStr">
        <is>
          <t> </t>
        </is>
      </c>
      <c r="P520" s="391" t="inlineStr">
        <is>
          <t> </t>
        </is>
      </c>
      <c r="Q520" s="391" t="inlineStr">
        <is>
          <t> </t>
        </is>
      </c>
      <c r="R520" s="38" t="inlineStr">
        <is>
          <t> </t>
        </is>
      </c>
      <c r="S520" s="391" t="inlineStr">
        <is>
          <t> </t>
        </is>
      </c>
      <c r="T520" s="391" t="inlineStr">
        <is>
          <t> </t>
        </is>
      </c>
      <c r="U520" s="391" t="inlineStr">
        <is>
          <t> </t>
        </is>
      </c>
      <c r="V520" s="391" t="inlineStr">
        <is>
          <t> </t>
        </is>
      </c>
      <c r="W520" s="391" t="inlineStr">
        <is>
          <t> </t>
        </is>
      </c>
      <c r="X520" s="391" t="inlineStr">
        <is>
          <t> </t>
        </is>
      </c>
      <c r="Y520" s="392" t="inlineStr">
        <is>
          <t> </t>
        </is>
      </c>
      <c r="Z520" s="391" t="inlineStr">
        <is>
          <t> </t>
        </is>
      </c>
      <c r="AA520" s="391" t="inlineStr">
        <is>
          <t> </t>
        </is>
      </c>
      <c r="AB520" s="391" t="inlineStr">
        <is>
          <t> </t>
        </is>
      </c>
      <c r="AC520" s="391" t="inlineStr">
        <is>
          <t> </t>
        </is>
      </c>
      <c r="AD520" s="391" t="inlineStr">
        <is>
          <t> </t>
        </is>
      </c>
      <c r="AE520" s="391" t="inlineStr">
        <is>
          <t> </t>
        </is>
      </c>
      <c r="AF520" s="38" t="inlineStr">
        <is>
          <t> </t>
        </is>
      </c>
      <c r="AG520" s="391" t="inlineStr">
        <is>
          <t> </t>
        </is>
      </c>
      <c r="AH520" s="391" t="n"/>
      <c r="AI520" s="391" t="inlineStr">
        <is>
          <t> </t>
        </is>
      </c>
      <c r="AJ520" s="391" t="inlineStr">
        <is>
          <t> </t>
        </is>
      </c>
      <c r="AK520" s="391" t="inlineStr">
        <is>
          <t> </t>
        </is>
      </c>
      <c r="AL520" s="391" t="inlineStr">
        <is>
          <t> </t>
        </is>
      </c>
      <c r="AM520" s="391" t="inlineStr">
        <is>
          <t> </t>
        </is>
      </c>
      <c r="AN520" s="391" t="inlineStr">
        <is>
          <t> </t>
        </is>
      </c>
      <c r="AO520" s="391" t="n"/>
      <c r="AP520" s="319" t="n"/>
      <c r="AQ520" s="319" t="n"/>
      <c r="AR520" s="319" t="n"/>
    </row>
    <row r="521" ht="15.75" customHeight="1" s="1264">
      <c r="A521" s="319" t="inlineStr">
        <is>
          <t> </t>
        </is>
      </c>
      <c r="B521" s="319" t="inlineStr">
        <is>
          <t> </t>
        </is>
      </c>
      <c r="C521" s="319" t="inlineStr">
        <is>
          <t> </t>
        </is>
      </c>
      <c r="D521" s="38" t="inlineStr">
        <is>
          <t> </t>
        </is>
      </c>
      <c r="E521" s="391" t="inlineStr">
        <is>
          <t> </t>
        </is>
      </c>
      <c r="F521" s="391" t="inlineStr">
        <is>
          <t> </t>
        </is>
      </c>
      <c r="G521" s="391" t="inlineStr">
        <is>
          <t> </t>
        </is>
      </c>
      <c r="H521" s="391" t="inlineStr">
        <is>
          <t> </t>
        </is>
      </c>
      <c r="I521" s="391" t="inlineStr">
        <is>
          <t> </t>
        </is>
      </c>
      <c r="J521" s="391" t="inlineStr">
        <is>
          <t> </t>
        </is>
      </c>
      <c r="K521" s="38" t="inlineStr">
        <is>
          <t> </t>
        </is>
      </c>
      <c r="L521" s="391" t="inlineStr">
        <is>
          <t> </t>
        </is>
      </c>
      <c r="M521" s="391" t="inlineStr">
        <is>
          <t> </t>
        </is>
      </c>
      <c r="N521" s="391" t="inlineStr">
        <is>
          <t> </t>
        </is>
      </c>
      <c r="O521" s="391" t="inlineStr">
        <is>
          <t> </t>
        </is>
      </c>
      <c r="P521" s="391" t="inlineStr">
        <is>
          <t> </t>
        </is>
      </c>
      <c r="Q521" s="391" t="inlineStr">
        <is>
          <t> </t>
        </is>
      </c>
      <c r="R521" s="38" t="inlineStr">
        <is>
          <t> </t>
        </is>
      </c>
      <c r="S521" s="391" t="inlineStr">
        <is>
          <t> </t>
        </is>
      </c>
      <c r="T521" s="391" t="inlineStr">
        <is>
          <t> </t>
        </is>
      </c>
      <c r="U521" s="391" t="inlineStr">
        <is>
          <t> </t>
        </is>
      </c>
      <c r="V521" s="391" t="inlineStr">
        <is>
          <t> </t>
        </is>
      </c>
      <c r="W521" s="391" t="inlineStr">
        <is>
          <t> </t>
        </is>
      </c>
      <c r="X521" s="391" t="inlineStr">
        <is>
          <t> </t>
        </is>
      </c>
      <c r="Y521" s="392" t="inlineStr">
        <is>
          <t> </t>
        </is>
      </c>
      <c r="Z521" s="391" t="inlineStr">
        <is>
          <t> </t>
        </is>
      </c>
      <c r="AA521" s="391" t="inlineStr">
        <is>
          <t> </t>
        </is>
      </c>
      <c r="AB521" s="391" t="inlineStr">
        <is>
          <t> </t>
        </is>
      </c>
      <c r="AC521" s="391" t="inlineStr">
        <is>
          <t> </t>
        </is>
      </c>
      <c r="AD521" s="391" t="inlineStr">
        <is>
          <t> </t>
        </is>
      </c>
      <c r="AE521" s="391" t="inlineStr">
        <is>
          <t> </t>
        </is>
      </c>
      <c r="AF521" s="38" t="inlineStr">
        <is>
          <t> </t>
        </is>
      </c>
      <c r="AG521" s="391" t="inlineStr">
        <is>
          <t> </t>
        </is>
      </c>
      <c r="AH521" s="391" t="n"/>
      <c r="AI521" s="391" t="inlineStr">
        <is>
          <t> </t>
        </is>
      </c>
      <c r="AJ521" s="391" t="inlineStr">
        <is>
          <t> </t>
        </is>
      </c>
      <c r="AK521" s="391" t="inlineStr">
        <is>
          <t> </t>
        </is>
      </c>
      <c r="AL521" s="391" t="inlineStr">
        <is>
          <t> </t>
        </is>
      </c>
      <c r="AM521" s="391" t="inlineStr">
        <is>
          <t> </t>
        </is>
      </c>
      <c r="AN521" s="391" t="inlineStr">
        <is>
          <t> </t>
        </is>
      </c>
      <c r="AO521" s="391" t="n"/>
      <c r="AP521" s="319" t="n"/>
      <c r="AQ521" s="319" t="n"/>
      <c r="AR521" s="319" t="n"/>
    </row>
    <row r="522" ht="15.75" customHeight="1" s="1264">
      <c r="A522" s="319" t="inlineStr">
        <is>
          <t> </t>
        </is>
      </c>
      <c r="B522" s="319" t="inlineStr">
        <is>
          <t> </t>
        </is>
      </c>
      <c r="C522" s="319" t="inlineStr">
        <is>
          <t> </t>
        </is>
      </c>
      <c r="D522" s="38" t="inlineStr">
        <is>
          <t> </t>
        </is>
      </c>
      <c r="E522" s="391" t="inlineStr">
        <is>
          <t> </t>
        </is>
      </c>
      <c r="F522" s="391" t="inlineStr">
        <is>
          <t> </t>
        </is>
      </c>
      <c r="G522" s="391" t="inlineStr">
        <is>
          <t> </t>
        </is>
      </c>
      <c r="H522" s="391" t="inlineStr">
        <is>
          <t> </t>
        </is>
      </c>
      <c r="I522" s="391" t="inlineStr">
        <is>
          <t> </t>
        </is>
      </c>
      <c r="J522" s="391" t="inlineStr">
        <is>
          <t> </t>
        </is>
      </c>
      <c r="K522" s="38" t="inlineStr">
        <is>
          <t> </t>
        </is>
      </c>
      <c r="L522" s="391" t="inlineStr">
        <is>
          <t> </t>
        </is>
      </c>
      <c r="M522" s="391" t="inlineStr">
        <is>
          <t> </t>
        </is>
      </c>
      <c r="N522" s="391" t="inlineStr">
        <is>
          <t> </t>
        </is>
      </c>
      <c r="O522" s="391" t="inlineStr">
        <is>
          <t> </t>
        </is>
      </c>
      <c r="P522" s="391" t="inlineStr">
        <is>
          <t> </t>
        </is>
      </c>
      <c r="Q522" s="391" t="inlineStr">
        <is>
          <t> </t>
        </is>
      </c>
      <c r="R522" s="38" t="inlineStr">
        <is>
          <t> </t>
        </is>
      </c>
      <c r="S522" s="391" t="inlineStr">
        <is>
          <t> </t>
        </is>
      </c>
      <c r="T522" s="391" t="inlineStr">
        <is>
          <t> </t>
        </is>
      </c>
      <c r="U522" s="391" t="inlineStr">
        <is>
          <t> </t>
        </is>
      </c>
      <c r="V522" s="391" t="inlineStr">
        <is>
          <t> </t>
        </is>
      </c>
      <c r="W522" s="391" t="inlineStr">
        <is>
          <t> </t>
        </is>
      </c>
      <c r="X522" s="391" t="inlineStr">
        <is>
          <t> </t>
        </is>
      </c>
      <c r="Y522" s="392" t="inlineStr">
        <is>
          <t> </t>
        </is>
      </c>
      <c r="Z522" s="391" t="inlineStr">
        <is>
          <t> </t>
        </is>
      </c>
      <c r="AA522" s="391" t="inlineStr">
        <is>
          <t> </t>
        </is>
      </c>
      <c r="AB522" s="391" t="inlineStr">
        <is>
          <t> </t>
        </is>
      </c>
      <c r="AC522" s="391" t="inlineStr">
        <is>
          <t> </t>
        </is>
      </c>
      <c r="AD522" s="391" t="inlineStr">
        <is>
          <t> </t>
        </is>
      </c>
      <c r="AE522" s="391" t="inlineStr">
        <is>
          <t> </t>
        </is>
      </c>
      <c r="AF522" s="38" t="inlineStr">
        <is>
          <t> </t>
        </is>
      </c>
      <c r="AG522" s="391" t="inlineStr">
        <is>
          <t> </t>
        </is>
      </c>
      <c r="AH522" s="391" t="n"/>
      <c r="AI522" s="391" t="inlineStr">
        <is>
          <t> </t>
        </is>
      </c>
      <c r="AJ522" s="391" t="inlineStr">
        <is>
          <t> </t>
        </is>
      </c>
      <c r="AK522" s="391" t="inlineStr">
        <is>
          <t> </t>
        </is>
      </c>
      <c r="AL522" s="391" t="inlineStr">
        <is>
          <t> </t>
        </is>
      </c>
      <c r="AM522" s="391" t="inlineStr">
        <is>
          <t> </t>
        </is>
      </c>
      <c r="AN522" s="391" t="inlineStr">
        <is>
          <t> </t>
        </is>
      </c>
      <c r="AO522" s="391" t="n"/>
      <c r="AP522" s="319" t="n"/>
      <c r="AQ522" s="319" t="n"/>
      <c r="AR522" s="319" t="n"/>
    </row>
    <row r="523" ht="15.75" customHeight="1" s="1264">
      <c r="A523" s="319" t="inlineStr">
        <is>
          <t> </t>
        </is>
      </c>
      <c r="B523" s="319" t="inlineStr">
        <is>
          <t> </t>
        </is>
      </c>
      <c r="C523" s="319" t="inlineStr">
        <is>
          <t> </t>
        </is>
      </c>
      <c r="D523" s="38" t="inlineStr">
        <is>
          <t> </t>
        </is>
      </c>
      <c r="E523" s="391" t="inlineStr">
        <is>
          <t> </t>
        </is>
      </c>
      <c r="F523" s="391" t="inlineStr">
        <is>
          <t> </t>
        </is>
      </c>
      <c r="G523" s="391" t="inlineStr">
        <is>
          <t> </t>
        </is>
      </c>
      <c r="H523" s="391" t="inlineStr">
        <is>
          <t> </t>
        </is>
      </c>
      <c r="I523" s="391" t="inlineStr">
        <is>
          <t> </t>
        </is>
      </c>
      <c r="J523" s="391" t="inlineStr">
        <is>
          <t> </t>
        </is>
      </c>
      <c r="K523" s="38" t="inlineStr">
        <is>
          <t> </t>
        </is>
      </c>
      <c r="L523" s="391" t="inlineStr">
        <is>
          <t> </t>
        </is>
      </c>
      <c r="M523" s="391" t="inlineStr">
        <is>
          <t> </t>
        </is>
      </c>
      <c r="N523" s="391" t="inlineStr">
        <is>
          <t> </t>
        </is>
      </c>
      <c r="O523" s="391" t="inlineStr">
        <is>
          <t> </t>
        </is>
      </c>
      <c r="P523" s="391" t="inlineStr">
        <is>
          <t> </t>
        </is>
      </c>
      <c r="Q523" s="391" t="inlineStr">
        <is>
          <t> </t>
        </is>
      </c>
      <c r="R523" s="38" t="inlineStr">
        <is>
          <t> </t>
        </is>
      </c>
      <c r="S523" s="391" t="inlineStr">
        <is>
          <t> </t>
        </is>
      </c>
      <c r="T523" s="391" t="inlineStr">
        <is>
          <t> </t>
        </is>
      </c>
      <c r="U523" s="391" t="inlineStr">
        <is>
          <t> </t>
        </is>
      </c>
      <c r="V523" s="391" t="inlineStr">
        <is>
          <t> </t>
        </is>
      </c>
      <c r="W523" s="391" t="inlineStr">
        <is>
          <t> </t>
        </is>
      </c>
      <c r="X523" s="391" t="inlineStr">
        <is>
          <t> </t>
        </is>
      </c>
      <c r="Y523" s="392" t="inlineStr">
        <is>
          <t> </t>
        </is>
      </c>
      <c r="Z523" s="391" t="inlineStr">
        <is>
          <t> </t>
        </is>
      </c>
      <c r="AA523" s="391" t="inlineStr">
        <is>
          <t> </t>
        </is>
      </c>
      <c r="AB523" s="391" t="inlineStr">
        <is>
          <t> </t>
        </is>
      </c>
      <c r="AC523" s="391" t="inlineStr">
        <is>
          <t> </t>
        </is>
      </c>
      <c r="AD523" s="391" t="inlineStr">
        <is>
          <t> </t>
        </is>
      </c>
      <c r="AE523" s="391" t="inlineStr">
        <is>
          <t> </t>
        </is>
      </c>
      <c r="AF523" s="38" t="inlineStr">
        <is>
          <t> </t>
        </is>
      </c>
      <c r="AG523" s="391" t="inlineStr">
        <is>
          <t> </t>
        </is>
      </c>
      <c r="AH523" s="391" t="n"/>
      <c r="AI523" s="391" t="inlineStr">
        <is>
          <t> </t>
        </is>
      </c>
      <c r="AJ523" s="391" t="inlineStr">
        <is>
          <t> </t>
        </is>
      </c>
      <c r="AK523" s="391" t="inlineStr">
        <is>
          <t> </t>
        </is>
      </c>
      <c r="AL523" s="391" t="inlineStr">
        <is>
          <t> </t>
        </is>
      </c>
      <c r="AM523" s="391" t="inlineStr">
        <is>
          <t> </t>
        </is>
      </c>
      <c r="AN523" s="391" t="inlineStr">
        <is>
          <t> </t>
        </is>
      </c>
      <c r="AO523" s="391" t="n"/>
      <c r="AP523" s="319" t="n"/>
      <c r="AQ523" s="319" t="n"/>
      <c r="AR523" s="319" t="n"/>
    </row>
    <row r="524" ht="15.75" customHeight="1" s="1264">
      <c r="A524" s="319" t="inlineStr">
        <is>
          <t> </t>
        </is>
      </c>
      <c r="B524" s="319" t="inlineStr">
        <is>
          <t> </t>
        </is>
      </c>
      <c r="C524" s="319" t="inlineStr">
        <is>
          <t> </t>
        </is>
      </c>
      <c r="D524" s="38" t="inlineStr">
        <is>
          <t> </t>
        </is>
      </c>
      <c r="E524" s="391" t="inlineStr">
        <is>
          <t> </t>
        </is>
      </c>
      <c r="F524" s="391" t="inlineStr">
        <is>
          <t> </t>
        </is>
      </c>
      <c r="G524" s="391" t="inlineStr">
        <is>
          <t> </t>
        </is>
      </c>
      <c r="H524" s="391" t="inlineStr">
        <is>
          <t> </t>
        </is>
      </c>
      <c r="I524" s="391" t="inlineStr">
        <is>
          <t> </t>
        </is>
      </c>
      <c r="J524" s="391" t="inlineStr">
        <is>
          <t> </t>
        </is>
      </c>
      <c r="K524" s="38" t="inlineStr">
        <is>
          <t> </t>
        </is>
      </c>
      <c r="L524" s="391" t="inlineStr">
        <is>
          <t> </t>
        </is>
      </c>
      <c r="M524" s="391" t="inlineStr">
        <is>
          <t> </t>
        </is>
      </c>
      <c r="N524" s="391" t="inlineStr">
        <is>
          <t> </t>
        </is>
      </c>
      <c r="O524" s="391" t="inlineStr">
        <is>
          <t> </t>
        </is>
      </c>
      <c r="P524" s="391" t="inlineStr">
        <is>
          <t> </t>
        </is>
      </c>
      <c r="Q524" s="391" t="inlineStr">
        <is>
          <t> </t>
        </is>
      </c>
      <c r="R524" s="38" t="inlineStr">
        <is>
          <t> </t>
        </is>
      </c>
      <c r="S524" s="391" t="inlineStr">
        <is>
          <t> </t>
        </is>
      </c>
      <c r="T524" s="391" t="inlineStr">
        <is>
          <t> </t>
        </is>
      </c>
      <c r="U524" s="391" t="inlineStr">
        <is>
          <t> </t>
        </is>
      </c>
      <c r="V524" s="391" t="inlineStr">
        <is>
          <t> </t>
        </is>
      </c>
      <c r="W524" s="391" t="inlineStr">
        <is>
          <t> </t>
        </is>
      </c>
      <c r="X524" s="391" t="inlineStr">
        <is>
          <t> </t>
        </is>
      </c>
      <c r="Y524" s="392" t="inlineStr">
        <is>
          <t> </t>
        </is>
      </c>
      <c r="Z524" s="391" t="inlineStr">
        <is>
          <t> </t>
        </is>
      </c>
      <c r="AA524" s="391" t="inlineStr">
        <is>
          <t> </t>
        </is>
      </c>
      <c r="AB524" s="391" t="inlineStr">
        <is>
          <t> </t>
        </is>
      </c>
      <c r="AC524" s="391" t="inlineStr">
        <is>
          <t> </t>
        </is>
      </c>
      <c r="AD524" s="391" t="inlineStr">
        <is>
          <t> </t>
        </is>
      </c>
      <c r="AE524" s="391" t="inlineStr">
        <is>
          <t> </t>
        </is>
      </c>
      <c r="AF524" s="38" t="inlineStr">
        <is>
          <t> </t>
        </is>
      </c>
      <c r="AG524" s="391" t="inlineStr">
        <is>
          <t> </t>
        </is>
      </c>
      <c r="AH524" s="391" t="n"/>
      <c r="AI524" s="391" t="inlineStr">
        <is>
          <t> </t>
        </is>
      </c>
      <c r="AJ524" s="391" t="inlineStr">
        <is>
          <t> </t>
        </is>
      </c>
      <c r="AK524" s="391" t="inlineStr">
        <is>
          <t> </t>
        </is>
      </c>
      <c r="AL524" s="391" t="inlineStr">
        <is>
          <t> </t>
        </is>
      </c>
      <c r="AM524" s="391" t="inlineStr">
        <is>
          <t> </t>
        </is>
      </c>
      <c r="AN524" s="391" t="inlineStr">
        <is>
          <t> </t>
        </is>
      </c>
      <c r="AO524" s="391" t="n"/>
      <c r="AP524" s="319" t="n"/>
      <c r="AQ524" s="319" t="n"/>
      <c r="AR524" s="319" t="n"/>
    </row>
    <row r="525" ht="15.75" customHeight="1" s="1264">
      <c r="A525" s="319" t="inlineStr">
        <is>
          <t> </t>
        </is>
      </c>
      <c r="B525" s="319" t="inlineStr">
        <is>
          <t> </t>
        </is>
      </c>
      <c r="C525" s="319" t="inlineStr">
        <is>
          <t> </t>
        </is>
      </c>
      <c r="D525" s="38" t="inlineStr">
        <is>
          <t> </t>
        </is>
      </c>
      <c r="E525" s="391" t="inlineStr">
        <is>
          <t> </t>
        </is>
      </c>
      <c r="F525" s="391" t="inlineStr">
        <is>
          <t> </t>
        </is>
      </c>
      <c r="G525" s="391" t="inlineStr">
        <is>
          <t> </t>
        </is>
      </c>
      <c r="H525" s="391" t="inlineStr">
        <is>
          <t> </t>
        </is>
      </c>
      <c r="I525" s="391" t="inlineStr">
        <is>
          <t> </t>
        </is>
      </c>
      <c r="J525" s="391" t="inlineStr">
        <is>
          <t> </t>
        </is>
      </c>
      <c r="K525" s="38" t="inlineStr">
        <is>
          <t> </t>
        </is>
      </c>
      <c r="L525" s="391" t="inlineStr">
        <is>
          <t> </t>
        </is>
      </c>
      <c r="M525" s="391" t="inlineStr">
        <is>
          <t> </t>
        </is>
      </c>
      <c r="N525" s="391" t="inlineStr">
        <is>
          <t> </t>
        </is>
      </c>
      <c r="O525" s="391" t="inlineStr">
        <is>
          <t> </t>
        </is>
      </c>
      <c r="P525" s="391" t="inlineStr">
        <is>
          <t> </t>
        </is>
      </c>
      <c r="Q525" s="391" t="inlineStr">
        <is>
          <t> </t>
        </is>
      </c>
      <c r="R525" s="38" t="inlineStr">
        <is>
          <t> </t>
        </is>
      </c>
      <c r="S525" s="391" t="inlineStr">
        <is>
          <t> </t>
        </is>
      </c>
      <c r="T525" s="391" t="inlineStr">
        <is>
          <t> </t>
        </is>
      </c>
      <c r="U525" s="391" t="inlineStr">
        <is>
          <t> </t>
        </is>
      </c>
      <c r="V525" s="391" t="inlineStr">
        <is>
          <t> </t>
        </is>
      </c>
      <c r="W525" s="391" t="inlineStr">
        <is>
          <t> </t>
        </is>
      </c>
      <c r="X525" s="391" t="inlineStr">
        <is>
          <t> </t>
        </is>
      </c>
      <c r="Y525" s="392" t="inlineStr">
        <is>
          <t> </t>
        </is>
      </c>
      <c r="Z525" s="391" t="inlineStr">
        <is>
          <t> </t>
        </is>
      </c>
      <c r="AA525" s="391" t="inlineStr">
        <is>
          <t> </t>
        </is>
      </c>
      <c r="AB525" s="391" t="inlineStr">
        <is>
          <t> </t>
        </is>
      </c>
      <c r="AC525" s="391" t="inlineStr">
        <is>
          <t> </t>
        </is>
      </c>
      <c r="AD525" s="391" t="inlineStr">
        <is>
          <t> </t>
        </is>
      </c>
      <c r="AE525" s="391" t="inlineStr">
        <is>
          <t> </t>
        </is>
      </c>
      <c r="AF525" s="38" t="inlineStr">
        <is>
          <t> </t>
        </is>
      </c>
      <c r="AG525" s="391" t="inlineStr">
        <is>
          <t> </t>
        </is>
      </c>
      <c r="AH525" s="391" t="n"/>
      <c r="AI525" s="391" t="inlineStr">
        <is>
          <t> </t>
        </is>
      </c>
      <c r="AJ525" s="391" t="inlineStr">
        <is>
          <t> </t>
        </is>
      </c>
      <c r="AK525" s="391" t="inlineStr">
        <is>
          <t> </t>
        </is>
      </c>
      <c r="AL525" s="391" t="inlineStr">
        <is>
          <t> </t>
        </is>
      </c>
      <c r="AM525" s="391" t="inlineStr">
        <is>
          <t> </t>
        </is>
      </c>
      <c r="AN525" s="391" t="inlineStr">
        <is>
          <t> </t>
        </is>
      </c>
      <c r="AO525" s="391" t="n"/>
      <c r="AP525" s="319" t="n"/>
      <c r="AQ525" s="319" t="n"/>
      <c r="AR525" s="319" t="n"/>
    </row>
    <row r="526" ht="15.75" customHeight="1" s="1264">
      <c r="A526" s="319" t="inlineStr">
        <is>
          <t> </t>
        </is>
      </c>
      <c r="B526" s="319" t="inlineStr">
        <is>
          <t> </t>
        </is>
      </c>
      <c r="C526" s="319" t="inlineStr">
        <is>
          <t> </t>
        </is>
      </c>
      <c r="D526" s="38" t="inlineStr">
        <is>
          <t> </t>
        </is>
      </c>
      <c r="E526" s="391" t="inlineStr">
        <is>
          <t> </t>
        </is>
      </c>
      <c r="F526" s="391" t="inlineStr">
        <is>
          <t> </t>
        </is>
      </c>
      <c r="G526" s="391" t="inlineStr">
        <is>
          <t> </t>
        </is>
      </c>
      <c r="H526" s="391" t="inlineStr">
        <is>
          <t> </t>
        </is>
      </c>
      <c r="I526" s="391" t="inlineStr">
        <is>
          <t> </t>
        </is>
      </c>
      <c r="J526" s="391" t="inlineStr">
        <is>
          <t> </t>
        </is>
      </c>
      <c r="K526" s="38" t="inlineStr">
        <is>
          <t> </t>
        </is>
      </c>
      <c r="L526" s="391" t="inlineStr">
        <is>
          <t> </t>
        </is>
      </c>
      <c r="M526" s="391" t="inlineStr">
        <is>
          <t> </t>
        </is>
      </c>
      <c r="N526" s="391" t="inlineStr">
        <is>
          <t> </t>
        </is>
      </c>
      <c r="O526" s="391" t="inlineStr">
        <is>
          <t> </t>
        </is>
      </c>
      <c r="P526" s="391" t="inlineStr">
        <is>
          <t> </t>
        </is>
      </c>
      <c r="Q526" s="391" t="inlineStr">
        <is>
          <t> </t>
        </is>
      </c>
      <c r="R526" s="38" t="inlineStr">
        <is>
          <t> </t>
        </is>
      </c>
      <c r="S526" s="391" t="inlineStr">
        <is>
          <t> </t>
        </is>
      </c>
      <c r="T526" s="391" t="inlineStr">
        <is>
          <t> </t>
        </is>
      </c>
      <c r="U526" s="391" t="inlineStr">
        <is>
          <t> </t>
        </is>
      </c>
      <c r="V526" s="391" t="inlineStr">
        <is>
          <t> </t>
        </is>
      </c>
      <c r="W526" s="391" t="inlineStr">
        <is>
          <t> </t>
        </is>
      </c>
      <c r="X526" s="391" t="inlineStr">
        <is>
          <t> </t>
        </is>
      </c>
      <c r="Y526" s="392" t="inlineStr">
        <is>
          <t> </t>
        </is>
      </c>
      <c r="Z526" s="391" t="inlineStr">
        <is>
          <t> </t>
        </is>
      </c>
      <c r="AA526" s="391" t="inlineStr">
        <is>
          <t> </t>
        </is>
      </c>
      <c r="AB526" s="391" t="inlineStr">
        <is>
          <t> </t>
        </is>
      </c>
      <c r="AC526" s="391" t="inlineStr">
        <is>
          <t> </t>
        </is>
      </c>
      <c r="AD526" s="391" t="inlineStr">
        <is>
          <t> </t>
        </is>
      </c>
      <c r="AE526" s="391" t="inlineStr">
        <is>
          <t> </t>
        </is>
      </c>
      <c r="AF526" s="38" t="inlineStr">
        <is>
          <t> </t>
        </is>
      </c>
      <c r="AG526" s="391" t="inlineStr">
        <is>
          <t> </t>
        </is>
      </c>
      <c r="AH526" s="391" t="n"/>
      <c r="AI526" s="391" t="inlineStr">
        <is>
          <t> </t>
        </is>
      </c>
      <c r="AJ526" s="391" t="inlineStr">
        <is>
          <t> </t>
        </is>
      </c>
      <c r="AK526" s="391" t="inlineStr">
        <is>
          <t> </t>
        </is>
      </c>
      <c r="AL526" s="391" t="inlineStr">
        <is>
          <t> </t>
        </is>
      </c>
      <c r="AM526" s="391" t="inlineStr">
        <is>
          <t> </t>
        </is>
      </c>
      <c r="AN526" s="391" t="inlineStr">
        <is>
          <t> </t>
        </is>
      </c>
      <c r="AO526" s="391" t="n"/>
      <c r="AP526" s="319" t="n"/>
      <c r="AQ526" s="319" t="n"/>
      <c r="AR526" s="319" t="n"/>
    </row>
    <row r="527" ht="15.75" customHeight="1" s="1264">
      <c r="A527" s="319" t="inlineStr">
        <is>
          <t> </t>
        </is>
      </c>
      <c r="B527" s="319" t="inlineStr">
        <is>
          <t> </t>
        </is>
      </c>
      <c r="C527" s="319" t="inlineStr">
        <is>
          <t> </t>
        </is>
      </c>
      <c r="D527" s="38" t="inlineStr">
        <is>
          <t> </t>
        </is>
      </c>
      <c r="E527" s="391" t="inlineStr">
        <is>
          <t> </t>
        </is>
      </c>
      <c r="F527" s="391" t="inlineStr">
        <is>
          <t> </t>
        </is>
      </c>
      <c r="G527" s="391" t="inlineStr">
        <is>
          <t> </t>
        </is>
      </c>
      <c r="H527" s="391" t="inlineStr">
        <is>
          <t> </t>
        </is>
      </c>
      <c r="I527" s="391" t="inlineStr">
        <is>
          <t> </t>
        </is>
      </c>
      <c r="J527" s="391" t="inlineStr">
        <is>
          <t> </t>
        </is>
      </c>
      <c r="K527" s="38" t="inlineStr">
        <is>
          <t> </t>
        </is>
      </c>
      <c r="L527" s="391" t="inlineStr">
        <is>
          <t> </t>
        </is>
      </c>
      <c r="M527" s="391" t="inlineStr">
        <is>
          <t> </t>
        </is>
      </c>
      <c r="N527" s="391" t="inlineStr">
        <is>
          <t> </t>
        </is>
      </c>
      <c r="O527" s="391" t="inlineStr">
        <is>
          <t> </t>
        </is>
      </c>
      <c r="P527" s="391" t="inlineStr">
        <is>
          <t> </t>
        </is>
      </c>
      <c r="Q527" s="391" t="inlineStr">
        <is>
          <t> </t>
        </is>
      </c>
      <c r="R527" s="38" t="inlineStr">
        <is>
          <t> </t>
        </is>
      </c>
      <c r="S527" s="391" t="inlineStr">
        <is>
          <t> </t>
        </is>
      </c>
      <c r="T527" s="391" t="inlineStr">
        <is>
          <t> </t>
        </is>
      </c>
      <c r="U527" s="391" t="inlineStr">
        <is>
          <t> </t>
        </is>
      </c>
      <c r="V527" s="391" t="inlineStr">
        <is>
          <t> </t>
        </is>
      </c>
      <c r="W527" s="391" t="inlineStr">
        <is>
          <t> </t>
        </is>
      </c>
      <c r="X527" s="391" t="inlineStr">
        <is>
          <t> </t>
        </is>
      </c>
      <c r="Y527" s="392" t="inlineStr">
        <is>
          <t> </t>
        </is>
      </c>
      <c r="Z527" s="391" t="inlineStr">
        <is>
          <t> </t>
        </is>
      </c>
      <c r="AA527" s="391" t="inlineStr">
        <is>
          <t> </t>
        </is>
      </c>
      <c r="AB527" s="391" t="inlineStr">
        <is>
          <t> </t>
        </is>
      </c>
      <c r="AC527" s="391" t="inlineStr">
        <is>
          <t> </t>
        </is>
      </c>
      <c r="AD527" s="391" t="inlineStr">
        <is>
          <t> </t>
        </is>
      </c>
      <c r="AE527" s="391" t="inlineStr">
        <is>
          <t> </t>
        </is>
      </c>
      <c r="AF527" s="38" t="inlineStr">
        <is>
          <t> </t>
        </is>
      </c>
      <c r="AG527" s="391" t="inlineStr">
        <is>
          <t> </t>
        </is>
      </c>
      <c r="AH527" s="391" t="n"/>
      <c r="AI527" s="391" t="inlineStr">
        <is>
          <t> </t>
        </is>
      </c>
      <c r="AJ527" s="391" t="inlineStr">
        <is>
          <t> </t>
        </is>
      </c>
      <c r="AK527" s="391" t="inlineStr">
        <is>
          <t> </t>
        </is>
      </c>
      <c r="AL527" s="391" t="inlineStr">
        <is>
          <t> </t>
        </is>
      </c>
      <c r="AM527" s="391" t="inlineStr">
        <is>
          <t> </t>
        </is>
      </c>
      <c r="AN527" s="391" t="inlineStr">
        <is>
          <t> </t>
        </is>
      </c>
      <c r="AO527" s="391" t="n"/>
      <c r="AP527" s="319" t="n"/>
      <c r="AQ527" s="319" t="n"/>
      <c r="AR527" s="319" t="n"/>
    </row>
    <row r="528" ht="15.75" customHeight="1" s="1264">
      <c r="A528" s="319" t="inlineStr">
        <is>
          <t> </t>
        </is>
      </c>
      <c r="B528" s="319" t="inlineStr">
        <is>
          <t> </t>
        </is>
      </c>
      <c r="C528" s="319" t="inlineStr">
        <is>
          <t> </t>
        </is>
      </c>
      <c r="D528" s="38" t="inlineStr">
        <is>
          <t> </t>
        </is>
      </c>
      <c r="E528" s="391" t="inlineStr">
        <is>
          <t> </t>
        </is>
      </c>
      <c r="F528" s="391" t="inlineStr">
        <is>
          <t> </t>
        </is>
      </c>
      <c r="G528" s="391" t="inlineStr">
        <is>
          <t> </t>
        </is>
      </c>
      <c r="H528" s="391" t="inlineStr">
        <is>
          <t> </t>
        </is>
      </c>
      <c r="I528" s="391" t="inlineStr">
        <is>
          <t> </t>
        </is>
      </c>
      <c r="J528" s="391" t="inlineStr">
        <is>
          <t> </t>
        </is>
      </c>
      <c r="K528" s="38" t="inlineStr">
        <is>
          <t> </t>
        </is>
      </c>
      <c r="L528" s="391" t="inlineStr">
        <is>
          <t> </t>
        </is>
      </c>
      <c r="M528" s="391" t="inlineStr">
        <is>
          <t> </t>
        </is>
      </c>
      <c r="N528" s="391" t="inlineStr">
        <is>
          <t> </t>
        </is>
      </c>
      <c r="O528" s="391" t="inlineStr">
        <is>
          <t> </t>
        </is>
      </c>
      <c r="P528" s="391" t="inlineStr">
        <is>
          <t> </t>
        </is>
      </c>
      <c r="Q528" s="391" t="inlineStr">
        <is>
          <t> </t>
        </is>
      </c>
      <c r="R528" s="38" t="inlineStr">
        <is>
          <t> </t>
        </is>
      </c>
      <c r="S528" s="391" t="inlineStr">
        <is>
          <t> </t>
        </is>
      </c>
      <c r="T528" s="391" t="inlineStr">
        <is>
          <t> </t>
        </is>
      </c>
      <c r="U528" s="391" t="inlineStr">
        <is>
          <t> </t>
        </is>
      </c>
      <c r="V528" s="391" t="inlineStr">
        <is>
          <t> </t>
        </is>
      </c>
      <c r="W528" s="391" t="inlineStr">
        <is>
          <t> </t>
        </is>
      </c>
      <c r="X528" s="391" t="inlineStr">
        <is>
          <t> </t>
        </is>
      </c>
      <c r="Y528" s="392" t="inlineStr">
        <is>
          <t> </t>
        </is>
      </c>
      <c r="Z528" s="391" t="inlineStr">
        <is>
          <t> </t>
        </is>
      </c>
      <c r="AA528" s="391" t="inlineStr">
        <is>
          <t> </t>
        </is>
      </c>
      <c r="AB528" s="391" t="inlineStr">
        <is>
          <t> </t>
        </is>
      </c>
      <c r="AC528" s="391" t="inlineStr">
        <is>
          <t> </t>
        </is>
      </c>
      <c r="AD528" s="391" t="inlineStr">
        <is>
          <t> </t>
        </is>
      </c>
      <c r="AE528" s="391" t="inlineStr">
        <is>
          <t> </t>
        </is>
      </c>
      <c r="AF528" s="38" t="inlineStr">
        <is>
          <t> </t>
        </is>
      </c>
      <c r="AG528" s="391" t="inlineStr">
        <is>
          <t> </t>
        </is>
      </c>
      <c r="AH528" s="391" t="n"/>
      <c r="AI528" s="391" t="inlineStr">
        <is>
          <t> </t>
        </is>
      </c>
      <c r="AJ528" s="391" t="inlineStr">
        <is>
          <t> </t>
        </is>
      </c>
      <c r="AK528" s="391" t="inlineStr">
        <is>
          <t> </t>
        </is>
      </c>
      <c r="AL528" s="391" t="inlineStr">
        <is>
          <t> </t>
        </is>
      </c>
      <c r="AM528" s="391" t="inlineStr">
        <is>
          <t> </t>
        </is>
      </c>
      <c r="AN528" s="391" t="inlineStr">
        <is>
          <t> </t>
        </is>
      </c>
      <c r="AO528" s="391" t="n"/>
      <c r="AP528" s="319" t="n"/>
      <c r="AQ528" s="319" t="n"/>
      <c r="AR528" s="319" t="n"/>
    </row>
    <row r="529" ht="15.75" customHeight="1" s="1264">
      <c r="A529" s="319" t="inlineStr">
        <is>
          <t> </t>
        </is>
      </c>
      <c r="B529" s="319" t="inlineStr">
        <is>
          <t> </t>
        </is>
      </c>
      <c r="C529" s="319" t="inlineStr">
        <is>
          <t> </t>
        </is>
      </c>
      <c r="D529" s="38" t="inlineStr">
        <is>
          <t> </t>
        </is>
      </c>
      <c r="E529" s="391" t="inlineStr">
        <is>
          <t> </t>
        </is>
      </c>
      <c r="F529" s="391" t="inlineStr">
        <is>
          <t> </t>
        </is>
      </c>
      <c r="G529" s="391" t="inlineStr">
        <is>
          <t> </t>
        </is>
      </c>
      <c r="H529" s="391" t="inlineStr">
        <is>
          <t> </t>
        </is>
      </c>
      <c r="I529" s="391" t="inlineStr">
        <is>
          <t> </t>
        </is>
      </c>
      <c r="J529" s="391" t="inlineStr">
        <is>
          <t> </t>
        </is>
      </c>
      <c r="K529" s="38" t="inlineStr">
        <is>
          <t> </t>
        </is>
      </c>
      <c r="L529" s="391" t="inlineStr">
        <is>
          <t> </t>
        </is>
      </c>
      <c r="M529" s="391" t="inlineStr">
        <is>
          <t> </t>
        </is>
      </c>
      <c r="N529" s="391" t="inlineStr">
        <is>
          <t> </t>
        </is>
      </c>
      <c r="O529" s="391" t="inlineStr">
        <is>
          <t> </t>
        </is>
      </c>
      <c r="P529" s="391" t="inlineStr">
        <is>
          <t> </t>
        </is>
      </c>
      <c r="Q529" s="391" t="inlineStr">
        <is>
          <t> </t>
        </is>
      </c>
      <c r="R529" s="38" t="inlineStr">
        <is>
          <t> </t>
        </is>
      </c>
      <c r="S529" s="391" t="inlineStr">
        <is>
          <t> </t>
        </is>
      </c>
      <c r="T529" s="391" t="inlineStr">
        <is>
          <t> </t>
        </is>
      </c>
      <c r="U529" s="391" t="inlineStr">
        <is>
          <t> </t>
        </is>
      </c>
      <c r="V529" s="391" t="inlineStr">
        <is>
          <t> </t>
        </is>
      </c>
      <c r="W529" s="391" t="inlineStr">
        <is>
          <t> </t>
        </is>
      </c>
      <c r="X529" s="391" t="inlineStr">
        <is>
          <t> </t>
        </is>
      </c>
      <c r="Y529" s="392" t="inlineStr">
        <is>
          <t> </t>
        </is>
      </c>
      <c r="Z529" s="391" t="inlineStr">
        <is>
          <t> </t>
        </is>
      </c>
      <c r="AA529" s="391" t="inlineStr">
        <is>
          <t> </t>
        </is>
      </c>
      <c r="AB529" s="391" t="inlineStr">
        <is>
          <t> </t>
        </is>
      </c>
      <c r="AC529" s="391" t="inlineStr">
        <is>
          <t> </t>
        </is>
      </c>
      <c r="AD529" s="391" t="inlineStr">
        <is>
          <t> </t>
        </is>
      </c>
      <c r="AE529" s="391" t="inlineStr">
        <is>
          <t> </t>
        </is>
      </c>
      <c r="AF529" s="38" t="inlineStr">
        <is>
          <t> </t>
        </is>
      </c>
      <c r="AG529" s="391" t="inlineStr">
        <is>
          <t> </t>
        </is>
      </c>
      <c r="AH529" s="391" t="n"/>
      <c r="AI529" s="391" t="inlineStr">
        <is>
          <t> </t>
        </is>
      </c>
      <c r="AJ529" s="391" t="inlineStr">
        <is>
          <t> </t>
        </is>
      </c>
      <c r="AK529" s="391" t="inlineStr">
        <is>
          <t> </t>
        </is>
      </c>
      <c r="AL529" s="391" t="inlineStr">
        <is>
          <t> </t>
        </is>
      </c>
      <c r="AM529" s="391" t="inlineStr">
        <is>
          <t> </t>
        </is>
      </c>
      <c r="AN529" s="391" t="inlineStr">
        <is>
          <t> </t>
        </is>
      </c>
      <c r="AO529" s="391" t="n"/>
      <c r="AP529" s="319" t="n"/>
      <c r="AQ529" s="319" t="n"/>
      <c r="AR529" s="319" t="n"/>
    </row>
    <row r="530" ht="15.75" customHeight="1" s="1264">
      <c r="A530" s="319" t="inlineStr">
        <is>
          <t> </t>
        </is>
      </c>
      <c r="B530" s="319" t="inlineStr">
        <is>
          <t> </t>
        </is>
      </c>
      <c r="C530" s="319" t="inlineStr">
        <is>
          <t> </t>
        </is>
      </c>
      <c r="D530" s="38" t="inlineStr">
        <is>
          <t> </t>
        </is>
      </c>
      <c r="E530" s="391" t="inlineStr">
        <is>
          <t> </t>
        </is>
      </c>
      <c r="F530" s="391" t="inlineStr">
        <is>
          <t> </t>
        </is>
      </c>
      <c r="G530" s="391" t="inlineStr">
        <is>
          <t> </t>
        </is>
      </c>
      <c r="H530" s="391" t="inlineStr">
        <is>
          <t> </t>
        </is>
      </c>
      <c r="I530" s="391" t="inlineStr">
        <is>
          <t> </t>
        </is>
      </c>
      <c r="J530" s="391" t="inlineStr">
        <is>
          <t> </t>
        </is>
      </c>
      <c r="K530" s="38" t="inlineStr">
        <is>
          <t> </t>
        </is>
      </c>
      <c r="L530" s="391" t="inlineStr">
        <is>
          <t> </t>
        </is>
      </c>
      <c r="M530" s="391" t="inlineStr">
        <is>
          <t> </t>
        </is>
      </c>
      <c r="N530" s="391" t="inlineStr">
        <is>
          <t> </t>
        </is>
      </c>
      <c r="O530" s="391" t="inlineStr">
        <is>
          <t> </t>
        </is>
      </c>
      <c r="P530" s="391" t="inlineStr">
        <is>
          <t> </t>
        </is>
      </c>
      <c r="Q530" s="391" t="inlineStr">
        <is>
          <t> </t>
        </is>
      </c>
      <c r="R530" s="38" t="inlineStr">
        <is>
          <t> </t>
        </is>
      </c>
      <c r="S530" s="391" t="inlineStr">
        <is>
          <t> </t>
        </is>
      </c>
      <c r="T530" s="391" t="inlineStr">
        <is>
          <t> </t>
        </is>
      </c>
      <c r="U530" s="391" t="inlineStr">
        <is>
          <t> </t>
        </is>
      </c>
      <c r="V530" s="391" t="inlineStr">
        <is>
          <t> </t>
        </is>
      </c>
      <c r="W530" s="391" t="inlineStr">
        <is>
          <t> </t>
        </is>
      </c>
      <c r="X530" s="391" t="inlineStr">
        <is>
          <t> </t>
        </is>
      </c>
      <c r="Y530" s="392" t="inlineStr">
        <is>
          <t> </t>
        </is>
      </c>
      <c r="Z530" s="391" t="inlineStr">
        <is>
          <t> </t>
        </is>
      </c>
      <c r="AA530" s="391" t="inlineStr">
        <is>
          <t> </t>
        </is>
      </c>
      <c r="AB530" s="391" t="inlineStr">
        <is>
          <t> </t>
        </is>
      </c>
      <c r="AC530" s="391" t="inlineStr">
        <is>
          <t> </t>
        </is>
      </c>
      <c r="AD530" s="391" t="inlineStr">
        <is>
          <t> </t>
        </is>
      </c>
      <c r="AE530" s="391" t="inlineStr">
        <is>
          <t> </t>
        </is>
      </c>
      <c r="AF530" s="38" t="inlineStr">
        <is>
          <t> </t>
        </is>
      </c>
      <c r="AG530" s="391" t="inlineStr">
        <is>
          <t> </t>
        </is>
      </c>
      <c r="AH530" s="391" t="n"/>
      <c r="AI530" s="391" t="inlineStr">
        <is>
          <t> </t>
        </is>
      </c>
      <c r="AJ530" s="391" t="inlineStr">
        <is>
          <t> </t>
        </is>
      </c>
      <c r="AK530" s="391" t="inlineStr">
        <is>
          <t> </t>
        </is>
      </c>
      <c r="AL530" s="391" t="inlineStr">
        <is>
          <t> </t>
        </is>
      </c>
      <c r="AM530" s="391" t="inlineStr">
        <is>
          <t> </t>
        </is>
      </c>
      <c r="AN530" s="391" t="inlineStr">
        <is>
          <t> </t>
        </is>
      </c>
      <c r="AO530" s="391" t="n"/>
      <c r="AP530" s="319" t="n"/>
      <c r="AQ530" s="319" t="n"/>
      <c r="AR530" s="319" t="n"/>
    </row>
    <row r="531" ht="15.75" customHeight="1" s="1264">
      <c r="A531" s="319" t="inlineStr">
        <is>
          <t> </t>
        </is>
      </c>
      <c r="B531" s="319" t="inlineStr">
        <is>
          <t> </t>
        </is>
      </c>
      <c r="C531" s="319" t="inlineStr">
        <is>
          <t> </t>
        </is>
      </c>
      <c r="D531" s="38" t="inlineStr">
        <is>
          <t> </t>
        </is>
      </c>
      <c r="E531" s="391" t="inlineStr">
        <is>
          <t> </t>
        </is>
      </c>
      <c r="F531" s="391" t="inlineStr">
        <is>
          <t> </t>
        </is>
      </c>
      <c r="G531" s="391" t="inlineStr">
        <is>
          <t> </t>
        </is>
      </c>
      <c r="H531" s="391" t="inlineStr">
        <is>
          <t> </t>
        </is>
      </c>
      <c r="I531" s="391" t="inlineStr">
        <is>
          <t> </t>
        </is>
      </c>
      <c r="J531" s="391" t="inlineStr">
        <is>
          <t> </t>
        </is>
      </c>
      <c r="K531" s="38" t="inlineStr">
        <is>
          <t> </t>
        </is>
      </c>
      <c r="L531" s="391" t="inlineStr">
        <is>
          <t> </t>
        </is>
      </c>
      <c r="M531" s="391" t="inlineStr">
        <is>
          <t> </t>
        </is>
      </c>
      <c r="N531" s="391" t="inlineStr">
        <is>
          <t> </t>
        </is>
      </c>
      <c r="O531" s="391" t="inlineStr">
        <is>
          <t> </t>
        </is>
      </c>
      <c r="P531" s="391" t="inlineStr">
        <is>
          <t> </t>
        </is>
      </c>
      <c r="Q531" s="391" t="inlineStr">
        <is>
          <t> </t>
        </is>
      </c>
      <c r="R531" s="38" t="inlineStr">
        <is>
          <t> </t>
        </is>
      </c>
      <c r="S531" s="391" t="inlineStr">
        <is>
          <t> </t>
        </is>
      </c>
      <c r="T531" s="391" t="inlineStr">
        <is>
          <t> </t>
        </is>
      </c>
      <c r="U531" s="391" t="inlineStr">
        <is>
          <t> </t>
        </is>
      </c>
      <c r="V531" s="391" t="inlineStr">
        <is>
          <t> </t>
        </is>
      </c>
      <c r="W531" s="391" t="inlineStr">
        <is>
          <t> </t>
        </is>
      </c>
      <c r="X531" s="391" t="inlineStr">
        <is>
          <t> </t>
        </is>
      </c>
      <c r="Y531" s="392" t="inlineStr">
        <is>
          <t> </t>
        </is>
      </c>
      <c r="Z531" s="391" t="inlineStr">
        <is>
          <t> </t>
        </is>
      </c>
      <c r="AA531" s="391" t="inlineStr">
        <is>
          <t> </t>
        </is>
      </c>
      <c r="AB531" s="391" t="inlineStr">
        <is>
          <t> </t>
        </is>
      </c>
      <c r="AC531" s="391" t="inlineStr">
        <is>
          <t> </t>
        </is>
      </c>
      <c r="AD531" s="391" t="inlineStr">
        <is>
          <t> </t>
        </is>
      </c>
      <c r="AE531" s="391" t="inlineStr">
        <is>
          <t> </t>
        </is>
      </c>
      <c r="AF531" s="38" t="inlineStr">
        <is>
          <t> </t>
        </is>
      </c>
      <c r="AG531" s="391" t="inlineStr">
        <is>
          <t> </t>
        </is>
      </c>
      <c r="AH531" s="391" t="n"/>
      <c r="AI531" s="391" t="inlineStr">
        <is>
          <t> </t>
        </is>
      </c>
      <c r="AJ531" s="391" t="inlineStr">
        <is>
          <t> </t>
        </is>
      </c>
      <c r="AK531" s="391" t="inlineStr">
        <is>
          <t> </t>
        </is>
      </c>
      <c r="AL531" s="391" t="inlineStr">
        <is>
          <t> </t>
        </is>
      </c>
      <c r="AM531" s="391" t="inlineStr">
        <is>
          <t> </t>
        </is>
      </c>
      <c r="AN531" s="391" t="inlineStr">
        <is>
          <t> </t>
        </is>
      </c>
      <c r="AO531" s="391" t="n"/>
      <c r="AP531" s="319" t="n"/>
      <c r="AQ531" s="319" t="n"/>
      <c r="AR531" s="319" t="n"/>
    </row>
    <row r="532" ht="15.75" customHeight="1" s="1264">
      <c r="A532" s="319" t="inlineStr">
        <is>
          <t> </t>
        </is>
      </c>
      <c r="B532" s="319" t="inlineStr">
        <is>
          <t> </t>
        </is>
      </c>
      <c r="C532" s="319" t="inlineStr">
        <is>
          <t> </t>
        </is>
      </c>
      <c r="D532" s="38" t="inlineStr">
        <is>
          <t> </t>
        </is>
      </c>
      <c r="E532" s="391" t="inlineStr">
        <is>
          <t> </t>
        </is>
      </c>
      <c r="F532" s="391" t="inlineStr">
        <is>
          <t> </t>
        </is>
      </c>
      <c r="G532" s="391" t="inlineStr">
        <is>
          <t> </t>
        </is>
      </c>
      <c r="H532" s="391" t="inlineStr">
        <is>
          <t> </t>
        </is>
      </c>
      <c r="I532" s="391" t="inlineStr">
        <is>
          <t> </t>
        </is>
      </c>
      <c r="J532" s="391" t="inlineStr">
        <is>
          <t> </t>
        </is>
      </c>
      <c r="K532" s="38" t="inlineStr">
        <is>
          <t> </t>
        </is>
      </c>
      <c r="L532" s="391" t="inlineStr">
        <is>
          <t> </t>
        </is>
      </c>
      <c r="M532" s="391" t="inlineStr">
        <is>
          <t> </t>
        </is>
      </c>
      <c r="N532" s="391" t="inlineStr">
        <is>
          <t> </t>
        </is>
      </c>
      <c r="O532" s="391" t="inlineStr">
        <is>
          <t> </t>
        </is>
      </c>
      <c r="P532" s="391" t="inlineStr">
        <is>
          <t> </t>
        </is>
      </c>
      <c r="Q532" s="391" t="inlineStr">
        <is>
          <t> </t>
        </is>
      </c>
      <c r="R532" s="38" t="inlineStr">
        <is>
          <t> </t>
        </is>
      </c>
      <c r="S532" s="391" t="inlineStr">
        <is>
          <t> </t>
        </is>
      </c>
      <c r="T532" s="391" t="inlineStr">
        <is>
          <t> </t>
        </is>
      </c>
      <c r="U532" s="391" t="inlineStr">
        <is>
          <t> </t>
        </is>
      </c>
      <c r="V532" s="391" t="inlineStr">
        <is>
          <t> </t>
        </is>
      </c>
      <c r="W532" s="391" t="inlineStr">
        <is>
          <t> </t>
        </is>
      </c>
      <c r="X532" s="391" t="inlineStr">
        <is>
          <t> </t>
        </is>
      </c>
      <c r="Y532" s="392" t="inlineStr">
        <is>
          <t> </t>
        </is>
      </c>
      <c r="Z532" s="391" t="inlineStr">
        <is>
          <t> </t>
        </is>
      </c>
      <c r="AA532" s="391" t="inlineStr">
        <is>
          <t> </t>
        </is>
      </c>
      <c r="AB532" s="391" t="inlineStr">
        <is>
          <t> </t>
        </is>
      </c>
      <c r="AC532" s="391" t="inlineStr">
        <is>
          <t> </t>
        </is>
      </c>
      <c r="AD532" s="391" t="inlineStr">
        <is>
          <t> </t>
        </is>
      </c>
      <c r="AE532" s="391" t="inlineStr">
        <is>
          <t> </t>
        </is>
      </c>
      <c r="AF532" s="38" t="inlineStr">
        <is>
          <t> </t>
        </is>
      </c>
      <c r="AG532" s="391" t="inlineStr">
        <is>
          <t> </t>
        </is>
      </c>
      <c r="AH532" s="391" t="n"/>
      <c r="AI532" s="391" t="inlineStr">
        <is>
          <t> </t>
        </is>
      </c>
      <c r="AJ532" s="391" t="inlineStr">
        <is>
          <t> </t>
        </is>
      </c>
      <c r="AK532" s="391" t="inlineStr">
        <is>
          <t> </t>
        </is>
      </c>
      <c r="AL532" s="391" t="inlineStr">
        <is>
          <t> </t>
        </is>
      </c>
      <c r="AM532" s="391" t="inlineStr">
        <is>
          <t> </t>
        </is>
      </c>
      <c r="AN532" s="391" t="inlineStr">
        <is>
          <t> </t>
        </is>
      </c>
      <c r="AO532" s="391" t="n"/>
      <c r="AP532" s="319" t="n"/>
      <c r="AQ532" s="319" t="n"/>
      <c r="AR532" s="319" t="n"/>
    </row>
    <row r="533" ht="15.75" customHeight="1" s="1264">
      <c r="A533" s="319" t="inlineStr">
        <is>
          <t> </t>
        </is>
      </c>
      <c r="B533" s="319" t="inlineStr">
        <is>
          <t> </t>
        </is>
      </c>
      <c r="C533" s="319" t="inlineStr">
        <is>
          <t> </t>
        </is>
      </c>
      <c r="D533" s="38" t="inlineStr">
        <is>
          <t> </t>
        </is>
      </c>
      <c r="E533" s="391" t="inlineStr">
        <is>
          <t> </t>
        </is>
      </c>
      <c r="F533" s="391" t="inlineStr">
        <is>
          <t> </t>
        </is>
      </c>
      <c r="G533" s="391" t="inlineStr">
        <is>
          <t> </t>
        </is>
      </c>
      <c r="H533" s="391" t="inlineStr">
        <is>
          <t> </t>
        </is>
      </c>
      <c r="I533" s="391" t="inlineStr">
        <is>
          <t> </t>
        </is>
      </c>
      <c r="J533" s="391" t="inlineStr">
        <is>
          <t> </t>
        </is>
      </c>
      <c r="K533" s="38" t="inlineStr">
        <is>
          <t> </t>
        </is>
      </c>
      <c r="L533" s="391" t="inlineStr">
        <is>
          <t> </t>
        </is>
      </c>
      <c r="M533" s="391" t="inlineStr">
        <is>
          <t> </t>
        </is>
      </c>
      <c r="N533" s="391" t="inlineStr">
        <is>
          <t> </t>
        </is>
      </c>
      <c r="O533" s="391" t="inlineStr">
        <is>
          <t> </t>
        </is>
      </c>
      <c r="P533" s="391" t="inlineStr">
        <is>
          <t> </t>
        </is>
      </c>
      <c r="Q533" s="391" t="inlineStr">
        <is>
          <t> </t>
        </is>
      </c>
      <c r="R533" s="38" t="inlineStr">
        <is>
          <t> </t>
        </is>
      </c>
      <c r="S533" s="391" t="inlineStr">
        <is>
          <t> </t>
        </is>
      </c>
      <c r="T533" s="391" t="inlineStr">
        <is>
          <t> </t>
        </is>
      </c>
      <c r="U533" s="391" t="inlineStr">
        <is>
          <t> </t>
        </is>
      </c>
      <c r="V533" s="391" t="inlineStr">
        <is>
          <t> </t>
        </is>
      </c>
      <c r="W533" s="391" t="inlineStr">
        <is>
          <t> </t>
        </is>
      </c>
      <c r="X533" s="391" t="inlineStr">
        <is>
          <t> </t>
        </is>
      </c>
      <c r="Y533" s="392" t="inlineStr">
        <is>
          <t> </t>
        </is>
      </c>
      <c r="Z533" s="391" t="inlineStr">
        <is>
          <t> </t>
        </is>
      </c>
      <c r="AA533" s="391" t="inlineStr">
        <is>
          <t> </t>
        </is>
      </c>
      <c r="AB533" s="391" t="inlineStr">
        <is>
          <t> </t>
        </is>
      </c>
      <c r="AC533" s="391" t="inlineStr">
        <is>
          <t> </t>
        </is>
      </c>
      <c r="AD533" s="391" t="inlineStr">
        <is>
          <t> </t>
        </is>
      </c>
      <c r="AE533" s="391" t="inlineStr">
        <is>
          <t> </t>
        </is>
      </c>
      <c r="AF533" s="38" t="inlineStr">
        <is>
          <t> </t>
        </is>
      </c>
      <c r="AG533" s="391" t="inlineStr">
        <is>
          <t> </t>
        </is>
      </c>
      <c r="AH533" s="391" t="n"/>
      <c r="AI533" s="391" t="inlineStr">
        <is>
          <t> </t>
        </is>
      </c>
      <c r="AJ533" s="391" t="inlineStr">
        <is>
          <t> </t>
        </is>
      </c>
      <c r="AK533" s="391" t="inlineStr">
        <is>
          <t> </t>
        </is>
      </c>
      <c r="AL533" s="391" t="inlineStr">
        <is>
          <t> </t>
        </is>
      </c>
      <c r="AM533" s="391" t="inlineStr">
        <is>
          <t> </t>
        </is>
      </c>
      <c r="AN533" s="391" t="inlineStr">
        <is>
          <t> </t>
        </is>
      </c>
      <c r="AO533" s="391" t="n"/>
      <c r="AP533" s="319" t="n"/>
      <c r="AQ533" s="319" t="n"/>
      <c r="AR533" s="319" t="n"/>
    </row>
    <row r="534" ht="15.75" customHeight="1" s="1264">
      <c r="A534" s="319" t="inlineStr">
        <is>
          <t> </t>
        </is>
      </c>
      <c r="B534" s="319" t="inlineStr">
        <is>
          <t> </t>
        </is>
      </c>
      <c r="C534" s="319" t="inlineStr">
        <is>
          <t> </t>
        </is>
      </c>
      <c r="D534" s="38" t="inlineStr">
        <is>
          <t> </t>
        </is>
      </c>
      <c r="E534" s="391" t="inlineStr">
        <is>
          <t> </t>
        </is>
      </c>
      <c r="F534" s="391" t="inlineStr">
        <is>
          <t> </t>
        </is>
      </c>
      <c r="G534" s="391" t="inlineStr">
        <is>
          <t> </t>
        </is>
      </c>
      <c r="H534" s="391" t="inlineStr">
        <is>
          <t> </t>
        </is>
      </c>
      <c r="I534" s="391" t="inlineStr">
        <is>
          <t> </t>
        </is>
      </c>
      <c r="J534" s="391" t="inlineStr">
        <is>
          <t> </t>
        </is>
      </c>
      <c r="K534" s="38" t="inlineStr">
        <is>
          <t> </t>
        </is>
      </c>
      <c r="L534" s="391" t="inlineStr">
        <is>
          <t> </t>
        </is>
      </c>
      <c r="M534" s="391" t="inlineStr">
        <is>
          <t> </t>
        </is>
      </c>
      <c r="N534" s="391" t="inlineStr">
        <is>
          <t> </t>
        </is>
      </c>
      <c r="O534" s="391" t="inlineStr">
        <is>
          <t> </t>
        </is>
      </c>
      <c r="P534" s="391" t="inlineStr">
        <is>
          <t> </t>
        </is>
      </c>
      <c r="Q534" s="391" t="inlineStr">
        <is>
          <t> </t>
        </is>
      </c>
      <c r="R534" s="38" t="inlineStr">
        <is>
          <t> </t>
        </is>
      </c>
      <c r="S534" s="391" t="inlineStr">
        <is>
          <t> </t>
        </is>
      </c>
      <c r="T534" s="391" t="inlineStr">
        <is>
          <t> </t>
        </is>
      </c>
      <c r="U534" s="391" t="inlineStr">
        <is>
          <t> </t>
        </is>
      </c>
      <c r="V534" s="391" t="inlineStr">
        <is>
          <t> </t>
        </is>
      </c>
      <c r="W534" s="391" t="inlineStr">
        <is>
          <t> </t>
        </is>
      </c>
      <c r="X534" s="391" t="inlineStr">
        <is>
          <t> </t>
        </is>
      </c>
      <c r="Y534" s="392" t="inlineStr">
        <is>
          <t> </t>
        </is>
      </c>
      <c r="Z534" s="391" t="inlineStr">
        <is>
          <t> </t>
        </is>
      </c>
      <c r="AA534" s="391" t="inlineStr">
        <is>
          <t> </t>
        </is>
      </c>
      <c r="AB534" s="391" t="inlineStr">
        <is>
          <t> </t>
        </is>
      </c>
      <c r="AC534" s="391" t="inlineStr">
        <is>
          <t> </t>
        </is>
      </c>
      <c r="AD534" s="391" t="inlineStr">
        <is>
          <t> </t>
        </is>
      </c>
      <c r="AE534" s="391" t="inlineStr">
        <is>
          <t> </t>
        </is>
      </c>
      <c r="AF534" s="38" t="inlineStr">
        <is>
          <t> </t>
        </is>
      </c>
      <c r="AG534" s="391" t="inlineStr">
        <is>
          <t> </t>
        </is>
      </c>
      <c r="AH534" s="391" t="n"/>
      <c r="AI534" s="391" t="inlineStr">
        <is>
          <t> </t>
        </is>
      </c>
      <c r="AJ534" s="391" t="inlineStr">
        <is>
          <t> </t>
        </is>
      </c>
      <c r="AK534" s="391" t="inlineStr">
        <is>
          <t> </t>
        </is>
      </c>
      <c r="AL534" s="391" t="inlineStr">
        <is>
          <t> </t>
        </is>
      </c>
      <c r="AM534" s="391" t="inlineStr">
        <is>
          <t> </t>
        </is>
      </c>
      <c r="AN534" s="391" t="inlineStr">
        <is>
          <t> </t>
        </is>
      </c>
      <c r="AO534" s="391" t="n"/>
      <c r="AP534" s="319" t="n"/>
      <c r="AQ534" s="319" t="n"/>
      <c r="AR534" s="319" t="n"/>
    </row>
    <row r="535" ht="15.75" customHeight="1" s="1264">
      <c r="A535" s="319" t="inlineStr">
        <is>
          <t> </t>
        </is>
      </c>
      <c r="B535" s="319" t="inlineStr">
        <is>
          <t> </t>
        </is>
      </c>
      <c r="C535" s="319" t="inlineStr">
        <is>
          <t> </t>
        </is>
      </c>
      <c r="D535" s="38" t="inlineStr">
        <is>
          <t> </t>
        </is>
      </c>
      <c r="E535" s="391" t="inlineStr">
        <is>
          <t> </t>
        </is>
      </c>
      <c r="F535" s="391" t="inlineStr">
        <is>
          <t> </t>
        </is>
      </c>
      <c r="G535" s="391" t="inlineStr">
        <is>
          <t> </t>
        </is>
      </c>
      <c r="H535" s="391" t="inlineStr">
        <is>
          <t> </t>
        </is>
      </c>
      <c r="I535" s="391" t="inlineStr">
        <is>
          <t> </t>
        </is>
      </c>
      <c r="J535" s="391" t="inlineStr">
        <is>
          <t> </t>
        </is>
      </c>
      <c r="K535" s="38" t="inlineStr">
        <is>
          <t> </t>
        </is>
      </c>
      <c r="L535" s="391" t="inlineStr">
        <is>
          <t> </t>
        </is>
      </c>
      <c r="M535" s="391" t="inlineStr">
        <is>
          <t> </t>
        </is>
      </c>
      <c r="N535" s="391" t="inlineStr">
        <is>
          <t> </t>
        </is>
      </c>
      <c r="O535" s="391" t="inlineStr">
        <is>
          <t> </t>
        </is>
      </c>
      <c r="P535" s="391" t="inlineStr">
        <is>
          <t> </t>
        </is>
      </c>
      <c r="Q535" s="391" t="inlineStr">
        <is>
          <t> </t>
        </is>
      </c>
      <c r="R535" s="38" t="inlineStr">
        <is>
          <t> </t>
        </is>
      </c>
      <c r="S535" s="391" t="inlineStr">
        <is>
          <t> </t>
        </is>
      </c>
      <c r="T535" s="391" t="inlineStr">
        <is>
          <t> </t>
        </is>
      </c>
      <c r="U535" s="391" t="inlineStr">
        <is>
          <t> </t>
        </is>
      </c>
      <c r="V535" s="391" t="inlineStr">
        <is>
          <t> </t>
        </is>
      </c>
      <c r="W535" s="391" t="inlineStr">
        <is>
          <t> </t>
        </is>
      </c>
      <c r="X535" s="391" t="inlineStr">
        <is>
          <t> </t>
        </is>
      </c>
      <c r="Y535" s="392" t="inlineStr">
        <is>
          <t> </t>
        </is>
      </c>
      <c r="Z535" s="391" t="inlineStr">
        <is>
          <t> </t>
        </is>
      </c>
      <c r="AA535" s="391" t="inlineStr">
        <is>
          <t> </t>
        </is>
      </c>
      <c r="AB535" s="391" t="inlineStr">
        <is>
          <t> </t>
        </is>
      </c>
      <c r="AC535" s="391" t="inlineStr">
        <is>
          <t> </t>
        </is>
      </c>
      <c r="AD535" s="391" t="inlineStr">
        <is>
          <t> </t>
        </is>
      </c>
      <c r="AE535" s="391" t="inlineStr">
        <is>
          <t> </t>
        </is>
      </c>
      <c r="AF535" s="38" t="inlineStr">
        <is>
          <t> </t>
        </is>
      </c>
      <c r="AG535" s="391" t="inlineStr">
        <is>
          <t> </t>
        </is>
      </c>
      <c r="AH535" s="391" t="n"/>
      <c r="AI535" s="391" t="inlineStr">
        <is>
          <t> </t>
        </is>
      </c>
      <c r="AJ535" s="391" t="inlineStr">
        <is>
          <t> </t>
        </is>
      </c>
      <c r="AK535" s="391" t="inlineStr">
        <is>
          <t> </t>
        </is>
      </c>
      <c r="AL535" s="391" t="inlineStr">
        <is>
          <t> </t>
        </is>
      </c>
      <c r="AM535" s="391" t="inlineStr">
        <is>
          <t> </t>
        </is>
      </c>
      <c r="AN535" s="391" t="inlineStr">
        <is>
          <t> </t>
        </is>
      </c>
      <c r="AO535" s="391" t="n"/>
      <c r="AP535" s="319" t="n"/>
      <c r="AQ535" s="319" t="n"/>
      <c r="AR535" s="319" t="n"/>
    </row>
    <row r="536" ht="15.75" customHeight="1" s="1264">
      <c r="A536" s="319" t="inlineStr">
        <is>
          <t> </t>
        </is>
      </c>
      <c r="B536" s="319" t="inlineStr">
        <is>
          <t> </t>
        </is>
      </c>
      <c r="C536" s="319" t="inlineStr">
        <is>
          <t> </t>
        </is>
      </c>
      <c r="D536" s="38" t="inlineStr">
        <is>
          <t> </t>
        </is>
      </c>
      <c r="E536" s="391" t="inlineStr">
        <is>
          <t> </t>
        </is>
      </c>
      <c r="F536" s="391" t="inlineStr">
        <is>
          <t> </t>
        </is>
      </c>
      <c r="G536" s="391" t="inlineStr">
        <is>
          <t> </t>
        </is>
      </c>
      <c r="H536" s="391" t="inlineStr">
        <is>
          <t> </t>
        </is>
      </c>
      <c r="I536" s="391" t="inlineStr">
        <is>
          <t> </t>
        </is>
      </c>
      <c r="J536" s="391" t="inlineStr">
        <is>
          <t> </t>
        </is>
      </c>
      <c r="K536" s="38" t="inlineStr">
        <is>
          <t> </t>
        </is>
      </c>
      <c r="L536" s="391" t="inlineStr">
        <is>
          <t> </t>
        </is>
      </c>
      <c r="M536" s="391" t="inlineStr">
        <is>
          <t> </t>
        </is>
      </c>
      <c r="N536" s="391" t="inlineStr">
        <is>
          <t> </t>
        </is>
      </c>
      <c r="O536" s="391" t="inlineStr">
        <is>
          <t> </t>
        </is>
      </c>
      <c r="P536" s="391" t="inlineStr">
        <is>
          <t> </t>
        </is>
      </c>
      <c r="Q536" s="391" t="inlineStr">
        <is>
          <t> </t>
        </is>
      </c>
      <c r="R536" s="38" t="inlineStr">
        <is>
          <t> </t>
        </is>
      </c>
      <c r="S536" s="391" t="inlineStr">
        <is>
          <t> </t>
        </is>
      </c>
      <c r="T536" s="391" t="inlineStr">
        <is>
          <t> </t>
        </is>
      </c>
      <c r="U536" s="391" t="inlineStr">
        <is>
          <t> </t>
        </is>
      </c>
      <c r="V536" s="391" t="inlineStr">
        <is>
          <t> </t>
        </is>
      </c>
      <c r="W536" s="391" t="inlineStr">
        <is>
          <t> </t>
        </is>
      </c>
      <c r="X536" s="391" t="inlineStr">
        <is>
          <t> </t>
        </is>
      </c>
      <c r="Y536" s="392" t="inlineStr">
        <is>
          <t> </t>
        </is>
      </c>
      <c r="Z536" s="391" t="inlineStr">
        <is>
          <t> </t>
        </is>
      </c>
      <c r="AA536" s="391" t="inlineStr">
        <is>
          <t> </t>
        </is>
      </c>
      <c r="AB536" s="391" t="inlineStr">
        <is>
          <t> </t>
        </is>
      </c>
      <c r="AC536" s="391" t="inlineStr">
        <is>
          <t> </t>
        </is>
      </c>
      <c r="AD536" s="391" t="inlineStr">
        <is>
          <t> </t>
        </is>
      </c>
      <c r="AE536" s="391" t="inlineStr">
        <is>
          <t> </t>
        </is>
      </c>
      <c r="AF536" s="38" t="inlineStr">
        <is>
          <t> </t>
        </is>
      </c>
      <c r="AG536" s="391" t="inlineStr">
        <is>
          <t> </t>
        </is>
      </c>
      <c r="AH536" s="391" t="n"/>
      <c r="AI536" s="391" t="inlineStr">
        <is>
          <t> </t>
        </is>
      </c>
      <c r="AJ536" s="391" t="inlineStr">
        <is>
          <t> </t>
        </is>
      </c>
      <c r="AK536" s="391" t="inlineStr">
        <is>
          <t> </t>
        </is>
      </c>
      <c r="AL536" s="391" t="inlineStr">
        <is>
          <t> </t>
        </is>
      </c>
      <c r="AM536" s="391" t="inlineStr">
        <is>
          <t> </t>
        </is>
      </c>
      <c r="AN536" s="391" t="inlineStr">
        <is>
          <t> </t>
        </is>
      </c>
      <c r="AO536" s="391" t="n"/>
      <c r="AP536" s="319" t="n"/>
      <c r="AQ536" s="319" t="n"/>
      <c r="AR536" s="319" t="n"/>
    </row>
    <row r="537" ht="15.75" customHeight="1" s="1264">
      <c r="A537" s="319" t="inlineStr">
        <is>
          <t> </t>
        </is>
      </c>
      <c r="B537" s="319" t="inlineStr">
        <is>
          <t> </t>
        </is>
      </c>
      <c r="C537" s="319" t="inlineStr">
        <is>
          <t> </t>
        </is>
      </c>
      <c r="D537" s="38" t="inlineStr">
        <is>
          <t> </t>
        </is>
      </c>
      <c r="E537" s="391" t="inlineStr">
        <is>
          <t> </t>
        </is>
      </c>
      <c r="F537" s="391" t="inlineStr">
        <is>
          <t> </t>
        </is>
      </c>
      <c r="G537" s="391" t="inlineStr">
        <is>
          <t> </t>
        </is>
      </c>
      <c r="H537" s="391" t="inlineStr">
        <is>
          <t> </t>
        </is>
      </c>
      <c r="I537" s="391" t="inlineStr">
        <is>
          <t> </t>
        </is>
      </c>
      <c r="J537" s="391" t="inlineStr">
        <is>
          <t> </t>
        </is>
      </c>
      <c r="K537" s="38" t="inlineStr">
        <is>
          <t> </t>
        </is>
      </c>
      <c r="L537" s="391" t="inlineStr">
        <is>
          <t> </t>
        </is>
      </c>
      <c r="M537" s="391" t="inlineStr">
        <is>
          <t> </t>
        </is>
      </c>
      <c r="N537" s="391" t="inlineStr">
        <is>
          <t> </t>
        </is>
      </c>
      <c r="O537" s="391" t="inlineStr">
        <is>
          <t> </t>
        </is>
      </c>
      <c r="P537" s="391" t="inlineStr">
        <is>
          <t> </t>
        </is>
      </c>
      <c r="Q537" s="391" t="inlineStr">
        <is>
          <t> </t>
        </is>
      </c>
      <c r="R537" s="38" t="inlineStr">
        <is>
          <t> </t>
        </is>
      </c>
      <c r="S537" s="391" t="inlineStr">
        <is>
          <t> </t>
        </is>
      </c>
      <c r="T537" s="391" t="inlineStr">
        <is>
          <t> </t>
        </is>
      </c>
      <c r="U537" s="391" t="inlineStr">
        <is>
          <t> </t>
        </is>
      </c>
      <c r="V537" s="391" t="inlineStr">
        <is>
          <t> </t>
        </is>
      </c>
      <c r="W537" s="391" t="inlineStr">
        <is>
          <t> </t>
        </is>
      </c>
      <c r="X537" s="391" t="inlineStr">
        <is>
          <t> </t>
        </is>
      </c>
      <c r="Y537" s="392" t="inlineStr">
        <is>
          <t> </t>
        </is>
      </c>
      <c r="Z537" s="391" t="inlineStr">
        <is>
          <t> </t>
        </is>
      </c>
      <c r="AA537" s="391" t="inlineStr">
        <is>
          <t> </t>
        </is>
      </c>
      <c r="AB537" s="391" t="inlineStr">
        <is>
          <t> </t>
        </is>
      </c>
      <c r="AC537" s="391" t="inlineStr">
        <is>
          <t> </t>
        </is>
      </c>
      <c r="AD537" s="391" t="inlineStr">
        <is>
          <t> </t>
        </is>
      </c>
      <c r="AE537" s="391" t="inlineStr">
        <is>
          <t> </t>
        </is>
      </c>
      <c r="AF537" s="38" t="inlineStr">
        <is>
          <t> </t>
        </is>
      </c>
      <c r="AG537" s="391" t="inlineStr">
        <is>
          <t> </t>
        </is>
      </c>
      <c r="AH537" s="391" t="n"/>
      <c r="AI537" s="391" t="inlineStr">
        <is>
          <t> </t>
        </is>
      </c>
      <c r="AJ537" s="391" t="inlineStr">
        <is>
          <t> </t>
        </is>
      </c>
      <c r="AK537" s="391" t="inlineStr">
        <is>
          <t> </t>
        </is>
      </c>
      <c r="AL537" s="391" t="inlineStr">
        <is>
          <t> </t>
        </is>
      </c>
      <c r="AM537" s="391" t="inlineStr">
        <is>
          <t> </t>
        </is>
      </c>
      <c r="AN537" s="391" t="inlineStr">
        <is>
          <t> </t>
        </is>
      </c>
      <c r="AO537" s="391" t="n"/>
      <c r="AP537" s="319" t="n"/>
      <c r="AQ537" s="319" t="n"/>
      <c r="AR537" s="319" t="n"/>
    </row>
    <row r="538" ht="15.75" customHeight="1" s="1264">
      <c r="A538" s="319" t="inlineStr">
        <is>
          <t> </t>
        </is>
      </c>
      <c r="B538" s="319" t="inlineStr">
        <is>
          <t> </t>
        </is>
      </c>
      <c r="C538" s="319" t="inlineStr">
        <is>
          <t> </t>
        </is>
      </c>
      <c r="D538" s="38" t="inlineStr">
        <is>
          <t> </t>
        </is>
      </c>
      <c r="E538" s="391" t="inlineStr">
        <is>
          <t> </t>
        </is>
      </c>
      <c r="F538" s="391" t="inlineStr">
        <is>
          <t> </t>
        </is>
      </c>
      <c r="G538" s="391" t="inlineStr">
        <is>
          <t> </t>
        </is>
      </c>
      <c r="H538" s="391" t="inlineStr">
        <is>
          <t> </t>
        </is>
      </c>
      <c r="I538" s="391" t="inlineStr">
        <is>
          <t> </t>
        </is>
      </c>
      <c r="J538" s="391" t="inlineStr">
        <is>
          <t> </t>
        </is>
      </c>
      <c r="K538" s="38" t="inlineStr">
        <is>
          <t> </t>
        </is>
      </c>
      <c r="L538" s="391" t="inlineStr">
        <is>
          <t> </t>
        </is>
      </c>
      <c r="M538" s="391" t="inlineStr">
        <is>
          <t> </t>
        </is>
      </c>
      <c r="N538" s="391" t="inlineStr">
        <is>
          <t> </t>
        </is>
      </c>
      <c r="O538" s="391" t="inlineStr">
        <is>
          <t> </t>
        </is>
      </c>
      <c r="P538" s="391" t="inlineStr">
        <is>
          <t> </t>
        </is>
      </c>
      <c r="Q538" s="391" t="inlineStr">
        <is>
          <t> </t>
        </is>
      </c>
      <c r="R538" s="38" t="inlineStr">
        <is>
          <t> </t>
        </is>
      </c>
      <c r="S538" s="391" t="inlineStr">
        <is>
          <t> </t>
        </is>
      </c>
      <c r="T538" s="391" t="inlineStr">
        <is>
          <t> </t>
        </is>
      </c>
      <c r="U538" s="391" t="inlineStr">
        <is>
          <t> </t>
        </is>
      </c>
      <c r="V538" s="391" t="inlineStr">
        <is>
          <t> </t>
        </is>
      </c>
      <c r="W538" s="391" t="inlineStr">
        <is>
          <t> </t>
        </is>
      </c>
      <c r="X538" s="391" t="inlineStr">
        <is>
          <t> </t>
        </is>
      </c>
      <c r="Y538" s="392" t="inlineStr">
        <is>
          <t> </t>
        </is>
      </c>
      <c r="Z538" s="391" t="inlineStr">
        <is>
          <t> </t>
        </is>
      </c>
      <c r="AA538" s="391" t="inlineStr">
        <is>
          <t> </t>
        </is>
      </c>
      <c r="AB538" s="391" t="inlineStr">
        <is>
          <t> </t>
        </is>
      </c>
      <c r="AC538" s="391" t="inlineStr">
        <is>
          <t> </t>
        </is>
      </c>
      <c r="AD538" s="391" t="inlineStr">
        <is>
          <t> </t>
        </is>
      </c>
      <c r="AE538" s="391" t="inlineStr">
        <is>
          <t> </t>
        </is>
      </c>
      <c r="AF538" s="38" t="inlineStr">
        <is>
          <t> </t>
        </is>
      </c>
      <c r="AG538" s="391" t="inlineStr">
        <is>
          <t> </t>
        </is>
      </c>
      <c r="AH538" s="391" t="n"/>
      <c r="AI538" s="391" t="inlineStr">
        <is>
          <t> </t>
        </is>
      </c>
      <c r="AJ538" s="391" t="inlineStr">
        <is>
          <t> </t>
        </is>
      </c>
      <c r="AK538" s="391" t="inlineStr">
        <is>
          <t> </t>
        </is>
      </c>
      <c r="AL538" s="391" t="inlineStr">
        <is>
          <t> </t>
        </is>
      </c>
      <c r="AM538" s="391" t="inlineStr">
        <is>
          <t> </t>
        </is>
      </c>
      <c r="AN538" s="391" t="inlineStr">
        <is>
          <t> </t>
        </is>
      </c>
      <c r="AO538" s="391" t="n"/>
      <c r="AP538" s="319" t="n"/>
      <c r="AQ538" s="319" t="n"/>
      <c r="AR538" s="319" t="n"/>
    </row>
    <row r="539" ht="15.75" customHeight="1" s="1264">
      <c r="A539" s="319" t="inlineStr">
        <is>
          <t> </t>
        </is>
      </c>
      <c r="B539" s="319" t="inlineStr">
        <is>
          <t> </t>
        </is>
      </c>
      <c r="C539" s="319" t="inlineStr">
        <is>
          <t> </t>
        </is>
      </c>
      <c r="D539" s="38" t="inlineStr">
        <is>
          <t> </t>
        </is>
      </c>
      <c r="E539" s="391" t="inlineStr">
        <is>
          <t> </t>
        </is>
      </c>
      <c r="F539" s="391" t="inlineStr">
        <is>
          <t> </t>
        </is>
      </c>
      <c r="G539" s="391" t="inlineStr">
        <is>
          <t> </t>
        </is>
      </c>
      <c r="H539" s="391" t="inlineStr">
        <is>
          <t> </t>
        </is>
      </c>
      <c r="I539" s="391" t="inlineStr">
        <is>
          <t> </t>
        </is>
      </c>
      <c r="J539" s="391" t="inlineStr">
        <is>
          <t> </t>
        </is>
      </c>
      <c r="K539" s="38" t="inlineStr">
        <is>
          <t> </t>
        </is>
      </c>
      <c r="L539" s="391" t="inlineStr">
        <is>
          <t> </t>
        </is>
      </c>
      <c r="M539" s="391" t="inlineStr">
        <is>
          <t> </t>
        </is>
      </c>
      <c r="N539" s="391" t="inlineStr">
        <is>
          <t> </t>
        </is>
      </c>
      <c r="O539" s="391" t="inlineStr">
        <is>
          <t> </t>
        </is>
      </c>
      <c r="P539" s="391" t="inlineStr">
        <is>
          <t> </t>
        </is>
      </c>
      <c r="Q539" s="391" t="inlineStr">
        <is>
          <t> </t>
        </is>
      </c>
      <c r="R539" s="38" t="inlineStr">
        <is>
          <t> </t>
        </is>
      </c>
      <c r="S539" s="391" t="inlineStr">
        <is>
          <t> </t>
        </is>
      </c>
      <c r="T539" s="391" t="inlineStr">
        <is>
          <t> </t>
        </is>
      </c>
      <c r="U539" s="391" t="inlineStr">
        <is>
          <t> </t>
        </is>
      </c>
      <c r="V539" s="391" t="inlineStr">
        <is>
          <t> </t>
        </is>
      </c>
      <c r="W539" s="391" t="inlineStr">
        <is>
          <t> </t>
        </is>
      </c>
      <c r="X539" s="391" t="inlineStr">
        <is>
          <t> </t>
        </is>
      </c>
      <c r="Y539" s="392" t="inlineStr">
        <is>
          <t> </t>
        </is>
      </c>
      <c r="Z539" s="391" t="inlineStr">
        <is>
          <t> </t>
        </is>
      </c>
      <c r="AA539" s="391" t="inlineStr">
        <is>
          <t> </t>
        </is>
      </c>
      <c r="AB539" s="391" t="inlineStr">
        <is>
          <t> </t>
        </is>
      </c>
      <c r="AC539" s="391" t="inlineStr">
        <is>
          <t> </t>
        </is>
      </c>
      <c r="AD539" s="391" t="inlineStr">
        <is>
          <t> </t>
        </is>
      </c>
      <c r="AE539" s="391" t="inlineStr">
        <is>
          <t> </t>
        </is>
      </c>
      <c r="AF539" s="38" t="inlineStr">
        <is>
          <t> </t>
        </is>
      </c>
      <c r="AG539" s="391" t="inlineStr">
        <is>
          <t> </t>
        </is>
      </c>
      <c r="AH539" s="391" t="n"/>
      <c r="AI539" s="391" t="inlineStr">
        <is>
          <t> </t>
        </is>
      </c>
      <c r="AJ539" s="391" t="inlineStr">
        <is>
          <t> </t>
        </is>
      </c>
      <c r="AK539" s="391" t="inlineStr">
        <is>
          <t> </t>
        </is>
      </c>
      <c r="AL539" s="391" t="inlineStr">
        <is>
          <t> </t>
        </is>
      </c>
      <c r="AM539" s="391" t="inlineStr">
        <is>
          <t> </t>
        </is>
      </c>
      <c r="AN539" s="391" t="inlineStr">
        <is>
          <t> </t>
        </is>
      </c>
      <c r="AO539" s="391" t="n"/>
      <c r="AP539" s="319" t="n"/>
      <c r="AQ539" s="319" t="n"/>
      <c r="AR539" s="319" t="n"/>
    </row>
    <row r="540" ht="15.75" customHeight="1" s="1264">
      <c r="A540" s="319" t="inlineStr">
        <is>
          <t> </t>
        </is>
      </c>
      <c r="B540" s="319" t="inlineStr">
        <is>
          <t> </t>
        </is>
      </c>
      <c r="C540" s="319" t="inlineStr">
        <is>
          <t> </t>
        </is>
      </c>
      <c r="D540" s="38" t="inlineStr">
        <is>
          <t> </t>
        </is>
      </c>
      <c r="E540" s="391" t="inlineStr">
        <is>
          <t> </t>
        </is>
      </c>
      <c r="F540" s="391" t="inlineStr">
        <is>
          <t> </t>
        </is>
      </c>
      <c r="G540" s="391" t="inlineStr">
        <is>
          <t> </t>
        </is>
      </c>
      <c r="H540" s="391" t="inlineStr">
        <is>
          <t> </t>
        </is>
      </c>
      <c r="I540" s="391" t="inlineStr">
        <is>
          <t> </t>
        </is>
      </c>
      <c r="J540" s="391" t="inlineStr">
        <is>
          <t> </t>
        </is>
      </c>
      <c r="K540" s="38" t="inlineStr">
        <is>
          <t> </t>
        </is>
      </c>
      <c r="L540" s="391" t="inlineStr">
        <is>
          <t> </t>
        </is>
      </c>
      <c r="M540" s="391" t="inlineStr">
        <is>
          <t> </t>
        </is>
      </c>
      <c r="N540" s="391" t="inlineStr">
        <is>
          <t> </t>
        </is>
      </c>
      <c r="O540" s="391" t="inlineStr">
        <is>
          <t> </t>
        </is>
      </c>
      <c r="P540" s="391" t="inlineStr">
        <is>
          <t> </t>
        </is>
      </c>
      <c r="Q540" s="391" t="inlineStr">
        <is>
          <t> </t>
        </is>
      </c>
      <c r="R540" s="38" t="inlineStr">
        <is>
          <t> </t>
        </is>
      </c>
      <c r="S540" s="391" t="inlineStr">
        <is>
          <t> </t>
        </is>
      </c>
      <c r="T540" s="391" t="inlineStr">
        <is>
          <t> </t>
        </is>
      </c>
      <c r="U540" s="391" t="inlineStr">
        <is>
          <t> </t>
        </is>
      </c>
      <c r="V540" s="391" t="inlineStr">
        <is>
          <t> </t>
        </is>
      </c>
      <c r="W540" s="391" t="inlineStr">
        <is>
          <t> </t>
        </is>
      </c>
      <c r="X540" s="391" t="inlineStr">
        <is>
          <t> </t>
        </is>
      </c>
      <c r="Y540" s="392" t="inlineStr">
        <is>
          <t> </t>
        </is>
      </c>
      <c r="Z540" s="391" t="inlineStr">
        <is>
          <t> </t>
        </is>
      </c>
      <c r="AA540" s="391" t="inlineStr">
        <is>
          <t> </t>
        </is>
      </c>
      <c r="AB540" s="391" t="inlineStr">
        <is>
          <t> </t>
        </is>
      </c>
      <c r="AC540" s="391" t="inlineStr">
        <is>
          <t> </t>
        </is>
      </c>
      <c r="AD540" s="391" t="inlineStr">
        <is>
          <t> </t>
        </is>
      </c>
      <c r="AE540" s="391" t="inlineStr">
        <is>
          <t> </t>
        </is>
      </c>
      <c r="AF540" s="38" t="inlineStr">
        <is>
          <t> </t>
        </is>
      </c>
      <c r="AG540" s="391" t="inlineStr">
        <is>
          <t> </t>
        </is>
      </c>
      <c r="AH540" s="391" t="n"/>
      <c r="AI540" s="391" t="inlineStr">
        <is>
          <t> </t>
        </is>
      </c>
      <c r="AJ540" s="391" t="inlineStr">
        <is>
          <t> </t>
        </is>
      </c>
      <c r="AK540" s="391" t="inlineStr">
        <is>
          <t> </t>
        </is>
      </c>
      <c r="AL540" s="391" t="inlineStr">
        <is>
          <t> </t>
        </is>
      </c>
      <c r="AM540" s="391" t="inlineStr">
        <is>
          <t> </t>
        </is>
      </c>
      <c r="AN540" s="391" t="inlineStr">
        <is>
          <t> </t>
        </is>
      </c>
      <c r="AO540" s="391" t="n"/>
      <c r="AP540" s="319" t="n"/>
      <c r="AQ540" s="319" t="n"/>
      <c r="AR540" s="319" t="n"/>
    </row>
    <row r="541" ht="15.75" customHeight="1" s="1264">
      <c r="A541" s="319" t="inlineStr">
        <is>
          <t> </t>
        </is>
      </c>
      <c r="B541" s="319" t="inlineStr">
        <is>
          <t> </t>
        </is>
      </c>
      <c r="C541" s="319" t="inlineStr">
        <is>
          <t> </t>
        </is>
      </c>
      <c r="D541" s="38" t="inlineStr">
        <is>
          <t> </t>
        </is>
      </c>
      <c r="E541" s="391" t="inlineStr">
        <is>
          <t> </t>
        </is>
      </c>
      <c r="F541" s="391" t="inlineStr">
        <is>
          <t> </t>
        </is>
      </c>
      <c r="G541" s="391" t="inlineStr">
        <is>
          <t> </t>
        </is>
      </c>
      <c r="H541" s="391" t="inlineStr">
        <is>
          <t> </t>
        </is>
      </c>
      <c r="I541" s="391" t="inlineStr">
        <is>
          <t> </t>
        </is>
      </c>
      <c r="J541" s="391" t="inlineStr">
        <is>
          <t> </t>
        </is>
      </c>
      <c r="K541" s="38" t="inlineStr">
        <is>
          <t> </t>
        </is>
      </c>
      <c r="L541" s="391" t="inlineStr">
        <is>
          <t> </t>
        </is>
      </c>
      <c r="M541" s="391" t="inlineStr">
        <is>
          <t> </t>
        </is>
      </c>
      <c r="N541" s="391" t="inlineStr">
        <is>
          <t> </t>
        </is>
      </c>
      <c r="O541" s="391" t="inlineStr">
        <is>
          <t> </t>
        </is>
      </c>
      <c r="P541" s="391" t="inlineStr">
        <is>
          <t> </t>
        </is>
      </c>
      <c r="Q541" s="391" t="inlineStr">
        <is>
          <t> </t>
        </is>
      </c>
      <c r="R541" s="38" t="inlineStr">
        <is>
          <t> </t>
        </is>
      </c>
      <c r="S541" s="391" t="inlineStr">
        <is>
          <t> </t>
        </is>
      </c>
      <c r="T541" s="391" t="inlineStr">
        <is>
          <t> </t>
        </is>
      </c>
      <c r="U541" s="391" t="inlineStr">
        <is>
          <t> </t>
        </is>
      </c>
      <c r="V541" s="391" t="inlineStr">
        <is>
          <t> </t>
        </is>
      </c>
      <c r="W541" s="391" t="inlineStr">
        <is>
          <t> </t>
        </is>
      </c>
      <c r="X541" s="391" t="inlineStr">
        <is>
          <t> </t>
        </is>
      </c>
      <c r="Y541" s="392" t="inlineStr">
        <is>
          <t> </t>
        </is>
      </c>
      <c r="Z541" s="391" t="inlineStr">
        <is>
          <t> </t>
        </is>
      </c>
      <c r="AA541" s="391" t="inlineStr">
        <is>
          <t> </t>
        </is>
      </c>
      <c r="AB541" s="391" t="inlineStr">
        <is>
          <t> </t>
        </is>
      </c>
      <c r="AC541" s="391" t="inlineStr">
        <is>
          <t> </t>
        </is>
      </c>
      <c r="AD541" s="391" t="inlineStr">
        <is>
          <t> </t>
        </is>
      </c>
      <c r="AE541" s="391" t="inlineStr">
        <is>
          <t> </t>
        </is>
      </c>
      <c r="AF541" s="38" t="inlineStr">
        <is>
          <t> </t>
        </is>
      </c>
      <c r="AG541" s="391" t="inlineStr">
        <is>
          <t> </t>
        </is>
      </c>
      <c r="AH541" s="391" t="n"/>
      <c r="AI541" s="391" t="inlineStr">
        <is>
          <t> </t>
        </is>
      </c>
      <c r="AJ541" s="391" t="inlineStr">
        <is>
          <t> </t>
        </is>
      </c>
      <c r="AK541" s="391" t="inlineStr">
        <is>
          <t> </t>
        </is>
      </c>
      <c r="AL541" s="391" t="inlineStr">
        <is>
          <t> </t>
        </is>
      </c>
      <c r="AM541" s="391" t="inlineStr">
        <is>
          <t> </t>
        </is>
      </c>
      <c r="AN541" s="391" t="inlineStr">
        <is>
          <t> </t>
        </is>
      </c>
      <c r="AO541" s="391" t="n"/>
      <c r="AP541" s="319" t="n"/>
      <c r="AQ541" s="319" t="n"/>
      <c r="AR541" s="319" t="n"/>
    </row>
    <row r="542" ht="15.75" customHeight="1" s="1264">
      <c r="A542" s="319" t="inlineStr">
        <is>
          <t> </t>
        </is>
      </c>
      <c r="B542" s="319" t="inlineStr">
        <is>
          <t> </t>
        </is>
      </c>
      <c r="C542" s="319" t="inlineStr">
        <is>
          <t> </t>
        </is>
      </c>
      <c r="D542" s="38" t="inlineStr">
        <is>
          <t> </t>
        </is>
      </c>
      <c r="E542" s="391" t="inlineStr">
        <is>
          <t> </t>
        </is>
      </c>
      <c r="F542" s="391" t="inlineStr">
        <is>
          <t> </t>
        </is>
      </c>
      <c r="G542" s="391" t="inlineStr">
        <is>
          <t> </t>
        </is>
      </c>
      <c r="H542" s="391" t="inlineStr">
        <is>
          <t> </t>
        </is>
      </c>
      <c r="I542" s="391" t="inlineStr">
        <is>
          <t> </t>
        </is>
      </c>
      <c r="J542" s="391" t="inlineStr">
        <is>
          <t> </t>
        </is>
      </c>
      <c r="K542" s="38" t="inlineStr">
        <is>
          <t> </t>
        </is>
      </c>
      <c r="L542" s="391" t="inlineStr">
        <is>
          <t> </t>
        </is>
      </c>
      <c r="M542" s="391" t="inlineStr">
        <is>
          <t> </t>
        </is>
      </c>
      <c r="N542" s="391" t="inlineStr">
        <is>
          <t> </t>
        </is>
      </c>
      <c r="O542" s="391" t="inlineStr">
        <is>
          <t> </t>
        </is>
      </c>
      <c r="P542" s="391" t="inlineStr">
        <is>
          <t> </t>
        </is>
      </c>
      <c r="Q542" s="391" t="inlineStr">
        <is>
          <t> </t>
        </is>
      </c>
      <c r="R542" s="38" t="inlineStr">
        <is>
          <t> </t>
        </is>
      </c>
      <c r="S542" s="391" t="inlineStr">
        <is>
          <t> </t>
        </is>
      </c>
      <c r="T542" s="391" t="inlineStr">
        <is>
          <t> </t>
        </is>
      </c>
      <c r="U542" s="391" t="inlineStr">
        <is>
          <t> </t>
        </is>
      </c>
      <c r="V542" s="391" t="inlineStr">
        <is>
          <t> </t>
        </is>
      </c>
      <c r="W542" s="391" t="inlineStr">
        <is>
          <t> </t>
        </is>
      </c>
      <c r="X542" s="391" t="inlineStr">
        <is>
          <t> </t>
        </is>
      </c>
      <c r="Y542" s="392" t="inlineStr">
        <is>
          <t> </t>
        </is>
      </c>
      <c r="Z542" s="391" t="inlineStr">
        <is>
          <t> </t>
        </is>
      </c>
      <c r="AA542" s="391" t="inlineStr">
        <is>
          <t> </t>
        </is>
      </c>
      <c r="AB542" s="391" t="inlineStr">
        <is>
          <t> </t>
        </is>
      </c>
      <c r="AC542" s="391" t="inlineStr">
        <is>
          <t> </t>
        </is>
      </c>
      <c r="AD542" s="391" t="inlineStr">
        <is>
          <t> </t>
        </is>
      </c>
      <c r="AE542" s="391" t="inlineStr">
        <is>
          <t> </t>
        </is>
      </c>
      <c r="AF542" s="38" t="inlineStr">
        <is>
          <t> </t>
        </is>
      </c>
      <c r="AG542" s="391" t="inlineStr">
        <is>
          <t> </t>
        </is>
      </c>
      <c r="AH542" s="391" t="n"/>
      <c r="AI542" s="391" t="inlineStr">
        <is>
          <t> </t>
        </is>
      </c>
      <c r="AJ542" s="391" t="inlineStr">
        <is>
          <t> </t>
        </is>
      </c>
      <c r="AK542" s="391" t="inlineStr">
        <is>
          <t> </t>
        </is>
      </c>
      <c r="AL542" s="391" t="inlineStr">
        <is>
          <t> </t>
        </is>
      </c>
      <c r="AM542" s="391" t="inlineStr">
        <is>
          <t> </t>
        </is>
      </c>
      <c r="AN542" s="391" t="inlineStr">
        <is>
          <t> </t>
        </is>
      </c>
      <c r="AO542" s="391" t="n"/>
      <c r="AP542" s="319" t="n"/>
      <c r="AQ542" s="319" t="n"/>
      <c r="AR542" s="319" t="n"/>
    </row>
    <row r="543" ht="15.75" customHeight="1" s="1264">
      <c r="A543" s="319" t="inlineStr">
        <is>
          <t> </t>
        </is>
      </c>
      <c r="B543" s="319" t="inlineStr">
        <is>
          <t> </t>
        </is>
      </c>
      <c r="C543" s="319" t="inlineStr">
        <is>
          <t> </t>
        </is>
      </c>
      <c r="D543" s="38" t="inlineStr">
        <is>
          <t> </t>
        </is>
      </c>
      <c r="E543" s="391" t="inlineStr">
        <is>
          <t> </t>
        </is>
      </c>
      <c r="F543" s="391" t="inlineStr">
        <is>
          <t> </t>
        </is>
      </c>
      <c r="G543" s="391" t="inlineStr">
        <is>
          <t> </t>
        </is>
      </c>
      <c r="H543" s="391" t="inlineStr">
        <is>
          <t> </t>
        </is>
      </c>
      <c r="I543" s="391" t="inlineStr">
        <is>
          <t> </t>
        </is>
      </c>
      <c r="J543" s="391" t="inlineStr">
        <is>
          <t> </t>
        </is>
      </c>
      <c r="K543" s="38" t="inlineStr">
        <is>
          <t> </t>
        </is>
      </c>
      <c r="L543" s="391" t="inlineStr">
        <is>
          <t> </t>
        </is>
      </c>
      <c r="M543" s="391" t="inlineStr">
        <is>
          <t> </t>
        </is>
      </c>
      <c r="N543" s="391" t="inlineStr">
        <is>
          <t> </t>
        </is>
      </c>
      <c r="O543" s="391" t="inlineStr">
        <is>
          <t> </t>
        </is>
      </c>
      <c r="P543" s="391" t="inlineStr">
        <is>
          <t> </t>
        </is>
      </c>
      <c r="Q543" s="391" t="inlineStr">
        <is>
          <t> </t>
        </is>
      </c>
      <c r="R543" s="38" t="inlineStr">
        <is>
          <t> </t>
        </is>
      </c>
      <c r="S543" s="391" t="inlineStr">
        <is>
          <t> </t>
        </is>
      </c>
      <c r="T543" s="391" t="inlineStr">
        <is>
          <t> </t>
        </is>
      </c>
      <c r="U543" s="391" t="inlineStr">
        <is>
          <t> </t>
        </is>
      </c>
      <c r="V543" s="391" t="inlineStr">
        <is>
          <t> </t>
        </is>
      </c>
      <c r="W543" s="391" t="inlineStr">
        <is>
          <t> </t>
        </is>
      </c>
      <c r="X543" s="391" t="inlineStr">
        <is>
          <t> </t>
        </is>
      </c>
      <c r="Y543" s="392" t="inlineStr">
        <is>
          <t> </t>
        </is>
      </c>
      <c r="Z543" s="391" t="inlineStr">
        <is>
          <t> </t>
        </is>
      </c>
      <c r="AA543" s="391" t="inlineStr">
        <is>
          <t> </t>
        </is>
      </c>
      <c r="AB543" s="391" t="inlineStr">
        <is>
          <t> </t>
        </is>
      </c>
      <c r="AC543" s="391" t="inlineStr">
        <is>
          <t> </t>
        </is>
      </c>
      <c r="AD543" s="391" t="inlineStr">
        <is>
          <t> </t>
        </is>
      </c>
      <c r="AE543" s="391" t="inlineStr">
        <is>
          <t> </t>
        </is>
      </c>
      <c r="AF543" s="38" t="inlineStr">
        <is>
          <t> </t>
        </is>
      </c>
      <c r="AG543" s="391" t="inlineStr">
        <is>
          <t> </t>
        </is>
      </c>
      <c r="AH543" s="391" t="n"/>
      <c r="AI543" s="391" t="inlineStr">
        <is>
          <t> </t>
        </is>
      </c>
      <c r="AJ543" s="391" t="inlineStr">
        <is>
          <t> </t>
        </is>
      </c>
      <c r="AK543" s="391" t="inlineStr">
        <is>
          <t> </t>
        </is>
      </c>
      <c r="AL543" s="391" t="inlineStr">
        <is>
          <t> </t>
        </is>
      </c>
      <c r="AM543" s="391" t="inlineStr">
        <is>
          <t> </t>
        </is>
      </c>
      <c r="AN543" s="391" t="inlineStr">
        <is>
          <t> </t>
        </is>
      </c>
      <c r="AO543" s="391" t="n"/>
      <c r="AP543" s="319" t="n"/>
      <c r="AQ543" s="319" t="n"/>
      <c r="AR543" s="319" t="n"/>
    </row>
    <row r="544" ht="15.75" customHeight="1" s="1264">
      <c r="A544" s="319" t="inlineStr">
        <is>
          <t> </t>
        </is>
      </c>
      <c r="B544" s="319" t="inlineStr">
        <is>
          <t> </t>
        </is>
      </c>
      <c r="C544" s="319" t="inlineStr">
        <is>
          <t> </t>
        </is>
      </c>
      <c r="D544" s="38" t="inlineStr">
        <is>
          <t> </t>
        </is>
      </c>
      <c r="E544" s="391" t="inlineStr">
        <is>
          <t> </t>
        </is>
      </c>
      <c r="F544" s="391" t="inlineStr">
        <is>
          <t> </t>
        </is>
      </c>
      <c r="G544" s="391" t="inlineStr">
        <is>
          <t> </t>
        </is>
      </c>
      <c r="H544" s="391" t="inlineStr">
        <is>
          <t> </t>
        </is>
      </c>
      <c r="I544" s="391" t="inlineStr">
        <is>
          <t> </t>
        </is>
      </c>
      <c r="J544" s="391" t="inlineStr">
        <is>
          <t> </t>
        </is>
      </c>
      <c r="K544" s="38" t="inlineStr">
        <is>
          <t> </t>
        </is>
      </c>
      <c r="L544" s="391" t="inlineStr">
        <is>
          <t> </t>
        </is>
      </c>
      <c r="M544" s="391" t="inlineStr">
        <is>
          <t> </t>
        </is>
      </c>
      <c r="N544" s="391" t="inlineStr">
        <is>
          <t> </t>
        </is>
      </c>
      <c r="O544" s="391" t="inlineStr">
        <is>
          <t> </t>
        </is>
      </c>
      <c r="P544" s="391" t="inlineStr">
        <is>
          <t> </t>
        </is>
      </c>
      <c r="Q544" s="391" t="inlineStr">
        <is>
          <t> </t>
        </is>
      </c>
      <c r="R544" s="38" t="inlineStr">
        <is>
          <t> </t>
        </is>
      </c>
      <c r="S544" s="391" t="inlineStr">
        <is>
          <t> </t>
        </is>
      </c>
      <c r="T544" s="391" t="inlineStr">
        <is>
          <t> </t>
        </is>
      </c>
      <c r="U544" s="391" t="inlineStr">
        <is>
          <t> </t>
        </is>
      </c>
      <c r="V544" s="391" t="inlineStr">
        <is>
          <t> </t>
        </is>
      </c>
      <c r="W544" s="391" t="inlineStr">
        <is>
          <t> </t>
        </is>
      </c>
      <c r="X544" s="391" t="inlineStr">
        <is>
          <t> </t>
        </is>
      </c>
      <c r="Y544" s="392" t="inlineStr">
        <is>
          <t> </t>
        </is>
      </c>
      <c r="Z544" s="391" t="inlineStr">
        <is>
          <t> </t>
        </is>
      </c>
      <c r="AA544" s="391" t="inlineStr">
        <is>
          <t> </t>
        </is>
      </c>
      <c r="AB544" s="391" t="inlineStr">
        <is>
          <t> </t>
        </is>
      </c>
      <c r="AC544" s="391" t="inlineStr">
        <is>
          <t> </t>
        </is>
      </c>
      <c r="AD544" s="391" t="inlineStr">
        <is>
          <t> </t>
        </is>
      </c>
      <c r="AE544" s="391" t="inlineStr">
        <is>
          <t> </t>
        </is>
      </c>
      <c r="AF544" s="38" t="inlineStr">
        <is>
          <t> </t>
        </is>
      </c>
      <c r="AG544" s="391" t="inlineStr">
        <is>
          <t> </t>
        </is>
      </c>
      <c r="AH544" s="391" t="n"/>
      <c r="AI544" s="391" t="inlineStr">
        <is>
          <t> </t>
        </is>
      </c>
      <c r="AJ544" s="391" t="inlineStr">
        <is>
          <t> </t>
        </is>
      </c>
      <c r="AK544" s="391" t="inlineStr">
        <is>
          <t> </t>
        </is>
      </c>
      <c r="AL544" s="391" t="inlineStr">
        <is>
          <t> </t>
        </is>
      </c>
      <c r="AM544" s="391" t="inlineStr">
        <is>
          <t> </t>
        </is>
      </c>
      <c r="AN544" s="391" t="inlineStr">
        <is>
          <t> </t>
        </is>
      </c>
      <c r="AO544" s="391" t="n"/>
      <c r="AP544" s="319" t="n"/>
      <c r="AQ544" s="319" t="n"/>
      <c r="AR544" s="319" t="n"/>
    </row>
    <row r="545" ht="15.75" customHeight="1" s="1264">
      <c r="A545" s="319" t="inlineStr">
        <is>
          <t> </t>
        </is>
      </c>
      <c r="B545" s="319" t="inlineStr">
        <is>
          <t> </t>
        </is>
      </c>
      <c r="C545" s="319" t="inlineStr">
        <is>
          <t> </t>
        </is>
      </c>
      <c r="D545" s="38" t="inlineStr">
        <is>
          <t> </t>
        </is>
      </c>
      <c r="E545" s="391" t="inlineStr">
        <is>
          <t> </t>
        </is>
      </c>
      <c r="F545" s="391" t="inlineStr">
        <is>
          <t> </t>
        </is>
      </c>
      <c r="G545" s="391" t="inlineStr">
        <is>
          <t> </t>
        </is>
      </c>
      <c r="H545" s="391" t="inlineStr">
        <is>
          <t> </t>
        </is>
      </c>
      <c r="I545" s="391" t="inlineStr">
        <is>
          <t> </t>
        </is>
      </c>
      <c r="J545" s="391" t="inlineStr">
        <is>
          <t> </t>
        </is>
      </c>
      <c r="K545" s="38" t="inlineStr">
        <is>
          <t> </t>
        </is>
      </c>
      <c r="L545" s="391" t="inlineStr">
        <is>
          <t> </t>
        </is>
      </c>
      <c r="M545" s="391" t="inlineStr">
        <is>
          <t> </t>
        </is>
      </c>
      <c r="N545" s="391" t="inlineStr">
        <is>
          <t> </t>
        </is>
      </c>
      <c r="O545" s="391" t="inlineStr">
        <is>
          <t> </t>
        </is>
      </c>
      <c r="P545" s="391" t="inlineStr">
        <is>
          <t> </t>
        </is>
      </c>
      <c r="Q545" s="391" t="inlineStr">
        <is>
          <t> </t>
        </is>
      </c>
      <c r="R545" s="38" t="inlineStr">
        <is>
          <t> </t>
        </is>
      </c>
      <c r="S545" s="391" t="inlineStr">
        <is>
          <t> </t>
        </is>
      </c>
      <c r="T545" s="391" t="inlineStr">
        <is>
          <t> </t>
        </is>
      </c>
      <c r="U545" s="391" t="inlineStr">
        <is>
          <t> </t>
        </is>
      </c>
      <c r="V545" s="391" t="inlineStr">
        <is>
          <t> </t>
        </is>
      </c>
      <c r="W545" s="391" t="inlineStr">
        <is>
          <t> </t>
        </is>
      </c>
      <c r="X545" s="391" t="inlineStr">
        <is>
          <t> </t>
        </is>
      </c>
      <c r="Y545" s="392" t="inlineStr">
        <is>
          <t> </t>
        </is>
      </c>
      <c r="Z545" s="391" t="inlineStr">
        <is>
          <t> </t>
        </is>
      </c>
      <c r="AA545" s="391" t="inlineStr">
        <is>
          <t> </t>
        </is>
      </c>
      <c r="AB545" s="391" t="inlineStr">
        <is>
          <t> </t>
        </is>
      </c>
      <c r="AC545" s="391" t="inlineStr">
        <is>
          <t> </t>
        </is>
      </c>
      <c r="AD545" s="391" t="inlineStr">
        <is>
          <t> </t>
        </is>
      </c>
      <c r="AE545" s="391" t="inlineStr">
        <is>
          <t> </t>
        </is>
      </c>
      <c r="AF545" s="38" t="inlineStr">
        <is>
          <t> </t>
        </is>
      </c>
      <c r="AG545" s="391" t="inlineStr">
        <is>
          <t> </t>
        </is>
      </c>
      <c r="AH545" s="391" t="n"/>
      <c r="AI545" s="391" t="inlineStr">
        <is>
          <t> </t>
        </is>
      </c>
      <c r="AJ545" s="391" t="inlineStr">
        <is>
          <t> </t>
        </is>
      </c>
      <c r="AK545" s="391" t="inlineStr">
        <is>
          <t> </t>
        </is>
      </c>
      <c r="AL545" s="391" t="inlineStr">
        <is>
          <t> </t>
        </is>
      </c>
      <c r="AM545" s="391" t="inlineStr">
        <is>
          <t> </t>
        </is>
      </c>
      <c r="AN545" s="391" t="inlineStr">
        <is>
          <t> </t>
        </is>
      </c>
      <c r="AO545" s="391" t="n"/>
      <c r="AP545" s="319" t="n"/>
      <c r="AQ545" s="319" t="n"/>
      <c r="AR545" s="319" t="n"/>
    </row>
    <row r="546" ht="15.75" customHeight="1" s="1264">
      <c r="A546" s="319" t="inlineStr">
        <is>
          <t> </t>
        </is>
      </c>
      <c r="B546" s="319" t="inlineStr">
        <is>
          <t> </t>
        </is>
      </c>
      <c r="C546" s="319" t="inlineStr">
        <is>
          <t> </t>
        </is>
      </c>
      <c r="D546" s="38" t="inlineStr">
        <is>
          <t> </t>
        </is>
      </c>
      <c r="E546" s="391" t="inlineStr">
        <is>
          <t> </t>
        </is>
      </c>
      <c r="F546" s="391" t="inlineStr">
        <is>
          <t> </t>
        </is>
      </c>
      <c r="G546" s="391" t="inlineStr">
        <is>
          <t> </t>
        </is>
      </c>
      <c r="H546" s="391" t="inlineStr">
        <is>
          <t> </t>
        </is>
      </c>
      <c r="I546" s="391" t="inlineStr">
        <is>
          <t> </t>
        </is>
      </c>
      <c r="J546" s="391" t="inlineStr">
        <is>
          <t> </t>
        </is>
      </c>
      <c r="K546" s="38" t="inlineStr">
        <is>
          <t> </t>
        </is>
      </c>
      <c r="L546" s="391" t="inlineStr">
        <is>
          <t> </t>
        </is>
      </c>
      <c r="M546" s="391" t="inlineStr">
        <is>
          <t> </t>
        </is>
      </c>
      <c r="N546" s="391" t="inlineStr">
        <is>
          <t> </t>
        </is>
      </c>
      <c r="O546" s="391" t="inlineStr">
        <is>
          <t> </t>
        </is>
      </c>
      <c r="P546" s="391" t="inlineStr">
        <is>
          <t> </t>
        </is>
      </c>
      <c r="Q546" s="391" t="inlineStr">
        <is>
          <t> </t>
        </is>
      </c>
      <c r="R546" s="38" t="inlineStr">
        <is>
          <t> </t>
        </is>
      </c>
      <c r="S546" s="391" t="inlineStr">
        <is>
          <t> </t>
        </is>
      </c>
      <c r="T546" s="391" t="inlineStr">
        <is>
          <t> </t>
        </is>
      </c>
      <c r="U546" s="391" t="inlineStr">
        <is>
          <t> </t>
        </is>
      </c>
      <c r="V546" s="391" t="inlineStr">
        <is>
          <t> </t>
        </is>
      </c>
      <c r="W546" s="391" t="inlineStr">
        <is>
          <t> </t>
        </is>
      </c>
      <c r="X546" s="391" t="inlineStr">
        <is>
          <t> </t>
        </is>
      </c>
      <c r="Y546" s="392" t="inlineStr">
        <is>
          <t> </t>
        </is>
      </c>
      <c r="Z546" s="391" t="inlineStr">
        <is>
          <t> </t>
        </is>
      </c>
      <c r="AA546" s="391" t="inlineStr">
        <is>
          <t> </t>
        </is>
      </c>
      <c r="AB546" s="391" t="inlineStr">
        <is>
          <t> </t>
        </is>
      </c>
      <c r="AC546" s="391" t="inlineStr">
        <is>
          <t> </t>
        </is>
      </c>
      <c r="AD546" s="391" t="inlineStr">
        <is>
          <t> </t>
        </is>
      </c>
      <c r="AE546" s="391" t="inlineStr">
        <is>
          <t> </t>
        </is>
      </c>
      <c r="AF546" s="38" t="inlineStr">
        <is>
          <t> </t>
        </is>
      </c>
      <c r="AG546" s="391" t="inlineStr">
        <is>
          <t> </t>
        </is>
      </c>
      <c r="AH546" s="391" t="n"/>
      <c r="AI546" s="391" t="inlineStr">
        <is>
          <t> </t>
        </is>
      </c>
      <c r="AJ546" s="391" t="inlineStr">
        <is>
          <t> </t>
        </is>
      </c>
      <c r="AK546" s="391" t="inlineStr">
        <is>
          <t> </t>
        </is>
      </c>
      <c r="AL546" s="391" t="inlineStr">
        <is>
          <t> </t>
        </is>
      </c>
      <c r="AM546" s="391" t="inlineStr">
        <is>
          <t> </t>
        </is>
      </c>
      <c r="AN546" s="391" t="inlineStr">
        <is>
          <t> </t>
        </is>
      </c>
      <c r="AO546" s="391" t="n"/>
      <c r="AP546" s="319" t="n"/>
      <c r="AQ546" s="319" t="n"/>
      <c r="AR546" s="319" t="n"/>
    </row>
    <row r="547" ht="15.75" customHeight="1" s="1264">
      <c r="A547" s="319" t="inlineStr">
        <is>
          <t> </t>
        </is>
      </c>
      <c r="B547" s="319" t="inlineStr">
        <is>
          <t> </t>
        </is>
      </c>
      <c r="C547" s="319" t="inlineStr">
        <is>
          <t> </t>
        </is>
      </c>
      <c r="D547" s="38" t="inlineStr">
        <is>
          <t> </t>
        </is>
      </c>
      <c r="E547" s="391" t="inlineStr">
        <is>
          <t> </t>
        </is>
      </c>
      <c r="F547" s="391" t="inlineStr">
        <is>
          <t> </t>
        </is>
      </c>
      <c r="G547" s="391" t="inlineStr">
        <is>
          <t> </t>
        </is>
      </c>
      <c r="H547" s="391" t="inlineStr">
        <is>
          <t> </t>
        </is>
      </c>
      <c r="I547" s="391" t="inlineStr">
        <is>
          <t> </t>
        </is>
      </c>
      <c r="J547" s="391" t="inlineStr">
        <is>
          <t> </t>
        </is>
      </c>
      <c r="K547" s="38" t="inlineStr">
        <is>
          <t> </t>
        </is>
      </c>
      <c r="L547" s="391" t="inlineStr">
        <is>
          <t> </t>
        </is>
      </c>
      <c r="M547" s="391" t="inlineStr">
        <is>
          <t> </t>
        </is>
      </c>
      <c r="N547" s="391" t="inlineStr">
        <is>
          <t> </t>
        </is>
      </c>
      <c r="O547" s="391" t="inlineStr">
        <is>
          <t> </t>
        </is>
      </c>
      <c r="P547" s="391" t="inlineStr">
        <is>
          <t> </t>
        </is>
      </c>
      <c r="Q547" s="391" t="inlineStr">
        <is>
          <t> </t>
        </is>
      </c>
      <c r="R547" s="38" t="inlineStr">
        <is>
          <t> </t>
        </is>
      </c>
      <c r="S547" s="391" t="inlineStr">
        <is>
          <t> </t>
        </is>
      </c>
      <c r="T547" s="391" t="inlineStr">
        <is>
          <t> </t>
        </is>
      </c>
      <c r="U547" s="391" t="inlineStr">
        <is>
          <t> </t>
        </is>
      </c>
      <c r="V547" s="391" t="inlineStr">
        <is>
          <t> </t>
        </is>
      </c>
      <c r="W547" s="391" t="inlineStr">
        <is>
          <t> </t>
        </is>
      </c>
      <c r="X547" s="391" t="inlineStr">
        <is>
          <t> </t>
        </is>
      </c>
      <c r="Y547" s="392" t="inlineStr">
        <is>
          <t> </t>
        </is>
      </c>
      <c r="Z547" s="391" t="inlineStr">
        <is>
          <t> </t>
        </is>
      </c>
      <c r="AA547" s="391" t="inlineStr">
        <is>
          <t> </t>
        </is>
      </c>
      <c r="AB547" s="391" t="inlineStr">
        <is>
          <t> </t>
        </is>
      </c>
      <c r="AC547" s="391" t="inlineStr">
        <is>
          <t> </t>
        </is>
      </c>
      <c r="AD547" s="391" t="inlineStr">
        <is>
          <t> </t>
        </is>
      </c>
      <c r="AE547" s="391" t="inlineStr">
        <is>
          <t> </t>
        </is>
      </c>
      <c r="AF547" s="38" t="inlineStr">
        <is>
          <t> </t>
        </is>
      </c>
      <c r="AG547" s="391" t="inlineStr">
        <is>
          <t> </t>
        </is>
      </c>
      <c r="AH547" s="391" t="n"/>
      <c r="AI547" s="391" t="inlineStr">
        <is>
          <t> </t>
        </is>
      </c>
      <c r="AJ547" s="391" t="inlineStr">
        <is>
          <t> </t>
        </is>
      </c>
      <c r="AK547" s="391" t="inlineStr">
        <is>
          <t> </t>
        </is>
      </c>
      <c r="AL547" s="391" t="inlineStr">
        <is>
          <t> </t>
        </is>
      </c>
      <c r="AM547" s="391" t="inlineStr">
        <is>
          <t> </t>
        </is>
      </c>
      <c r="AN547" s="391" t="inlineStr">
        <is>
          <t> </t>
        </is>
      </c>
      <c r="AO547" s="391" t="n"/>
      <c r="AP547" s="319" t="n"/>
      <c r="AQ547" s="319" t="n"/>
      <c r="AR547" s="319" t="n"/>
    </row>
    <row r="548" ht="15.75" customHeight="1" s="1264">
      <c r="A548" s="319" t="inlineStr">
        <is>
          <t> </t>
        </is>
      </c>
      <c r="B548" s="319" t="inlineStr">
        <is>
          <t> </t>
        </is>
      </c>
      <c r="C548" s="319" t="inlineStr">
        <is>
          <t> </t>
        </is>
      </c>
      <c r="D548" s="38" t="inlineStr">
        <is>
          <t> </t>
        </is>
      </c>
      <c r="E548" s="391" t="inlineStr">
        <is>
          <t> </t>
        </is>
      </c>
      <c r="F548" s="391" t="inlineStr">
        <is>
          <t> </t>
        </is>
      </c>
      <c r="G548" s="391" t="inlineStr">
        <is>
          <t> </t>
        </is>
      </c>
      <c r="H548" s="391" t="inlineStr">
        <is>
          <t> </t>
        </is>
      </c>
      <c r="I548" s="391" t="inlineStr">
        <is>
          <t> </t>
        </is>
      </c>
      <c r="J548" s="391" t="inlineStr">
        <is>
          <t> </t>
        </is>
      </c>
      <c r="K548" s="38" t="inlineStr">
        <is>
          <t> </t>
        </is>
      </c>
      <c r="L548" s="391" t="inlineStr">
        <is>
          <t> </t>
        </is>
      </c>
      <c r="M548" s="391" t="inlineStr">
        <is>
          <t> </t>
        </is>
      </c>
      <c r="N548" s="391" t="inlineStr">
        <is>
          <t> </t>
        </is>
      </c>
      <c r="O548" s="391" t="inlineStr">
        <is>
          <t> </t>
        </is>
      </c>
      <c r="P548" s="391" t="inlineStr">
        <is>
          <t> </t>
        </is>
      </c>
      <c r="Q548" s="391" t="inlineStr">
        <is>
          <t> </t>
        </is>
      </c>
      <c r="R548" s="38" t="inlineStr">
        <is>
          <t> </t>
        </is>
      </c>
      <c r="S548" s="391" t="inlineStr">
        <is>
          <t> </t>
        </is>
      </c>
      <c r="T548" s="391" t="inlineStr">
        <is>
          <t> </t>
        </is>
      </c>
      <c r="U548" s="391" t="inlineStr">
        <is>
          <t> </t>
        </is>
      </c>
      <c r="V548" s="391" t="inlineStr">
        <is>
          <t> </t>
        </is>
      </c>
      <c r="W548" s="391" t="inlineStr">
        <is>
          <t> </t>
        </is>
      </c>
      <c r="X548" s="391" t="inlineStr">
        <is>
          <t> </t>
        </is>
      </c>
      <c r="Y548" s="392" t="inlineStr">
        <is>
          <t> </t>
        </is>
      </c>
      <c r="Z548" s="391" t="inlineStr">
        <is>
          <t> </t>
        </is>
      </c>
      <c r="AA548" s="391" t="inlineStr">
        <is>
          <t> </t>
        </is>
      </c>
      <c r="AB548" s="391" t="inlineStr">
        <is>
          <t> </t>
        </is>
      </c>
      <c r="AC548" s="391" t="inlineStr">
        <is>
          <t> </t>
        </is>
      </c>
      <c r="AD548" s="391" t="inlineStr">
        <is>
          <t> </t>
        </is>
      </c>
      <c r="AE548" s="391" t="inlineStr">
        <is>
          <t> </t>
        </is>
      </c>
      <c r="AF548" s="38" t="inlineStr">
        <is>
          <t> </t>
        </is>
      </c>
      <c r="AG548" s="391" t="inlineStr">
        <is>
          <t> </t>
        </is>
      </c>
      <c r="AH548" s="391" t="n"/>
      <c r="AI548" s="391" t="inlineStr">
        <is>
          <t> </t>
        </is>
      </c>
      <c r="AJ548" s="391" t="inlineStr">
        <is>
          <t> </t>
        </is>
      </c>
      <c r="AK548" s="391" t="inlineStr">
        <is>
          <t> </t>
        </is>
      </c>
      <c r="AL548" s="391" t="inlineStr">
        <is>
          <t> </t>
        </is>
      </c>
      <c r="AM548" s="391" t="inlineStr">
        <is>
          <t> </t>
        </is>
      </c>
      <c r="AN548" s="391" t="inlineStr">
        <is>
          <t> </t>
        </is>
      </c>
      <c r="AO548" s="391" t="n"/>
      <c r="AP548" s="319" t="n"/>
      <c r="AQ548" s="319" t="n"/>
      <c r="AR548" s="319" t="n"/>
    </row>
    <row r="549" ht="15.75" customHeight="1" s="1264">
      <c r="A549" s="319" t="inlineStr">
        <is>
          <t> </t>
        </is>
      </c>
      <c r="B549" s="319" t="inlineStr">
        <is>
          <t> </t>
        </is>
      </c>
      <c r="C549" s="319" t="inlineStr">
        <is>
          <t> </t>
        </is>
      </c>
      <c r="D549" s="38" t="inlineStr">
        <is>
          <t> </t>
        </is>
      </c>
      <c r="E549" s="391" t="inlineStr">
        <is>
          <t> </t>
        </is>
      </c>
      <c r="F549" s="391" t="inlineStr">
        <is>
          <t> </t>
        </is>
      </c>
      <c r="G549" s="391" t="inlineStr">
        <is>
          <t> </t>
        </is>
      </c>
      <c r="H549" s="391" t="inlineStr">
        <is>
          <t> </t>
        </is>
      </c>
      <c r="I549" s="391" t="inlineStr">
        <is>
          <t> </t>
        </is>
      </c>
      <c r="J549" s="391" t="inlineStr">
        <is>
          <t> </t>
        </is>
      </c>
      <c r="K549" s="38" t="inlineStr">
        <is>
          <t> </t>
        </is>
      </c>
      <c r="L549" s="391" t="inlineStr">
        <is>
          <t> </t>
        </is>
      </c>
      <c r="M549" s="391" t="inlineStr">
        <is>
          <t> </t>
        </is>
      </c>
      <c r="N549" s="391" t="inlineStr">
        <is>
          <t> </t>
        </is>
      </c>
      <c r="O549" s="391" t="inlineStr">
        <is>
          <t> </t>
        </is>
      </c>
      <c r="P549" s="391" t="inlineStr">
        <is>
          <t> </t>
        </is>
      </c>
      <c r="Q549" s="391" t="inlineStr">
        <is>
          <t> </t>
        </is>
      </c>
      <c r="R549" s="38" t="inlineStr">
        <is>
          <t> </t>
        </is>
      </c>
      <c r="S549" s="391" t="inlineStr">
        <is>
          <t> </t>
        </is>
      </c>
      <c r="T549" s="391" t="inlineStr">
        <is>
          <t> </t>
        </is>
      </c>
      <c r="U549" s="391" t="inlineStr">
        <is>
          <t> </t>
        </is>
      </c>
      <c r="V549" s="391" t="inlineStr">
        <is>
          <t> </t>
        </is>
      </c>
      <c r="W549" s="391" t="inlineStr">
        <is>
          <t> </t>
        </is>
      </c>
      <c r="X549" s="391" t="inlineStr">
        <is>
          <t> </t>
        </is>
      </c>
      <c r="Y549" s="392" t="inlineStr">
        <is>
          <t> </t>
        </is>
      </c>
      <c r="Z549" s="391" t="inlineStr">
        <is>
          <t> </t>
        </is>
      </c>
      <c r="AA549" s="391" t="inlineStr">
        <is>
          <t> </t>
        </is>
      </c>
      <c r="AB549" s="391" t="inlineStr">
        <is>
          <t> </t>
        </is>
      </c>
      <c r="AC549" s="391" t="inlineStr">
        <is>
          <t> </t>
        </is>
      </c>
      <c r="AD549" s="391" t="inlineStr">
        <is>
          <t> </t>
        </is>
      </c>
      <c r="AE549" s="391" t="inlineStr">
        <is>
          <t> </t>
        </is>
      </c>
      <c r="AF549" s="38" t="inlineStr">
        <is>
          <t> </t>
        </is>
      </c>
      <c r="AG549" s="391" t="inlineStr">
        <is>
          <t> </t>
        </is>
      </c>
      <c r="AH549" s="391" t="n"/>
      <c r="AI549" s="391" t="inlineStr">
        <is>
          <t> </t>
        </is>
      </c>
      <c r="AJ549" s="391" t="inlineStr">
        <is>
          <t> </t>
        </is>
      </c>
      <c r="AK549" s="391" t="inlineStr">
        <is>
          <t> </t>
        </is>
      </c>
      <c r="AL549" s="391" t="inlineStr">
        <is>
          <t> </t>
        </is>
      </c>
      <c r="AM549" s="391" t="inlineStr">
        <is>
          <t> </t>
        </is>
      </c>
      <c r="AN549" s="391" t="inlineStr">
        <is>
          <t> </t>
        </is>
      </c>
      <c r="AO549" s="391" t="n"/>
      <c r="AP549" s="319" t="n"/>
      <c r="AQ549" s="319" t="n"/>
      <c r="AR549" s="319" t="n"/>
    </row>
    <row r="550" ht="15.75" customHeight="1" s="1264">
      <c r="A550" s="319" t="inlineStr">
        <is>
          <t> </t>
        </is>
      </c>
      <c r="B550" s="319" t="inlineStr">
        <is>
          <t> </t>
        </is>
      </c>
      <c r="C550" s="319" t="inlineStr">
        <is>
          <t> </t>
        </is>
      </c>
      <c r="D550" s="38" t="inlineStr">
        <is>
          <t> </t>
        </is>
      </c>
      <c r="E550" s="391" t="inlineStr">
        <is>
          <t> </t>
        </is>
      </c>
      <c r="F550" s="391" t="inlineStr">
        <is>
          <t> </t>
        </is>
      </c>
      <c r="G550" s="391" t="inlineStr">
        <is>
          <t> </t>
        </is>
      </c>
      <c r="H550" s="391" t="inlineStr">
        <is>
          <t> </t>
        </is>
      </c>
      <c r="I550" s="391" t="inlineStr">
        <is>
          <t> </t>
        </is>
      </c>
      <c r="J550" s="391" t="inlineStr">
        <is>
          <t> </t>
        </is>
      </c>
      <c r="K550" s="38" t="inlineStr">
        <is>
          <t> </t>
        </is>
      </c>
      <c r="L550" s="391" t="inlineStr">
        <is>
          <t> </t>
        </is>
      </c>
      <c r="M550" s="391" t="inlineStr">
        <is>
          <t> </t>
        </is>
      </c>
      <c r="N550" s="391" t="inlineStr">
        <is>
          <t> </t>
        </is>
      </c>
      <c r="O550" s="391" t="inlineStr">
        <is>
          <t> </t>
        </is>
      </c>
      <c r="P550" s="391" t="inlineStr">
        <is>
          <t> </t>
        </is>
      </c>
      <c r="Q550" s="391" t="inlineStr">
        <is>
          <t> </t>
        </is>
      </c>
      <c r="R550" s="38" t="inlineStr">
        <is>
          <t> </t>
        </is>
      </c>
      <c r="S550" s="391" t="inlineStr">
        <is>
          <t> </t>
        </is>
      </c>
      <c r="T550" s="391" t="inlineStr">
        <is>
          <t> </t>
        </is>
      </c>
      <c r="U550" s="391" t="inlineStr">
        <is>
          <t> </t>
        </is>
      </c>
      <c r="V550" s="391" t="inlineStr">
        <is>
          <t> </t>
        </is>
      </c>
      <c r="W550" s="391" t="inlineStr">
        <is>
          <t> </t>
        </is>
      </c>
      <c r="X550" s="391" t="inlineStr">
        <is>
          <t> </t>
        </is>
      </c>
      <c r="Y550" s="392" t="inlineStr">
        <is>
          <t> </t>
        </is>
      </c>
      <c r="Z550" s="391" t="inlineStr">
        <is>
          <t> </t>
        </is>
      </c>
      <c r="AA550" s="391" t="inlineStr">
        <is>
          <t> </t>
        </is>
      </c>
      <c r="AB550" s="391" t="inlineStr">
        <is>
          <t> </t>
        </is>
      </c>
      <c r="AC550" s="391" t="inlineStr">
        <is>
          <t> </t>
        </is>
      </c>
      <c r="AD550" s="391" t="inlineStr">
        <is>
          <t> </t>
        </is>
      </c>
      <c r="AE550" s="391" t="inlineStr">
        <is>
          <t> </t>
        </is>
      </c>
      <c r="AF550" s="38" t="inlineStr">
        <is>
          <t> </t>
        </is>
      </c>
      <c r="AG550" s="391" t="inlineStr">
        <is>
          <t> </t>
        </is>
      </c>
      <c r="AH550" s="391" t="n"/>
      <c r="AI550" s="391" t="inlineStr">
        <is>
          <t> </t>
        </is>
      </c>
      <c r="AJ550" s="391" t="inlineStr">
        <is>
          <t> </t>
        </is>
      </c>
      <c r="AK550" s="391" t="inlineStr">
        <is>
          <t> </t>
        </is>
      </c>
      <c r="AL550" s="391" t="inlineStr">
        <is>
          <t> </t>
        </is>
      </c>
      <c r="AM550" s="391" t="inlineStr">
        <is>
          <t> </t>
        </is>
      </c>
      <c r="AN550" s="391" t="inlineStr">
        <is>
          <t> </t>
        </is>
      </c>
      <c r="AO550" s="391" t="n"/>
      <c r="AP550" s="319" t="n"/>
      <c r="AQ550" s="319" t="n"/>
      <c r="AR550" s="319" t="n"/>
    </row>
    <row r="551" ht="15.75" customHeight="1" s="1264">
      <c r="A551" s="319" t="inlineStr">
        <is>
          <t> </t>
        </is>
      </c>
      <c r="B551" s="319" t="inlineStr">
        <is>
          <t> </t>
        </is>
      </c>
      <c r="C551" s="319" t="inlineStr">
        <is>
          <t> </t>
        </is>
      </c>
      <c r="D551" s="38" t="inlineStr">
        <is>
          <t> </t>
        </is>
      </c>
      <c r="E551" s="391" t="inlineStr">
        <is>
          <t> </t>
        </is>
      </c>
      <c r="F551" s="391" t="inlineStr">
        <is>
          <t> </t>
        </is>
      </c>
      <c r="G551" s="391" t="inlineStr">
        <is>
          <t> </t>
        </is>
      </c>
      <c r="H551" s="391" t="inlineStr">
        <is>
          <t> </t>
        </is>
      </c>
      <c r="I551" s="391" t="inlineStr">
        <is>
          <t> </t>
        </is>
      </c>
      <c r="J551" s="391" t="inlineStr">
        <is>
          <t> </t>
        </is>
      </c>
      <c r="K551" s="38" t="inlineStr">
        <is>
          <t> </t>
        </is>
      </c>
      <c r="L551" s="391" t="inlineStr">
        <is>
          <t> </t>
        </is>
      </c>
      <c r="M551" s="391" t="inlineStr">
        <is>
          <t> </t>
        </is>
      </c>
      <c r="N551" s="391" t="inlineStr">
        <is>
          <t> </t>
        </is>
      </c>
      <c r="O551" s="391" t="inlineStr">
        <is>
          <t> </t>
        </is>
      </c>
      <c r="P551" s="391" t="inlineStr">
        <is>
          <t> </t>
        </is>
      </c>
      <c r="Q551" s="391" t="inlineStr">
        <is>
          <t> </t>
        </is>
      </c>
      <c r="R551" s="38" t="inlineStr">
        <is>
          <t> </t>
        </is>
      </c>
      <c r="S551" s="391" t="inlineStr">
        <is>
          <t> </t>
        </is>
      </c>
      <c r="T551" s="391" t="inlineStr">
        <is>
          <t> </t>
        </is>
      </c>
      <c r="U551" s="391" t="inlineStr">
        <is>
          <t> </t>
        </is>
      </c>
      <c r="V551" s="391" t="inlineStr">
        <is>
          <t> </t>
        </is>
      </c>
      <c r="W551" s="391" t="inlineStr">
        <is>
          <t> </t>
        </is>
      </c>
      <c r="X551" s="391" t="inlineStr">
        <is>
          <t> </t>
        </is>
      </c>
      <c r="Y551" s="392" t="inlineStr">
        <is>
          <t> </t>
        </is>
      </c>
      <c r="Z551" s="391" t="inlineStr">
        <is>
          <t> </t>
        </is>
      </c>
      <c r="AA551" s="391" t="inlineStr">
        <is>
          <t> </t>
        </is>
      </c>
      <c r="AB551" s="391" t="inlineStr">
        <is>
          <t> </t>
        </is>
      </c>
      <c r="AC551" s="391" t="inlineStr">
        <is>
          <t> </t>
        </is>
      </c>
      <c r="AD551" s="391" t="inlineStr">
        <is>
          <t> </t>
        </is>
      </c>
      <c r="AE551" s="391" t="inlineStr">
        <is>
          <t> </t>
        </is>
      </c>
      <c r="AF551" s="38" t="inlineStr">
        <is>
          <t> </t>
        </is>
      </c>
      <c r="AG551" s="391" t="inlineStr">
        <is>
          <t> </t>
        </is>
      </c>
      <c r="AH551" s="391" t="n"/>
      <c r="AI551" s="391" t="inlineStr">
        <is>
          <t> </t>
        </is>
      </c>
      <c r="AJ551" s="391" t="inlineStr">
        <is>
          <t> </t>
        </is>
      </c>
      <c r="AK551" s="391" t="inlineStr">
        <is>
          <t> </t>
        </is>
      </c>
      <c r="AL551" s="391" t="inlineStr">
        <is>
          <t> </t>
        </is>
      </c>
      <c r="AM551" s="391" t="inlineStr">
        <is>
          <t> </t>
        </is>
      </c>
      <c r="AN551" s="391" t="inlineStr">
        <is>
          <t> </t>
        </is>
      </c>
      <c r="AO551" s="391" t="n"/>
      <c r="AP551" s="319" t="n"/>
      <c r="AQ551" s="319" t="n"/>
      <c r="AR551" s="319" t="n"/>
    </row>
    <row r="552" ht="15.75" customHeight="1" s="1264">
      <c r="A552" s="319" t="inlineStr">
        <is>
          <t> </t>
        </is>
      </c>
      <c r="B552" s="319" t="inlineStr">
        <is>
          <t> </t>
        </is>
      </c>
      <c r="C552" s="319" t="inlineStr">
        <is>
          <t> </t>
        </is>
      </c>
      <c r="D552" s="38" t="inlineStr">
        <is>
          <t> </t>
        </is>
      </c>
      <c r="E552" s="391" t="inlineStr">
        <is>
          <t> </t>
        </is>
      </c>
      <c r="F552" s="391" t="inlineStr">
        <is>
          <t> </t>
        </is>
      </c>
      <c r="G552" s="391" t="inlineStr">
        <is>
          <t> </t>
        </is>
      </c>
      <c r="H552" s="391" t="inlineStr">
        <is>
          <t> </t>
        </is>
      </c>
      <c r="I552" s="391" t="inlineStr">
        <is>
          <t> </t>
        </is>
      </c>
      <c r="J552" s="391" t="inlineStr">
        <is>
          <t> </t>
        </is>
      </c>
      <c r="K552" s="38" t="inlineStr">
        <is>
          <t> </t>
        </is>
      </c>
      <c r="L552" s="391" t="inlineStr">
        <is>
          <t> </t>
        </is>
      </c>
      <c r="M552" s="391" t="inlineStr">
        <is>
          <t> </t>
        </is>
      </c>
      <c r="N552" s="391" t="inlineStr">
        <is>
          <t> </t>
        </is>
      </c>
      <c r="O552" s="391" t="inlineStr">
        <is>
          <t> </t>
        </is>
      </c>
      <c r="P552" s="391" t="inlineStr">
        <is>
          <t> </t>
        </is>
      </c>
      <c r="Q552" s="391" t="inlineStr">
        <is>
          <t> </t>
        </is>
      </c>
      <c r="R552" s="38" t="inlineStr">
        <is>
          <t> </t>
        </is>
      </c>
      <c r="S552" s="391" t="inlineStr">
        <is>
          <t> </t>
        </is>
      </c>
      <c r="T552" s="391" t="inlineStr">
        <is>
          <t> </t>
        </is>
      </c>
      <c r="U552" s="391" t="inlineStr">
        <is>
          <t> </t>
        </is>
      </c>
      <c r="V552" s="391" t="inlineStr">
        <is>
          <t> </t>
        </is>
      </c>
      <c r="W552" s="391" t="inlineStr">
        <is>
          <t> </t>
        </is>
      </c>
      <c r="X552" s="391" t="inlineStr">
        <is>
          <t> </t>
        </is>
      </c>
      <c r="Y552" s="392" t="inlineStr">
        <is>
          <t> </t>
        </is>
      </c>
      <c r="Z552" s="391" t="inlineStr">
        <is>
          <t> </t>
        </is>
      </c>
      <c r="AA552" s="391" t="inlineStr">
        <is>
          <t> </t>
        </is>
      </c>
      <c r="AB552" s="391" t="inlineStr">
        <is>
          <t> </t>
        </is>
      </c>
      <c r="AC552" s="391" t="inlineStr">
        <is>
          <t> </t>
        </is>
      </c>
      <c r="AD552" s="391" t="inlineStr">
        <is>
          <t> </t>
        </is>
      </c>
      <c r="AE552" s="391" t="inlineStr">
        <is>
          <t> </t>
        </is>
      </c>
      <c r="AF552" s="38" t="inlineStr">
        <is>
          <t> </t>
        </is>
      </c>
      <c r="AG552" s="391" t="inlineStr">
        <is>
          <t> </t>
        </is>
      </c>
      <c r="AH552" s="391" t="n"/>
      <c r="AI552" s="391" t="inlineStr">
        <is>
          <t> </t>
        </is>
      </c>
      <c r="AJ552" s="391" t="inlineStr">
        <is>
          <t> </t>
        </is>
      </c>
      <c r="AK552" s="391" t="inlineStr">
        <is>
          <t> </t>
        </is>
      </c>
      <c r="AL552" s="391" t="inlineStr">
        <is>
          <t> </t>
        </is>
      </c>
      <c r="AM552" s="391" t="inlineStr">
        <is>
          <t> </t>
        </is>
      </c>
      <c r="AN552" s="391" t="inlineStr">
        <is>
          <t> </t>
        </is>
      </c>
      <c r="AO552" s="391" t="n"/>
      <c r="AP552" s="319" t="n"/>
      <c r="AQ552" s="319" t="n"/>
      <c r="AR552" s="319" t="n"/>
    </row>
    <row r="553" ht="15.75" customHeight="1" s="1264">
      <c r="A553" s="319" t="inlineStr">
        <is>
          <t> </t>
        </is>
      </c>
      <c r="B553" s="319" t="inlineStr">
        <is>
          <t> </t>
        </is>
      </c>
      <c r="C553" s="319" t="inlineStr">
        <is>
          <t> </t>
        </is>
      </c>
      <c r="D553" s="38" t="inlineStr">
        <is>
          <t> </t>
        </is>
      </c>
      <c r="E553" s="391" t="inlineStr">
        <is>
          <t> </t>
        </is>
      </c>
      <c r="F553" s="391" t="inlineStr">
        <is>
          <t> </t>
        </is>
      </c>
      <c r="G553" s="391" t="inlineStr">
        <is>
          <t> </t>
        </is>
      </c>
      <c r="H553" s="391" t="inlineStr">
        <is>
          <t> </t>
        </is>
      </c>
      <c r="I553" s="391" t="inlineStr">
        <is>
          <t> </t>
        </is>
      </c>
      <c r="J553" s="391" t="inlineStr">
        <is>
          <t> </t>
        </is>
      </c>
      <c r="K553" s="38" t="inlineStr">
        <is>
          <t> </t>
        </is>
      </c>
      <c r="L553" s="391" t="inlineStr">
        <is>
          <t> </t>
        </is>
      </c>
      <c r="M553" s="391" t="inlineStr">
        <is>
          <t> </t>
        </is>
      </c>
      <c r="N553" s="391" t="inlineStr">
        <is>
          <t> </t>
        </is>
      </c>
      <c r="O553" s="391" t="inlineStr">
        <is>
          <t> </t>
        </is>
      </c>
      <c r="P553" s="391" t="inlineStr">
        <is>
          <t> </t>
        </is>
      </c>
      <c r="Q553" s="391" t="inlineStr">
        <is>
          <t> </t>
        </is>
      </c>
      <c r="R553" s="38" t="inlineStr">
        <is>
          <t> </t>
        </is>
      </c>
      <c r="S553" s="391" t="inlineStr">
        <is>
          <t> </t>
        </is>
      </c>
      <c r="T553" s="391" t="inlineStr">
        <is>
          <t> </t>
        </is>
      </c>
      <c r="U553" s="391" t="inlineStr">
        <is>
          <t> </t>
        </is>
      </c>
      <c r="V553" s="391" t="inlineStr">
        <is>
          <t> </t>
        </is>
      </c>
      <c r="W553" s="391" t="inlineStr">
        <is>
          <t> </t>
        </is>
      </c>
      <c r="X553" s="391" t="inlineStr">
        <is>
          <t> </t>
        </is>
      </c>
      <c r="Y553" s="392" t="inlineStr">
        <is>
          <t> </t>
        </is>
      </c>
      <c r="Z553" s="391" t="inlineStr">
        <is>
          <t> </t>
        </is>
      </c>
      <c r="AA553" s="391" t="inlineStr">
        <is>
          <t> </t>
        </is>
      </c>
      <c r="AB553" s="391" t="inlineStr">
        <is>
          <t> </t>
        </is>
      </c>
      <c r="AC553" s="391" t="inlineStr">
        <is>
          <t> </t>
        </is>
      </c>
      <c r="AD553" s="391" t="inlineStr">
        <is>
          <t> </t>
        </is>
      </c>
      <c r="AE553" s="391" t="inlineStr">
        <is>
          <t> </t>
        </is>
      </c>
      <c r="AF553" s="38" t="inlineStr">
        <is>
          <t> </t>
        </is>
      </c>
      <c r="AG553" s="391" t="inlineStr">
        <is>
          <t> </t>
        </is>
      </c>
      <c r="AH553" s="391" t="n"/>
      <c r="AI553" s="391" t="inlineStr">
        <is>
          <t> </t>
        </is>
      </c>
      <c r="AJ553" s="391" t="inlineStr">
        <is>
          <t> </t>
        </is>
      </c>
      <c r="AK553" s="391" t="inlineStr">
        <is>
          <t> </t>
        </is>
      </c>
      <c r="AL553" s="391" t="inlineStr">
        <is>
          <t> </t>
        </is>
      </c>
      <c r="AM553" s="391" t="inlineStr">
        <is>
          <t> </t>
        </is>
      </c>
      <c r="AN553" s="391" t="inlineStr">
        <is>
          <t> </t>
        </is>
      </c>
      <c r="AO553" s="391" t="n"/>
      <c r="AP553" s="319" t="n"/>
      <c r="AQ553" s="319" t="n"/>
      <c r="AR553" s="319" t="n"/>
    </row>
    <row r="554" ht="15.75" customHeight="1" s="1264">
      <c r="A554" s="319" t="inlineStr">
        <is>
          <t> </t>
        </is>
      </c>
      <c r="B554" s="319" t="inlineStr">
        <is>
          <t> </t>
        </is>
      </c>
      <c r="C554" s="319" t="inlineStr">
        <is>
          <t> </t>
        </is>
      </c>
      <c r="D554" s="38" t="inlineStr">
        <is>
          <t> </t>
        </is>
      </c>
      <c r="E554" s="391" t="inlineStr">
        <is>
          <t> </t>
        </is>
      </c>
      <c r="F554" s="391" t="inlineStr">
        <is>
          <t> </t>
        </is>
      </c>
      <c r="G554" s="391" t="inlineStr">
        <is>
          <t> </t>
        </is>
      </c>
      <c r="H554" s="391" t="inlineStr">
        <is>
          <t> </t>
        </is>
      </c>
      <c r="I554" s="391" t="inlineStr">
        <is>
          <t> </t>
        </is>
      </c>
      <c r="J554" s="391" t="inlineStr">
        <is>
          <t> </t>
        </is>
      </c>
      <c r="K554" s="38" t="inlineStr">
        <is>
          <t> </t>
        </is>
      </c>
      <c r="L554" s="391" t="inlineStr">
        <is>
          <t> </t>
        </is>
      </c>
      <c r="M554" s="391" t="inlineStr">
        <is>
          <t> </t>
        </is>
      </c>
      <c r="N554" s="391" t="inlineStr">
        <is>
          <t> </t>
        </is>
      </c>
      <c r="O554" s="391" t="inlineStr">
        <is>
          <t> </t>
        </is>
      </c>
      <c r="P554" s="391" t="inlineStr">
        <is>
          <t> </t>
        </is>
      </c>
      <c r="Q554" s="391" t="inlineStr">
        <is>
          <t> </t>
        </is>
      </c>
      <c r="R554" s="38" t="inlineStr">
        <is>
          <t> </t>
        </is>
      </c>
      <c r="S554" s="391" t="inlineStr">
        <is>
          <t> </t>
        </is>
      </c>
      <c r="T554" s="391" t="inlineStr">
        <is>
          <t> </t>
        </is>
      </c>
      <c r="U554" s="391" t="inlineStr">
        <is>
          <t> </t>
        </is>
      </c>
      <c r="V554" s="391" t="inlineStr">
        <is>
          <t> </t>
        </is>
      </c>
      <c r="W554" s="391" t="inlineStr">
        <is>
          <t> </t>
        </is>
      </c>
      <c r="X554" s="391" t="inlineStr">
        <is>
          <t> </t>
        </is>
      </c>
      <c r="Y554" s="392" t="inlineStr">
        <is>
          <t> </t>
        </is>
      </c>
      <c r="Z554" s="391" t="inlineStr">
        <is>
          <t> </t>
        </is>
      </c>
      <c r="AA554" s="391" t="inlineStr">
        <is>
          <t> </t>
        </is>
      </c>
      <c r="AB554" s="391" t="inlineStr">
        <is>
          <t> </t>
        </is>
      </c>
      <c r="AC554" s="391" t="inlineStr">
        <is>
          <t> </t>
        </is>
      </c>
      <c r="AD554" s="391" t="inlineStr">
        <is>
          <t> </t>
        </is>
      </c>
      <c r="AE554" s="391" t="inlineStr">
        <is>
          <t> </t>
        </is>
      </c>
      <c r="AF554" s="38" t="inlineStr">
        <is>
          <t> </t>
        </is>
      </c>
      <c r="AG554" s="391" t="inlineStr">
        <is>
          <t> </t>
        </is>
      </c>
      <c r="AH554" s="391" t="n"/>
      <c r="AI554" s="391" t="inlineStr">
        <is>
          <t> </t>
        </is>
      </c>
      <c r="AJ554" s="391" t="inlineStr">
        <is>
          <t> </t>
        </is>
      </c>
      <c r="AK554" s="391" t="inlineStr">
        <is>
          <t> </t>
        </is>
      </c>
      <c r="AL554" s="391" t="inlineStr">
        <is>
          <t> </t>
        </is>
      </c>
      <c r="AM554" s="391" t="inlineStr">
        <is>
          <t> </t>
        </is>
      </c>
      <c r="AN554" s="391" t="inlineStr">
        <is>
          <t> </t>
        </is>
      </c>
      <c r="AO554" s="391" t="n"/>
      <c r="AP554" s="319" t="n"/>
      <c r="AQ554" s="319" t="n"/>
      <c r="AR554" s="319" t="n"/>
    </row>
    <row r="555" ht="15.75" customHeight="1" s="1264">
      <c r="A555" s="319" t="inlineStr">
        <is>
          <t> </t>
        </is>
      </c>
      <c r="B555" s="319" t="inlineStr">
        <is>
          <t> </t>
        </is>
      </c>
      <c r="C555" s="319" t="inlineStr">
        <is>
          <t> </t>
        </is>
      </c>
      <c r="D555" s="38" t="inlineStr">
        <is>
          <t> </t>
        </is>
      </c>
      <c r="E555" s="391" t="inlineStr">
        <is>
          <t> </t>
        </is>
      </c>
      <c r="F555" s="391" t="inlineStr">
        <is>
          <t> </t>
        </is>
      </c>
      <c r="G555" s="391" t="inlineStr">
        <is>
          <t> </t>
        </is>
      </c>
      <c r="H555" s="391" t="inlineStr">
        <is>
          <t> </t>
        </is>
      </c>
      <c r="I555" s="391" t="inlineStr">
        <is>
          <t> </t>
        </is>
      </c>
      <c r="J555" s="391" t="inlineStr">
        <is>
          <t> </t>
        </is>
      </c>
      <c r="K555" s="38" t="inlineStr">
        <is>
          <t> </t>
        </is>
      </c>
      <c r="L555" s="391" t="inlineStr">
        <is>
          <t> </t>
        </is>
      </c>
      <c r="M555" s="391" t="inlineStr">
        <is>
          <t> </t>
        </is>
      </c>
      <c r="N555" s="391" t="inlineStr">
        <is>
          <t> </t>
        </is>
      </c>
      <c r="O555" s="391" t="inlineStr">
        <is>
          <t> </t>
        </is>
      </c>
      <c r="P555" s="391" t="inlineStr">
        <is>
          <t> </t>
        </is>
      </c>
      <c r="Q555" s="391" t="inlineStr">
        <is>
          <t> </t>
        </is>
      </c>
      <c r="R555" s="38" t="inlineStr">
        <is>
          <t> </t>
        </is>
      </c>
      <c r="S555" s="391" t="inlineStr">
        <is>
          <t> </t>
        </is>
      </c>
      <c r="T555" s="391" t="inlineStr">
        <is>
          <t> </t>
        </is>
      </c>
      <c r="U555" s="391" t="inlineStr">
        <is>
          <t> </t>
        </is>
      </c>
      <c r="V555" s="391" t="inlineStr">
        <is>
          <t> </t>
        </is>
      </c>
      <c r="W555" s="391" t="inlineStr">
        <is>
          <t> </t>
        </is>
      </c>
      <c r="X555" s="391" t="inlineStr">
        <is>
          <t> </t>
        </is>
      </c>
      <c r="Y555" s="392" t="inlineStr">
        <is>
          <t> </t>
        </is>
      </c>
      <c r="Z555" s="391" t="inlineStr">
        <is>
          <t> </t>
        </is>
      </c>
      <c r="AA555" s="391" t="inlineStr">
        <is>
          <t> </t>
        </is>
      </c>
      <c r="AB555" s="391" t="inlineStr">
        <is>
          <t> </t>
        </is>
      </c>
      <c r="AC555" s="391" t="inlineStr">
        <is>
          <t> </t>
        </is>
      </c>
      <c r="AD555" s="391" t="inlineStr">
        <is>
          <t> </t>
        </is>
      </c>
      <c r="AE555" s="391" t="inlineStr">
        <is>
          <t> </t>
        </is>
      </c>
      <c r="AF555" s="38" t="inlineStr">
        <is>
          <t> </t>
        </is>
      </c>
      <c r="AG555" s="391" t="inlineStr">
        <is>
          <t> </t>
        </is>
      </c>
      <c r="AH555" s="391" t="n"/>
      <c r="AI555" s="391" t="inlineStr">
        <is>
          <t> </t>
        </is>
      </c>
      <c r="AJ555" s="391" t="inlineStr">
        <is>
          <t> </t>
        </is>
      </c>
      <c r="AK555" s="391" t="inlineStr">
        <is>
          <t> </t>
        </is>
      </c>
      <c r="AL555" s="391" t="inlineStr">
        <is>
          <t> </t>
        </is>
      </c>
      <c r="AM555" s="391" t="inlineStr">
        <is>
          <t> </t>
        </is>
      </c>
      <c r="AN555" s="391" t="inlineStr">
        <is>
          <t> </t>
        </is>
      </c>
      <c r="AO555" s="391" t="n"/>
      <c r="AP555" s="319" t="n"/>
      <c r="AQ555" s="319" t="n"/>
      <c r="AR555" s="319" t="n"/>
    </row>
    <row r="556" ht="15.75" customHeight="1" s="1264">
      <c r="A556" s="319" t="inlineStr">
        <is>
          <t> </t>
        </is>
      </c>
      <c r="B556" s="319" t="inlineStr">
        <is>
          <t> </t>
        </is>
      </c>
      <c r="C556" s="319" t="inlineStr">
        <is>
          <t> </t>
        </is>
      </c>
      <c r="D556" s="38" t="inlineStr">
        <is>
          <t> </t>
        </is>
      </c>
      <c r="E556" s="391" t="inlineStr">
        <is>
          <t> </t>
        </is>
      </c>
      <c r="F556" s="391" t="inlineStr">
        <is>
          <t> </t>
        </is>
      </c>
      <c r="G556" s="391" t="inlineStr">
        <is>
          <t> </t>
        </is>
      </c>
      <c r="H556" s="391" t="inlineStr">
        <is>
          <t> </t>
        </is>
      </c>
      <c r="I556" s="391" t="inlineStr">
        <is>
          <t> </t>
        </is>
      </c>
      <c r="J556" s="391" t="inlineStr">
        <is>
          <t> </t>
        </is>
      </c>
      <c r="K556" s="38" t="inlineStr">
        <is>
          <t> </t>
        </is>
      </c>
      <c r="L556" s="391" t="inlineStr">
        <is>
          <t> </t>
        </is>
      </c>
      <c r="M556" s="391" t="inlineStr">
        <is>
          <t> </t>
        </is>
      </c>
      <c r="N556" s="391" t="inlineStr">
        <is>
          <t> </t>
        </is>
      </c>
      <c r="O556" s="391" t="inlineStr">
        <is>
          <t> </t>
        </is>
      </c>
      <c r="P556" s="391" t="inlineStr">
        <is>
          <t> </t>
        </is>
      </c>
      <c r="Q556" s="391" t="inlineStr">
        <is>
          <t> </t>
        </is>
      </c>
      <c r="R556" s="38" t="inlineStr">
        <is>
          <t> </t>
        </is>
      </c>
      <c r="S556" s="391" t="inlineStr">
        <is>
          <t> </t>
        </is>
      </c>
      <c r="T556" s="391" t="inlineStr">
        <is>
          <t> </t>
        </is>
      </c>
      <c r="U556" s="391" t="inlineStr">
        <is>
          <t> </t>
        </is>
      </c>
      <c r="V556" s="391" t="inlineStr">
        <is>
          <t> </t>
        </is>
      </c>
      <c r="W556" s="391" t="inlineStr">
        <is>
          <t> </t>
        </is>
      </c>
      <c r="X556" s="391" t="inlineStr">
        <is>
          <t> </t>
        </is>
      </c>
      <c r="Y556" s="392" t="inlineStr">
        <is>
          <t> </t>
        </is>
      </c>
      <c r="Z556" s="391" t="inlineStr">
        <is>
          <t> </t>
        </is>
      </c>
      <c r="AA556" s="391" t="inlineStr">
        <is>
          <t> </t>
        </is>
      </c>
      <c r="AB556" s="391" t="inlineStr">
        <is>
          <t> </t>
        </is>
      </c>
      <c r="AC556" s="391" t="inlineStr">
        <is>
          <t> </t>
        </is>
      </c>
      <c r="AD556" s="391" t="inlineStr">
        <is>
          <t> </t>
        </is>
      </c>
      <c r="AE556" s="391" t="inlineStr">
        <is>
          <t> </t>
        </is>
      </c>
      <c r="AF556" s="38" t="inlineStr">
        <is>
          <t> </t>
        </is>
      </c>
      <c r="AG556" s="391" t="inlineStr">
        <is>
          <t> </t>
        </is>
      </c>
      <c r="AH556" s="391" t="n"/>
      <c r="AI556" s="391" t="inlineStr">
        <is>
          <t> </t>
        </is>
      </c>
      <c r="AJ556" s="391" t="inlineStr">
        <is>
          <t> </t>
        </is>
      </c>
      <c r="AK556" s="391" t="inlineStr">
        <is>
          <t> </t>
        </is>
      </c>
      <c r="AL556" s="391" t="inlineStr">
        <is>
          <t> </t>
        </is>
      </c>
      <c r="AM556" s="391" t="inlineStr">
        <is>
          <t> </t>
        </is>
      </c>
      <c r="AN556" s="391" t="inlineStr">
        <is>
          <t> </t>
        </is>
      </c>
      <c r="AO556" s="391" t="n"/>
      <c r="AP556" s="319" t="n"/>
      <c r="AQ556" s="319" t="n"/>
      <c r="AR556" s="319" t="n"/>
    </row>
    <row r="557" ht="15.75" customHeight="1" s="1264">
      <c r="A557" s="319" t="inlineStr">
        <is>
          <t> </t>
        </is>
      </c>
      <c r="B557" s="319" t="inlineStr">
        <is>
          <t> </t>
        </is>
      </c>
      <c r="C557" s="319" t="inlineStr">
        <is>
          <t> </t>
        </is>
      </c>
      <c r="D557" s="38" t="inlineStr">
        <is>
          <t> </t>
        </is>
      </c>
      <c r="E557" s="391" t="inlineStr">
        <is>
          <t> </t>
        </is>
      </c>
      <c r="F557" s="391" t="inlineStr">
        <is>
          <t> </t>
        </is>
      </c>
      <c r="G557" s="391" t="inlineStr">
        <is>
          <t> </t>
        </is>
      </c>
      <c r="H557" s="391" t="inlineStr">
        <is>
          <t> </t>
        </is>
      </c>
      <c r="I557" s="391" t="inlineStr">
        <is>
          <t> </t>
        </is>
      </c>
      <c r="J557" s="391" t="inlineStr">
        <is>
          <t> </t>
        </is>
      </c>
      <c r="K557" s="38" t="inlineStr">
        <is>
          <t> </t>
        </is>
      </c>
      <c r="L557" s="391" t="inlineStr">
        <is>
          <t> </t>
        </is>
      </c>
      <c r="M557" s="391" t="inlineStr">
        <is>
          <t> </t>
        </is>
      </c>
      <c r="N557" s="391" t="inlineStr">
        <is>
          <t> </t>
        </is>
      </c>
      <c r="O557" s="391" t="inlineStr">
        <is>
          <t> </t>
        </is>
      </c>
      <c r="P557" s="391" t="inlineStr">
        <is>
          <t> </t>
        </is>
      </c>
      <c r="Q557" s="391" t="inlineStr">
        <is>
          <t> </t>
        </is>
      </c>
      <c r="R557" s="38" t="inlineStr">
        <is>
          <t> </t>
        </is>
      </c>
      <c r="S557" s="391" t="inlineStr">
        <is>
          <t> </t>
        </is>
      </c>
      <c r="T557" s="391" t="inlineStr">
        <is>
          <t> </t>
        </is>
      </c>
      <c r="U557" s="391" t="inlineStr">
        <is>
          <t> </t>
        </is>
      </c>
      <c r="V557" s="391" t="inlineStr">
        <is>
          <t> </t>
        </is>
      </c>
      <c r="W557" s="391" t="inlineStr">
        <is>
          <t> </t>
        </is>
      </c>
      <c r="X557" s="391" t="inlineStr">
        <is>
          <t> </t>
        </is>
      </c>
      <c r="Y557" s="392" t="inlineStr">
        <is>
          <t> </t>
        </is>
      </c>
      <c r="Z557" s="391" t="inlineStr">
        <is>
          <t> </t>
        </is>
      </c>
      <c r="AA557" s="391" t="inlineStr">
        <is>
          <t> </t>
        </is>
      </c>
      <c r="AB557" s="391" t="inlineStr">
        <is>
          <t> </t>
        </is>
      </c>
      <c r="AC557" s="391" t="inlineStr">
        <is>
          <t> </t>
        </is>
      </c>
      <c r="AD557" s="391" t="inlineStr">
        <is>
          <t> </t>
        </is>
      </c>
      <c r="AE557" s="391" t="inlineStr">
        <is>
          <t> </t>
        </is>
      </c>
      <c r="AF557" s="38" t="inlineStr">
        <is>
          <t> </t>
        </is>
      </c>
      <c r="AG557" s="391" t="inlineStr">
        <is>
          <t> </t>
        </is>
      </c>
      <c r="AH557" s="391" t="n"/>
      <c r="AI557" s="391" t="inlineStr">
        <is>
          <t> </t>
        </is>
      </c>
      <c r="AJ557" s="391" t="inlineStr">
        <is>
          <t> </t>
        </is>
      </c>
      <c r="AK557" s="391" t="inlineStr">
        <is>
          <t> </t>
        </is>
      </c>
      <c r="AL557" s="391" t="inlineStr">
        <is>
          <t> </t>
        </is>
      </c>
      <c r="AM557" s="391" t="inlineStr">
        <is>
          <t> </t>
        </is>
      </c>
      <c r="AN557" s="391" t="inlineStr">
        <is>
          <t> </t>
        </is>
      </c>
      <c r="AO557" s="391" t="n"/>
      <c r="AP557" s="319" t="n"/>
      <c r="AQ557" s="319" t="n"/>
      <c r="AR557" s="319" t="n"/>
    </row>
    <row r="558" ht="15.75" customHeight="1" s="1264">
      <c r="A558" s="319" t="inlineStr">
        <is>
          <t> </t>
        </is>
      </c>
      <c r="B558" s="319" t="inlineStr">
        <is>
          <t> </t>
        </is>
      </c>
      <c r="C558" s="319" t="inlineStr">
        <is>
          <t> </t>
        </is>
      </c>
      <c r="D558" s="38" t="inlineStr">
        <is>
          <t> </t>
        </is>
      </c>
      <c r="E558" s="391" t="inlineStr">
        <is>
          <t> </t>
        </is>
      </c>
      <c r="F558" s="391" t="inlineStr">
        <is>
          <t> </t>
        </is>
      </c>
      <c r="G558" s="391" t="inlineStr">
        <is>
          <t> </t>
        </is>
      </c>
      <c r="H558" s="391" t="inlineStr">
        <is>
          <t> </t>
        </is>
      </c>
      <c r="I558" s="391" t="inlineStr">
        <is>
          <t> </t>
        </is>
      </c>
      <c r="J558" s="391" t="inlineStr">
        <is>
          <t> </t>
        </is>
      </c>
      <c r="K558" s="38" t="inlineStr">
        <is>
          <t> </t>
        </is>
      </c>
      <c r="L558" s="391" t="inlineStr">
        <is>
          <t> </t>
        </is>
      </c>
      <c r="M558" s="391" t="inlineStr">
        <is>
          <t> </t>
        </is>
      </c>
      <c r="N558" s="391" t="inlineStr">
        <is>
          <t> </t>
        </is>
      </c>
      <c r="O558" s="391" t="inlineStr">
        <is>
          <t> </t>
        </is>
      </c>
      <c r="P558" s="391" t="inlineStr">
        <is>
          <t> </t>
        </is>
      </c>
      <c r="Q558" s="391" t="inlineStr">
        <is>
          <t> </t>
        </is>
      </c>
      <c r="R558" s="38" t="inlineStr">
        <is>
          <t> </t>
        </is>
      </c>
      <c r="S558" s="391" t="inlineStr">
        <is>
          <t> </t>
        </is>
      </c>
      <c r="T558" s="391" t="inlineStr">
        <is>
          <t> </t>
        </is>
      </c>
      <c r="U558" s="391" t="inlineStr">
        <is>
          <t> </t>
        </is>
      </c>
      <c r="V558" s="391" t="inlineStr">
        <is>
          <t> </t>
        </is>
      </c>
      <c r="W558" s="391" t="inlineStr">
        <is>
          <t> </t>
        </is>
      </c>
      <c r="X558" s="391" t="inlineStr">
        <is>
          <t> </t>
        </is>
      </c>
      <c r="Y558" s="392" t="inlineStr">
        <is>
          <t> </t>
        </is>
      </c>
      <c r="Z558" s="391" t="inlineStr">
        <is>
          <t> </t>
        </is>
      </c>
      <c r="AA558" s="391" t="inlineStr">
        <is>
          <t> </t>
        </is>
      </c>
      <c r="AB558" s="391" t="inlineStr">
        <is>
          <t> </t>
        </is>
      </c>
      <c r="AC558" s="391" t="inlineStr">
        <is>
          <t> </t>
        </is>
      </c>
      <c r="AD558" s="391" t="inlineStr">
        <is>
          <t> </t>
        </is>
      </c>
      <c r="AE558" s="391" t="inlineStr">
        <is>
          <t> </t>
        </is>
      </c>
      <c r="AF558" s="38" t="inlineStr">
        <is>
          <t> </t>
        </is>
      </c>
      <c r="AG558" s="391" t="inlineStr">
        <is>
          <t> </t>
        </is>
      </c>
      <c r="AH558" s="391" t="n"/>
      <c r="AI558" s="391" t="inlineStr">
        <is>
          <t> </t>
        </is>
      </c>
      <c r="AJ558" s="391" t="inlineStr">
        <is>
          <t> </t>
        </is>
      </c>
      <c r="AK558" s="391" t="inlineStr">
        <is>
          <t> </t>
        </is>
      </c>
      <c r="AL558" s="391" t="inlineStr">
        <is>
          <t> </t>
        </is>
      </c>
      <c r="AM558" s="391" t="inlineStr">
        <is>
          <t> </t>
        </is>
      </c>
      <c r="AN558" s="391" t="inlineStr">
        <is>
          <t> </t>
        </is>
      </c>
      <c r="AO558" s="391" t="n"/>
      <c r="AP558" s="319" t="n"/>
      <c r="AQ558" s="319" t="n"/>
      <c r="AR558" s="319" t="n"/>
    </row>
    <row r="559" ht="15.75" customHeight="1" s="1264">
      <c r="A559" s="319" t="inlineStr">
        <is>
          <t> </t>
        </is>
      </c>
      <c r="B559" s="319" t="inlineStr">
        <is>
          <t> </t>
        </is>
      </c>
      <c r="C559" s="319" t="inlineStr">
        <is>
          <t> </t>
        </is>
      </c>
      <c r="D559" s="38" t="inlineStr">
        <is>
          <t> </t>
        </is>
      </c>
      <c r="E559" s="391" t="inlineStr">
        <is>
          <t> </t>
        </is>
      </c>
      <c r="F559" s="391" t="inlineStr">
        <is>
          <t> </t>
        </is>
      </c>
      <c r="G559" s="391" t="inlineStr">
        <is>
          <t> </t>
        </is>
      </c>
      <c r="H559" s="391" t="inlineStr">
        <is>
          <t> </t>
        </is>
      </c>
      <c r="I559" s="391" t="inlineStr">
        <is>
          <t> </t>
        </is>
      </c>
      <c r="J559" s="391" t="inlineStr">
        <is>
          <t> </t>
        </is>
      </c>
      <c r="K559" s="38" t="inlineStr">
        <is>
          <t> </t>
        </is>
      </c>
      <c r="L559" s="391" t="inlineStr">
        <is>
          <t> </t>
        </is>
      </c>
      <c r="M559" s="391" t="inlineStr">
        <is>
          <t> </t>
        </is>
      </c>
      <c r="N559" s="391" t="inlineStr">
        <is>
          <t> </t>
        </is>
      </c>
      <c r="O559" s="391" t="inlineStr">
        <is>
          <t> </t>
        </is>
      </c>
      <c r="P559" s="391" t="inlineStr">
        <is>
          <t> </t>
        </is>
      </c>
      <c r="Q559" s="391" t="inlineStr">
        <is>
          <t> </t>
        </is>
      </c>
      <c r="R559" s="38" t="inlineStr">
        <is>
          <t> </t>
        </is>
      </c>
      <c r="S559" s="391" t="inlineStr">
        <is>
          <t> </t>
        </is>
      </c>
      <c r="T559" s="391" t="inlineStr">
        <is>
          <t> </t>
        </is>
      </c>
      <c r="U559" s="391" t="inlineStr">
        <is>
          <t> </t>
        </is>
      </c>
      <c r="V559" s="391" t="inlineStr">
        <is>
          <t> </t>
        </is>
      </c>
      <c r="W559" s="391" t="inlineStr">
        <is>
          <t> </t>
        </is>
      </c>
      <c r="X559" s="391" t="inlineStr">
        <is>
          <t> </t>
        </is>
      </c>
      <c r="Y559" s="392" t="inlineStr">
        <is>
          <t> </t>
        </is>
      </c>
      <c r="Z559" s="391" t="inlineStr">
        <is>
          <t> </t>
        </is>
      </c>
      <c r="AA559" s="391" t="inlineStr">
        <is>
          <t> </t>
        </is>
      </c>
      <c r="AB559" s="391" t="inlineStr">
        <is>
          <t> </t>
        </is>
      </c>
      <c r="AC559" s="391" t="inlineStr">
        <is>
          <t> </t>
        </is>
      </c>
      <c r="AD559" s="391" t="inlineStr">
        <is>
          <t> </t>
        </is>
      </c>
      <c r="AE559" s="391" t="inlineStr">
        <is>
          <t> </t>
        </is>
      </c>
      <c r="AF559" s="38" t="inlineStr">
        <is>
          <t> </t>
        </is>
      </c>
      <c r="AG559" s="391" t="inlineStr">
        <is>
          <t> </t>
        </is>
      </c>
      <c r="AH559" s="391" t="n"/>
      <c r="AI559" s="391" t="inlineStr">
        <is>
          <t> </t>
        </is>
      </c>
      <c r="AJ559" s="391" t="inlineStr">
        <is>
          <t> </t>
        </is>
      </c>
      <c r="AK559" s="391" t="inlineStr">
        <is>
          <t> </t>
        </is>
      </c>
      <c r="AL559" s="391" t="inlineStr">
        <is>
          <t> </t>
        </is>
      </c>
      <c r="AM559" s="391" t="inlineStr">
        <is>
          <t> </t>
        </is>
      </c>
      <c r="AN559" s="391" t="inlineStr">
        <is>
          <t> </t>
        </is>
      </c>
      <c r="AO559" s="391" t="n"/>
      <c r="AP559" s="319" t="n"/>
      <c r="AQ559" s="319" t="n"/>
      <c r="AR559" s="319" t="n"/>
    </row>
    <row r="560" ht="15.75" customHeight="1" s="1264">
      <c r="A560" s="319" t="inlineStr">
        <is>
          <t> </t>
        </is>
      </c>
      <c r="B560" s="319" t="inlineStr">
        <is>
          <t> </t>
        </is>
      </c>
      <c r="C560" s="319" t="inlineStr">
        <is>
          <t> </t>
        </is>
      </c>
      <c r="D560" s="38" t="inlineStr">
        <is>
          <t> </t>
        </is>
      </c>
      <c r="E560" s="391" t="inlineStr">
        <is>
          <t> </t>
        </is>
      </c>
      <c r="F560" s="391" t="inlineStr">
        <is>
          <t> </t>
        </is>
      </c>
      <c r="G560" s="391" t="inlineStr">
        <is>
          <t> </t>
        </is>
      </c>
      <c r="H560" s="391" t="inlineStr">
        <is>
          <t> </t>
        </is>
      </c>
      <c r="I560" s="391" t="inlineStr">
        <is>
          <t> </t>
        </is>
      </c>
      <c r="J560" s="391" t="inlineStr">
        <is>
          <t> </t>
        </is>
      </c>
      <c r="K560" s="38" t="inlineStr">
        <is>
          <t> </t>
        </is>
      </c>
      <c r="L560" s="391" t="inlineStr">
        <is>
          <t> </t>
        </is>
      </c>
      <c r="M560" s="391" t="inlineStr">
        <is>
          <t> </t>
        </is>
      </c>
      <c r="N560" s="391" t="inlineStr">
        <is>
          <t> </t>
        </is>
      </c>
      <c r="O560" s="391" t="inlineStr">
        <is>
          <t> </t>
        </is>
      </c>
      <c r="P560" s="391" t="inlineStr">
        <is>
          <t> </t>
        </is>
      </c>
      <c r="Q560" s="391" t="inlineStr">
        <is>
          <t> </t>
        </is>
      </c>
      <c r="R560" s="38" t="inlineStr">
        <is>
          <t> </t>
        </is>
      </c>
      <c r="S560" s="391" t="inlineStr">
        <is>
          <t> </t>
        </is>
      </c>
      <c r="T560" s="391" t="inlineStr">
        <is>
          <t> </t>
        </is>
      </c>
      <c r="U560" s="391" t="inlineStr">
        <is>
          <t> </t>
        </is>
      </c>
      <c r="V560" s="391" t="inlineStr">
        <is>
          <t> </t>
        </is>
      </c>
      <c r="W560" s="391" t="inlineStr">
        <is>
          <t> </t>
        </is>
      </c>
      <c r="X560" s="391" t="inlineStr">
        <is>
          <t> </t>
        </is>
      </c>
      <c r="Y560" s="392" t="inlineStr">
        <is>
          <t> </t>
        </is>
      </c>
      <c r="Z560" s="391" t="inlineStr">
        <is>
          <t> </t>
        </is>
      </c>
      <c r="AA560" s="391" t="inlineStr">
        <is>
          <t> </t>
        </is>
      </c>
      <c r="AB560" s="391" t="inlineStr">
        <is>
          <t> </t>
        </is>
      </c>
      <c r="AC560" s="391" t="inlineStr">
        <is>
          <t> </t>
        </is>
      </c>
      <c r="AD560" s="391" t="inlineStr">
        <is>
          <t> </t>
        </is>
      </c>
      <c r="AE560" s="391" t="inlineStr">
        <is>
          <t> </t>
        </is>
      </c>
      <c r="AF560" s="38" t="inlineStr">
        <is>
          <t> </t>
        </is>
      </c>
      <c r="AG560" s="391" t="inlineStr">
        <is>
          <t> </t>
        </is>
      </c>
      <c r="AH560" s="391" t="n"/>
      <c r="AI560" s="391" t="inlineStr">
        <is>
          <t> </t>
        </is>
      </c>
      <c r="AJ560" s="391" t="inlineStr">
        <is>
          <t> </t>
        </is>
      </c>
      <c r="AK560" s="391" t="inlineStr">
        <is>
          <t> </t>
        </is>
      </c>
      <c r="AL560" s="391" t="inlineStr">
        <is>
          <t> </t>
        </is>
      </c>
      <c r="AM560" s="391" t="inlineStr">
        <is>
          <t> </t>
        </is>
      </c>
      <c r="AN560" s="391" t="inlineStr">
        <is>
          <t> </t>
        </is>
      </c>
      <c r="AO560" s="391" t="n"/>
      <c r="AP560" s="319" t="n"/>
      <c r="AQ560" s="319" t="n"/>
      <c r="AR560" s="319" t="n"/>
    </row>
    <row r="561" ht="15.75" customHeight="1" s="1264">
      <c r="A561" s="319" t="inlineStr">
        <is>
          <t> </t>
        </is>
      </c>
      <c r="B561" s="319" t="inlineStr">
        <is>
          <t> </t>
        </is>
      </c>
      <c r="C561" s="319" t="inlineStr">
        <is>
          <t> </t>
        </is>
      </c>
      <c r="D561" s="38" t="inlineStr">
        <is>
          <t> </t>
        </is>
      </c>
      <c r="E561" s="391" t="inlineStr">
        <is>
          <t> </t>
        </is>
      </c>
      <c r="F561" s="391" t="inlineStr">
        <is>
          <t> </t>
        </is>
      </c>
      <c r="G561" s="391" t="inlineStr">
        <is>
          <t> </t>
        </is>
      </c>
      <c r="H561" s="391" t="inlineStr">
        <is>
          <t> </t>
        </is>
      </c>
      <c r="I561" s="391" t="inlineStr">
        <is>
          <t> </t>
        </is>
      </c>
      <c r="J561" s="391" t="inlineStr">
        <is>
          <t> </t>
        </is>
      </c>
      <c r="K561" s="38" t="inlineStr">
        <is>
          <t> </t>
        </is>
      </c>
      <c r="L561" s="391" t="inlineStr">
        <is>
          <t> </t>
        </is>
      </c>
      <c r="M561" s="391" t="inlineStr">
        <is>
          <t> </t>
        </is>
      </c>
      <c r="N561" s="391" t="inlineStr">
        <is>
          <t> </t>
        </is>
      </c>
      <c r="O561" s="391" t="inlineStr">
        <is>
          <t> </t>
        </is>
      </c>
      <c r="P561" s="391" t="inlineStr">
        <is>
          <t> </t>
        </is>
      </c>
      <c r="Q561" s="391" t="inlineStr">
        <is>
          <t> </t>
        </is>
      </c>
      <c r="R561" s="38" t="inlineStr">
        <is>
          <t> </t>
        </is>
      </c>
      <c r="S561" s="391" t="inlineStr">
        <is>
          <t> </t>
        </is>
      </c>
      <c r="T561" s="391" t="inlineStr">
        <is>
          <t> </t>
        </is>
      </c>
      <c r="U561" s="391" t="inlineStr">
        <is>
          <t> </t>
        </is>
      </c>
      <c r="V561" s="391" t="inlineStr">
        <is>
          <t> </t>
        </is>
      </c>
      <c r="W561" s="391" t="inlineStr">
        <is>
          <t> </t>
        </is>
      </c>
      <c r="X561" s="391" t="inlineStr">
        <is>
          <t> </t>
        </is>
      </c>
      <c r="Y561" s="392" t="inlineStr">
        <is>
          <t> </t>
        </is>
      </c>
      <c r="Z561" s="391" t="inlineStr">
        <is>
          <t> </t>
        </is>
      </c>
      <c r="AA561" s="391" t="inlineStr">
        <is>
          <t> </t>
        </is>
      </c>
      <c r="AB561" s="391" t="inlineStr">
        <is>
          <t> </t>
        </is>
      </c>
      <c r="AC561" s="391" t="inlineStr">
        <is>
          <t> </t>
        </is>
      </c>
      <c r="AD561" s="391" t="inlineStr">
        <is>
          <t> </t>
        </is>
      </c>
      <c r="AE561" s="391" t="inlineStr">
        <is>
          <t> </t>
        </is>
      </c>
      <c r="AF561" s="38" t="inlineStr">
        <is>
          <t> </t>
        </is>
      </c>
      <c r="AG561" s="391" t="inlineStr">
        <is>
          <t> </t>
        </is>
      </c>
      <c r="AH561" s="391" t="n"/>
      <c r="AI561" s="391" t="inlineStr">
        <is>
          <t> </t>
        </is>
      </c>
      <c r="AJ561" s="391" t="inlineStr">
        <is>
          <t> </t>
        </is>
      </c>
      <c r="AK561" s="391" t="inlineStr">
        <is>
          <t> </t>
        </is>
      </c>
      <c r="AL561" s="391" t="inlineStr">
        <is>
          <t> </t>
        </is>
      </c>
      <c r="AM561" s="391" t="inlineStr">
        <is>
          <t> </t>
        </is>
      </c>
      <c r="AN561" s="391" t="inlineStr">
        <is>
          <t> </t>
        </is>
      </c>
      <c r="AO561" s="391" t="n"/>
      <c r="AP561" s="319" t="n"/>
      <c r="AQ561" s="319" t="n"/>
      <c r="AR561" s="319" t="n"/>
    </row>
    <row r="562" ht="15.75" customHeight="1" s="1264">
      <c r="A562" s="319" t="inlineStr">
        <is>
          <t> </t>
        </is>
      </c>
      <c r="B562" s="319" t="inlineStr">
        <is>
          <t> </t>
        </is>
      </c>
      <c r="C562" s="319" t="inlineStr">
        <is>
          <t> </t>
        </is>
      </c>
      <c r="D562" s="38" t="inlineStr">
        <is>
          <t> </t>
        </is>
      </c>
      <c r="E562" s="391" t="inlineStr">
        <is>
          <t> </t>
        </is>
      </c>
      <c r="F562" s="391" t="inlineStr">
        <is>
          <t> </t>
        </is>
      </c>
      <c r="G562" s="391" t="inlineStr">
        <is>
          <t> </t>
        </is>
      </c>
      <c r="H562" s="391" t="inlineStr">
        <is>
          <t> </t>
        </is>
      </c>
      <c r="I562" s="391" t="inlineStr">
        <is>
          <t> </t>
        </is>
      </c>
      <c r="J562" s="391" t="inlineStr">
        <is>
          <t> </t>
        </is>
      </c>
      <c r="K562" s="38" t="inlineStr">
        <is>
          <t> </t>
        </is>
      </c>
      <c r="L562" s="391" t="inlineStr">
        <is>
          <t> </t>
        </is>
      </c>
      <c r="M562" s="391" t="inlineStr">
        <is>
          <t> </t>
        </is>
      </c>
      <c r="N562" s="391" t="inlineStr">
        <is>
          <t> </t>
        </is>
      </c>
      <c r="O562" s="391" t="inlineStr">
        <is>
          <t> </t>
        </is>
      </c>
      <c r="P562" s="391" t="inlineStr">
        <is>
          <t> </t>
        </is>
      </c>
      <c r="Q562" s="391" t="inlineStr">
        <is>
          <t> </t>
        </is>
      </c>
      <c r="R562" s="38" t="inlineStr">
        <is>
          <t> </t>
        </is>
      </c>
      <c r="S562" s="391" t="inlineStr">
        <is>
          <t> </t>
        </is>
      </c>
      <c r="T562" s="391" t="inlineStr">
        <is>
          <t> </t>
        </is>
      </c>
      <c r="U562" s="391" t="inlineStr">
        <is>
          <t> </t>
        </is>
      </c>
      <c r="V562" s="391" t="inlineStr">
        <is>
          <t> </t>
        </is>
      </c>
      <c r="W562" s="391" t="inlineStr">
        <is>
          <t> </t>
        </is>
      </c>
      <c r="X562" s="391" t="inlineStr">
        <is>
          <t> </t>
        </is>
      </c>
      <c r="Y562" s="392" t="inlineStr">
        <is>
          <t> </t>
        </is>
      </c>
      <c r="Z562" s="391" t="inlineStr">
        <is>
          <t> </t>
        </is>
      </c>
      <c r="AA562" s="391" t="inlineStr">
        <is>
          <t> </t>
        </is>
      </c>
      <c r="AB562" s="391" t="inlineStr">
        <is>
          <t> </t>
        </is>
      </c>
      <c r="AC562" s="391" t="inlineStr">
        <is>
          <t> </t>
        </is>
      </c>
      <c r="AD562" s="391" t="inlineStr">
        <is>
          <t> </t>
        </is>
      </c>
      <c r="AE562" s="391" t="inlineStr">
        <is>
          <t> </t>
        </is>
      </c>
      <c r="AF562" s="38" t="inlineStr">
        <is>
          <t> </t>
        </is>
      </c>
      <c r="AG562" s="391" t="inlineStr">
        <is>
          <t> </t>
        </is>
      </c>
      <c r="AH562" s="391" t="n"/>
      <c r="AI562" s="391" t="inlineStr">
        <is>
          <t> </t>
        </is>
      </c>
      <c r="AJ562" s="391" t="inlineStr">
        <is>
          <t> </t>
        </is>
      </c>
      <c r="AK562" s="391" t="inlineStr">
        <is>
          <t> </t>
        </is>
      </c>
      <c r="AL562" s="391" t="inlineStr">
        <is>
          <t> </t>
        </is>
      </c>
      <c r="AM562" s="391" t="inlineStr">
        <is>
          <t> </t>
        </is>
      </c>
      <c r="AN562" s="391" t="inlineStr">
        <is>
          <t> </t>
        </is>
      </c>
      <c r="AO562" s="391" t="n"/>
      <c r="AP562" s="319" t="n"/>
      <c r="AQ562" s="319" t="n"/>
      <c r="AR562" s="319" t="n"/>
    </row>
    <row r="563" ht="15.75" customHeight="1" s="1264">
      <c r="A563" s="319" t="inlineStr">
        <is>
          <t> </t>
        </is>
      </c>
      <c r="B563" s="319" t="inlineStr">
        <is>
          <t> </t>
        </is>
      </c>
      <c r="C563" s="319" t="inlineStr">
        <is>
          <t> </t>
        </is>
      </c>
      <c r="D563" s="38" t="inlineStr">
        <is>
          <t> </t>
        </is>
      </c>
      <c r="E563" s="391" t="inlineStr">
        <is>
          <t> </t>
        </is>
      </c>
      <c r="F563" s="391" t="inlineStr">
        <is>
          <t> </t>
        </is>
      </c>
      <c r="G563" s="391" t="inlineStr">
        <is>
          <t> </t>
        </is>
      </c>
      <c r="H563" s="391" t="inlineStr">
        <is>
          <t> </t>
        </is>
      </c>
      <c r="I563" s="391" t="inlineStr">
        <is>
          <t> </t>
        </is>
      </c>
      <c r="J563" s="391" t="inlineStr">
        <is>
          <t> </t>
        </is>
      </c>
      <c r="K563" s="38" t="inlineStr">
        <is>
          <t> </t>
        </is>
      </c>
      <c r="L563" s="391" t="inlineStr">
        <is>
          <t> </t>
        </is>
      </c>
      <c r="M563" s="391" t="inlineStr">
        <is>
          <t> </t>
        </is>
      </c>
      <c r="N563" s="391" t="inlineStr">
        <is>
          <t> </t>
        </is>
      </c>
      <c r="O563" s="391" t="inlineStr">
        <is>
          <t> </t>
        </is>
      </c>
      <c r="P563" s="391" t="inlineStr">
        <is>
          <t> </t>
        </is>
      </c>
      <c r="Q563" s="391" t="inlineStr">
        <is>
          <t> </t>
        </is>
      </c>
      <c r="R563" s="38" t="inlineStr">
        <is>
          <t> </t>
        </is>
      </c>
      <c r="S563" s="391" t="inlineStr">
        <is>
          <t> </t>
        </is>
      </c>
      <c r="T563" s="391" t="inlineStr">
        <is>
          <t> </t>
        </is>
      </c>
      <c r="U563" s="391" t="inlineStr">
        <is>
          <t> </t>
        </is>
      </c>
      <c r="V563" s="391" t="inlineStr">
        <is>
          <t> </t>
        </is>
      </c>
      <c r="W563" s="391" t="inlineStr">
        <is>
          <t> </t>
        </is>
      </c>
      <c r="X563" s="391" t="inlineStr">
        <is>
          <t> </t>
        </is>
      </c>
      <c r="Y563" s="392" t="inlineStr">
        <is>
          <t> </t>
        </is>
      </c>
      <c r="Z563" s="391" t="inlineStr">
        <is>
          <t> </t>
        </is>
      </c>
      <c r="AA563" s="391" t="inlineStr">
        <is>
          <t> </t>
        </is>
      </c>
      <c r="AB563" s="391" t="inlineStr">
        <is>
          <t> </t>
        </is>
      </c>
      <c r="AC563" s="391" t="inlineStr">
        <is>
          <t> </t>
        </is>
      </c>
      <c r="AD563" s="391" t="inlineStr">
        <is>
          <t> </t>
        </is>
      </c>
      <c r="AE563" s="391" t="inlineStr">
        <is>
          <t> </t>
        </is>
      </c>
      <c r="AF563" s="38" t="inlineStr">
        <is>
          <t> </t>
        </is>
      </c>
      <c r="AG563" s="391" t="inlineStr">
        <is>
          <t> </t>
        </is>
      </c>
      <c r="AH563" s="391" t="n"/>
      <c r="AI563" s="391" t="inlineStr">
        <is>
          <t> </t>
        </is>
      </c>
      <c r="AJ563" s="391" t="inlineStr">
        <is>
          <t> </t>
        </is>
      </c>
      <c r="AK563" s="391" t="inlineStr">
        <is>
          <t> </t>
        </is>
      </c>
      <c r="AL563" s="391" t="inlineStr">
        <is>
          <t> </t>
        </is>
      </c>
      <c r="AM563" s="391" t="inlineStr">
        <is>
          <t> </t>
        </is>
      </c>
      <c r="AN563" s="391" t="inlineStr">
        <is>
          <t> </t>
        </is>
      </c>
      <c r="AO563" s="391" t="n"/>
      <c r="AP563" s="319" t="n"/>
      <c r="AQ563" s="319" t="n"/>
      <c r="AR563" s="319" t="n"/>
    </row>
    <row r="564" ht="15.75" customHeight="1" s="1264">
      <c r="A564" s="319" t="inlineStr">
        <is>
          <t> </t>
        </is>
      </c>
      <c r="B564" s="319" t="inlineStr">
        <is>
          <t> </t>
        </is>
      </c>
      <c r="C564" s="319" t="inlineStr">
        <is>
          <t> </t>
        </is>
      </c>
      <c r="D564" s="38" t="inlineStr">
        <is>
          <t> </t>
        </is>
      </c>
      <c r="E564" s="391" t="inlineStr">
        <is>
          <t> </t>
        </is>
      </c>
      <c r="F564" s="391" t="inlineStr">
        <is>
          <t> </t>
        </is>
      </c>
      <c r="G564" s="391" t="inlineStr">
        <is>
          <t> </t>
        </is>
      </c>
      <c r="H564" s="391" t="inlineStr">
        <is>
          <t> </t>
        </is>
      </c>
      <c r="I564" s="391" t="inlineStr">
        <is>
          <t> </t>
        </is>
      </c>
      <c r="J564" s="391" t="inlineStr">
        <is>
          <t> </t>
        </is>
      </c>
      <c r="K564" s="38" t="inlineStr">
        <is>
          <t> </t>
        </is>
      </c>
      <c r="L564" s="391" t="inlineStr">
        <is>
          <t> </t>
        </is>
      </c>
      <c r="M564" s="391" t="inlineStr">
        <is>
          <t> </t>
        </is>
      </c>
      <c r="N564" s="391" t="inlineStr">
        <is>
          <t> </t>
        </is>
      </c>
      <c r="O564" s="391" t="inlineStr">
        <is>
          <t> </t>
        </is>
      </c>
      <c r="P564" s="391" t="inlineStr">
        <is>
          <t> </t>
        </is>
      </c>
      <c r="Q564" s="391" t="inlineStr">
        <is>
          <t> </t>
        </is>
      </c>
      <c r="R564" s="38" t="inlineStr">
        <is>
          <t> </t>
        </is>
      </c>
      <c r="S564" s="391" t="inlineStr">
        <is>
          <t> </t>
        </is>
      </c>
      <c r="T564" s="391" t="inlineStr">
        <is>
          <t> </t>
        </is>
      </c>
      <c r="U564" s="391" t="inlineStr">
        <is>
          <t> </t>
        </is>
      </c>
      <c r="V564" s="391" t="inlineStr">
        <is>
          <t> </t>
        </is>
      </c>
      <c r="W564" s="391" t="inlineStr">
        <is>
          <t> </t>
        </is>
      </c>
      <c r="X564" s="391" t="inlineStr">
        <is>
          <t> </t>
        </is>
      </c>
      <c r="Y564" s="392" t="inlineStr">
        <is>
          <t> </t>
        </is>
      </c>
      <c r="Z564" s="391" t="inlineStr">
        <is>
          <t> </t>
        </is>
      </c>
      <c r="AA564" s="391" t="inlineStr">
        <is>
          <t> </t>
        </is>
      </c>
      <c r="AB564" s="391" t="inlineStr">
        <is>
          <t> </t>
        </is>
      </c>
      <c r="AC564" s="391" t="inlineStr">
        <is>
          <t> </t>
        </is>
      </c>
      <c r="AD564" s="391" t="inlineStr">
        <is>
          <t> </t>
        </is>
      </c>
      <c r="AE564" s="391" t="inlineStr">
        <is>
          <t> </t>
        </is>
      </c>
      <c r="AF564" s="38" t="inlineStr">
        <is>
          <t> </t>
        </is>
      </c>
      <c r="AG564" s="391" t="inlineStr">
        <is>
          <t> </t>
        </is>
      </c>
      <c r="AH564" s="391" t="n"/>
      <c r="AI564" s="391" t="inlineStr">
        <is>
          <t> </t>
        </is>
      </c>
      <c r="AJ564" s="391" t="inlineStr">
        <is>
          <t> </t>
        </is>
      </c>
      <c r="AK564" s="391" t="inlineStr">
        <is>
          <t> </t>
        </is>
      </c>
      <c r="AL564" s="391" t="inlineStr">
        <is>
          <t> </t>
        </is>
      </c>
      <c r="AM564" s="391" t="inlineStr">
        <is>
          <t> </t>
        </is>
      </c>
      <c r="AN564" s="391" t="inlineStr">
        <is>
          <t> </t>
        </is>
      </c>
      <c r="AO564" s="391" t="n"/>
      <c r="AP564" s="319" t="n"/>
      <c r="AQ564" s="319" t="n"/>
      <c r="AR564" s="319" t="n"/>
    </row>
    <row r="565" ht="15.75" customHeight="1" s="1264">
      <c r="A565" s="319" t="inlineStr">
        <is>
          <t> </t>
        </is>
      </c>
      <c r="B565" s="319" t="inlineStr">
        <is>
          <t> </t>
        </is>
      </c>
      <c r="C565" s="319" t="inlineStr">
        <is>
          <t> </t>
        </is>
      </c>
      <c r="D565" s="38" t="inlineStr">
        <is>
          <t> </t>
        </is>
      </c>
      <c r="E565" s="391" t="inlineStr">
        <is>
          <t> </t>
        </is>
      </c>
      <c r="F565" s="391" t="inlineStr">
        <is>
          <t> </t>
        </is>
      </c>
      <c r="G565" s="391" t="inlineStr">
        <is>
          <t> </t>
        </is>
      </c>
      <c r="H565" s="391" t="inlineStr">
        <is>
          <t> </t>
        </is>
      </c>
      <c r="I565" s="391" t="inlineStr">
        <is>
          <t> </t>
        </is>
      </c>
      <c r="J565" s="391" t="inlineStr">
        <is>
          <t> </t>
        </is>
      </c>
      <c r="K565" s="38" t="inlineStr">
        <is>
          <t> </t>
        </is>
      </c>
      <c r="L565" s="391" t="inlineStr">
        <is>
          <t> </t>
        </is>
      </c>
      <c r="M565" s="391" t="inlineStr">
        <is>
          <t> </t>
        </is>
      </c>
      <c r="N565" s="391" t="inlineStr">
        <is>
          <t> </t>
        </is>
      </c>
      <c r="O565" s="391" t="inlineStr">
        <is>
          <t> </t>
        </is>
      </c>
      <c r="P565" s="391" t="inlineStr">
        <is>
          <t> </t>
        </is>
      </c>
      <c r="Q565" s="391" t="inlineStr">
        <is>
          <t> </t>
        </is>
      </c>
      <c r="R565" s="38" t="inlineStr">
        <is>
          <t> </t>
        </is>
      </c>
      <c r="S565" s="391" t="inlineStr">
        <is>
          <t> </t>
        </is>
      </c>
      <c r="T565" s="391" t="inlineStr">
        <is>
          <t> </t>
        </is>
      </c>
      <c r="U565" s="391" t="inlineStr">
        <is>
          <t> </t>
        </is>
      </c>
      <c r="V565" s="391" t="inlineStr">
        <is>
          <t> </t>
        </is>
      </c>
      <c r="W565" s="391" t="inlineStr">
        <is>
          <t> </t>
        </is>
      </c>
      <c r="X565" s="391" t="inlineStr">
        <is>
          <t> </t>
        </is>
      </c>
      <c r="Y565" s="392" t="inlineStr">
        <is>
          <t> </t>
        </is>
      </c>
      <c r="Z565" s="391" t="inlineStr">
        <is>
          <t> </t>
        </is>
      </c>
      <c r="AA565" s="391" t="inlineStr">
        <is>
          <t> </t>
        </is>
      </c>
      <c r="AB565" s="391" t="inlineStr">
        <is>
          <t> </t>
        </is>
      </c>
      <c r="AC565" s="391" t="inlineStr">
        <is>
          <t> </t>
        </is>
      </c>
      <c r="AD565" s="391" t="inlineStr">
        <is>
          <t> </t>
        </is>
      </c>
      <c r="AE565" s="391" t="inlineStr">
        <is>
          <t> </t>
        </is>
      </c>
      <c r="AF565" s="38" t="inlineStr">
        <is>
          <t> </t>
        </is>
      </c>
      <c r="AG565" s="391" t="inlineStr">
        <is>
          <t> </t>
        </is>
      </c>
      <c r="AH565" s="391" t="n"/>
      <c r="AI565" s="391" t="inlineStr">
        <is>
          <t> </t>
        </is>
      </c>
      <c r="AJ565" s="391" t="inlineStr">
        <is>
          <t> </t>
        </is>
      </c>
      <c r="AK565" s="391" t="inlineStr">
        <is>
          <t> </t>
        </is>
      </c>
      <c r="AL565" s="391" t="inlineStr">
        <is>
          <t> </t>
        </is>
      </c>
      <c r="AM565" s="391" t="inlineStr">
        <is>
          <t> </t>
        </is>
      </c>
      <c r="AN565" s="391" t="inlineStr">
        <is>
          <t> </t>
        </is>
      </c>
      <c r="AO565" s="391" t="n"/>
      <c r="AP565" s="319" t="n"/>
      <c r="AQ565" s="319" t="n"/>
      <c r="AR565" s="319" t="n"/>
    </row>
    <row r="566" ht="15.75" customHeight="1" s="1264">
      <c r="A566" s="319" t="inlineStr">
        <is>
          <t> </t>
        </is>
      </c>
      <c r="B566" s="319" t="inlineStr">
        <is>
          <t> </t>
        </is>
      </c>
      <c r="C566" s="319" t="inlineStr">
        <is>
          <t> </t>
        </is>
      </c>
      <c r="D566" s="38" t="inlineStr">
        <is>
          <t> </t>
        </is>
      </c>
      <c r="E566" s="391" t="inlineStr">
        <is>
          <t> </t>
        </is>
      </c>
      <c r="F566" s="391" t="inlineStr">
        <is>
          <t> </t>
        </is>
      </c>
      <c r="G566" s="391" t="inlineStr">
        <is>
          <t> </t>
        </is>
      </c>
      <c r="H566" s="391" t="inlineStr">
        <is>
          <t> </t>
        </is>
      </c>
      <c r="I566" s="391" t="inlineStr">
        <is>
          <t> </t>
        </is>
      </c>
      <c r="J566" s="391" t="inlineStr">
        <is>
          <t> </t>
        </is>
      </c>
      <c r="K566" s="38" t="inlineStr">
        <is>
          <t> </t>
        </is>
      </c>
      <c r="L566" s="391" t="inlineStr">
        <is>
          <t> </t>
        </is>
      </c>
      <c r="M566" s="391" t="inlineStr">
        <is>
          <t> </t>
        </is>
      </c>
      <c r="N566" s="391" t="inlineStr">
        <is>
          <t> </t>
        </is>
      </c>
      <c r="O566" s="391" t="inlineStr">
        <is>
          <t> </t>
        </is>
      </c>
      <c r="P566" s="391" t="inlineStr">
        <is>
          <t> </t>
        </is>
      </c>
      <c r="Q566" s="391" t="inlineStr">
        <is>
          <t> </t>
        </is>
      </c>
      <c r="R566" s="38" t="inlineStr">
        <is>
          <t> </t>
        </is>
      </c>
      <c r="S566" s="391" t="inlineStr">
        <is>
          <t> </t>
        </is>
      </c>
      <c r="T566" s="391" t="inlineStr">
        <is>
          <t> </t>
        </is>
      </c>
      <c r="U566" s="391" t="inlineStr">
        <is>
          <t> </t>
        </is>
      </c>
      <c r="V566" s="391" t="inlineStr">
        <is>
          <t> </t>
        </is>
      </c>
      <c r="W566" s="391" t="inlineStr">
        <is>
          <t> </t>
        </is>
      </c>
      <c r="X566" s="391" t="inlineStr">
        <is>
          <t> </t>
        </is>
      </c>
      <c r="Y566" s="392" t="inlineStr">
        <is>
          <t> </t>
        </is>
      </c>
      <c r="Z566" s="391" t="inlineStr">
        <is>
          <t> </t>
        </is>
      </c>
      <c r="AA566" s="391" t="inlineStr">
        <is>
          <t> </t>
        </is>
      </c>
      <c r="AB566" s="391" t="inlineStr">
        <is>
          <t> </t>
        </is>
      </c>
      <c r="AC566" s="391" t="inlineStr">
        <is>
          <t> </t>
        </is>
      </c>
      <c r="AD566" s="391" t="inlineStr">
        <is>
          <t> </t>
        </is>
      </c>
      <c r="AE566" s="391" t="inlineStr">
        <is>
          <t> </t>
        </is>
      </c>
      <c r="AF566" s="38" t="inlineStr">
        <is>
          <t> </t>
        </is>
      </c>
      <c r="AG566" s="391" t="inlineStr">
        <is>
          <t> </t>
        </is>
      </c>
      <c r="AH566" s="391" t="n"/>
      <c r="AI566" s="391" t="inlineStr">
        <is>
          <t> </t>
        </is>
      </c>
      <c r="AJ566" s="391" t="inlineStr">
        <is>
          <t> </t>
        </is>
      </c>
      <c r="AK566" s="391" t="inlineStr">
        <is>
          <t> </t>
        </is>
      </c>
      <c r="AL566" s="391" t="inlineStr">
        <is>
          <t> </t>
        </is>
      </c>
      <c r="AM566" s="391" t="inlineStr">
        <is>
          <t> </t>
        </is>
      </c>
      <c r="AN566" s="391" t="inlineStr">
        <is>
          <t> </t>
        </is>
      </c>
      <c r="AO566" s="391" t="n"/>
      <c r="AP566" s="319" t="n"/>
      <c r="AQ566" s="319" t="n"/>
      <c r="AR566" s="319" t="n"/>
    </row>
    <row r="567" ht="15.75" customHeight="1" s="1264">
      <c r="A567" s="319" t="inlineStr">
        <is>
          <t> </t>
        </is>
      </c>
      <c r="B567" s="319" t="inlineStr">
        <is>
          <t> </t>
        </is>
      </c>
      <c r="C567" s="319" t="inlineStr">
        <is>
          <t> </t>
        </is>
      </c>
      <c r="D567" s="38" t="inlineStr">
        <is>
          <t> </t>
        </is>
      </c>
      <c r="E567" s="391" t="inlineStr">
        <is>
          <t> </t>
        </is>
      </c>
      <c r="F567" s="391" t="inlineStr">
        <is>
          <t> </t>
        </is>
      </c>
      <c r="G567" s="391" t="inlineStr">
        <is>
          <t> </t>
        </is>
      </c>
      <c r="H567" s="391" t="inlineStr">
        <is>
          <t> </t>
        </is>
      </c>
      <c r="I567" s="391" t="inlineStr">
        <is>
          <t> </t>
        </is>
      </c>
      <c r="J567" s="391" t="inlineStr">
        <is>
          <t> </t>
        </is>
      </c>
      <c r="K567" s="38" t="inlineStr">
        <is>
          <t> </t>
        </is>
      </c>
      <c r="L567" s="391" t="inlineStr">
        <is>
          <t> </t>
        </is>
      </c>
      <c r="M567" s="391" t="inlineStr">
        <is>
          <t> </t>
        </is>
      </c>
      <c r="N567" s="391" t="inlineStr">
        <is>
          <t> </t>
        </is>
      </c>
      <c r="O567" s="391" t="inlineStr">
        <is>
          <t> </t>
        </is>
      </c>
      <c r="P567" s="391" t="inlineStr">
        <is>
          <t> </t>
        </is>
      </c>
      <c r="Q567" s="391" t="inlineStr">
        <is>
          <t> </t>
        </is>
      </c>
      <c r="R567" s="38" t="inlineStr">
        <is>
          <t> </t>
        </is>
      </c>
      <c r="S567" s="391" t="inlineStr">
        <is>
          <t> </t>
        </is>
      </c>
      <c r="T567" s="391" t="inlineStr">
        <is>
          <t> </t>
        </is>
      </c>
      <c r="U567" s="391" t="inlineStr">
        <is>
          <t> </t>
        </is>
      </c>
      <c r="V567" s="391" t="inlineStr">
        <is>
          <t> </t>
        </is>
      </c>
      <c r="W567" s="391" t="inlineStr">
        <is>
          <t> </t>
        </is>
      </c>
      <c r="X567" s="391" t="inlineStr">
        <is>
          <t> </t>
        </is>
      </c>
      <c r="Y567" s="392" t="inlineStr">
        <is>
          <t> </t>
        </is>
      </c>
      <c r="Z567" s="391" t="inlineStr">
        <is>
          <t> </t>
        </is>
      </c>
      <c r="AA567" s="391" t="inlineStr">
        <is>
          <t> </t>
        </is>
      </c>
      <c r="AB567" s="391" t="inlineStr">
        <is>
          <t> </t>
        </is>
      </c>
      <c r="AC567" s="391" t="inlineStr">
        <is>
          <t> </t>
        </is>
      </c>
      <c r="AD567" s="391" t="inlineStr">
        <is>
          <t> </t>
        </is>
      </c>
      <c r="AE567" s="391" t="inlineStr">
        <is>
          <t> </t>
        </is>
      </c>
      <c r="AF567" s="38" t="inlineStr">
        <is>
          <t> </t>
        </is>
      </c>
      <c r="AG567" s="391" t="inlineStr">
        <is>
          <t> </t>
        </is>
      </c>
      <c r="AH567" s="391" t="n"/>
      <c r="AI567" s="391" t="inlineStr">
        <is>
          <t> </t>
        </is>
      </c>
      <c r="AJ567" s="391" t="inlineStr">
        <is>
          <t> </t>
        </is>
      </c>
      <c r="AK567" s="391" t="inlineStr">
        <is>
          <t> </t>
        </is>
      </c>
      <c r="AL567" s="391" t="inlineStr">
        <is>
          <t> </t>
        </is>
      </c>
      <c r="AM567" s="391" t="inlineStr">
        <is>
          <t> </t>
        </is>
      </c>
      <c r="AN567" s="391" t="inlineStr">
        <is>
          <t> </t>
        </is>
      </c>
      <c r="AO567" s="391" t="n"/>
      <c r="AP567" s="319" t="n"/>
      <c r="AQ567" s="319" t="n"/>
      <c r="AR567" s="319" t="n"/>
    </row>
    <row r="568" ht="15.75" customHeight="1" s="1264">
      <c r="A568" s="319" t="inlineStr">
        <is>
          <t> </t>
        </is>
      </c>
      <c r="B568" s="319" t="inlineStr">
        <is>
          <t> </t>
        </is>
      </c>
      <c r="C568" s="319" t="inlineStr">
        <is>
          <t> </t>
        </is>
      </c>
      <c r="D568" s="38" t="inlineStr">
        <is>
          <t> </t>
        </is>
      </c>
      <c r="E568" s="391" t="inlineStr">
        <is>
          <t> </t>
        </is>
      </c>
      <c r="F568" s="391" t="inlineStr">
        <is>
          <t> </t>
        </is>
      </c>
      <c r="G568" s="391" t="inlineStr">
        <is>
          <t> </t>
        </is>
      </c>
      <c r="H568" s="391" t="inlineStr">
        <is>
          <t> </t>
        </is>
      </c>
      <c r="I568" s="391" t="inlineStr">
        <is>
          <t> </t>
        </is>
      </c>
      <c r="J568" s="391" t="inlineStr">
        <is>
          <t> </t>
        </is>
      </c>
      <c r="K568" s="38" t="inlineStr">
        <is>
          <t> </t>
        </is>
      </c>
      <c r="L568" s="391" t="inlineStr">
        <is>
          <t> </t>
        </is>
      </c>
      <c r="M568" s="391" t="inlineStr">
        <is>
          <t> </t>
        </is>
      </c>
      <c r="N568" s="391" t="inlineStr">
        <is>
          <t> </t>
        </is>
      </c>
      <c r="O568" s="391" t="inlineStr">
        <is>
          <t> </t>
        </is>
      </c>
      <c r="P568" s="391" t="inlineStr">
        <is>
          <t> </t>
        </is>
      </c>
      <c r="Q568" s="391" t="inlineStr">
        <is>
          <t> </t>
        </is>
      </c>
      <c r="R568" s="38" t="inlineStr">
        <is>
          <t> </t>
        </is>
      </c>
      <c r="S568" s="391" t="inlineStr">
        <is>
          <t> </t>
        </is>
      </c>
      <c r="T568" s="391" t="inlineStr">
        <is>
          <t> </t>
        </is>
      </c>
      <c r="U568" s="391" t="inlineStr">
        <is>
          <t> </t>
        </is>
      </c>
      <c r="V568" s="391" t="inlineStr">
        <is>
          <t> </t>
        </is>
      </c>
      <c r="W568" s="391" t="inlineStr">
        <is>
          <t> </t>
        </is>
      </c>
      <c r="X568" s="391" t="inlineStr">
        <is>
          <t> </t>
        </is>
      </c>
      <c r="Y568" s="392" t="inlineStr">
        <is>
          <t> </t>
        </is>
      </c>
      <c r="Z568" s="391" t="inlineStr">
        <is>
          <t> </t>
        </is>
      </c>
      <c r="AA568" s="391" t="inlineStr">
        <is>
          <t> </t>
        </is>
      </c>
      <c r="AB568" s="391" t="inlineStr">
        <is>
          <t> </t>
        </is>
      </c>
      <c r="AC568" s="391" t="inlineStr">
        <is>
          <t> </t>
        </is>
      </c>
      <c r="AD568" s="391" t="inlineStr">
        <is>
          <t> </t>
        </is>
      </c>
      <c r="AE568" s="391" t="inlineStr">
        <is>
          <t> </t>
        </is>
      </c>
      <c r="AF568" s="38" t="inlineStr">
        <is>
          <t> </t>
        </is>
      </c>
      <c r="AG568" s="391" t="inlineStr">
        <is>
          <t> </t>
        </is>
      </c>
      <c r="AH568" s="391" t="n"/>
      <c r="AI568" s="391" t="inlineStr">
        <is>
          <t> </t>
        </is>
      </c>
      <c r="AJ568" s="391" t="inlineStr">
        <is>
          <t> </t>
        </is>
      </c>
      <c r="AK568" s="391" t="inlineStr">
        <is>
          <t> </t>
        </is>
      </c>
      <c r="AL568" s="391" t="inlineStr">
        <is>
          <t> </t>
        </is>
      </c>
      <c r="AM568" s="391" t="inlineStr">
        <is>
          <t> </t>
        </is>
      </c>
      <c r="AN568" s="391" t="inlineStr">
        <is>
          <t> </t>
        </is>
      </c>
      <c r="AO568" s="391" t="n"/>
      <c r="AP568" s="319" t="n"/>
      <c r="AQ568" s="319" t="n"/>
      <c r="AR568" s="319" t="n"/>
    </row>
    <row r="569" ht="15.75" customHeight="1" s="1264">
      <c r="A569" s="319" t="inlineStr">
        <is>
          <t> </t>
        </is>
      </c>
      <c r="B569" s="319" t="inlineStr">
        <is>
          <t> </t>
        </is>
      </c>
      <c r="C569" s="319" t="inlineStr">
        <is>
          <t> </t>
        </is>
      </c>
      <c r="D569" s="38" t="inlineStr">
        <is>
          <t> </t>
        </is>
      </c>
      <c r="E569" s="391" t="inlineStr">
        <is>
          <t> </t>
        </is>
      </c>
      <c r="F569" s="391" t="inlineStr">
        <is>
          <t> </t>
        </is>
      </c>
      <c r="G569" s="391" t="inlineStr">
        <is>
          <t> </t>
        </is>
      </c>
      <c r="H569" s="391" t="inlineStr">
        <is>
          <t> </t>
        </is>
      </c>
      <c r="I569" s="391" t="inlineStr">
        <is>
          <t> </t>
        </is>
      </c>
      <c r="J569" s="391" t="inlineStr">
        <is>
          <t> </t>
        </is>
      </c>
      <c r="K569" s="38" t="inlineStr">
        <is>
          <t> </t>
        </is>
      </c>
      <c r="L569" s="391" t="inlineStr">
        <is>
          <t> </t>
        </is>
      </c>
      <c r="M569" s="391" t="inlineStr">
        <is>
          <t> </t>
        </is>
      </c>
      <c r="N569" s="391" t="inlineStr">
        <is>
          <t> </t>
        </is>
      </c>
      <c r="O569" s="391" t="inlineStr">
        <is>
          <t> </t>
        </is>
      </c>
      <c r="P569" s="391" t="inlineStr">
        <is>
          <t> </t>
        </is>
      </c>
      <c r="Q569" s="391" t="inlineStr">
        <is>
          <t> </t>
        </is>
      </c>
      <c r="R569" s="38" t="inlineStr">
        <is>
          <t> </t>
        </is>
      </c>
      <c r="S569" s="391" t="inlineStr">
        <is>
          <t> </t>
        </is>
      </c>
      <c r="T569" s="391" t="inlineStr">
        <is>
          <t> </t>
        </is>
      </c>
      <c r="U569" s="391" t="inlineStr">
        <is>
          <t> </t>
        </is>
      </c>
      <c r="V569" s="391" t="inlineStr">
        <is>
          <t> </t>
        </is>
      </c>
      <c r="W569" s="391" t="inlineStr">
        <is>
          <t> </t>
        </is>
      </c>
      <c r="X569" s="391" t="inlineStr">
        <is>
          <t> </t>
        </is>
      </c>
      <c r="Y569" s="392" t="inlineStr">
        <is>
          <t> </t>
        </is>
      </c>
      <c r="Z569" s="391" t="inlineStr">
        <is>
          <t> </t>
        </is>
      </c>
      <c r="AA569" s="391" t="inlineStr">
        <is>
          <t> </t>
        </is>
      </c>
      <c r="AB569" s="391" t="inlineStr">
        <is>
          <t> </t>
        </is>
      </c>
      <c r="AC569" s="391" t="inlineStr">
        <is>
          <t> </t>
        </is>
      </c>
      <c r="AD569" s="391" t="inlineStr">
        <is>
          <t> </t>
        </is>
      </c>
      <c r="AE569" s="391" t="inlineStr">
        <is>
          <t> </t>
        </is>
      </c>
      <c r="AF569" s="38" t="inlineStr">
        <is>
          <t> </t>
        </is>
      </c>
      <c r="AG569" s="391" t="inlineStr">
        <is>
          <t> </t>
        </is>
      </c>
      <c r="AH569" s="391" t="n"/>
      <c r="AI569" s="391" t="inlineStr">
        <is>
          <t> </t>
        </is>
      </c>
      <c r="AJ569" s="391" t="inlineStr">
        <is>
          <t> </t>
        </is>
      </c>
      <c r="AK569" s="391" t="inlineStr">
        <is>
          <t> </t>
        </is>
      </c>
      <c r="AL569" s="391" t="inlineStr">
        <is>
          <t> </t>
        </is>
      </c>
      <c r="AM569" s="391" t="inlineStr">
        <is>
          <t> </t>
        </is>
      </c>
      <c r="AN569" s="391" t="inlineStr">
        <is>
          <t> </t>
        </is>
      </c>
      <c r="AO569" s="391" t="n"/>
      <c r="AP569" s="319" t="n"/>
      <c r="AQ569" s="319" t="n"/>
      <c r="AR569" s="319" t="n"/>
    </row>
    <row r="570" ht="15.75" customHeight="1" s="1264">
      <c r="A570" s="319" t="inlineStr">
        <is>
          <t> </t>
        </is>
      </c>
      <c r="B570" s="319" t="inlineStr">
        <is>
          <t> </t>
        </is>
      </c>
      <c r="C570" s="319" t="inlineStr">
        <is>
          <t> </t>
        </is>
      </c>
      <c r="D570" s="38" t="inlineStr">
        <is>
          <t> </t>
        </is>
      </c>
      <c r="E570" s="391" t="inlineStr">
        <is>
          <t> </t>
        </is>
      </c>
      <c r="F570" s="391" t="inlineStr">
        <is>
          <t> </t>
        </is>
      </c>
      <c r="G570" s="391" t="inlineStr">
        <is>
          <t> </t>
        </is>
      </c>
      <c r="H570" s="391" t="inlineStr">
        <is>
          <t> </t>
        </is>
      </c>
      <c r="I570" s="391" t="inlineStr">
        <is>
          <t> </t>
        </is>
      </c>
      <c r="J570" s="391" t="inlineStr">
        <is>
          <t> </t>
        </is>
      </c>
      <c r="K570" s="38" t="inlineStr">
        <is>
          <t> </t>
        </is>
      </c>
      <c r="L570" s="391" t="inlineStr">
        <is>
          <t> </t>
        </is>
      </c>
      <c r="M570" s="391" t="inlineStr">
        <is>
          <t> </t>
        </is>
      </c>
      <c r="N570" s="391" t="inlineStr">
        <is>
          <t> </t>
        </is>
      </c>
      <c r="O570" s="391" t="inlineStr">
        <is>
          <t> </t>
        </is>
      </c>
      <c r="P570" s="391" t="inlineStr">
        <is>
          <t> </t>
        </is>
      </c>
      <c r="Q570" s="391" t="inlineStr">
        <is>
          <t> </t>
        </is>
      </c>
      <c r="R570" s="38" t="inlineStr">
        <is>
          <t> </t>
        </is>
      </c>
      <c r="S570" s="391" t="inlineStr">
        <is>
          <t> </t>
        </is>
      </c>
      <c r="T570" s="391" t="inlineStr">
        <is>
          <t> </t>
        </is>
      </c>
      <c r="U570" s="391" t="inlineStr">
        <is>
          <t> </t>
        </is>
      </c>
      <c r="V570" s="391" t="inlineStr">
        <is>
          <t> </t>
        </is>
      </c>
      <c r="W570" s="391" t="inlineStr">
        <is>
          <t> </t>
        </is>
      </c>
      <c r="X570" s="391" t="inlineStr">
        <is>
          <t> </t>
        </is>
      </c>
      <c r="Y570" s="392" t="inlineStr">
        <is>
          <t> </t>
        </is>
      </c>
      <c r="Z570" s="391" t="inlineStr">
        <is>
          <t> </t>
        </is>
      </c>
      <c r="AA570" s="391" t="inlineStr">
        <is>
          <t> </t>
        </is>
      </c>
      <c r="AB570" s="391" t="inlineStr">
        <is>
          <t> </t>
        </is>
      </c>
      <c r="AC570" s="391" t="inlineStr">
        <is>
          <t> </t>
        </is>
      </c>
      <c r="AD570" s="391" t="inlineStr">
        <is>
          <t> </t>
        </is>
      </c>
      <c r="AE570" s="391" t="inlineStr">
        <is>
          <t> </t>
        </is>
      </c>
      <c r="AF570" s="38" t="inlineStr">
        <is>
          <t> </t>
        </is>
      </c>
      <c r="AG570" s="391" t="inlineStr">
        <is>
          <t> </t>
        </is>
      </c>
      <c r="AH570" s="391" t="n"/>
      <c r="AI570" s="391" t="inlineStr">
        <is>
          <t> </t>
        </is>
      </c>
      <c r="AJ570" s="391" t="inlineStr">
        <is>
          <t> </t>
        </is>
      </c>
      <c r="AK570" s="391" t="inlineStr">
        <is>
          <t> </t>
        </is>
      </c>
      <c r="AL570" s="391" t="inlineStr">
        <is>
          <t> </t>
        </is>
      </c>
      <c r="AM570" s="391" t="inlineStr">
        <is>
          <t> </t>
        </is>
      </c>
      <c r="AN570" s="391" t="inlineStr">
        <is>
          <t> </t>
        </is>
      </c>
      <c r="AO570" s="391" t="n"/>
      <c r="AP570" s="319" t="n"/>
      <c r="AQ570" s="319" t="n"/>
      <c r="AR570" s="319" t="n"/>
    </row>
    <row r="571" ht="15.75" customHeight="1" s="1264">
      <c r="A571" s="319" t="inlineStr">
        <is>
          <t> </t>
        </is>
      </c>
      <c r="B571" s="319" t="inlineStr">
        <is>
          <t> </t>
        </is>
      </c>
      <c r="C571" s="319" t="inlineStr">
        <is>
          <t> </t>
        </is>
      </c>
      <c r="D571" s="38" t="inlineStr">
        <is>
          <t> </t>
        </is>
      </c>
      <c r="E571" s="391" t="inlineStr">
        <is>
          <t> </t>
        </is>
      </c>
      <c r="F571" s="391" t="inlineStr">
        <is>
          <t> </t>
        </is>
      </c>
      <c r="G571" s="391" t="inlineStr">
        <is>
          <t> </t>
        </is>
      </c>
      <c r="H571" s="391" t="inlineStr">
        <is>
          <t> </t>
        </is>
      </c>
      <c r="I571" s="391" t="inlineStr">
        <is>
          <t> </t>
        </is>
      </c>
      <c r="J571" s="391" t="inlineStr">
        <is>
          <t> </t>
        </is>
      </c>
      <c r="K571" s="38" t="inlineStr">
        <is>
          <t> </t>
        </is>
      </c>
      <c r="L571" s="391" t="inlineStr">
        <is>
          <t> </t>
        </is>
      </c>
      <c r="M571" s="391" t="inlineStr">
        <is>
          <t> </t>
        </is>
      </c>
      <c r="N571" s="391" t="inlineStr">
        <is>
          <t> </t>
        </is>
      </c>
      <c r="O571" s="391" t="inlineStr">
        <is>
          <t> </t>
        </is>
      </c>
      <c r="P571" s="391" t="inlineStr">
        <is>
          <t> </t>
        </is>
      </c>
      <c r="Q571" s="391" t="inlineStr">
        <is>
          <t> </t>
        </is>
      </c>
      <c r="R571" s="38" t="inlineStr">
        <is>
          <t> </t>
        </is>
      </c>
      <c r="S571" s="391" t="inlineStr">
        <is>
          <t> </t>
        </is>
      </c>
      <c r="T571" s="391" t="inlineStr">
        <is>
          <t> </t>
        </is>
      </c>
      <c r="U571" s="391" t="inlineStr">
        <is>
          <t> </t>
        </is>
      </c>
      <c r="V571" s="391" t="inlineStr">
        <is>
          <t> </t>
        </is>
      </c>
      <c r="W571" s="391" t="inlineStr">
        <is>
          <t> </t>
        </is>
      </c>
      <c r="X571" s="391" t="inlineStr">
        <is>
          <t> </t>
        </is>
      </c>
      <c r="Y571" s="392" t="inlineStr">
        <is>
          <t> </t>
        </is>
      </c>
      <c r="Z571" s="391" t="inlineStr">
        <is>
          <t> </t>
        </is>
      </c>
      <c r="AA571" s="391" t="inlineStr">
        <is>
          <t> </t>
        </is>
      </c>
      <c r="AB571" s="391" t="inlineStr">
        <is>
          <t> </t>
        </is>
      </c>
      <c r="AC571" s="391" t="inlineStr">
        <is>
          <t> </t>
        </is>
      </c>
      <c r="AD571" s="391" t="inlineStr">
        <is>
          <t> </t>
        </is>
      </c>
      <c r="AE571" s="391" t="inlineStr">
        <is>
          <t> </t>
        </is>
      </c>
      <c r="AF571" s="38" t="inlineStr">
        <is>
          <t> </t>
        </is>
      </c>
      <c r="AG571" s="391" t="inlineStr">
        <is>
          <t> </t>
        </is>
      </c>
      <c r="AH571" s="391" t="n"/>
      <c r="AI571" s="391" t="inlineStr">
        <is>
          <t> </t>
        </is>
      </c>
      <c r="AJ571" s="391" t="inlineStr">
        <is>
          <t> </t>
        </is>
      </c>
      <c r="AK571" s="391" t="inlineStr">
        <is>
          <t> </t>
        </is>
      </c>
      <c r="AL571" s="391" t="inlineStr">
        <is>
          <t> </t>
        </is>
      </c>
      <c r="AM571" s="391" t="inlineStr">
        <is>
          <t> </t>
        </is>
      </c>
      <c r="AN571" s="391" t="inlineStr">
        <is>
          <t> </t>
        </is>
      </c>
      <c r="AO571" s="391" t="n"/>
      <c r="AP571" s="319" t="n"/>
      <c r="AQ571" s="319" t="n"/>
      <c r="AR571" s="319" t="n"/>
    </row>
    <row r="572" ht="15.75" customHeight="1" s="1264">
      <c r="A572" s="319" t="inlineStr">
        <is>
          <t> </t>
        </is>
      </c>
      <c r="B572" s="319" t="inlineStr">
        <is>
          <t> </t>
        </is>
      </c>
      <c r="C572" s="319" t="inlineStr">
        <is>
          <t> </t>
        </is>
      </c>
      <c r="D572" s="38" t="inlineStr">
        <is>
          <t> </t>
        </is>
      </c>
      <c r="E572" s="391" t="inlineStr">
        <is>
          <t> </t>
        </is>
      </c>
      <c r="F572" s="391" t="inlineStr">
        <is>
          <t> </t>
        </is>
      </c>
      <c r="G572" s="391" t="inlineStr">
        <is>
          <t> </t>
        </is>
      </c>
      <c r="H572" s="391" t="inlineStr">
        <is>
          <t> </t>
        </is>
      </c>
      <c r="I572" s="391" t="inlineStr">
        <is>
          <t> </t>
        </is>
      </c>
      <c r="J572" s="391" t="inlineStr">
        <is>
          <t> </t>
        </is>
      </c>
      <c r="K572" s="38" t="inlineStr">
        <is>
          <t> </t>
        </is>
      </c>
      <c r="L572" s="391" t="inlineStr">
        <is>
          <t> </t>
        </is>
      </c>
      <c r="M572" s="391" t="inlineStr">
        <is>
          <t> </t>
        </is>
      </c>
      <c r="N572" s="391" t="inlineStr">
        <is>
          <t> </t>
        </is>
      </c>
      <c r="O572" s="391" t="inlineStr">
        <is>
          <t> </t>
        </is>
      </c>
      <c r="P572" s="391" t="inlineStr">
        <is>
          <t> </t>
        </is>
      </c>
      <c r="Q572" s="391" t="inlineStr">
        <is>
          <t> </t>
        </is>
      </c>
      <c r="R572" s="38" t="inlineStr">
        <is>
          <t> </t>
        </is>
      </c>
      <c r="S572" s="391" t="inlineStr">
        <is>
          <t> </t>
        </is>
      </c>
      <c r="T572" s="391" t="inlineStr">
        <is>
          <t> </t>
        </is>
      </c>
      <c r="U572" s="391" t="inlineStr">
        <is>
          <t> </t>
        </is>
      </c>
      <c r="V572" s="391" t="inlineStr">
        <is>
          <t> </t>
        </is>
      </c>
      <c r="W572" s="391" t="inlineStr">
        <is>
          <t> </t>
        </is>
      </c>
      <c r="X572" s="391" t="inlineStr">
        <is>
          <t> </t>
        </is>
      </c>
      <c r="Y572" s="392" t="inlineStr">
        <is>
          <t> </t>
        </is>
      </c>
      <c r="Z572" s="391" t="inlineStr">
        <is>
          <t> </t>
        </is>
      </c>
      <c r="AA572" s="391" t="inlineStr">
        <is>
          <t> </t>
        </is>
      </c>
      <c r="AB572" s="391" t="inlineStr">
        <is>
          <t> </t>
        </is>
      </c>
      <c r="AC572" s="391" t="inlineStr">
        <is>
          <t> </t>
        </is>
      </c>
      <c r="AD572" s="391" t="inlineStr">
        <is>
          <t> </t>
        </is>
      </c>
      <c r="AE572" s="391" t="inlineStr">
        <is>
          <t> </t>
        </is>
      </c>
      <c r="AF572" s="38" t="inlineStr">
        <is>
          <t> </t>
        </is>
      </c>
      <c r="AG572" s="391" t="inlineStr">
        <is>
          <t> </t>
        </is>
      </c>
      <c r="AH572" s="391" t="n"/>
      <c r="AI572" s="391" t="inlineStr">
        <is>
          <t> </t>
        </is>
      </c>
      <c r="AJ572" s="391" t="inlineStr">
        <is>
          <t> </t>
        </is>
      </c>
      <c r="AK572" s="391" t="inlineStr">
        <is>
          <t> </t>
        </is>
      </c>
      <c r="AL572" s="391" t="inlineStr">
        <is>
          <t> </t>
        </is>
      </c>
      <c r="AM572" s="391" t="inlineStr">
        <is>
          <t> </t>
        </is>
      </c>
      <c r="AN572" s="391" t="inlineStr">
        <is>
          <t> </t>
        </is>
      </c>
      <c r="AO572" s="391" t="n"/>
      <c r="AP572" s="319" t="n"/>
      <c r="AQ572" s="319" t="n"/>
      <c r="AR572" s="319" t="n"/>
    </row>
    <row r="573" ht="15.75" customHeight="1" s="1264">
      <c r="A573" s="319" t="inlineStr">
        <is>
          <t> </t>
        </is>
      </c>
      <c r="B573" s="319" t="inlineStr">
        <is>
          <t> </t>
        </is>
      </c>
      <c r="C573" s="319" t="inlineStr">
        <is>
          <t> </t>
        </is>
      </c>
      <c r="D573" s="38" t="inlineStr">
        <is>
          <t> </t>
        </is>
      </c>
      <c r="E573" s="391" t="inlineStr">
        <is>
          <t> </t>
        </is>
      </c>
      <c r="F573" s="391" t="inlineStr">
        <is>
          <t> </t>
        </is>
      </c>
      <c r="G573" s="391" t="inlineStr">
        <is>
          <t> </t>
        </is>
      </c>
      <c r="H573" s="391" t="inlineStr">
        <is>
          <t> </t>
        </is>
      </c>
      <c r="I573" s="391" t="inlineStr">
        <is>
          <t> </t>
        </is>
      </c>
      <c r="J573" s="391" t="inlineStr">
        <is>
          <t> </t>
        </is>
      </c>
      <c r="K573" s="38" t="inlineStr">
        <is>
          <t> </t>
        </is>
      </c>
      <c r="L573" s="391" t="inlineStr">
        <is>
          <t> </t>
        </is>
      </c>
      <c r="M573" s="391" t="inlineStr">
        <is>
          <t> </t>
        </is>
      </c>
      <c r="N573" s="391" t="inlineStr">
        <is>
          <t> </t>
        </is>
      </c>
      <c r="O573" s="391" t="inlineStr">
        <is>
          <t> </t>
        </is>
      </c>
      <c r="P573" s="391" t="inlineStr">
        <is>
          <t> </t>
        </is>
      </c>
      <c r="Q573" s="391" t="inlineStr">
        <is>
          <t> </t>
        </is>
      </c>
      <c r="R573" s="38" t="inlineStr">
        <is>
          <t> </t>
        </is>
      </c>
      <c r="S573" s="391" t="inlineStr">
        <is>
          <t> </t>
        </is>
      </c>
      <c r="T573" s="391" t="inlineStr">
        <is>
          <t> </t>
        </is>
      </c>
      <c r="U573" s="391" t="inlineStr">
        <is>
          <t> </t>
        </is>
      </c>
      <c r="V573" s="391" t="inlineStr">
        <is>
          <t> </t>
        </is>
      </c>
      <c r="W573" s="391" t="inlineStr">
        <is>
          <t> </t>
        </is>
      </c>
      <c r="X573" s="391" t="inlineStr">
        <is>
          <t> </t>
        </is>
      </c>
      <c r="Y573" s="392" t="inlineStr">
        <is>
          <t> </t>
        </is>
      </c>
      <c r="Z573" s="391" t="inlineStr">
        <is>
          <t> </t>
        </is>
      </c>
      <c r="AA573" s="391" t="inlineStr">
        <is>
          <t> </t>
        </is>
      </c>
      <c r="AB573" s="391" t="inlineStr">
        <is>
          <t> </t>
        </is>
      </c>
      <c r="AC573" s="391" t="inlineStr">
        <is>
          <t> </t>
        </is>
      </c>
      <c r="AD573" s="391" t="inlineStr">
        <is>
          <t> </t>
        </is>
      </c>
      <c r="AE573" s="391" t="inlineStr">
        <is>
          <t> </t>
        </is>
      </c>
      <c r="AF573" s="38" t="inlineStr">
        <is>
          <t> </t>
        </is>
      </c>
      <c r="AG573" s="391" t="inlineStr">
        <is>
          <t> </t>
        </is>
      </c>
      <c r="AH573" s="391" t="n"/>
      <c r="AI573" s="391" t="inlineStr">
        <is>
          <t> </t>
        </is>
      </c>
      <c r="AJ573" s="391" t="inlineStr">
        <is>
          <t> </t>
        </is>
      </c>
      <c r="AK573" s="391" t="inlineStr">
        <is>
          <t> </t>
        </is>
      </c>
      <c r="AL573" s="391" t="inlineStr">
        <is>
          <t> </t>
        </is>
      </c>
      <c r="AM573" s="391" t="inlineStr">
        <is>
          <t> </t>
        </is>
      </c>
      <c r="AN573" s="391" t="inlineStr">
        <is>
          <t> </t>
        </is>
      </c>
      <c r="AO573" s="391" t="n"/>
      <c r="AP573" s="319" t="n"/>
      <c r="AQ573" s="319" t="n"/>
      <c r="AR573" s="319" t="n"/>
    </row>
    <row r="574" ht="15.75" customHeight="1" s="1264">
      <c r="A574" s="319" t="inlineStr">
        <is>
          <t> </t>
        </is>
      </c>
      <c r="B574" s="319" t="inlineStr">
        <is>
          <t> </t>
        </is>
      </c>
      <c r="C574" s="319" t="inlineStr">
        <is>
          <t> </t>
        </is>
      </c>
      <c r="D574" s="38" t="inlineStr">
        <is>
          <t> </t>
        </is>
      </c>
      <c r="E574" s="391" t="inlineStr">
        <is>
          <t> </t>
        </is>
      </c>
      <c r="F574" s="391" t="inlineStr">
        <is>
          <t> </t>
        </is>
      </c>
      <c r="G574" s="391" t="inlineStr">
        <is>
          <t> </t>
        </is>
      </c>
      <c r="H574" s="391" t="inlineStr">
        <is>
          <t> </t>
        </is>
      </c>
      <c r="I574" s="391" t="inlineStr">
        <is>
          <t> </t>
        </is>
      </c>
      <c r="J574" s="391" t="inlineStr">
        <is>
          <t> </t>
        </is>
      </c>
      <c r="K574" s="38" t="inlineStr">
        <is>
          <t> </t>
        </is>
      </c>
      <c r="L574" s="391" t="inlineStr">
        <is>
          <t> </t>
        </is>
      </c>
      <c r="M574" s="391" t="inlineStr">
        <is>
          <t> </t>
        </is>
      </c>
      <c r="N574" s="391" t="inlineStr">
        <is>
          <t> </t>
        </is>
      </c>
      <c r="O574" s="391" t="inlineStr">
        <is>
          <t> </t>
        </is>
      </c>
      <c r="P574" s="391" t="inlineStr">
        <is>
          <t> </t>
        </is>
      </c>
      <c r="Q574" s="391" t="inlineStr">
        <is>
          <t> </t>
        </is>
      </c>
      <c r="R574" s="38" t="inlineStr">
        <is>
          <t> </t>
        </is>
      </c>
      <c r="S574" s="391" t="inlineStr">
        <is>
          <t> </t>
        </is>
      </c>
      <c r="T574" s="391" t="inlineStr">
        <is>
          <t> </t>
        </is>
      </c>
      <c r="U574" s="391" t="inlineStr">
        <is>
          <t> </t>
        </is>
      </c>
      <c r="V574" s="391" t="inlineStr">
        <is>
          <t> </t>
        </is>
      </c>
      <c r="W574" s="391" t="inlineStr">
        <is>
          <t> </t>
        </is>
      </c>
      <c r="X574" s="391" t="inlineStr">
        <is>
          <t> </t>
        </is>
      </c>
      <c r="Y574" s="392" t="inlineStr">
        <is>
          <t> </t>
        </is>
      </c>
      <c r="Z574" s="391" t="inlineStr">
        <is>
          <t> </t>
        </is>
      </c>
      <c r="AA574" s="391" t="inlineStr">
        <is>
          <t> </t>
        </is>
      </c>
      <c r="AB574" s="391" t="inlineStr">
        <is>
          <t> </t>
        </is>
      </c>
      <c r="AC574" s="391" t="inlineStr">
        <is>
          <t> </t>
        </is>
      </c>
      <c r="AD574" s="391" t="inlineStr">
        <is>
          <t> </t>
        </is>
      </c>
      <c r="AE574" s="391" t="inlineStr">
        <is>
          <t> </t>
        </is>
      </c>
      <c r="AF574" s="38" t="inlineStr">
        <is>
          <t> </t>
        </is>
      </c>
      <c r="AG574" s="391" t="inlineStr">
        <is>
          <t> </t>
        </is>
      </c>
      <c r="AH574" s="391" t="n"/>
      <c r="AI574" s="391" t="inlineStr">
        <is>
          <t> </t>
        </is>
      </c>
      <c r="AJ574" s="391" t="inlineStr">
        <is>
          <t> </t>
        </is>
      </c>
      <c r="AK574" s="391" t="inlineStr">
        <is>
          <t> </t>
        </is>
      </c>
      <c r="AL574" s="391" t="inlineStr">
        <is>
          <t> </t>
        </is>
      </c>
      <c r="AM574" s="391" t="inlineStr">
        <is>
          <t> </t>
        </is>
      </c>
      <c r="AN574" s="391" t="inlineStr">
        <is>
          <t> </t>
        </is>
      </c>
      <c r="AO574" s="391" t="n"/>
      <c r="AP574" s="319" t="n"/>
      <c r="AQ574" s="319" t="n"/>
      <c r="AR574" s="319" t="n"/>
    </row>
    <row r="575" ht="15.75" customHeight="1" s="1264">
      <c r="A575" s="319" t="inlineStr">
        <is>
          <t> </t>
        </is>
      </c>
      <c r="B575" s="319" t="inlineStr">
        <is>
          <t> </t>
        </is>
      </c>
      <c r="C575" s="319" t="inlineStr">
        <is>
          <t> </t>
        </is>
      </c>
      <c r="D575" s="38" t="inlineStr">
        <is>
          <t> </t>
        </is>
      </c>
      <c r="E575" s="391" t="inlineStr">
        <is>
          <t> </t>
        </is>
      </c>
      <c r="F575" s="391" t="inlineStr">
        <is>
          <t> </t>
        </is>
      </c>
      <c r="G575" s="391" t="inlineStr">
        <is>
          <t> </t>
        </is>
      </c>
      <c r="H575" s="391" t="inlineStr">
        <is>
          <t> </t>
        </is>
      </c>
      <c r="I575" s="391" t="inlineStr">
        <is>
          <t> </t>
        </is>
      </c>
      <c r="J575" s="391" t="inlineStr">
        <is>
          <t> </t>
        </is>
      </c>
      <c r="K575" s="38" t="inlineStr">
        <is>
          <t> </t>
        </is>
      </c>
      <c r="L575" s="391" t="inlineStr">
        <is>
          <t> </t>
        </is>
      </c>
      <c r="M575" s="391" t="inlineStr">
        <is>
          <t> </t>
        </is>
      </c>
      <c r="N575" s="391" t="inlineStr">
        <is>
          <t> </t>
        </is>
      </c>
      <c r="O575" s="391" t="inlineStr">
        <is>
          <t> </t>
        </is>
      </c>
      <c r="P575" s="391" t="inlineStr">
        <is>
          <t> </t>
        </is>
      </c>
      <c r="Q575" s="391" t="inlineStr">
        <is>
          <t> </t>
        </is>
      </c>
      <c r="R575" s="38" t="inlineStr">
        <is>
          <t> </t>
        </is>
      </c>
      <c r="S575" s="391" t="inlineStr">
        <is>
          <t> </t>
        </is>
      </c>
      <c r="T575" s="391" t="inlineStr">
        <is>
          <t> </t>
        </is>
      </c>
      <c r="U575" s="391" t="inlineStr">
        <is>
          <t> </t>
        </is>
      </c>
      <c r="V575" s="391" t="inlineStr">
        <is>
          <t> </t>
        </is>
      </c>
      <c r="W575" s="391" t="inlineStr">
        <is>
          <t> </t>
        </is>
      </c>
      <c r="X575" s="391" t="inlineStr">
        <is>
          <t> </t>
        </is>
      </c>
      <c r="Y575" s="392" t="inlineStr">
        <is>
          <t> </t>
        </is>
      </c>
      <c r="Z575" s="391" t="inlineStr">
        <is>
          <t> </t>
        </is>
      </c>
      <c r="AA575" s="391" t="inlineStr">
        <is>
          <t> </t>
        </is>
      </c>
      <c r="AB575" s="391" t="inlineStr">
        <is>
          <t> </t>
        </is>
      </c>
      <c r="AC575" s="391" t="inlineStr">
        <is>
          <t> </t>
        </is>
      </c>
      <c r="AD575" s="391" t="inlineStr">
        <is>
          <t> </t>
        </is>
      </c>
      <c r="AE575" s="391" t="inlineStr">
        <is>
          <t> </t>
        </is>
      </c>
      <c r="AF575" s="38" t="inlineStr">
        <is>
          <t> </t>
        </is>
      </c>
      <c r="AG575" s="391" t="inlineStr">
        <is>
          <t> </t>
        </is>
      </c>
      <c r="AH575" s="391" t="n"/>
      <c r="AI575" s="391" t="inlineStr">
        <is>
          <t> </t>
        </is>
      </c>
      <c r="AJ575" s="391" t="inlineStr">
        <is>
          <t> </t>
        </is>
      </c>
      <c r="AK575" s="391" t="inlineStr">
        <is>
          <t> </t>
        </is>
      </c>
      <c r="AL575" s="391" t="inlineStr">
        <is>
          <t> </t>
        </is>
      </c>
      <c r="AM575" s="391" t="inlineStr">
        <is>
          <t> </t>
        </is>
      </c>
      <c r="AN575" s="391" t="inlineStr">
        <is>
          <t> </t>
        </is>
      </c>
      <c r="AO575" s="391" t="n"/>
      <c r="AP575" s="319" t="n"/>
      <c r="AQ575" s="319" t="n"/>
      <c r="AR575" s="319" t="n"/>
    </row>
    <row r="576" ht="15.75" customHeight="1" s="1264">
      <c r="A576" s="319" t="inlineStr">
        <is>
          <t> </t>
        </is>
      </c>
      <c r="B576" s="319" t="inlineStr">
        <is>
          <t> </t>
        </is>
      </c>
      <c r="C576" s="319" t="inlineStr">
        <is>
          <t> </t>
        </is>
      </c>
      <c r="D576" s="38" t="inlineStr">
        <is>
          <t> </t>
        </is>
      </c>
      <c r="E576" s="391" t="inlineStr">
        <is>
          <t> </t>
        </is>
      </c>
      <c r="F576" s="391" t="inlineStr">
        <is>
          <t> </t>
        </is>
      </c>
      <c r="G576" s="391" t="inlineStr">
        <is>
          <t> </t>
        </is>
      </c>
      <c r="H576" s="391" t="inlineStr">
        <is>
          <t> </t>
        </is>
      </c>
      <c r="I576" s="391" t="inlineStr">
        <is>
          <t> </t>
        </is>
      </c>
      <c r="J576" s="391" t="inlineStr">
        <is>
          <t> </t>
        </is>
      </c>
      <c r="K576" s="38" t="inlineStr">
        <is>
          <t> </t>
        </is>
      </c>
      <c r="L576" s="391" t="inlineStr">
        <is>
          <t> </t>
        </is>
      </c>
      <c r="M576" s="391" t="inlineStr">
        <is>
          <t> </t>
        </is>
      </c>
      <c r="N576" s="391" t="inlineStr">
        <is>
          <t> </t>
        </is>
      </c>
      <c r="O576" s="391" t="inlineStr">
        <is>
          <t> </t>
        </is>
      </c>
      <c r="P576" s="391" t="inlineStr">
        <is>
          <t> </t>
        </is>
      </c>
      <c r="Q576" s="391" t="inlineStr">
        <is>
          <t> </t>
        </is>
      </c>
      <c r="R576" s="38" t="inlineStr">
        <is>
          <t> </t>
        </is>
      </c>
      <c r="S576" s="391" t="inlineStr">
        <is>
          <t> </t>
        </is>
      </c>
      <c r="T576" s="391" t="inlineStr">
        <is>
          <t> </t>
        </is>
      </c>
      <c r="U576" s="391" t="inlineStr">
        <is>
          <t> </t>
        </is>
      </c>
      <c r="V576" s="391" t="inlineStr">
        <is>
          <t> </t>
        </is>
      </c>
      <c r="W576" s="391" t="inlineStr">
        <is>
          <t> </t>
        </is>
      </c>
      <c r="X576" s="391" t="inlineStr">
        <is>
          <t> </t>
        </is>
      </c>
      <c r="Y576" s="392" t="inlineStr">
        <is>
          <t> </t>
        </is>
      </c>
      <c r="Z576" s="391" t="inlineStr">
        <is>
          <t> </t>
        </is>
      </c>
      <c r="AA576" s="391" t="inlineStr">
        <is>
          <t> </t>
        </is>
      </c>
      <c r="AB576" s="391" t="inlineStr">
        <is>
          <t> </t>
        </is>
      </c>
      <c r="AC576" s="391" t="inlineStr">
        <is>
          <t> </t>
        </is>
      </c>
      <c r="AD576" s="391" t="inlineStr">
        <is>
          <t> </t>
        </is>
      </c>
      <c r="AE576" s="391" t="inlineStr">
        <is>
          <t> </t>
        </is>
      </c>
      <c r="AF576" s="38" t="inlineStr">
        <is>
          <t> </t>
        </is>
      </c>
      <c r="AG576" s="391" t="inlineStr">
        <is>
          <t> </t>
        </is>
      </c>
      <c r="AH576" s="391" t="n"/>
      <c r="AI576" s="391" t="inlineStr">
        <is>
          <t> </t>
        </is>
      </c>
      <c r="AJ576" s="391" t="inlineStr">
        <is>
          <t> </t>
        </is>
      </c>
      <c r="AK576" s="391" t="inlineStr">
        <is>
          <t> </t>
        </is>
      </c>
      <c r="AL576" s="391" t="inlineStr">
        <is>
          <t> </t>
        </is>
      </c>
      <c r="AM576" s="391" t="inlineStr">
        <is>
          <t> </t>
        </is>
      </c>
      <c r="AN576" s="391" t="inlineStr">
        <is>
          <t> </t>
        </is>
      </c>
      <c r="AO576" s="391" t="n"/>
      <c r="AP576" s="319" t="n"/>
      <c r="AQ576" s="319" t="n"/>
      <c r="AR576" s="319" t="n"/>
    </row>
    <row r="577" ht="15.75" customHeight="1" s="1264">
      <c r="A577" s="319" t="inlineStr">
        <is>
          <t> </t>
        </is>
      </c>
      <c r="B577" s="319" t="inlineStr">
        <is>
          <t> </t>
        </is>
      </c>
      <c r="C577" s="319" t="inlineStr">
        <is>
          <t> </t>
        </is>
      </c>
      <c r="D577" s="38" t="inlineStr">
        <is>
          <t> </t>
        </is>
      </c>
      <c r="E577" s="391" t="inlineStr">
        <is>
          <t> </t>
        </is>
      </c>
      <c r="F577" s="391" t="inlineStr">
        <is>
          <t> </t>
        </is>
      </c>
      <c r="G577" s="391" t="inlineStr">
        <is>
          <t> </t>
        </is>
      </c>
      <c r="H577" s="391" t="inlineStr">
        <is>
          <t> </t>
        </is>
      </c>
      <c r="I577" s="391" t="inlineStr">
        <is>
          <t> </t>
        </is>
      </c>
      <c r="J577" s="391" t="inlineStr">
        <is>
          <t> </t>
        </is>
      </c>
      <c r="K577" s="38" t="inlineStr">
        <is>
          <t> </t>
        </is>
      </c>
      <c r="L577" s="391" t="inlineStr">
        <is>
          <t> </t>
        </is>
      </c>
      <c r="M577" s="391" t="inlineStr">
        <is>
          <t> </t>
        </is>
      </c>
      <c r="N577" s="391" t="inlineStr">
        <is>
          <t> </t>
        </is>
      </c>
      <c r="O577" s="391" t="inlineStr">
        <is>
          <t> </t>
        </is>
      </c>
      <c r="P577" s="391" t="inlineStr">
        <is>
          <t> </t>
        </is>
      </c>
      <c r="Q577" s="391" t="inlineStr">
        <is>
          <t> </t>
        </is>
      </c>
      <c r="R577" s="38" t="inlineStr">
        <is>
          <t> </t>
        </is>
      </c>
      <c r="S577" s="391" t="inlineStr">
        <is>
          <t> </t>
        </is>
      </c>
      <c r="T577" s="391" t="inlineStr">
        <is>
          <t> </t>
        </is>
      </c>
      <c r="U577" s="391" t="inlineStr">
        <is>
          <t> </t>
        </is>
      </c>
      <c r="V577" s="391" t="inlineStr">
        <is>
          <t> </t>
        </is>
      </c>
      <c r="W577" s="391" t="inlineStr">
        <is>
          <t> </t>
        </is>
      </c>
      <c r="X577" s="391" t="inlineStr">
        <is>
          <t> </t>
        </is>
      </c>
      <c r="Y577" s="392" t="inlineStr">
        <is>
          <t> </t>
        </is>
      </c>
      <c r="Z577" s="391" t="inlineStr">
        <is>
          <t> </t>
        </is>
      </c>
      <c r="AA577" s="391" t="inlineStr">
        <is>
          <t> </t>
        </is>
      </c>
      <c r="AB577" s="391" t="inlineStr">
        <is>
          <t> </t>
        </is>
      </c>
      <c r="AC577" s="391" t="inlineStr">
        <is>
          <t> </t>
        </is>
      </c>
      <c r="AD577" s="391" t="inlineStr">
        <is>
          <t> </t>
        </is>
      </c>
      <c r="AE577" s="391" t="inlineStr">
        <is>
          <t> </t>
        </is>
      </c>
      <c r="AF577" s="38" t="inlineStr">
        <is>
          <t> </t>
        </is>
      </c>
      <c r="AG577" s="391" t="inlineStr">
        <is>
          <t> </t>
        </is>
      </c>
      <c r="AH577" s="391" t="n"/>
      <c r="AI577" s="391" t="inlineStr">
        <is>
          <t> </t>
        </is>
      </c>
      <c r="AJ577" s="391" t="inlineStr">
        <is>
          <t> </t>
        </is>
      </c>
      <c r="AK577" s="391" t="inlineStr">
        <is>
          <t> </t>
        </is>
      </c>
      <c r="AL577" s="391" t="inlineStr">
        <is>
          <t> </t>
        </is>
      </c>
      <c r="AM577" s="391" t="inlineStr">
        <is>
          <t> </t>
        </is>
      </c>
      <c r="AN577" s="391" t="inlineStr">
        <is>
          <t> </t>
        </is>
      </c>
      <c r="AO577" s="391" t="n"/>
      <c r="AP577" s="319" t="n"/>
      <c r="AQ577" s="319" t="n"/>
      <c r="AR577" s="319" t="n"/>
    </row>
    <row r="578" ht="15.75" customHeight="1" s="1264">
      <c r="A578" s="319" t="inlineStr">
        <is>
          <t> </t>
        </is>
      </c>
      <c r="B578" s="319" t="inlineStr">
        <is>
          <t> </t>
        </is>
      </c>
      <c r="C578" s="319" t="inlineStr">
        <is>
          <t> </t>
        </is>
      </c>
      <c r="D578" s="38" t="inlineStr">
        <is>
          <t> </t>
        </is>
      </c>
      <c r="E578" s="391" t="inlineStr">
        <is>
          <t> </t>
        </is>
      </c>
      <c r="F578" s="391" t="inlineStr">
        <is>
          <t> </t>
        </is>
      </c>
      <c r="G578" s="391" t="inlineStr">
        <is>
          <t> </t>
        </is>
      </c>
      <c r="H578" s="391" t="inlineStr">
        <is>
          <t> </t>
        </is>
      </c>
      <c r="I578" s="391" t="inlineStr">
        <is>
          <t> </t>
        </is>
      </c>
      <c r="J578" s="391" t="inlineStr">
        <is>
          <t> </t>
        </is>
      </c>
      <c r="K578" s="38" t="inlineStr">
        <is>
          <t> </t>
        </is>
      </c>
      <c r="L578" s="391" t="inlineStr">
        <is>
          <t> </t>
        </is>
      </c>
      <c r="M578" s="391" t="inlineStr">
        <is>
          <t> </t>
        </is>
      </c>
      <c r="N578" s="391" t="inlineStr">
        <is>
          <t> </t>
        </is>
      </c>
      <c r="O578" s="391" t="inlineStr">
        <is>
          <t> </t>
        </is>
      </c>
      <c r="P578" s="391" t="inlineStr">
        <is>
          <t> </t>
        </is>
      </c>
      <c r="Q578" s="391" t="inlineStr">
        <is>
          <t> </t>
        </is>
      </c>
      <c r="R578" s="38" t="inlineStr">
        <is>
          <t> </t>
        </is>
      </c>
      <c r="S578" s="391" t="inlineStr">
        <is>
          <t> </t>
        </is>
      </c>
      <c r="T578" s="391" t="inlineStr">
        <is>
          <t> </t>
        </is>
      </c>
      <c r="U578" s="391" t="inlineStr">
        <is>
          <t> </t>
        </is>
      </c>
      <c r="V578" s="391" t="inlineStr">
        <is>
          <t> </t>
        </is>
      </c>
      <c r="W578" s="391" t="inlineStr">
        <is>
          <t> </t>
        </is>
      </c>
      <c r="X578" s="391" t="inlineStr">
        <is>
          <t> </t>
        </is>
      </c>
      <c r="Y578" s="392" t="inlineStr">
        <is>
          <t> </t>
        </is>
      </c>
      <c r="Z578" s="391" t="inlineStr">
        <is>
          <t> </t>
        </is>
      </c>
      <c r="AA578" s="391" t="inlineStr">
        <is>
          <t> </t>
        </is>
      </c>
      <c r="AB578" s="391" t="inlineStr">
        <is>
          <t> </t>
        </is>
      </c>
      <c r="AC578" s="391" t="inlineStr">
        <is>
          <t> </t>
        </is>
      </c>
      <c r="AD578" s="391" t="inlineStr">
        <is>
          <t> </t>
        </is>
      </c>
      <c r="AE578" s="391" t="inlineStr">
        <is>
          <t> </t>
        </is>
      </c>
      <c r="AF578" s="38" t="inlineStr">
        <is>
          <t> </t>
        </is>
      </c>
      <c r="AG578" s="391" t="inlineStr">
        <is>
          <t> </t>
        </is>
      </c>
      <c r="AH578" s="391" t="n"/>
      <c r="AI578" s="391" t="inlineStr">
        <is>
          <t> </t>
        </is>
      </c>
      <c r="AJ578" s="391" t="inlineStr">
        <is>
          <t> </t>
        </is>
      </c>
      <c r="AK578" s="391" t="inlineStr">
        <is>
          <t> </t>
        </is>
      </c>
      <c r="AL578" s="391" t="inlineStr">
        <is>
          <t> </t>
        </is>
      </c>
      <c r="AM578" s="391" t="inlineStr">
        <is>
          <t> </t>
        </is>
      </c>
      <c r="AN578" s="391" t="inlineStr">
        <is>
          <t> </t>
        </is>
      </c>
      <c r="AO578" s="391" t="n"/>
      <c r="AP578" s="319" t="n"/>
      <c r="AQ578" s="319" t="n"/>
      <c r="AR578" s="319" t="n"/>
    </row>
    <row r="579" ht="15.75" customHeight="1" s="1264">
      <c r="A579" s="319" t="inlineStr">
        <is>
          <t> </t>
        </is>
      </c>
      <c r="B579" s="319" t="inlineStr">
        <is>
          <t> </t>
        </is>
      </c>
      <c r="C579" s="319" t="inlineStr">
        <is>
          <t> </t>
        </is>
      </c>
      <c r="D579" s="38" t="inlineStr">
        <is>
          <t> </t>
        </is>
      </c>
      <c r="E579" s="391" t="inlineStr">
        <is>
          <t> </t>
        </is>
      </c>
      <c r="F579" s="391" t="inlineStr">
        <is>
          <t> </t>
        </is>
      </c>
      <c r="G579" s="391" t="inlineStr">
        <is>
          <t> </t>
        </is>
      </c>
      <c r="H579" s="391" t="inlineStr">
        <is>
          <t> </t>
        </is>
      </c>
      <c r="I579" s="391" t="inlineStr">
        <is>
          <t> </t>
        </is>
      </c>
      <c r="J579" s="391" t="inlineStr">
        <is>
          <t> </t>
        </is>
      </c>
      <c r="K579" s="38" t="inlineStr">
        <is>
          <t> </t>
        </is>
      </c>
      <c r="L579" s="391" t="inlineStr">
        <is>
          <t> </t>
        </is>
      </c>
      <c r="M579" s="391" t="inlineStr">
        <is>
          <t> </t>
        </is>
      </c>
      <c r="N579" s="391" t="inlineStr">
        <is>
          <t> </t>
        </is>
      </c>
      <c r="O579" s="391" t="inlineStr">
        <is>
          <t> </t>
        </is>
      </c>
      <c r="P579" s="391" t="inlineStr">
        <is>
          <t> </t>
        </is>
      </c>
      <c r="Q579" s="391" t="inlineStr">
        <is>
          <t> </t>
        </is>
      </c>
      <c r="R579" s="38" t="inlineStr">
        <is>
          <t> </t>
        </is>
      </c>
      <c r="S579" s="391" t="inlineStr">
        <is>
          <t> </t>
        </is>
      </c>
      <c r="T579" s="391" t="inlineStr">
        <is>
          <t> </t>
        </is>
      </c>
      <c r="U579" s="391" t="inlineStr">
        <is>
          <t> </t>
        </is>
      </c>
      <c r="V579" s="391" t="inlineStr">
        <is>
          <t> </t>
        </is>
      </c>
      <c r="W579" s="391" t="inlineStr">
        <is>
          <t> </t>
        </is>
      </c>
      <c r="X579" s="391" t="inlineStr">
        <is>
          <t> </t>
        </is>
      </c>
      <c r="Y579" s="392" t="inlineStr">
        <is>
          <t> </t>
        </is>
      </c>
      <c r="Z579" s="391" t="inlineStr">
        <is>
          <t> </t>
        </is>
      </c>
      <c r="AA579" s="391" t="inlineStr">
        <is>
          <t> </t>
        </is>
      </c>
      <c r="AB579" s="391" t="inlineStr">
        <is>
          <t> </t>
        </is>
      </c>
      <c r="AC579" s="391" t="inlineStr">
        <is>
          <t> </t>
        </is>
      </c>
      <c r="AD579" s="391" t="inlineStr">
        <is>
          <t> </t>
        </is>
      </c>
      <c r="AE579" s="391" t="inlineStr">
        <is>
          <t> </t>
        </is>
      </c>
      <c r="AF579" s="38" t="inlineStr">
        <is>
          <t> </t>
        </is>
      </c>
      <c r="AG579" s="391" t="inlineStr">
        <is>
          <t> </t>
        </is>
      </c>
      <c r="AH579" s="391" t="n"/>
      <c r="AI579" s="391" t="inlineStr">
        <is>
          <t> </t>
        </is>
      </c>
      <c r="AJ579" s="391" t="inlineStr">
        <is>
          <t> </t>
        </is>
      </c>
      <c r="AK579" s="391" t="inlineStr">
        <is>
          <t> </t>
        </is>
      </c>
      <c r="AL579" s="391" t="inlineStr">
        <is>
          <t> </t>
        </is>
      </c>
      <c r="AM579" s="391" t="inlineStr">
        <is>
          <t> </t>
        </is>
      </c>
      <c r="AN579" s="391" t="inlineStr">
        <is>
          <t> </t>
        </is>
      </c>
      <c r="AO579" s="391" t="n"/>
      <c r="AP579" s="319" t="n"/>
      <c r="AQ579" s="319" t="n"/>
      <c r="AR579" s="319" t="n"/>
    </row>
    <row r="580" ht="15.75" customHeight="1" s="1264">
      <c r="A580" s="319" t="inlineStr">
        <is>
          <t> </t>
        </is>
      </c>
      <c r="B580" s="319" t="inlineStr">
        <is>
          <t> </t>
        </is>
      </c>
      <c r="C580" s="319" t="inlineStr">
        <is>
          <t> </t>
        </is>
      </c>
      <c r="D580" s="38" t="inlineStr">
        <is>
          <t> </t>
        </is>
      </c>
      <c r="E580" s="391" t="inlineStr">
        <is>
          <t> </t>
        </is>
      </c>
      <c r="F580" s="391" t="inlineStr">
        <is>
          <t> </t>
        </is>
      </c>
      <c r="G580" s="391" t="inlineStr">
        <is>
          <t> </t>
        </is>
      </c>
      <c r="H580" s="391" t="inlineStr">
        <is>
          <t> </t>
        </is>
      </c>
      <c r="I580" s="391" t="inlineStr">
        <is>
          <t> </t>
        </is>
      </c>
      <c r="J580" s="391" t="inlineStr">
        <is>
          <t> </t>
        </is>
      </c>
      <c r="K580" s="38" t="inlineStr">
        <is>
          <t> </t>
        </is>
      </c>
      <c r="L580" s="391" t="inlineStr">
        <is>
          <t> </t>
        </is>
      </c>
      <c r="M580" s="391" t="inlineStr">
        <is>
          <t> </t>
        </is>
      </c>
      <c r="N580" s="391" t="inlineStr">
        <is>
          <t> </t>
        </is>
      </c>
      <c r="O580" s="391" t="inlineStr">
        <is>
          <t> </t>
        </is>
      </c>
      <c r="P580" s="391" t="inlineStr">
        <is>
          <t> </t>
        </is>
      </c>
      <c r="Q580" s="391" t="inlineStr">
        <is>
          <t> </t>
        </is>
      </c>
      <c r="R580" s="38" t="inlineStr">
        <is>
          <t> </t>
        </is>
      </c>
      <c r="S580" s="391" t="inlineStr">
        <is>
          <t> </t>
        </is>
      </c>
      <c r="T580" s="391" t="inlineStr">
        <is>
          <t> </t>
        </is>
      </c>
      <c r="U580" s="391" t="inlineStr">
        <is>
          <t> </t>
        </is>
      </c>
      <c r="V580" s="391" t="inlineStr">
        <is>
          <t> </t>
        </is>
      </c>
      <c r="W580" s="391" t="inlineStr">
        <is>
          <t> </t>
        </is>
      </c>
      <c r="X580" s="391" t="inlineStr">
        <is>
          <t> </t>
        </is>
      </c>
      <c r="Y580" s="392" t="inlineStr">
        <is>
          <t> </t>
        </is>
      </c>
      <c r="Z580" s="391" t="inlineStr">
        <is>
          <t> </t>
        </is>
      </c>
      <c r="AA580" s="391" t="inlineStr">
        <is>
          <t> </t>
        </is>
      </c>
      <c r="AB580" s="391" t="inlineStr">
        <is>
          <t> </t>
        </is>
      </c>
      <c r="AC580" s="391" t="inlineStr">
        <is>
          <t> </t>
        </is>
      </c>
      <c r="AD580" s="391" t="inlineStr">
        <is>
          <t> </t>
        </is>
      </c>
      <c r="AE580" s="391" t="inlineStr">
        <is>
          <t> </t>
        </is>
      </c>
      <c r="AF580" s="38" t="inlineStr">
        <is>
          <t> </t>
        </is>
      </c>
      <c r="AG580" s="391" t="inlineStr">
        <is>
          <t> </t>
        </is>
      </c>
      <c r="AH580" s="391" t="n"/>
      <c r="AI580" s="391" t="inlineStr">
        <is>
          <t> </t>
        </is>
      </c>
      <c r="AJ580" s="391" t="inlineStr">
        <is>
          <t> </t>
        </is>
      </c>
      <c r="AK580" s="391" t="inlineStr">
        <is>
          <t> </t>
        </is>
      </c>
      <c r="AL580" s="391" t="inlineStr">
        <is>
          <t> </t>
        </is>
      </c>
      <c r="AM580" s="391" t="inlineStr">
        <is>
          <t> </t>
        </is>
      </c>
      <c r="AN580" s="391" t="inlineStr">
        <is>
          <t> </t>
        </is>
      </c>
      <c r="AO580" s="391" t="n"/>
      <c r="AP580" s="319" t="n"/>
      <c r="AQ580" s="319" t="n"/>
      <c r="AR580" s="319" t="n"/>
    </row>
    <row r="581" ht="15.75" customHeight="1" s="1264">
      <c r="A581" s="319" t="inlineStr">
        <is>
          <t> </t>
        </is>
      </c>
      <c r="B581" s="319" t="inlineStr">
        <is>
          <t> </t>
        </is>
      </c>
      <c r="C581" s="319" t="inlineStr">
        <is>
          <t> </t>
        </is>
      </c>
      <c r="D581" s="38" t="inlineStr">
        <is>
          <t> </t>
        </is>
      </c>
      <c r="E581" s="391" t="inlineStr">
        <is>
          <t> </t>
        </is>
      </c>
      <c r="F581" s="391" t="inlineStr">
        <is>
          <t> </t>
        </is>
      </c>
      <c r="G581" s="391" t="inlineStr">
        <is>
          <t> </t>
        </is>
      </c>
      <c r="H581" s="391" t="inlineStr">
        <is>
          <t> </t>
        </is>
      </c>
      <c r="I581" s="391" t="inlineStr">
        <is>
          <t> </t>
        </is>
      </c>
      <c r="J581" s="391" t="inlineStr">
        <is>
          <t> </t>
        </is>
      </c>
      <c r="K581" s="38" t="inlineStr">
        <is>
          <t> </t>
        </is>
      </c>
      <c r="L581" s="391" t="inlineStr">
        <is>
          <t> </t>
        </is>
      </c>
      <c r="M581" s="391" t="inlineStr">
        <is>
          <t> </t>
        </is>
      </c>
      <c r="N581" s="391" t="inlineStr">
        <is>
          <t> </t>
        </is>
      </c>
      <c r="O581" s="391" t="inlineStr">
        <is>
          <t> </t>
        </is>
      </c>
      <c r="P581" s="391" t="inlineStr">
        <is>
          <t> </t>
        </is>
      </c>
      <c r="Q581" s="391" t="inlineStr">
        <is>
          <t> </t>
        </is>
      </c>
      <c r="R581" s="38" t="inlineStr">
        <is>
          <t> </t>
        </is>
      </c>
      <c r="S581" s="391" t="inlineStr">
        <is>
          <t> </t>
        </is>
      </c>
      <c r="T581" s="391" t="inlineStr">
        <is>
          <t> </t>
        </is>
      </c>
      <c r="U581" s="391" t="inlineStr">
        <is>
          <t> </t>
        </is>
      </c>
      <c r="V581" s="391" t="inlineStr">
        <is>
          <t> </t>
        </is>
      </c>
      <c r="W581" s="391" t="inlineStr">
        <is>
          <t> </t>
        </is>
      </c>
      <c r="X581" s="391" t="inlineStr">
        <is>
          <t> </t>
        </is>
      </c>
      <c r="Y581" s="392" t="inlineStr">
        <is>
          <t> </t>
        </is>
      </c>
      <c r="Z581" s="391" t="inlineStr">
        <is>
          <t> </t>
        </is>
      </c>
      <c r="AA581" s="391" t="inlineStr">
        <is>
          <t> </t>
        </is>
      </c>
      <c r="AB581" s="391" t="inlineStr">
        <is>
          <t> </t>
        </is>
      </c>
      <c r="AC581" s="391" t="inlineStr">
        <is>
          <t> </t>
        </is>
      </c>
      <c r="AD581" s="391" t="inlineStr">
        <is>
          <t> </t>
        </is>
      </c>
      <c r="AE581" s="391" t="inlineStr">
        <is>
          <t> </t>
        </is>
      </c>
      <c r="AF581" s="38" t="inlineStr">
        <is>
          <t> </t>
        </is>
      </c>
      <c r="AG581" s="391" t="inlineStr">
        <is>
          <t> </t>
        </is>
      </c>
      <c r="AH581" s="391" t="n"/>
      <c r="AI581" s="391" t="inlineStr">
        <is>
          <t> </t>
        </is>
      </c>
      <c r="AJ581" s="391" t="inlineStr">
        <is>
          <t> </t>
        </is>
      </c>
      <c r="AK581" s="391" t="inlineStr">
        <is>
          <t> </t>
        </is>
      </c>
      <c r="AL581" s="391" t="inlineStr">
        <is>
          <t> </t>
        </is>
      </c>
      <c r="AM581" s="391" t="inlineStr">
        <is>
          <t> </t>
        </is>
      </c>
      <c r="AN581" s="391" t="inlineStr">
        <is>
          <t> </t>
        </is>
      </c>
      <c r="AO581" s="391" t="n"/>
      <c r="AP581" s="319" t="n"/>
      <c r="AQ581" s="319" t="n"/>
      <c r="AR581" s="319" t="n"/>
    </row>
    <row r="582" ht="15.75" customHeight="1" s="1264">
      <c r="A582" s="319" t="inlineStr">
        <is>
          <t> </t>
        </is>
      </c>
      <c r="B582" s="319" t="inlineStr">
        <is>
          <t> </t>
        </is>
      </c>
      <c r="C582" s="319" t="inlineStr">
        <is>
          <t> </t>
        </is>
      </c>
      <c r="D582" s="38" t="inlineStr">
        <is>
          <t> </t>
        </is>
      </c>
      <c r="E582" s="391" t="inlineStr">
        <is>
          <t> </t>
        </is>
      </c>
      <c r="F582" s="391" t="inlineStr">
        <is>
          <t> </t>
        </is>
      </c>
      <c r="G582" s="391" t="inlineStr">
        <is>
          <t> </t>
        </is>
      </c>
      <c r="H582" s="391" t="inlineStr">
        <is>
          <t> </t>
        </is>
      </c>
      <c r="I582" s="391" t="inlineStr">
        <is>
          <t> </t>
        </is>
      </c>
      <c r="J582" s="391" t="inlineStr">
        <is>
          <t> </t>
        </is>
      </c>
      <c r="K582" s="38" t="inlineStr">
        <is>
          <t> </t>
        </is>
      </c>
      <c r="L582" s="391" t="inlineStr">
        <is>
          <t> </t>
        </is>
      </c>
      <c r="M582" s="391" t="inlineStr">
        <is>
          <t> </t>
        </is>
      </c>
      <c r="N582" s="391" t="inlineStr">
        <is>
          <t> </t>
        </is>
      </c>
      <c r="O582" s="391" t="inlineStr">
        <is>
          <t> </t>
        </is>
      </c>
      <c r="P582" s="391" t="inlineStr">
        <is>
          <t> </t>
        </is>
      </c>
      <c r="Q582" s="391" t="inlineStr">
        <is>
          <t> </t>
        </is>
      </c>
      <c r="R582" s="38" t="inlineStr">
        <is>
          <t> </t>
        </is>
      </c>
      <c r="S582" s="391" t="inlineStr">
        <is>
          <t> </t>
        </is>
      </c>
      <c r="T582" s="391" t="inlineStr">
        <is>
          <t> </t>
        </is>
      </c>
      <c r="U582" s="391" t="inlineStr">
        <is>
          <t> </t>
        </is>
      </c>
      <c r="V582" s="391" t="inlineStr">
        <is>
          <t> </t>
        </is>
      </c>
      <c r="W582" s="391" t="inlineStr">
        <is>
          <t> </t>
        </is>
      </c>
      <c r="X582" s="391" t="inlineStr">
        <is>
          <t> </t>
        </is>
      </c>
      <c r="Y582" s="392" t="inlineStr">
        <is>
          <t> </t>
        </is>
      </c>
      <c r="Z582" s="391" t="inlineStr">
        <is>
          <t> </t>
        </is>
      </c>
      <c r="AA582" s="391" t="inlineStr">
        <is>
          <t> </t>
        </is>
      </c>
      <c r="AB582" s="391" t="inlineStr">
        <is>
          <t> </t>
        </is>
      </c>
      <c r="AC582" s="391" t="inlineStr">
        <is>
          <t> </t>
        </is>
      </c>
      <c r="AD582" s="391" t="inlineStr">
        <is>
          <t> </t>
        </is>
      </c>
      <c r="AE582" s="391" t="inlineStr">
        <is>
          <t> </t>
        </is>
      </c>
      <c r="AF582" s="38" t="inlineStr">
        <is>
          <t> </t>
        </is>
      </c>
      <c r="AG582" s="391" t="inlineStr">
        <is>
          <t> </t>
        </is>
      </c>
      <c r="AH582" s="391" t="n"/>
      <c r="AI582" s="391" t="inlineStr">
        <is>
          <t> </t>
        </is>
      </c>
      <c r="AJ582" s="391" t="inlineStr">
        <is>
          <t> </t>
        </is>
      </c>
      <c r="AK582" s="391" t="inlineStr">
        <is>
          <t> </t>
        </is>
      </c>
      <c r="AL582" s="391" t="inlineStr">
        <is>
          <t> </t>
        </is>
      </c>
      <c r="AM582" s="391" t="inlineStr">
        <is>
          <t> </t>
        </is>
      </c>
      <c r="AN582" s="391" t="inlineStr">
        <is>
          <t> </t>
        </is>
      </c>
      <c r="AO582" s="391" t="n"/>
      <c r="AP582" s="319" t="n"/>
      <c r="AQ582" s="319" t="n"/>
      <c r="AR582" s="319" t="n"/>
    </row>
    <row r="583" ht="15.75" customHeight="1" s="1264">
      <c r="A583" s="319" t="inlineStr">
        <is>
          <t> </t>
        </is>
      </c>
      <c r="B583" s="319" t="inlineStr">
        <is>
          <t> </t>
        </is>
      </c>
      <c r="C583" s="319" t="inlineStr">
        <is>
          <t> </t>
        </is>
      </c>
      <c r="D583" s="38" t="inlineStr">
        <is>
          <t> </t>
        </is>
      </c>
      <c r="E583" s="391" t="inlineStr">
        <is>
          <t> </t>
        </is>
      </c>
      <c r="F583" s="391" t="inlineStr">
        <is>
          <t> </t>
        </is>
      </c>
      <c r="G583" s="391" t="inlineStr">
        <is>
          <t> </t>
        </is>
      </c>
      <c r="H583" s="391" t="inlineStr">
        <is>
          <t> </t>
        </is>
      </c>
      <c r="I583" s="391" t="inlineStr">
        <is>
          <t> </t>
        </is>
      </c>
      <c r="J583" s="391" t="inlineStr">
        <is>
          <t> </t>
        </is>
      </c>
      <c r="K583" s="38" t="inlineStr">
        <is>
          <t> </t>
        </is>
      </c>
      <c r="L583" s="391" t="inlineStr">
        <is>
          <t> </t>
        </is>
      </c>
      <c r="M583" s="391" t="inlineStr">
        <is>
          <t> </t>
        </is>
      </c>
      <c r="N583" s="391" t="inlineStr">
        <is>
          <t> </t>
        </is>
      </c>
      <c r="O583" s="391" t="inlineStr">
        <is>
          <t> </t>
        </is>
      </c>
      <c r="P583" s="391" t="inlineStr">
        <is>
          <t> </t>
        </is>
      </c>
      <c r="Q583" s="391" t="inlineStr">
        <is>
          <t> </t>
        </is>
      </c>
      <c r="R583" s="38" t="inlineStr">
        <is>
          <t> </t>
        </is>
      </c>
      <c r="S583" s="391" t="inlineStr">
        <is>
          <t> </t>
        </is>
      </c>
      <c r="T583" s="391" t="inlineStr">
        <is>
          <t> </t>
        </is>
      </c>
      <c r="U583" s="391" t="inlineStr">
        <is>
          <t> </t>
        </is>
      </c>
      <c r="V583" s="391" t="inlineStr">
        <is>
          <t> </t>
        </is>
      </c>
      <c r="W583" s="391" t="inlineStr">
        <is>
          <t> </t>
        </is>
      </c>
      <c r="X583" s="391" t="inlineStr">
        <is>
          <t> </t>
        </is>
      </c>
      <c r="Y583" s="392" t="inlineStr">
        <is>
          <t> </t>
        </is>
      </c>
      <c r="Z583" s="391" t="inlineStr">
        <is>
          <t> </t>
        </is>
      </c>
      <c r="AA583" s="391" t="inlineStr">
        <is>
          <t> </t>
        </is>
      </c>
      <c r="AB583" s="391" t="inlineStr">
        <is>
          <t> </t>
        </is>
      </c>
      <c r="AC583" s="391" t="inlineStr">
        <is>
          <t> </t>
        </is>
      </c>
      <c r="AD583" s="391" t="inlineStr">
        <is>
          <t> </t>
        </is>
      </c>
      <c r="AE583" s="391" t="inlineStr">
        <is>
          <t> </t>
        </is>
      </c>
      <c r="AF583" s="38" t="inlineStr">
        <is>
          <t> </t>
        </is>
      </c>
      <c r="AG583" s="391" t="inlineStr">
        <is>
          <t> </t>
        </is>
      </c>
      <c r="AH583" s="391" t="n"/>
      <c r="AI583" s="391" t="inlineStr">
        <is>
          <t> </t>
        </is>
      </c>
      <c r="AJ583" s="391" t="inlineStr">
        <is>
          <t> </t>
        </is>
      </c>
      <c r="AK583" s="391" t="inlineStr">
        <is>
          <t> </t>
        </is>
      </c>
      <c r="AL583" s="391" t="inlineStr">
        <is>
          <t> </t>
        </is>
      </c>
      <c r="AM583" s="391" t="inlineStr">
        <is>
          <t> </t>
        </is>
      </c>
      <c r="AN583" s="391" t="inlineStr">
        <is>
          <t> </t>
        </is>
      </c>
      <c r="AO583" s="391" t="n"/>
      <c r="AP583" s="319" t="n"/>
      <c r="AQ583" s="319" t="n"/>
      <c r="AR583" s="319" t="n"/>
    </row>
    <row r="584" ht="15.75" customHeight="1" s="1264">
      <c r="A584" s="319" t="inlineStr">
        <is>
          <t> </t>
        </is>
      </c>
      <c r="B584" s="319" t="inlineStr">
        <is>
          <t> </t>
        </is>
      </c>
      <c r="C584" s="319" t="inlineStr">
        <is>
          <t> </t>
        </is>
      </c>
      <c r="D584" s="38" t="inlineStr">
        <is>
          <t> </t>
        </is>
      </c>
      <c r="E584" s="391" t="inlineStr">
        <is>
          <t> </t>
        </is>
      </c>
      <c r="F584" s="391" t="inlineStr">
        <is>
          <t> </t>
        </is>
      </c>
      <c r="G584" s="391" t="inlineStr">
        <is>
          <t> </t>
        </is>
      </c>
      <c r="H584" s="391" t="inlineStr">
        <is>
          <t> </t>
        </is>
      </c>
      <c r="I584" s="391" t="inlineStr">
        <is>
          <t> </t>
        </is>
      </c>
      <c r="J584" s="391" t="inlineStr">
        <is>
          <t> </t>
        </is>
      </c>
      <c r="K584" s="38" t="inlineStr">
        <is>
          <t> </t>
        </is>
      </c>
      <c r="L584" s="391" t="inlineStr">
        <is>
          <t> </t>
        </is>
      </c>
      <c r="M584" s="391" t="inlineStr">
        <is>
          <t> </t>
        </is>
      </c>
      <c r="N584" s="391" t="inlineStr">
        <is>
          <t> </t>
        </is>
      </c>
      <c r="O584" s="391" t="inlineStr">
        <is>
          <t> </t>
        </is>
      </c>
      <c r="P584" s="391" t="inlineStr">
        <is>
          <t> </t>
        </is>
      </c>
      <c r="Q584" s="391" t="inlineStr">
        <is>
          <t> </t>
        </is>
      </c>
      <c r="R584" s="38" t="inlineStr">
        <is>
          <t> </t>
        </is>
      </c>
      <c r="S584" s="391" t="inlineStr">
        <is>
          <t> </t>
        </is>
      </c>
      <c r="T584" s="391" t="inlineStr">
        <is>
          <t> </t>
        </is>
      </c>
      <c r="U584" s="391" t="inlineStr">
        <is>
          <t> </t>
        </is>
      </c>
      <c r="V584" s="391" t="inlineStr">
        <is>
          <t> </t>
        </is>
      </c>
      <c r="W584" s="391" t="inlineStr">
        <is>
          <t> </t>
        </is>
      </c>
      <c r="X584" s="391" t="inlineStr">
        <is>
          <t> </t>
        </is>
      </c>
      <c r="Y584" s="392" t="inlineStr">
        <is>
          <t> </t>
        </is>
      </c>
      <c r="Z584" s="391" t="inlineStr">
        <is>
          <t> </t>
        </is>
      </c>
      <c r="AA584" s="391" t="inlineStr">
        <is>
          <t> </t>
        </is>
      </c>
      <c r="AB584" s="391" t="inlineStr">
        <is>
          <t> </t>
        </is>
      </c>
      <c r="AC584" s="391" t="inlineStr">
        <is>
          <t> </t>
        </is>
      </c>
      <c r="AD584" s="391" t="inlineStr">
        <is>
          <t> </t>
        </is>
      </c>
      <c r="AE584" s="391" t="inlineStr">
        <is>
          <t> </t>
        </is>
      </c>
      <c r="AF584" s="38" t="inlineStr">
        <is>
          <t> </t>
        </is>
      </c>
      <c r="AG584" s="391" t="inlineStr">
        <is>
          <t> </t>
        </is>
      </c>
      <c r="AH584" s="391" t="n"/>
      <c r="AI584" s="391" t="inlineStr">
        <is>
          <t> </t>
        </is>
      </c>
      <c r="AJ584" s="391" t="inlineStr">
        <is>
          <t> </t>
        </is>
      </c>
      <c r="AK584" s="391" t="inlineStr">
        <is>
          <t> </t>
        </is>
      </c>
      <c r="AL584" s="391" t="inlineStr">
        <is>
          <t> </t>
        </is>
      </c>
      <c r="AM584" s="391" t="inlineStr">
        <is>
          <t> </t>
        </is>
      </c>
      <c r="AN584" s="391" t="inlineStr">
        <is>
          <t> </t>
        </is>
      </c>
      <c r="AO584" s="391" t="n"/>
      <c r="AP584" s="319" t="n"/>
      <c r="AQ584" s="319" t="n"/>
      <c r="AR584" s="319" t="n"/>
    </row>
    <row r="585" ht="15.75" customHeight="1" s="1264">
      <c r="A585" s="319" t="inlineStr">
        <is>
          <t> </t>
        </is>
      </c>
      <c r="B585" s="319" t="inlineStr">
        <is>
          <t> </t>
        </is>
      </c>
      <c r="C585" s="319" t="inlineStr">
        <is>
          <t> </t>
        </is>
      </c>
      <c r="D585" s="38" t="inlineStr">
        <is>
          <t> </t>
        </is>
      </c>
      <c r="E585" s="391" t="inlineStr">
        <is>
          <t> </t>
        </is>
      </c>
      <c r="F585" s="391" t="inlineStr">
        <is>
          <t> </t>
        </is>
      </c>
      <c r="G585" s="391" t="inlineStr">
        <is>
          <t> </t>
        </is>
      </c>
      <c r="H585" s="391" t="inlineStr">
        <is>
          <t> </t>
        </is>
      </c>
      <c r="I585" s="391" t="inlineStr">
        <is>
          <t> </t>
        </is>
      </c>
      <c r="J585" s="391" t="inlineStr">
        <is>
          <t> </t>
        </is>
      </c>
      <c r="K585" s="38" t="inlineStr">
        <is>
          <t> </t>
        </is>
      </c>
      <c r="L585" s="391" t="inlineStr">
        <is>
          <t> </t>
        </is>
      </c>
      <c r="M585" s="391" t="inlineStr">
        <is>
          <t> </t>
        </is>
      </c>
      <c r="N585" s="391" t="inlineStr">
        <is>
          <t> </t>
        </is>
      </c>
      <c r="O585" s="391" t="inlineStr">
        <is>
          <t> </t>
        </is>
      </c>
      <c r="P585" s="391" t="inlineStr">
        <is>
          <t> </t>
        </is>
      </c>
      <c r="Q585" s="391" t="inlineStr">
        <is>
          <t> </t>
        </is>
      </c>
      <c r="R585" s="38" t="inlineStr">
        <is>
          <t> </t>
        </is>
      </c>
      <c r="S585" s="391" t="inlineStr">
        <is>
          <t> </t>
        </is>
      </c>
      <c r="T585" s="391" t="inlineStr">
        <is>
          <t> </t>
        </is>
      </c>
      <c r="U585" s="391" t="inlineStr">
        <is>
          <t> </t>
        </is>
      </c>
      <c r="V585" s="391" t="inlineStr">
        <is>
          <t> </t>
        </is>
      </c>
      <c r="W585" s="391" t="inlineStr">
        <is>
          <t> </t>
        </is>
      </c>
      <c r="X585" s="391" t="inlineStr">
        <is>
          <t> </t>
        </is>
      </c>
      <c r="Y585" s="392" t="inlineStr">
        <is>
          <t> </t>
        </is>
      </c>
      <c r="Z585" s="391" t="inlineStr">
        <is>
          <t> </t>
        </is>
      </c>
      <c r="AA585" s="391" t="inlineStr">
        <is>
          <t> </t>
        </is>
      </c>
      <c r="AB585" s="391" t="inlineStr">
        <is>
          <t> </t>
        </is>
      </c>
      <c r="AC585" s="391" t="inlineStr">
        <is>
          <t> </t>
        </is>
      </c>
      <c r="AD585" s="391" t="inlineStr">
        <is>
          <t> </t>
        </is>
      </c>
      <c r="AE585" s="391" t="inlineStr">
        <is>
          <t> </t>
        </is>
      </c>
      <c r="AF585" s="38" t="inlineStr">
        <is>
          <t> </t>
        </is>
      </c>
      <c r="AG585" s="391" t="inlineStr">
        <is>
          <t> </t>
        </is>
      </c>
      <c r="AH585" s="391" t="n"/>
      <c r="AI585" s="391" t="inlineStr">
        <is>
          <t> </t>
        </is>
      </c>
      <c r="AJ585" s="391" t="inlineStr">
        <is>
          <t> </t>
        </is>
      </c>
      <c r="AK585" s="391" t="inlineStr">
        <is>
          <t> </t>
        </is>
      </c>
      <c r="AL585" s="391" t="inlineStr">
        <is>
          <t> </t>
        </is>
      </c>
      <c r="AM585" s="391" t="inlineStr">
        <is>
          <t> </t>
        </is>
      </c>
      <c r="AN585" s="391" t="inlineStr">
        <is>
          <t> </t>
        </is>
      </c>
      <c r="AO585" s="391" t="n"/>
      <c r="AP585" s="319" t="n"/>
      <c r="AQ585" s="319" t="n"/>
      <c r="AR585" s="319" t="n"/>
    </row>
    <row r="586" ht="15.75" customHeight="1" s="1264">
      <c r="A586" s="319" t="inlineStr">
        <is>
          <t> </t>
        </is>
      </c>
      <c r="B586" s="319" t="inlineStr">
        <is>
          <t> </t>
        </is>
      </c>
      <c r="C586" s="319" t="inlineStr">
        <is>
          <t> </t>
        </is>
      </c>
      <c r="D586" s="38" t="inlineStr">
        <is>
          <t> </t>
        </is>
      </c>
      <c r="E586" s="391" t="inlineStr">
        <is>
          <t> </t>
        </is>
      </c>
      <c r="F586" s="391" t="inlineStr">
        <is>
          <t> </t>
        </is>
      </c>
      <c r="G586" s="391" t="inlineStr">
        <is>
          <t> </t>
        </is>
      </c>
      <c r="H586" s="391" t="inlineStr">
        <is>
          <t> </t>
        </is>
      </c>
      <c r="I586" s="391" t="inlineStr">
        <is>
          <t> </t>
        </is>
      </c>
      <c r="J586" s="391" t="inlineStr">
        <is>
          <t> </t>
        </is>
      </c>
      <c r="K586" s="38" t="inlineStr">
        <is>
          <t> </t>
        </is>
      </c>
      <c r="L586" s="391" t="inlineStr">
        <is>
          <t> </t>
        </is>
      </c>
      <c r="M586" s="391" t="inlineStr">
        <is>
          <t> </t>
        </is>
      </c>
      <c r="N586" s="391" t="inlineStr">
        <is>
          <t> </t>
        </is>
      </c>
      <c r="O586" s="391" t="inlineStr">
        <is>
          <t> </t>
        </is>
      </c>
      <c r="P586" s="391" t="inlineStr">
        <is>
          <t> </t>
        </is>
      </c>
      <c r="Q586" s="391" t="inlineStr">
        <is>
          <t> </t>
        </is>
      </c>
      <c r="R586" s="38" t="inlineStr">
        <is>
          <t> </t>
        </is>
      </c>
      <c r="S586" s="391" t="inlineStr">
        <is>
          <t> </t>
        </is>
      </c>
      <c r="T586" s="391" t="inlineStr">
        <is>
          <t> </t>
        </is>
      </c>
      <c r="U586" s="391" t="inlineStr">
        <is>
          <t> </t>
        </is>
      </c>
      <c r="V586" s="391" t="inlineStr">
        <is>
          <t> </t>
        </is>
      </c>
      <c r="W586" s="391" t="inlineStr">
        <is>
          <t> </t>
        </is>
      </c>
      <c r="X586" s="391" t="inlineStr">
        <is>
          <t> </t>
        </is>
      </c>
      <c r="Y586" s="392" t="inlineStr">
        <is>
          <t> </t>
        </is>
      </c>
      <c r="Z586" s="391" t="inlineStr">
        <is>
          <t> </t>
        </is>
      </c>
      <c r="AA586" s="391" t="inlineStr">
        <is>
          <t> </t>
        </is>
      </c>
      <c r="AB586" s="391" t="inlineStr">
        <is>
          <t> </t>
        </is>
      </c>
      <c r="AC586" s="391" t="inlineStr">
        <is>
          <t> </t>
        </is>
      </c>
      <c r="AD586" s="391" t="inlineStr">
        <is>
          <t> </t>
        </is>
      </c>
      <c r="AE586" s="391" t="inlineStr">
        <is>
          <t> </t>
        </is>
      </c>
      <c r="AF586" s="38" t="inlineStr">
        <is>
          <t> </t>
        </is>
      </c>
      <c r="AG586" s="391" t="inlineStr">
        <is>
          <t> </t>
        </is>
      </c>
      <c r="AH586" s="391" t="n"/>
      <c r="AI586" s="391" t="inlineStr">
        <is>
          <t> </t>
        </is>
      </c>
      <c r="AJ586" s="391" t="inlineStr">
        <is>
          <t> </t>
        </is>
      </c>
      <c r="AK586" s="391" t="inlineStr">
        <is>
          <t> </t>
        </is>
      </c>
      <c r="AL586" s="391" t="inlineStr">
        <is>
          <t> </t>
        </is>
      </c>
      <c r="AM586" s="391" t="inlineStr">
        <is>
          <t> </t>
        </is>
      </c>
      <c r="AN586" s="391" t="inlineStr">
        <is>
          <t> </t>
        </is>
      </c>
      <c r="AO586" s="391" t="n"/>
      <c r="AP586" s="319" t="n"/>
      <c r="AQ586" s="319" t="n"/>
      <c r="AR586" s="319" t="n"/>
    </row>
    <row r="587" ht="15.75" customHeight="1" s="1264">
      <c r="A587" s="319" t="inlineStr">
        <is>
          <t> </t>
        </is>
      </c>
      <c r="B587" s="319" t="inlineStr">
        <is>
          <t> </t>
        </is>
      </c>
      <c r="C587" s="319" t="inlineStr">
        <is>
          <t> </t>
        </is>
      </c>
      <c r="D587" s="38" t="inlineStr">
        <is>
          <t> </t>
        </is>
      </c>
      <c r="E587" s="391" t="inlineStr">
        <is>
          <t> </t>
        </is>
      </c>
      <c r="F587" s="391" t="inlineStr">
        <is>
          <t> </t>
        </is>
      </c>
      <c r="G587" s="391" t="inlineStr">
        <is>
          <t> </t>
        </is>
      </c>
      <c r="H587" s="391" t="inlineStr">
        <is>
          <t> </t>
        </is>
      </c>
      <c r="I587" s="391" t="inlineStr">
        <is>
          <t> </t>
        </is>
      </c>
      <c r="J587" s="391" t="inlineStr">
        <is>
          <t> </t>
        </is>
      </c>
      <c r="K587" s="38" t="inlineStr">
        <is>
          <t> </t>
        </is>
      </c>
      <c r="L587" s="391" t="inlineStr">
        <is>
          <t> </t>
        </is>
      </c>
      <c r="M587" s="391" t="inlineStr">
        <is>
          <t> </t>
        </is>
      </c>
      <c r="N587" s="391" t="inlineStr">
        <is>
          <t> </t>
        </is>
      </c>
      <c r="O587" s="391" t="inlineStr">
        <is>
          <t> </t>
        </is>
      </c>
      <c r="P587" s="391" t="inlineStr">
        <is>
          <t> </t>
        </is>
      </c>
      <c r="Q587" s="391" t="inlineStr">
        <is>
          <t> </t>
        </is>
      </c>
      <c r="R587" s="38" t="inlineStr">
        <is>
          <t> </t>
        </is>
      </c>
      <c r="S587" s="391" t="inlineStr">
        <is>
          <t> </t>
        </is>
      </c>
      <c r="T587" s="391" t="inlineStr">
        <is>
          <t> </t>
        </is>
      </c>
      <c r="U587" s="391" t="inlineStr">
        <is>
          <t> </t>
        </is>
      </c>
      <c r="V587" s="391" t="inlineStr">
        <is>
          <t> </t>
        </is>
      </c>
      <c r="W587" s="391" t="inlineStr">
        <is>
          <t> </t>
        </is>
      </c>
      <c r="X587" s="391" t="inlineStr">
        <is>
          <t> </t>
        </is>
      </c>
      <c r="Y587" s="392" t="inlineStr">
        <is>
          <t> </t>
        </is>
      </c>
      <c r="Z587" s="391" t="inlineStr">
        <is>
          <t> </t>
        </is>
      </c>
      <c r="AA587" s="391" t="inlineStr">
        <is>
          <t> </t>
        </is>
      </c>
      <c r="AB587" s="391" t="inlineStr">
        <is>
          <t> </t>
        </is>
      </c>
      <c r="AC587" s="391" t="inlineStr">
        <is>
          <t> </t>
        </is>
      </c>
      <c r="AD587" s="391" t="inlineStr">
        <is>
          <t> </t>
        </is>
      </c>
      <c r="AE587" s="391" t="inlineStr">
        <is>
          <t> </t>
        </is>
      </c>
      <c r="AF587" s="38" t="inlineStr">
        <is>
          <t> </t>
        </is>
      </c>
      <c r="AG587" s="391" t="inlineStr">
        <is>
          <t> </t>
        </is>
      </c>
      <c r="AH587" s="391" t="n"/>
      <c r="AI587" s="391" t="inlineStr">
        <is>
          <t> </t>
        </is>
      </c>
      <c r="AJ587" s="391" t="inlineStr">
        <is>
          <t> </t>
        </is>
      </c>
      <c r="AK587" s="391" t="inlineStr">
        <is>
          <t> </t>
        </is>
      </c>
      <c r="AL587" s="391" t="inlineStr">
        <is>
          <t> </t>
        </is>
      </c>
      <c r="AM587" s="391" t="inlineStr">
        <is>
          <t> </t>
        </is>
      </c>
      <c r="AN587" s="391" t="inlineStr">
        <is>
          <t> </t>
        </is>
      </c>
      <c r="AO587" s="391" t="n"/>
      <c r="AP587" s="319" t="n"/>
      <c r="AQ587" s="319" t="n"/>
      <c r="AR587" s="319" t="n"/>
    </row>
    <row r="588" ht="15.75" customHeight="1" s="1264">
      <c r="A588" s="319" t="inlineStr">
        <is>
          <t> </t>
        </is>
      </c>
      <c r="B588" s="319" t="inlineStr">
        <is>
          <t> </t>
        </is>
      </c>
      <c r="C588" s="319" t="inlineStr">
        <is>
          <t> </t>
        </is>
      </c>
      <c r="D588" s="38" t="inlineStr">
        <is>
          <t> </t>
        </is>
      </c>
      <c r="E588" s="391" t="inlineStr">
        <is>
          <t> </t>
        </is>
      </c>
      <c r="F588" s="391" t="inlineStr">
        <is>
          <t> </t>
        </is>
      </c>
      <c r="G588" s="391" t="inlineStr">
        <is>
          <t> </t>
        </is>
      </c>
      <c r="H588" s="391" t="inlineStr">
        <is>
          <t> </t>
        </is>
      </c>
      <c r="I588" s="391" t="inlineStr">
        <is>
          <t> </t>
        </is>
      </c>
      <c r="J588" s="391" t="inlineStr">
        <is>
          <t> </t>
        </is>
      </c>
      <c r="K588" s="38" t="inlineStr">
        <is>
          <t> </t>
        </is>
      </c>
      <c r="L588" s="391" t="inlineStr">
        <is>
          <t> </t>
        </is>
      </c>
      <c r="M588" s="391" t="inlineStr">
        <is>
          <t> </t>
        </is>
      </c>
      <c r="N588" s="391" t="inlineStr">
        <is>
          <t> </t>
        </is>
      </c>
      <c r="O588" s="391" t="inlineStr">
        <is>
          <t> </t>
        </is>
      </c>
      <c r="P588" s="391" t="inlineStr">
        <is>
          <t> </t>
        </is>
      </c>
      <c r="Q588" s="391" t="inlineStr">
        <is>
          <t> </t>
        </is>
      </c>
      <c r="R588" s="38" t="inlineStr">
        <is>
          <t> </t>
        </is>
      </c>
      <c r="S588" s="391" t="inlineStr">
        <is>
          <t> </t>
        </is>
      </c>
      <c r="T588" s="391" t="inlineStr">
        <is>
          <t> </t>
        </is>
      </c>
      <c r="U588" s="391" t="inlineStr">
        <is>
          <t> </t>
        </is>
      </c>
      <c r="V588" s="391" t="inlineStr">
        <is>
          <t> </t>
        </is>
      </c>
      <c r="W588" s="391" t="inlineStr">
        <is>
          <t> </t>
        </is>
      </c>
      <c r="X588" s="391" t="inlineStr">
        <is>
          <t> </t>
        </is>
      </c>
      <c r="Y588" s="392" t="inlineStr">
        <is>
          <t> </t>
        </is>
      </c>
      <c r="Z588" s="391" t="inlineStr">
        <is>
          <t> </t>
        </is>
      </c>
      <c r="AA588" s="391" t="inlineStr">
        <is>
          <t> </t>
        </is>
      </c>
      <c r="AB588" s="391" t="inlineStr">
        <is>
          <t> </t>
        </is>
      </c>
      <c r="AC588" s="391" t="inlineStr">
        <is>
          <t> </t>
        </is>
      </c>
      <c r="AD588" s="391" t="inlineStr">
        <is>
          <t> </t>
        </is>
      </c>
      <c r="AE588" s="391" t="inlineStr">
        <is>
          <t> </t>
        </is>
      </c>
      <c r="AF588" s="38" t="inlineStr">
        <is>
          <t> </t>
        </is>
      </c>
      <c r="AG588" s="391" t="inlineStr">
        <is>
          <t> </t>
        </is>
      </c>
      <c r="AH588" s="391" t="n"/>
      <c r="AI588" s="391" t="inlineStr">
        <is>
          <t> </t>
        </is>
      </c>
      <c r="AJ588" s="391" t="inlineStr">
        <is>
          <t> </t>
        </is>
      </c>
      <c r="AK588" s="391" t="inlineStr">
        <is>
          <t> </t>
        </is>
      </c>
      <c r="AL588" s="391" t="inlineStr">
        <is>
          <t> </t>
        </is>
      </c>
      <c r="AM588" s="391" t="inlineStr">
        <is>
          <t> </t>
        </is>
      </c>
      <c r="AN588" s="391" t="inlineStr">
        <is>
          <t> </t>
        </is>
      </c>
      <c r="AO588" s="391" t="n"/>
      <c r="AP588" s="319" t="n"/>
      <c r="AQ588" s="319" t="n"/>
      <c r="AR588" s="319" t="n"/>
    </row>
    <row r="589" ht="15.75" customHeight="1" s="1264">
      <c r="A589" s="319" t="inlineStr">
        <is>
          <t> </t>
        </is>
      </c>
      <c r="B589" s="319" t="inlineStr">
        <is>
          <t> </t>
        </is>
      </c>
      <c r="C589" s="319" t="inlineStr">
        <is>
          <t> </t>
        </is>
      </c>
      <c r="D589" s="38" t="inlineStr">
        <is>
          <t> </t>
        </is>
      </c>
      <c r="E589" s="391" t="inlineStr">
        <is>
          <t> </t>
        </is>
      </c>
      <c r="F589" s="391" t="inlineStr">
        <is>
          <t> </t>
        </is>
      </c>
      <c r="G589" s="391" t="inlineStr">
        <is>
          <t> </t>
        </is>
      </c>
      <c r="H589" s="391" t="inlineStr">
        <is>
          <t> </t>
        </is>
      </c>
      <c r="I589" s="391" t="inlineStr">
        <is>
          <t> </t>
        </is>
      </c>
      <c r="J589" s="391" t="inlineStr">
        <is>
          <t> </t>
        </is>
      </c>
      <c r="K589" s="38" t="inlineStr">
        <is>
          <t> </t>
        </is>
      </c>
      <c r="L589" s="391" t="inlineStr">
        <is>
          <t> </t>
        </is>
      </c>
      <c r="M589" s="391" t="inlineStr">
        <is>
          <t> </t>
        </is>
      </c>
      <c r="N589" s="391" t="inlineStr">
        <is>
          <t> </t>
        </is>
      </c>
      <c r="O589" s="391" t="inlineStr">
        <is>
          <t> </t>
        </is>
      </c>
      <c r="P589" s="391" t="inlineStr">
        <is>
          <t> </t>
        </is>
      </c>
      <c r="Q589" s="391" t="inlineStr">
        <is>
          <t> </t>
        </is>
      </c>
      <c r="R589" s="38" t="inlineStr">
        <is>
          <t> </t>
        </is>
      </c>
      <c r="S589" s="391" t="inlineStr">
        <is>
          <t> </t>
        </is>
      </c>
      <c r="T589" s="391" t="inlineStr">
        <is>
          <t> </t>
        </is>
      </c>
      <c r="U589" s="391" t="inlineStr">
        <is>
          <t> </t>
        </is>
      </c>
      <c r="V589" s="391" t="inlineStr">
        <is>
          <t> </t>
        </is>
      </c>
      <c r="W589" s="391" t="inlineStr">
        <is>
          <t> </t>
        </is>
      </c>
      <c r="X589" s="391" t="inlineStr">
        <is>
          <t> </t>
        </is>
      </c>
      <c r="Y589" s="392" t="inlineStr">
        <is>
          <t> </t>
        </is>
      </c>
      <c r="Z589" s="391" t="inlineStr">
        <is>
          <t> </t>
        </is>
      </c>
      <c r="AA589" s="391" t="inlineStr">
        <is>
          <t> </t>
        </is>
      </c>
      <c r="AB589" s="391" t="inlineStr">
        <is>
          <t> </t>
        </is>
      </c>
      <c r="AC589" s="391" t="inlineStr">
        <is>
          <t> </t>
        </is>
      </c>
      <c r="AD589" s="391" t="inlineStr">
        <is>
          <t> </t>
        </is>
      </c>
      <c r="AE589" s="391" t="inlineStr">
        <is>
          <t> </t>
        </is>
      </c>
      <c r="AF589" s="38" t="inlineStr">
        <is>
          <t> </t>
        </is>
      </c>
      <c r="AG589" s="391" t="inlineStr">
        <is>
          <t> </t>
        </is>
      </c>
      <c r="AH589" s="391" t="n"/>
      <c r="AI589" s="391" t="inlineStr">
        <is>
          <t> </t>
        </is>
      </c>
      <c r="AJ589" s="391" t="inlineStr">
        <is>
          <t> </t>
        </is>
      </c>
      <c r="AK589" s="391" t="inlineStr">
        <is>
          <t> </t>
        </is>
      </c>
      <c r="AL589" s="391" t="inlineStr">
        <is>
          <t> </t>
        </is>
      </c>
      <c r="AM589" s="391" t="inlineStr">
        <is>
          <t> </t>
        </is>
      </c>
      <c r="AN589" s="391" t="inlineStr">
        <is>
          <t> </t>
        </is>
      </c>
      <c r="AO589" s="391" t="n"/>
      <c r="AP589" s="319" t="n"/>
      <c r="AQ589" s="319" t="n"/>
      <c r="AR589" s="319" t="n"/>
    </row>
    <row r="590" ht="15.75" customHeight="1" s="1264">
      <c r="A590" s="319" t="inlineStr">
        <is>
          <t> </t>
        </is>
      </c>
      <c r="B590" s="319" t="inlineStr">
        <is>
          <t> </t>
        </is>
      </c>
      <c r="C590" s="319" t="inlineStr">
        <is>
          <t> </t>
        </is>
      </c>
      <c r="D590" s="38" t="inlineStr">
        <is>
          <t> </t>
        </is>
      </c>
      <c r="E590" s="391" t="inlineStr">
        <is>
          <t> </t>
        </is>
      </c>
      <c r="F590" s="391" t="inlineStr">
        <is>
          <t> </t>
        </is>
      </c>
      <c r="G590" s="391" t="inlineStr">
        <is>
          <t> </t>
        </is>
      </c>
      <c r="H590" s="391" t="inlineStr">
        <is>
          <t> </t>
        </is>
      </c>
      <c r="I590" s="391" t="inlineStr">
        <is>
          <t> </t>
        </is>
      </c>
      <c r="J590" s="391" t="inlineStr">
        <is>
          <t> </t>
        </is>
      </c>
      <c r="K590" s="38" t="inlineStr">
        <is>
          <t> </t>
        </is>
      </c>
      <c r="L590" s="391" t="inlineStr">
        <is>
          <t> </t>
        </is>
      </c>
      <c r="M590" s="391" t="inlineStr">
        <is>
          <t> </t>
        </is>
      </c>
      <c r="N590" s="391" t="inlineStr">
        <is>
          <t> </t>
        </is>
      </c>
      <c r="O590" s="391" t="inlineStr">
        <is>
          <t> </t>
        </is>
      </c>
      <c r="P590" s="391" t="inlineStr">
        <is>
          <t> </t>
        </is>
      </c>
      <c r="Q590" s="391" t="inlineStr">
        <is>
          <t> </t>
        </is>
      </c>
      <c r="R590" s="38" t="inlineStr">
        <is>
          <t> </t>
        </is>
      </c>
      <c r="S590" s="391" t="inlineStr">
        <is>
          <t> </t>
        </is>
      </c>
      <c r="T590" s="391" t="inlineStr">
        <is>
          <t> </t>
        </is>
      </c>
      <c r="U590" s="391" t="inlineStr">
        <is>
          <t> </t>
        </is>
      </c>
      <c r="V590" s="391" t="inlineStr">
        <is>
          <t> </t>
        </is>
      </c>
      <c r="W590" s="391" t="inlineStr">
        <is>
          <t> </t>
        </is>
      </c>
      <c r="X590" s="391" t="inlineStr">
        <is>
          <t> </t>
        </is>
      </c>
      <c r="Y590" s="392" t="inlineStr">
        <is>
          <t> </t>
        </is>
      </c>
      <c r="Z590" s="391" t="inlineStr">
        <is>
          <t> </t>
        </is>
      </c>
      <c r="AA590" s="391" t="inlineStr">
        <is>
          <t> </t>
        </is>
      </c>
      <c r="AB590" s="391" t="inlineStr">
        <is>
          <t> </t>
        </is>
      </c>
      <c r="AC590" s="391" t="inlineStr">
        <is>
          <t> </t>
        </is>
      </c>
      <c r="AD590" s="391" t="inlineStr">
        <is>
          <t> </t>
        </is>
      </c>
      <c r="AE590" s="391" t="inlineStr">
        <is>
          <t> </t>
        </is>
      </c>
      <c r="AF590" s="38" t="inlineStr">
        <is>
          <t> </t>
        </is>
      </c>
      <c r="AG590" s="391" t="inlineStr">
        <is>
          <t> </t>
        </is>
      </c>
      <c r="AH590" s="391" t="n"/>
      <c r="AI590" s="391" t="inlineStr">
        <is>
          <t> </t>
        </is>
      </c>
      <c r="AJ590" s="391" t="inlineStr">
        <is>
          <t> </t>
        </is>
      </c>
      <c r="AK590" s="391" t="inlineStr">
        <is>
          <t> </t>
        </is>
      </c>
      <c r="AL590" s="391" t="inlineStr">
        <is>
          <t> </t>
        </is>
      </c>
      <c r="AM590" s="391" t="inlineStr">
        <is>
          <t> </t>
        </is>
      </c>
      <c r="AN590" s="391" t="inlineStr">
        <is>
          <t> </t>
        </is>
      </c>
      <c r="AO590" s="391" t="n"/>
      <c r="AP590" s="319" t="n"/>
      <c r="AQ590" s="319" t="n"/>
      <c r="AR590" s="319" t="n"/>
    </row>
    <row r="591" ht="15.75" customHeight="1" s="1264">
      <c r="A591" s="319" t="inlineStr">
        <is>
          <t> </t>
        </is>
      </c>
      <c r="B591" s="319" t="inlineStr">
        <is>
          <t> </t>
        </is>
      </c>
      <c r="C591" s="319" t="inlineStr">
        <is>
          <t> </t>
        </is>
      </c>
      <c r="D591" s="38" t="inlineStr">
        <is>
          <t> </t>
        </is>
      </c>
      <c r="E591" s="391" t="inlineStr">
        <is>
          <t> </t>
        </is>
      </c>
      <c r="F591" s="391" t="inlineStr">
        <is>
          <t> </t>
        </is>
      </c>
      <c r="G591" s="391" t="inlineStr">
        <is>
          <t> </t>
        </is>
      </c>
      <c r="H591" s="391" t="inlineStr">
        <is>
          <t> </t>
        </is>
      </c>
      <c r="I591" s="391" t="inlineStr">
        <is>
          <t> </t>
        </is>
      </c>
      <c r="J591" s="391" t="inlineStr">
        <is>
          <t> </t>
        </is>
      </c>
      <c r="K591" s="38" t="inlineStr">
        <is>
          <t> </t>
        </is>
      </c>
      <c r="L591" s="391" t="inlineStr">
        <is>
          <t> </t>
        </is>
      </c>
      <c r="M591" s="391" t="inlineStr">
        <is>
          <t> </t>
        </is>
      </c>
      <c r="N591" s="391" t="inlineStr">
        <is>
          <t> </t>
        </is>
      </c>
      <c r="O591" s="391" t="inlineStr">
        <is>
          <t> </t>
        </is>
      </c>
      <c r="P591" s="391" t="inlineStr">
        <is>
          <t> </t>
        </is>
      </c>
      <c r="Q591" s="391" t="inlineStr">
        <is>
          <t> </t>
        </is>
      </c>
      <c r="R591" s="38" t="inlineStr">
        <is>
          <t> </t>
        </is>
      </c>
      <c r="S591" s="391" t="inlineStr">
        <is>
          <t> </t>
        </is>
      </c>
      <c r="T591" s="391" t="inlineStr">
        <is>
          <t> </t>
        </is>
      </c>
      <c r="U591" s="391" t="inlineStr">
        <is>
          <t> </t>
        </is>
      </c>
      <c r="V591" s="391" t="inlineStr">
        <is>
          <t> </t>
        </is>
      </c>
      <c r="W591" s="391" t="inlineStr">
        <is>
          <t> </t>
        </is>
      </c>
      <c r="X591" s="391" t="inlineStr">
        <is>
          <t> </t>
        </is>
      </c>
      <c r="Y591" s="392" t="inlineStr">
        <is>
          <t> </t>
        </is>
      </c>
      <c r="Z591" s="391" t="inlineStr">
        <is>
          <t> </t>
        </is>
      </c>
      <c r="AA591" s="391" t="inlineStr">
        <is>
          <t> </t>
        </is>
      </c>
      <c r="AB591" s="391" t="inlineStr">
        <is>
          <t> </t>
        </is>
      </c>
      <c r="AC591" s="391" t="inlineStr">
        <is>
          <t> </t>
        </is>
      </c>
      <c r="AD591" s="391" t="inlineStr">
        <is>
          <t> </t>
        </is>
      </c>
      <c r="AE591" s="391" t="inlineStr">
        <is>
          <t> </t>
        </is>
      </c>
      <c r="AF591" s="38" t="inlineStr">
        <is>
          <t> </t>
        </is>
      </c>
      <c r="AG591" s="391" t="inlineStr">
        <is>
          <t> </t>
        </is>
      </c>
      <c r="AH591" s="391" t="n"/>
      <c r="AI591" s="391" t="inlineStr">
        <is>
          <t> </t>
        </is>
      </c>
      <c r="AJ591" s="391" t="inlineStr">
        <is>
          <t> </t>
        </is>
      </c>
      <c r="AK591" s="391" t="inlineStr">
        <is>
          <t> </t>
        </is>
      </c>
      <c r="AL591" s="391" t="inlineStr">
        <is>
          <t> </t>
        </is>
      </c>
      <c r="AM591" s="391" t="inlineStr">
        <is>
          <t> </t>
        </is>
      </c>
      <c r="AN591" s="391" t="inlineStr">
        <is>
          <t> </t>
        </is>
      </c>
      <c r="AO591" s="391" t="n"/>
      <c r="AP591" s="319" t="n"/>
      <c r="AQ591" s="319" t="n"/>
      <c r="AR591" s="319" t="n"/>
    </row>
    <row r="592" ht="15.75" customHeight="1" s="1264">
      <c r="A592" s="319" t="inlineStr">
        <is>
          <t> </t>
        </is>
      </c>
      <c r="B592" s="319" t="inlineStr">
        <is>
          <t> </t>
        </is>
      </c>
      <c r="C592" s="319" t="inlineStr">
        <is>
          <t> </t>
        </is>
      </c>
      <c r="D592" s="38" t="inlineStr">
        <is>
          <t> </t>
        </is>
      </c>
      <c r="E592" s="391" t="inlineStr">
        <is>
          <t> </t>
        </is>
      </c>
      <c r="F592" s="391" t="inlineStr">
        <is>
          <t> </t>
        </is>
      </c>
      <c r="G592" s="391" t="inlineStr">
        <is>
          <t> </t>
        </is>
      </c>
      <c r="H592" s="391" t="inlineStr">
        <is>
          <t> </t>
        </is>
      </c>
      <c r="I592" s="391" t="inlineStr">
        <is>
          <t> </t>
        </is>
      </c>
      <c r="J592" s="391" t="inlineStr">
        <is>
          <t> </t>
        </is>
      </c>
      <c r="K592" s="38" t="inlineStr">
        <is>
          <t> </t>
        </is>
      </c>
      <c r="L592" s="391" t="inlineStr">
        <is>
          <t> </t>
        </is>
      </c>
      <c r="M592" s="391" t="inlineStr">
        <is>
          <t> </t>
        </is>
      </c>
      <c r="N592" s="391" t="inlineStr">
        <is>
          <t> </t>
        </is>
      </c>
      <c r="O592" s="391" t="inlineStr">
        <is>
          <t> </t>
        </is>
      </c>
      <c r="P592" s="391" t="inlineStr">
        <is>
          <t> </t>
        </is>
      </c>
      <c r="Q592" s="391" t="inlineStr">
        <is>
          <t> </t>
        </is>
      </c>
      <c r="R592" s="38" t="inlineStr">
        <is>
          <t> </t>
        </is>
      </c>
      <c r="S592" s="391" t="inlineStr">
        <is>
          <t> </t>
        </is>
      </c>
      <c r="T592" s="391" t="inlineStr">
        <is>
          <t> </t>
        </is>
      </c>
      <c r="U592" s="391" t="inlineStr">
        <is>
          <t> </t>
        </is>
      </c>
      <c r="V592" s="391" t="inlineStr">
        <is>
          <t> </t>
        </is>
      </c>
      <c r="W592" s="391" t="inlineStr">
        <is>
          <t> </t>
        </is>
      </c>
      <c r="X592" s="391" t="inlineStr">
        <is>
          <t> </t>
        </is>
      </c>
      <c r="Y592" s="392" t="inlineStr">
        <is>
          <t> </t>
        </is>
      </c>
      <c r="Z592" s="391" t="inlineStr">
        <is>
          <t> </t>
        </is>
      </c>
      <c r="AA592" s="391" t="inlineStr">
        <is>
          <t> </t>
        </is>
      </c>
      <c r="AB592" s="391" t="inlineStr">
        <is>
          <t> </t>
        </is>
      </c>
      <c r="AC592" s="391" t="inlineStr">
        <is>
          <t> </t>
        </is>
      </c>
      <c r="AD592" s="391" t="inlineStr">
        <is>
          <t> </t>
        </is>
      </c>
      <c r="AE592" s="391" t="inlineStr">
        <is>
          <t> </t>
        </is>
      </c>
      <c r="AF592" s="38" t="inlineStr">
        <is>
          <t> </t>
        </is>
      </c>
      <c r="AG592" s="391" t="inlineStr">
        <is>
          <t> </t>
        </is>
      </c>
      <c r="AH592" s="391" t="n"/>
      <c r="AI592" s="391" t="inlineStr">
        <is>
          <t> </t>
        </is>
      </c>
      <c r="AJ592" s="391" t="inlineStr">
        <is>
          <t> </t>
        </is>
      </c>
      <c r="AK592" s="391" t="inlineStr">
        <is>
          <t> </t>
        </is>
      </c>
      <c r="AL592" s="391" t="inlineStr">
        <is>
          <t> </t>
        </is>
      </c>
      <c r="AM592" s="391" t="inlineStr">
        <is>
          <t> </t>
        </is>
      </c>
      <c r="AN592" s="391" t="inlineStr">
        <is>
          <t> </t>
        </is>
      </c>
      <c r="AO592" s="391" t="n"/>
      <c r="AP592" s="319" t="n"/>
      <c r="AQ592" s="319" t="n"/>
      <c r="AR592" s="319" t="n"/>
    </row>
    <row r="593" ht="15.75" customHeight="1" s="1264">
      <c r="A593" s="319" t="inlineStr">
        <is>
          <t> </t>
        </is>
      </c>
      <c r="B593" s="319" t="inlineStr">
        <is>
          <t> </t>
        </is>
      </c>
      <c r="C593" s="319" t="inlineStr">
        <is>
          <t> </t>
        </is>
      </c>
      <c r="D593" s="38" t="inlineStr">
        <is>
          <t> </t>
        </is>
      </c>
      <c r="E593" s="391" t="inlineStr">
        <is>
          <t> </t>
        </is>
      </c>
      <c r="F593" s="391" t="inlineStr">
        <is>
          <t> </t>
        </is>
      </c>
      <c r="G593" s="391" t="inlineStr">
        <is>
          <t> </t>
        </is>
      </c>
      <c r="H593" s="391" t="inlineStr">
        <is>
          <t> </t>
        </is>
      </c>
      <c r="I593" s="391" t="inlineStr">
        <is>
          <t> </t>
        </is>
      </c>
      <c r="J593" s="391" t="inlineStr">
        <is>
          <t> </t>
        </is>
      </c>
      <c r="K593" s="38" t="inlineStr">
        <is>
          <t> </t>
        </is>
      </c>
      <c r="L593" s="391" t="inlineStr">
        <is>
          <t> </t>
        </is>
      </c>
      <c r="M593" s="391" t="inlineStr">
        <is>
          <t> </t>
        </is>
      </c>
      <c r="N593" s="391" t="inlineStr">
        <is>
          <t> </t>
        </is>
      </c>
      <c r="O593" s="391" t="inlineStr">
        <is>
          <t> </t>
        </is>
      </c>
      <c r="P593" s="391" t="inlineStr">
        <is>
          <t> </t>
        </is>
      </c>
      <c r="Q593" s="391" t="inlineStr">
        <is>
          <t> </t>
        </is>
      </c>
      <c r="R593" s="38" t="inlineStr">
        <is>
          <t> </t>
        </is>
      </c>
      <c r="S593" s="391" t="inlineStr">
        <is>
          <t> </t>
        </is>
      </c>
      <c r="T593" s="391" t="inlineStr">
        <is>
          <t> </t>
        </is>
      </c>
      <c r="U593" s="391" t="inlineStr">
        <is>
          <t> </t>
        </is>
      </c>
      <c r="V593" s="391" t="inlineStr">
        <is>
          <t> </t>
        </is>
      </c>
      <c r="W593" s="391" t="inlineStr">
        <is>
          <t> </t>
        </is>
      </c>
      <c r="X593" s="391" t="inlineStr">
        <is>
          <t> </t>
        </is>
      </c>
      <c r="Y593" s="392" t="inlineStr">
        <is>
          <t> </t>
        </is>
      </c>
      <c r="Z593" s="391" t="inlineStr">
        <is>
          <t> </t>
        </is>
      </c>
      <c r="AA593" s="391" t="inlineStr">
        <is>
          <t> </t>
        </is>
      </c>
      <c r="AB593" s="391" t="inlineStr">
        <is>
          <t> </t>
        </is>
      </c>
      <c r="AC593" s="391" t="inlineStr">
        <is>
          <t> </t>
        </is>
      </c>
      <c r="AD593" s="391" t="inlineStr">
        <is>
          <t> </t>
        </is>
      </c>
      <c r="AE593" s="391" t="inlineStr">
        <is>
          <t> </t>
        </is>
      </c>
      <c r="AF593" s="38" t="inlineStr">
        <is>
          <t> </t>
        </is>
      </c>
      <c r="AG593" s="391" t="inlineStr">
        <is>
          <t> </t>
        </is>
      </c>
      <c r="AH593" s="391" t="n"/>
      <c r="AI593" s="391" t="inlineStr">
        <is>
          <t> </t>
        </is>
      </c>
      <c r="AJ593" s="391" t="inlineStr">
        <is>
          <t> </t>
        </is>
      </c>
      <c r="AK593" s="391" t="inlineStr">
        <is>
          <t> </t>
        </is>
      </c>
      <c r="AL593" s="391" t="inlineStr">
        <is>
          <t> </t>
        </is>
      </c>
      <c r="AM593" s="391" t="inlineStr">
        <is>
          <t> </t>
        </is>
      </c>
      <c r="AN593" s="391" t="inlineStr">
        <is>
          <t> </t>
        </is>
      </c>
      <c r="AO593" s="391" t="n"/>
      <c r="AP593" s="319" t="n"/>
      <c r="AQ593" s="319" t="n"/>
      <c r="AR593" s="319" t="n"/>
    </row>
    <row r="594" ht="15.75" customHeight="1" s="1264">
      <c r="A594" s="319" t="inlineStr">
        <is>
          <t> </t>
        </is>
      </c>
      <c r="B594" s="319" t="inlineStr">
        <is>
          <t> </t>
        </is>
      </c>
      <c r="C594" s="319" t="inlineStr">
        <is>
          <t> </t>
        </is>
      </c>
      <c r="D594" s="38" t="inlineStr">
        <is>
          <t> </t>
        </is>
      </c>
      <c r="E594" s="391" t="inlineStr">
        <is>
          <t> </t>
        </is>
      </c>
      <c r="F594" s="391" t="inlineStr">
        <is>
          <t> </t>
        </is>
      </c>
      <c r="G594" s="391" t="inlineStr">
        <is>
          <t> </t>
        </is>
      </c>
      <c r="H594" s="391" t="inlineStr">
        <is>
          <t> </t>
        </is>
      </c>
      <c r="I594" s="391" t="inlineStr">
        <is>
          <t> </t>
        </is>
      </c>
      <c r="J594" s="391" t="inlineStr">
        <is>
          <t> </t>
        </is>
      </c>
      <c r="K594" s="38" t="inlineStr">
        <is>
          <t> </t>
        </is>
      </c>
      <c r="L594" s="391" t="inlineStr">
        <is>
          <t> </t>
        </is>
      </c>
      <c r="M594" s="391" t="inlineStr">
        <is>
          <t> </t>
        </is>
      </c>
      <c r="N594" s="391" t="inlineStr">
        <is>
          <t> </t>
        </is>
      </c>
      <c r="O594" s="391" t="inlineStr">
        <is>
          <t> </t>
        </is>
      </c>
      <c r="P594" s="391" t="inlineStr">
        <is>
          <t> </t>
        </is>
      </c>
      <c r="Q594" s="391" t="inlineStr">
        <is>
          <t> </t>
        </is>
      </c>
      <c r="R594" s="38" t="inlineStr">
        <is>
          <t> </t>
        </is>
      </c>
      <c r="S594" s="391" t="inlineStr">
        <is>
          <t> </t>
        </is>
      </c>
      <c r="T594" s="391" t="inlineStr">
        <is>
          <t> </t>
        </is>
      </c>
      <c r="U594" s="391" t="inlineStr">
        <is>
          <t> </t>
        </is>
      </c>
      <c r="V594" s="391" t="inlineStr">
        <is>
          <t> </t>
        </is>
      </c>
      <c r="W594" s="391" t="inlineStr">
        <is>
          <t> </t>
        </is>
      </c>
      <c r="X594" s="391" t="inlineStr">
        <is>
          <t> </t>
        </is>
      </c>
      <c r="Y594" s="392" t="inlineStr">
        <is>
          <t> </t>
        </is>
      </c>
      <c r="Z594" s="391" t="inlineStr">
        <is>
          <t> </t>
        </is>
      </c>
      <c r="AA594" s="391" t="inlineStr">
        <is>
          <t> </t>
        </is>
      </c>
      <c r="AB594" s="391" t="inlineStr">
        <is>
          <t> </t>
        </is>
      </c>
      <c r="AC594" s="391" t="inlineStr">
        <is>
          <t> </t>
        </is>
      </c>
      <c r="AD594" s="391" t="inlineStr">
        <is>
          <t> </t>
        </is>
      </c>
      <c r="AE594" s="391" t="inlineStr">
        <is>
          <t> </t>
        </is>
      </c>
      <c r="AF594" s="38" t="inlineStr">
        <is>
          <t> </t>
        </is>
      </c>
      <c r="AG594" s="391" t="inlineStr">
        <is>
          <t> </t>
        </is>
      </c>
      <c r="AH594" s="391" t="n"/>
      <c r="AI594" s="391" t="inlineStr">
        <is>
          <t> </t>
        </is>
      </c>
      <c r="AJ594" s="391" t="inlineStr">
        <is>
          <t> </t>
        </is>
      </c>
      <c r="AK594" s="391" t="inlineStr">
        <is>
          <t> </t>
        </is>
      </c>
      <c r="AL594" s="391" t="inlineStr">
        <is>
          <t> </t>
        </is>
      </c>
      <c r="AM594" s="391" t="inlineStr">
        <is>
          <t> </t>
        </is>
      </c>
      <c r="AN594" s="391" t="inlineStr">
        <is>
          <t> </t>
        </is>
      </c>
      <c r="AO594" s="391" t="n"/>
      <c r="AP594" s="319" t="n"/>
      <c r="AQ594" s="319" t="n"/>
      <c r="AR594" s="319" t="n"/>
    </row>
    <row r="595" ht="15.75" customHeight="1" s="1264">
      <c r="A595" s="319" t="inlineStr">
        <is>
          <t> </t>
        </is>
      </c>
      <c r="B595" s="319" t="inlineStr">
        <is>
          <t> </t>
        </is>
      </c>
      <c r="C595" s="319" t="inlineStr">
        <is>
          <t> </t>
        </is>
      </c>
      <c r="D595" s="38" t="inlineStr">
        <is>
          <t> </t>
        </is>
      </c>
      <c r="E595" s="391" t="inlineStr">
        <is>
          <t> </t>
        </is>
      </c>
      <c r="F595" s="391" t="inlineStr">
        <is>
          <t> </t>
        </is>
      </c>
      <c r="G595" s="391" t="inlineStr">
        <is>
          <t> </t>
        </is>
      </c>
      <c r="H595" s="391" t="inlineStr">
        <is>
          <t> </t>
        </is>
      </c>
      <c r="I595" s="391" t="inlineStr">
        <is>
          <t> </t>
        </is>
      </c>
      <c r="J595" s="391" t="inlineStr">
        <is>
          <t> </t>
        </is>
      </c>
      <c r="K595" s="38" t="inlineStr">
        <is>
          <t> </t>
        </is>
      </c>
      <c r="L595" s="391" t="inlineStr">
        <is>
          <t> </t>
        </is>
      </c>
      <c r="M595" s="391" t="inlineStr">
        <is>
          <t> </t>
        </is>
      </c>
      <c r="N595" s="391" t="inlineStr">
        <is>
          <t> </t>
        </is>
      </c>
      <c r="O595" s="391" t="inlineStr">
        <is>
          <t> </t>
        </is>
      </c>
      <c r="P595" s="391" t="inlineStr">
        <is>
          <t> </t>
        </is>
      </c>
      <c r="Q595" s="391" t="inlineStr">
        <is>
          <t> </t>
        </is>
      </c>
      <c r="R595" s="38" t="inlineStr">
        <is>
          <t> </t>
        </is>
      </c>
      <c r="S595" s="391" t="inlineStr">
        <is>
          <t> </t>
        </is>
      </c>
      <c r="T595" s="391" t="inlineStr">
        <is>
          <t> </t>
        </is>
      </c>
      <c r="U595" s="391" t="inlineStr">
        <is>
          <t> </t>
        </is>
      </c>
      <c r="V595" s="391" t="inlineStr">
        <is>
          <t> </t>
        </is>
      </c>
      <c r="W595" s="391" t="inlineStr">
        <is>
          <t> </t>
        </is>
      </c>
      <c r="X595" s="391" t="inlineStr">
        <is>
          <t> </t>
        </is>
      </c>
      <c r="Y595" s="392" t="inlineStr">
        <is>
          <t> </t>
        </is>
      </c>
      <c r="Z595" s="391" t="inlineStr">
        <is>
          <t> </t>
        </is>
      </c>
      <c r="AA595" s="391" t="inlineStr">
        <is>
          <t> </t>
        </is>
      </c>
      <c r="AB595" s="391" t="inlineStr">
        <is>
          <t> </t>
        </is>
      </c>
      <c r="AC595" s="391" t="inlineStr">
        <is>
          <t> </t>
        </is>
      </c>
      <c r="AD595" s="391" t="inlineStr">
        <is>
          <t> </t>
        </is>
      </c>
      <c r="AE595" s="391" t="inlineStr">
        <is>
          <t> </t>
        </is>
      </c>
      <c r="AF595" s="38" t="inlineStr">
        <is>
          <t> </t>
        </is>
      </c>
      <c r="AG595" s="391" t="inlineStr">
        <is>
          <t> </t>
        </is>
      </c>
      <c r="AH595" s="391" t="n"/>
      <c r="AI595" s="391" t="inlineStr">
        <is>
          <t> </t>
        </is>
      </c>
      <c r="AJ595" s="391" t="inlineStr">
        <is>
          <t> </t>
        </is>
      </c>
      <c r="AK595" s="391" t="inlineStr">
        <is>
          <t> </t>
        </is>
      </c>
      <c r="AL595" s="391" t="inlineStr">
        <is>
          <t> </t>
        </is>
      </c>
      <c r="AM595" s="391" t="inlineStr">
        <is>
          <t> </t>
        </is>
      </c>
      <c r="AN595" s="391" t="inlineStr">
        <is>
          <t> </t>
        </is>
      </c>
      <c r="AO595" s="391" t="n"/>
      <c r="AP595" s="319" t="n"/>
      <c r="AQ595" s="319" t="n"/>
      <c r="AR595" s="319" t="n"/>
    </row>
    <row r="596" ht="15.75" customHeight="1" s="1264">
      <c r="A596" s="319" t="inlineStr">
        <is>
          <t> </t>
        </is>
      </c>
      <c r="B596" s="319" t="inlineStr">
        <is>
          <t> </t>
        </is>
      </c>
      <c r="C596" s="319" t="inlineStr">
        <is>
          <t> </t>
        </is>
      </c>
      <c r="D596" s="38" t="inlineStr">
        <is>
          <t> </t>
        </is>
      </c>
      <c r="E596" s="391" t="inlineStr">
        <is>
          <t> </t>
        </is>
      </c>
      <c r="F596" s="391" t="inlineStr">
        <is>
          <t> </t>
        </is>
      </c>
      <c r="G596" s="391" t="inlineStr">
        <is>
          <t> </t>
        </is>
      </c>
      <c r="H596" s="391" t="inlineStr">
        <is>
          <t> </t>
        </is>
      </c>
      <c r="I596" s="391" t="inlineStr">
        <is>
          <t> </t>
        </is>
      </c>
      <c r="J596" s="391" t="inlineStr">
        <is>
          <t> </t>
        </is>
      </c>
      <c r="K596" s="38" t="inlineStr">
        <is>
          <t> </t>
        </is>
      </c>
      <c r="L596" s="391" t="inlineStr">
        <is>
          <t> </t>
        </is>
      </c>
      <c r="M596" s="391" t="inlineStr">
        <is>
          <t> </t>
        </is>
      </c>
      <c r="N596" s="391" t="inlineStr">
        <is>
          <t> </t>
        </is>
      </c>
      <c r="O596" s="391" t="inlineStr">
        <is>
          <t> </t>
        </is>
      </c>
      <c r="P596" s="391" t="inlineStr">
        <is>
          <t> </t>
        </is>
      </c>
      <c r="Q596" s="391" t="inlineStr">
        <is>
          <t> </t>
        </is>
      </c>
      <c r="R596" s="38" t="inlineStr">
        <is>
          <t> </t>
        </is>
      </c>
      <c r="S596" s="391" t="inlineStr">
        <is>
          <t> </t>
        </is>
      </c>
      <c r="T596" s="391" t="inlineStr">
        <is>
          <t> </t>
        </is>
      </c>
      <c r="U596" s="391" t="inlineStr">
        <is>
          <t> </t>
        </is>
      </c>
      <c r="V596" s="391" t="inlineStr">
        <is>
          <t> </t>
        </is>
      </c>
      <c r="W596" s="391" t="inlineStr">
        <is>
          <t> </t>
        </is>
      </c>
      <c r="X596" s="391" t="inlineStr">
        <is>
          <t> </t>
        </is>
      </c>
      <c r="Y596" s="392" t="inlineStr">
        <is>
          <t> </t>
        </is>
      </c>
      <c r="Z596" s="391" t="inlineStr">
        <is>
          <t> </t>
        </is>
      </c>
      <c r="AA596" s="391" t="inlineStr">
        <is>
          <t> </t>
        </is>
      </c>
      <c r="AB596" s="391" t="inlineStr">
        <is>
          <t> </t>
        </is>
      </c>
      <c r="AC596" s="391" t="inlineStr">
        <is>
          <t> </t>
        </is>
      </c>
      <c r="AD596" s="391" t="inlineStr">
        <is>
          <t> </t>
        </is>
      </c>
      <c r="AE596" s="391" t="inlineStr">
        <is>
          <t> </t>
        </is>
      </c>
      <c r="AF596" s="38" t="inlineStr">
        <is>
          <t> </t>
        </is>
      </c>
      <c r="AG596" s="391" t="inlineStr">
        <is>
          <t> </t>
        </is>
      </c>
      <c r="AH596" s="391" t="n"/>
      <c r="AI596" s="391" t="inlineStr">
        <is>
          <t> </t>
        </is>
      </c>
      <c r="AJ596" s="391" t="inlineStr">
        <is>
          <t> </t>
        </is>
      </c>
      <c r="AK596" s="391" t="inlineStr">
        <is>
          <t> </t>
        </is>
      </c>
      <c r="AL596" s="391" t="inlineStr">
        <is>
          <t> </t>
        </is>
      </c>
      <c r="AM596" s="391" t="inlineStr">
        <is>
          <t> </t>
        </is>
      </c>
      <c r="AN596" s="391" t="inlineStr">
        <is>
          <t> </t>
        </is>
      </c>
      <c r="AO596" s="391" t="n"/>
      <c r="AP596" s="319" t="n"/>
      <c r="AQ596" s="319" t="n"/>
      <c r="AR596" s="319" t="n"/>
    </row>
    <row r="597" ht="15.75" customHeight="1" s="1264">
      <c r="A597" s="319" t="inlineStr">
        <is>
          <t> </t>
        </is>
      </c>
      <c r="B597" s="319" t="inlineStr">
        <is>
          <t> </t>
        </is>
      </c>
      <c r="C597" s="319" t="inlineStr">
        <is>
          <t> </t>
        </is>
      </c>
      <c r="D597" s="38" t="inlineStr">
        <is>
          <t> </t>
        </is>
      </c>
      <c r="E597" s="391" t="inlineStr">
        <is>
          <t> </t>
        </is>
      </c>
      <c r="F597" s="391" t="inlineStr">
        <is>
          <t> </t>
        </is>
      </c>
      <c r="G597" s="391" t="inlineStr">
        <is>
          <t> </t>
        </is>
      </c>
      <c r="H597" s="391" t="inlineStr">
        <is>
          <t> </t>
        </is>
      </c>
      <c r="I597" s="391" t="inlineStr">
        <is>
          <t> </t>
        </is>
      </c>
      <c r="J597" s="391" t="inlineStr">
        <is>
          <t> </t>
        </is>
      </c>
      <c r="K597" s="38" t="inlineStr">
        <is>
          <t> </t>
        </is>
      </c>
      <c r="L597" s="391" t="inlineStr">
        <is>
          <t> </t>
        </is>
      </c>
      <c r="M597" s="391" t="inlineStr">
        <is>
          <t> </t>
        </is>
      </c>
      <c r="N597" s="391" t="inlineStr">
        <is>
          <t> </t>
        </is>
      </c>
      <c r="O597" s="391" t="inlineStr">
        <is>
          <t> </t>
        </is>
      </c>
      <c r="P597" s="391" t="inlineStr">
        <is>
          <t> </t>
        </is>
      </c>
      <c r="Q597" s="391" t="inlineStr">
        <is>
          <t> </t>
        </is>
      </c>
      <c r="R597" s="38" t="inlineStr">
        <is>
          <t> </t>
        </is>
      </c>
      <c r="S597" s="391" t="inlineStr">
        <is>
          <t> </t>
        </is>
      </c>
      <c r="T597" s="391" t="inlineStr">
        <is>
          <t> </t>
        </is>
      </c>
      <c r="U597" s="391" t="inlineStr">
        <is>
          <t> </t>
        </is>
      </c>
      <c r="V597" s="391" t="inlineStr">
        <is>
          <t> </t>
        </is>
      </c>
      <c r="W597" s="391" t="inlineStr">
        <is>
          <t> </t>
        </is>
      </c>
      <c r="X597" s="391" t="inlineStr">
        <is>
          <t> </t>
        </is>
      </c>
      <c r="Y597" s="392" t="inlineStr">
        <is>
          <t> </t>
        </is>
      </c>
      <c r="Z597" s="391" t="inlineStr">
        <is>
          <t> </t>
        </is>
      </c>
      <c r="AA597" s="391" t="inlineStr">
        <is>
          <t> </t>
        </is>
      </c>
      <c r="AB597" s="391" t="inlineStr">
        <is>
          <t> </t>
        </is>
      </c>
      <c r="AC597" s="391" t="inlineStr">
        <is>
          <t> </t>
        </is>
      </c>
      <c r="AD597" s="391" t="inlineStr">
        <is>
          <t> </t>
        </is>
      </c>
      <c r="AE597" s="391" t="inlineStr">
        <is>
          <t> </t>
        </is>
      </c>
      <c r="AF597" s="38" t="inlineStr">
        <is>
          <t> </t>
        </is>
      </c>
      <c r="AG597" s="391" t="inlineStr">
        <is>
          <t> </t>
        </is>
      </c>
      <c r="AH597" s="391" t="n"/>
      <c r="AI597" s="391" t="inlineStr">
        <is>
          <t> </t>
        </is>
      </c>
      <c r="AJ597" s="391" t="inlineStr">
        <is>
          <t> </t>
        </is>
      </c>
      <c r="AK597" s="391" t="inlineStr">
        <is>
          <t> </t>
        </is>
      </c>
      <c r="AL597" s="391" t="inlineStr">
        <is>
          <t> </t>
        </is>
      </c>
      <c r="AM597" s="391" t="inlineStr">
        <is>
          <t> </t>
        </is>
      </c>
      <c r="AN597" s="391" t="inlineStr">
        <is>
          <t> </t>
        </is>
      </c>
      <c r="AO597" s="391" t="n"/>
      <c r="AP597" s="319" t="n"/>
      <c r="AQ597" s="319" t="n"/>
      <c r="AR597" s="319" t="n"/>
    </row>
    <row r="598" ht="15.75" customHeight="1" s="1264">
      <c r="A598" s="319" t="inlineStr">
        <is>
          <t> </t>
        </is>
      </c>
      <c r="B598" s="319" t="inlineStr">
        <is>
          <t> </t>
        </is>
      </c>
      <c r="C598" s="319" t="inlineStr">
        <is>
          <t> </t>
        </is>
      </c>
      <c r="D598" s="38" t="inlineStr">
        <is>
          <t> </t>
        </is>
      </c>
      <c r="E598" s="391" t="inlineStr">
        <is>
          <t> </t>
        </is>
      </c>
      <c r="F598" s="391" t="inlineStr">
        <is>
          <t> </t>
        </is>
      </c>
      <c r="G598" s="391" t="inlineStr">
        <is>
          <t> </t>
        </is>
      </c>
      <c r="H598" s="391" t="inlineStr">
        <is>
          <t> </t>
        </is>
      </c>
      <c r="I598" s="391" t="inlineStr">
        <is>
          <t> </t>
        </is>
      </c>
      <c r="J598" s="391" t="inlineStr">
        <is>
          <t> </t>
        </is>
      </c>
      <c r="K598" s="38" t="inlineStr">
        <is>
          <t> </t>
        </is>
      </c>
      <c r="L598" s="391" t="inlineStr">
        <is>
          <t> </t>
        </is>
      </c>
      <c r="M598" s="391" t="inlineStr">
        <is>
          <t> </t>
        </is>
      </c>
      <c r="N598" s="391" t="inlineStr">
        <is>
          <t> </t>
        </is>
      </c>
      <c r="O598" s="391" t="inlineStr">
        <is>
          <t> </t>
        </is>
      </c>
      <c r="P598" s="391" t="inlineStr">
        <is>
          <t> </t>
        </is>
      </c>
      <c r="Q598" s="391" t="inlineStr">
        <is>
          <t> </t>
        </is>
      </c>
      <c r="R598" s="38" t="inlineStr">
        <is>
          <t> </t>
        </is>
      </c>
      <c r="S598" s="391" t="inlineStr">
        <is>
          <t> </t>
        </is>
      </c>
      <c r="T598" s="391" t="inlineStr">
        <is>
          <t> </t>
        </is>
      </c>
      <c r="U598" s="391" t="inlineStr">
        <is>
          <t> </t>
        </is>
      </c>
      <c r="V598" s="391" t="inlineStr">
        <is>
          <t> </t>
        </is>
      </c>
      <c r="W598" s="391" t="inlineStr">
        <is>
          <t> </t>
        </is>
      </c>
      <c r="X598" s="391" t="inlineStr">
        <is>
          <t> </t>
        </is>
      </c>
      <c r="Y598" s="392" t="inlineStr">
        <is>
          <t> </t>
        </is>
      </c>
      <c r="Z598" s="391" t="inlineStr">
        <is>
          <t> </t>
        </is>
      </c>
      <c r="AA598" s="391" t="inlineStr">
        <is>
          <t> </t>
        </is>
      </c>
      <c r="AB598" s="391" t="inlineStr">
        <is>
          <t> </t>
        </is>
      </c>
      <c r="AC598" s="391" t="inlineStr">
        <is>
          <t> </t>
        </is>
      </c>
      <c r="AD598" s="391" t="inlineStr">
        <is>
          <t> </t>
        </is>
      </c>
      <c r="AE598" s="391" t="inlineStr">
        <is>
          <t> </t>
        </is>
      </c>
      <c r="AF598" s="38" t="inlineStr">
        <is>
          <t> </t>
        </is>
      </c>
      <c r="AG598" s="391" t="inlineStr">
        <is>
          <t> </t>
        </is>
      </c>
      <c r="AH598" s="391" t="n"/>
      <c r="AI598" s="391" t="inlineStr">
        <is>
          <t> </t>
        </is>
      </c>
      <c r="AJ598" s="391" t="inlineStr">
        <is>
          <t> </t>
        </is>
      </c>
      <c r="AK598" s="391" t="inlineStr">
        <is>
          <t> </t>
        </is>
      </c>
      <c r="AL598" s="391" t="inlineStr">
        <is>
          <t> </t>
        </is>
      </c>
      <c r="AM598" s="391" t="inlineStr">
        <is>
          <t> </t>
        </is>
      </c>
      <c r="AN598" s="391" t="inlineStr">
        <is>
          <t> </t>
        </is>
      </c>
      <c r="AO598" s="391" t="n"/>
      <c r="AP598" s="319" t="n"/>
      <c r="AQ598" s="319" t="n"/>
      <c r="AR598" s="319" t="n"/>
    </row>
    <row r="599" ht="15.75" customHeight="1" s="1264">
      <c r="A599" s="319" t="inlineStr">
        <is>
          <t> </t>
        </is>
      </c>
      <c r="B599" s="319" t="inlineStr">
        <is>
          <t> </t>
        </is>
      </c>
      <c r="C599" s="319" t="inlineStr">
        <is>
          <t> </t>
        </is>
      </c>
      <c r="D599" s="38" t="inlineStr">
        <is>
          <t> </t>
        </is>
      </c>
      <c r="E599" s="391" t="inlineStr">
        <is>
          <t> </t>
        </is>
      </c>
      <c r="F599" s="391" t="inlineStr">
        <is>
          <t> </t>
        </is>
      </c>
      <c r="G599" s="391" t="inlineStr">
        <is>
          <t> </t>
        </is>
      </c>
      <c r="H599" s="391" t="inlineStr">
        <is>
          <t> </t>
        </is>
      </c>
      <c r="I599" s="391" t="inlineStr">
        <is>
          <t> </t>
        </is>
      </c>
      <c r="J599" s="391" t="inlineStr">
        <is>
          <t> </t>
        </is>
      </c>
      <c r="K599" s="38" t="inlineStr">
        <is>
          <t> </t>
        </is>
      </c>
      <c r="L599" s="391" t="inlineStr">
        <is>
          <t> </t>
        </is>
      </c>
      <c r="M599" s="391" t="inlineStr">
        <is>
          <t> </t>
        </is>
      </c>
      <c r="N599" s="391" t="inlineStr">
        <is>
          <t> </t>
        </is>
      </c>
      <c r="O599" s="391" t="inlineStr">
        <is>
          <t> </t>
        </is>
      </c>
      <c r="P599" s="391" t="inlineStr">
        <is>
          <t> </t>
        </is>
      </c>
      <c r="Q599" s="391" t="inlineStr">
        <is>
          <t> </t>
        </is>
      </c>
      <c r="R599" s="38" t="inlineStr">
        <is>
          <t> </t>
        </is>
      </c>
      <c r="S599" s="391" t="inlineStr">
        <is>
          <t> </t>
        </is>
      </c>
      <c r="T599" s="391" t="inlineStr">
        <is>
          <t> </t>
        </is>
      </c>
      <c r="U599" s="391" t="inlineStr">
        <is>
          <t> </t>
        </is>
      </c>
      <c r="V599" s="391" t="inlineStr">
        <is>
          <t> </t>
        </is>
      </c>
      <c r="W599" s="391" t="inlineStr">
        <is>
          <t> </t>
        </is>
      </c>
      <c r="X599" s="391" t="inlineStr">
        <is>
          <t> </t>
        </is>
      </c>
      <c r="Y599" s="392" t="inlineStr">
        <is>
          <t> </t>
        </is>
      </c>
      <c r="Z599" s="391" t="inlineStr">
        <is>
          <t> </t>
        </is>
      </c>
      <c r="AA599" s="391" t="inlineStr">
        <is>
          <t> </t>
        </is>
      </c>
      <c r="AB599" s="391" t="inlineStr">
        <is>
          <t> </t>
        </is>
      </c>
      <c r="AC599" s="391" t="inlineStr">
        <is>
          <t> </t>
        </is>
      </c>
      <c r="AD599" s="391" t="inlineStr">
        <is>
          <t> </t>
        </is>
      </c>
      <c r="AE599" s="391" t="inlineStr">
        <is>
          <t> </t>
        </is>
      </c>
      <c r="AF599" s="38" t="inlineStr">
        <is>
          <t> </t>
        </is>
      </c>
      <c r="AG599" s="391" t="inlineStr">
        <is>
          <t> </t>
        </is>
      </c>
      <c r="AH599" s="391" t="n"/>
      <c r="AI599" s="391" t="inlineStr">
        <is>
          <t> </t>
        </is>
      </c>
      <c r="AJ599" s="391" t="inlineStr">
        <is>
          <t> </t>
        </is>
      </c>
      <c r="AK599" s="391" t="inlineStr">
        <is>
          <t> </t>
        </is>
      </c>
      <c r="AL599" s="391" t="inlineStr">
        <is>
          <t> </t>
        </is>
      </c>
      <c r="AM599" s="391" t="inlineStr">
        <is>
          <t> </t>
        </is>
      </c>
      <c r="AN599" s="391" t="inlineStr">
        <is>
          <t> </t>
        </is>
      </c>
      <c r="AO599" s="391" t="n"/>
      <c r="AP599" s="319" t="n"/>
      <c r="AQ599" s="319" t="n"/>
      <c r="AR599" s="319" t="n"/>
    </row>
    <row r="600" ht="15.75" customHeight="1" s="1264">
      <c r="A600" s="319" t="inlineStr">
        <is>
          <t> </t>
        </is>
      </c>
      <c r="B600" s="319" t="inlineStr">
        <is>
          <t> </t>
        </is>
      </c>
      <c r="C600" s="319" t="inlineStr">
        <is>
          <t> </t>
        </is>
      </c>
      <c r="D600" s="38" t="inlineStr">
        <is>
          <t> </t>
        </is>
      </c>
      <c r="E600" s="391" t="inlineStr">
        <is>
          <t> </t>
        </is>
      </c>
      <c r="F600" s="391" t="inlineStr">
        <is>
          <t> </t>
        </is>
      </c>
      <c r="G600" s="391" t="inlineStr">
        <is>
          <t> </t>
        </is>
      </c>
      <c r="H600" s="391" t="inlineStr">
        <is>
          <t> </t>
        </is>
      </c>
      <c r="I600" s="391" t="inlineStr">
        <is>
          <t> </t>
        </is>
      </c>
      <c r="J600" s="391" t="inlineStr">
        <is>
          <t> </t>
        </is>
      </c>
      <c r="K600" s="38" t="inlineStr">
        <is>
          <t> </t>
        </is>
      </c>
      <c r="L600" s="391" t="inlineStr">
        <is>
          <t> </t>
        </is>
      </c>
      <c r="M600" s="391" t="inlineStr">
        <is>
          <t> </t>
        </is>
      </c>
      <c r="N600" s="391" t="inlineStr">
        <is>
          <t> </t>
        </is>
      </c>
      <c r="O600" s="391" t="inlineStr">
        <is>
          <t> </t>
        </is>
      </c>
      <c r="P600" s="391" t="inlineStr">
        <is>
          <t> </t>
        </is>
      </c>
      <c r="Q600" s="391" t="inlineStr">
        <is>
          <t> </t>
        </is>
      </c>
      <c r="R600" s="38" t="inlineStr">
        <is>
          <t> </t>
        </is>
      </c>
      <c r="S600" s="391" t="inlineStr">
        <is>
          <t> </t>
        </is>
      </c>
      <c r="T600" s="391" t="inlineStr">
        <is>
          <t> </t>
        </is>
      </c>
      <c r="U600" s="391" t="inlineStr">
        <is>
          <t> </t>
        </is>
      </c>
      <c r="V600" s="391" t="inlineStr">
        <is>
          <t> </t>
        </is>
      </c>
      <c r="W600" s="391" t="inlineStr">
        <is>
          <t> </t>
        </is>
      </c>
      <c r="X600" s="391" t="inlineStr">
        <is>
          <t> </t>
        </is>
      </c>
      <c r="Y600" s="392" t="inlineStr">
        <is>
          <t> </t>
        </is>
      </c>
      <c r="Z600" s="391" t="inlineStr">
        <is>
          <t> </t>
        </is>
      </c>
      <c r="AA600" s="391" t="inlineStr">
        <is>
          <t> </t>
        </is>
      </c>
      <c r="AB600" s="391" t="inlineStr">
        <is>
          <t> </t>
        </is>
      </c>
      <c r="AC600" s="391" t="inlineStr">
        <is>
          <t> </t>
        </is>
      </c>
      <c r="AD600" s="391" t="inlineStr">
        <is>
          <t> </t>
        </is>
      </c>
      <c r="AE600" s="391" t="inlineStr">
        <is>
          <t> </t>
        </is>
      </c>
      <c r="AF600" s="38" t="inlineStr">
        <is>
          <t> </t>
        </is>
      </c>
      <c r="AG600" s="391" t="inlineStr">
        <is>
          <t> </t>
        </is>
      </c>
      <c r="AH600" s="391" t="n"/>
      <c r="AI600" s="391" t="inlineStr">
        <is>
          <t> </t>
        </is>
      </c>
      <c r="AJ600" s="391" t="inlineStr">
        <is>
          <t> </t>
        </is>
      </c>
      <c r="AK600" s="391" t="inlineStr">
        <is>
          <t> </t>
        </is>
      </c>
      <c r="AL600" s="391" t="inlineStr">
        <is>
          <t> </t>
        </is>
      </c>
      <c r="AM600" s="391" t="inlineStr">
        <is>
          <t> </t>
        </is>
      </c>
      <c r="AN600" s="391" t="inlineStr">
        <is>
          <t> </t>
        </is>
      </c>
      <c r="AO600" s="391" t="n"/>
      <c r="AP600" s="319" t="n"/>
      <c r="AQ600" s="319" t="n"/>
      <c r="AR600" s="319" t="n"/>
    </row>
    <row r="601" ht="15.75" customHeight="1" s="1264">
      <c r="A601" s="319" t="inlineStr">
        <is>
          <t> </t>
        </is>
      </c>
      <c r="B601" s="319" t="inlineStr">
        <is>
          <t> </t>
        </is>
      </c>
      <c r="C601" s="319" t="inlineStr">
        <is>
          <t> </t>
        </is>
      </c>
      <c r="D601" s="38" t="inlineStr">
        <is>
          <t> </t>
        </is>
      </c>
      <c r="E601" s="391" t="inlineStr">
        <is>
          <t> </t>
        </is>
      </c>
      <c r="F601" s="391" t="inlineStr">
        <is>
          <t> </t>
        </is>
      </c>
      <c r="G601" s="391" t="inlineStr">
        <is>
          <t> </t>
        </is>
      </c>
      <c r="H601" s="391" t="inlineStr">
        <is>
          <t> </t>
        </is>
      </c>
      <c r="I601" s="391" t="inlineStr">
        <is>
          <t> </t>
        </is>
      </c>
      <c r="J601" s="391" t="inlineStr">
        <is>
          <t> </t>
        </is>
      </c>
      <c r="K601" s="38" t="inlineStr">
        <is>
          <t> </t>
        </is>
      </c>
      <c r="L601" s="391" t="inlineStr">
        <is>
          <t> </t>
        </is>
      </c>
      <c r="M601" s="391" t="inlineStr">
        <is>
          <t> </t>
        </is>
      </c>
      <c r="N601" s="391" t="inlineStr">
        <is>
          <t> </t>
        </is>
      </c>
      <c r="O601" s="391" t="inlineStr">
        <is>
          <t> </t>
        </is>
      </c>
      <c r="P601" s="391" t="inlineStr">
        <is>
          <t> </t>
        </is>
      </c>
      <c r="Q601" s="391" t="inlineStr">
        <is>
          <t> </t>
        </is>
      </c>
      <c r="R601" s="38" t="inlineStr">
        <is>
          <t> </t>
        </is>
      </c>
      <c r="S601" s="391" t="inlineStr">
        <is>
          <t> </t>
        </is>
      </c>
      <c r="T601" s="391" t="inlineStr">
        <is>
          <t> </t>
        </is>
      </c>
      <c r="U601" s="391" t="inlineStr">
        <is>
          <t> </t>
        </is>
      </c>
      <c r="V601" s="391" t="inlineStr">
        <is>
          <t> </t>
        </is>
      </c>
      <c r="W601" s="391" t="inlineStr">
        <is>
          <t> </t>
        </is>
      </c>
      <c r="X601" s="391" t="inlineStr">
        <is>
          <t> </t>
        </is>
      </c>
      <c r="Y601" s="392" t="inlineStr">
        <is>
          <t> </t>
        </is>
      </c>
      <c r="Z601" s="391" t="inlineStr">
        <is>
          <t> </t>
        </is>
      </c>
      <c r="AA601" s="391" t="inlineStr">
        <is>
          <t> </t>
        </is>
      </c>
      <c r="AB601" s="391" t="inlineStr">
        <is>
          <t> </t>
        </is>
      </c>
      <c r="AC601" s="391" t="inlineStr">
        <is>
          <t> </t>
        </is>
      </c>
      <c r="AD601" s="391" t="inlineStr">
        <is>
          <t> </t>
        </is>
      </c>
      <c r="AE601" s="391" t="inlineStr">
        <is>
          <t> </t>
        </is>
      </c>
      <c r="AF601" s="38" t="inlineStr">
        <is>
          <t> </t>
        </is>
      </c>
      <c r="AG601" s="391" t="inlineStr">
        <is>
          <t> </t>
        </is>
      </c>
      <c r="AH601" s="391" t="n"/>
      <c r="AI601" s="391" t="inlineStr">
        <is>
          <t> </t>
        </is>
      </c>
      <c r="AJ601" s="391" t="inlineStr">
        <is>
          <t> </t>
        </is>
      </c>
      <c r="AK601" s="391" t="inlineStr">
        <is>
          <t> </t>
        </is>
      </c>
      <c r="AL601" s="391" t="inlineStr">
        <is>
          <t> </t>
        </is>
      </c>
      <c r="AM601" s="391" t="inlineStr">
        <is>
          <t> </t>
        </is>
      </c>
      <c r="AN601" s="391" t="inlineStr">
        <is>
          <t> </t>
        </is>
      </c>
      <c r="AO601" s="391" t="n"/>
      <c r="AP601" s="319" t="n"/>
      <c r="AQ601" s="319" t="n"/>
      <c r="AR601" s="319" t="n"/>
    </row>
    <row r="602" ht="15.75" customHeight="1" s="1264">
      <c r="A602" s="319" t="inlineStr">
        <is>
          <t> </t>
        </is>
      </c>
      <c r="B602" s="319" t="inlineStr">
        <is>
          <t> </t>
        </is>
      </c>
      <c r="C602" s="319" t="inlineStr">
        <is>
          <t> </t>
        </is>
      </c>
      <c r="D602" s="38" t="inlineStr">
        <is>
          <t> </t>
        </is>
      </c>
      <c r="E602" s="391" t="inlineStr">
        <is>
          <t> </t>
        </is>
      </c>
      <c r="F602" s="391" t="inlineStr">
        <is>
          <t> </t>
        </is>
      </c>
      <c r="G602" s="391" t="inlineStr">
        <is>
          <t> </t>
        </is>
      </c>
      <c r="H602" s="391" t="inlineStr">
        <is>
          <t> </t>
        </is>
      </c>
      <c r="I602" s="391" t="inlineStr">
        <is>
          <t> </t>
        </is>
      </c>
      <c r="J602" s="391" t="inlineStr">
        <is>
          <t> </t>
        </is>
      </c>
      <c r="K602" s="38" t="inlineStr">
        <is>
          <t> </t>
        </is>
      </c>
      <c r="L602" s="391" t="inlineStr">
        <is>
          <t> </t>
        </is>
      </c>
      <c r="M602" s="391" t="inlineStr">
        <is>
          <t> </t>
        </is>
      </c>
      <c r="N602" s="391" t="inlineStr">
        <is>
          <t> </t>
        </is>
      </c>
      <c r="O602" s="391" t="inlineStr">
        <is>
          <t> </t>
        </is>
      </c>
      <c r="P602" s="391" t="inlineStr">
        <is>
          <t> </t>
        </is>
      </c>
      <c r="Q602" s="391" t="inlineStr">
        <is>
          <t> </t>
        </is>
      </c>
      <c r="R602" s="38" t="inlineStr">
        <is>
          <t> </t>
        </is>
      </c>
      <c r="S602" s="391" t="inlineStr">
        <is>
          <t> </t>
        </is>
      </c>
      <c r="T602" s="391" t="inlineStr">
        <is>
          <t> </t>
        </is>
      </c>
      <c r="U602" s="391" t="inlineStr">
        <is>
          <t> </t>
        </is>
      </c>
      <c r="V602" s="391" t="inlineStr">
        <is>
          <t> </t>
        </is>
      </c>
      <c r="W602" s="391" t="inlineStr">
        <is>
          <t> </t>
        </is>
      </c>
      <c r="X602" s="391" t="inlineStr">
        <is>
          <t> </t>
        </is>
      </c>
      <c r="Y602" s="392" t="inlineStr">
        <is>
          <t> </t>
        </is>
      </c>
      <c r="Z602" s="391" t="inlineStr">
        <is>
          <t> </t>
        </is>
      </c>
      <c r="AA602" s="391" t="inlineStr">
        <is>
          <t> </t>
        </is>
      </c>
      <c r="AB602" s="391" t="inlineStr">
        <is>
          <t> </t>
        </is>
      </c>
      <c r="AC602" s="391" t="inlineStr">
        <is>
          <t> </t>
        </is>
      </c>
      <c r="AD602" s="391" t="inlineStr">
        <is>
          <t> </t>
        </is>
      </c>
      <c r="AE602" s="391" t="inlineStr">
        <is>
          <t> </t>
        </is>
      </c>
      <c r="AF602" s="38" t="inlineStr">
        <is>
          <t> </t>
        </is>
      </c>
      <c r="AG602" s="391" t="inlineStr">
        <is>
          <t> </t>
        </is>
      </c>
      <c r="AH602" s="391" t="n"/>
      <c r="AI602" s="391" t="inlineStr">
        <is>
          <t> </t>
        </is>
      </c>
      <c r="AJ602" s="391" t="inlineStr">
        <is>
          <t> </t>
        </is>
      </c>
      <c r="AK602" s="391" t="inlineStr">
        <is>
          <t> </t>
        </is>
      </c>
      <c r="AL602" s="391" t="inlineStr">
        <is>
          <t> </t>
        </is>
      </c>
      <c r="AM602" s="391" t="inlineStr">
        <is>
          <t> </t>
        </is>
      </c>
      <c r="AN602" s="391" t="inlineStr">
        <is>
          <t> </t>
        </is>
      </c>
      <c r="AO602" s="391" t="n"/>
      <c r="AP602" s="319" t="n"/>
      <c r="AQ602" s="319" t="n"/>
      <c r="AR602" s="319" t="n"/>
    </row>
    <row r="603" ht="15.75" customHeight="1" s="1264">
      <c r="A603" s="319" t="inlineStr">
        <is>
          <t> </t>
        </is>
      </c>
      <c r="B603" s="319" t="inlineStr">
        <is>
          <t> </t>
        </is>
      </c>
      <c r="C603" s="319" t="inlineStr">
        <is>
          <t> </t>
        </is>
      </c>
      <c r="D603" s="38" t="inlineStr">
        <is>
          <t> </t>
        </is>
      </c>
      <c r="E603" s="391" t="inlineStr">
        <is>
          <t> </t>
        </is>
      </c>
      <c r="F603" s="391" t="inlineStr">
        <is>
          <t> </t>
        </is>
      </c>
      <c r="G603" s="391" t="inlineStr">
        <is>
          <t> </t>
        </is>
      </c>
      <c r="H603" s="391" t="inlineStr">
        <is>
          <t> </t>
        </is>
      </c>
      <c r="I603" s="391" t="inlineStr">
        <is>
          <t> </t>
        </is>
      </c>
      <c r="J603" s="391" t="inlineStr">
        <is>
          <t> </t>
        </is>
      </c>
      <c r="K603" s="38" t="inlineStr">
        <is>
          <t> </t>
        </is>
      </c>
      <c r="L603" s="391" t="inlineStr">
        <is>
          <t> </t>
        </is>
      </c>
      <c r="M603" s="391" t="inlineStr">
        <is>
          <t> </t>
        </is>
      </c>
      <c r="N603" s="391" t="inlineStr">
        <is>
          <t> </t>
        </is>
      </c>
      <c r="O603" s="391" t="inlineStr">
        <is>
          <t> </t>
        </is>
      </c>
      <c r="P603" s="391" t="inlineStr">
        <is>
          <t> </t>
        </is>
      </c>
      <c r="Q603" s="391" t="inlineStr">
        <is>
          <t> </t>
        </is>
      </c>
      <c r="R603" s="38" t="inlineStr">
        <is>
          <t> </t>
        </is>
      </c>
      <c r="S603" s="391" t="inlineStr">
        <is>
          <t> </t>
        </is>
      </c>
      <c r="T603" s="391" t="inlineStr">
        <is>
          <t> </t>
        </is>
      </c>
      <c r="U603" s="391" t="inlineStr">
        <is>
          <t> </t>
        </is>
      </c>
      <c r="V603" s="391" t="inlineStr">
        <is>
          <t> </t>
        </is>
      </c>
      <c r="W603" s="391" t="inlineStr">
        <is>
          <t> </t>
        </is>
      </c>
      <c r="X603" s="391" t="inlineStr">
        <is>
          <t> </t>
        </is>
      </c>
      <c r="Y603" s="392" t="inlineStr">
        <is>
          <t> </t>
        </is>
      </c>
      <c r="Z603" s="391" t="inlineStr">
        <is>
          <t> </t>
        </is>
      </c>
      <c r="AA603" s="391" t="inlineStr">
        <is>
          <t> </t>
        </is>
      </c>
      <c r="AB603" s="391" t="inlineStr">
        <is>
          <t> </t>
        </is>
      </c>
      <c r="AC603" s="391" t="inlineStr">
        <is>
          <t> </t>
        </is>
      </c>
      <c r="AD603" s="391" t="inlineStr">
        <is>
          <t> </t>
        </is>
      </c>
      <c r="AE603" s="391" t="inlineStr">
        <is>
          <t> </t>
        </is>
      </c>
      <c r="AF603" s="38" t="inlineStr">
        <is>
          <t> </t>
        </is>
      </c>
      <c r="AG603" s="391" t="inlineStr">
        <is>
          <t> </t>
        </is>
      </c>
      <c r="AH603" s="391" t="n"/>
      <c r="AI603" s="391" t="inlineStr">
        <is>
          <t> </t>
        </is>
      </c>
      <c r="AJ603" s="391" t="inlineStr">
        <is>
          <t> </t>
        </is>
      </c>
      <c r="AK603" s="391" t="inlineStr">
        <is>
          <t> </t>
        </is>
      </c>
      <c r="AL603" s="391" t="inlineStr">
        <is>
          <t> </t>
        </is>
      </c>
      <c r="AM603" s="391" t="inlineStr">
        <is>
          <t> </t>
        </is>
      </c>
      <c r="AN603" s="391" t="inlineStr">
        <is>
          <t> </t>
        </is>
      </c>
      <c r="AO603" s="391" t="n"/>
      <c r="AP603" s="319" t="n"/>
      <c r="AQ603" s="319" t="n"/>
      <c r="AR603" s="319" t="n"/>
    </row>
    <row r="604" ht="15.75" customHeight="1" s="1264">
      <c r="A604" s="319" t="inlineStr">
        <is>
          <t> </t>
        </is>
      </c>
      <c r="B604" s="319" t="inlineStr">
        <is>
          <t> </t>
        </is>
      </c>
      <c r="C604" s="319" t="inlineStr">
        <is>
          <t> </t>
        </is>
      </c>
      <c r="D604" s="38" t="inlineStr">
        <is>
          <t> </t>
        </is>
      </c>
      <c r="E604" s="391" t="inlineStr">
        <is>
          <t> </t>
        </is>
      </c>
      <c r="F604" s="391" t="inlineStr">
        <is>
          <t> </t>
        </is>
      </c>
      <c r="G604" s="391" t="inlineStr">
        <is>
          <t> </t>
        </is>
      </c>
      <c r="H604" s="391" t="inlineStr">
        <is>
          <t> </t>
        </is>
      </c>
      <c r="I604" s="391" t="inlineStr">
        <is>
          <t> </t>
        </is>
      </c>
      <c r="J604" s="391" t="inlineStr">
        <is>
          <t> </t>
        </is>
      </c>
      <c r="K604" s="38" t="inlineStr">
        <is>
          <t> </t>
        </is>
      </c>
      <c r="L604" s="391" t="inlineStr">
        <is>
          <t> </t>
        </is>
      </c>
      <c r="M604" s="391" t="inlineStr">
        <is>
          <t> </t>
        </is>
      </c>
      <c r="N604" s="391" t="inlineStr">
        <is>
          <t> </t>
        </is>
      </c>
      <c r="O604" s="391" t="inlineStr">
        <is>
          <t> </t>
        </is>
      </c>
      <c r="P604" s="391" t="inlineStr">
        <is>
          <t> </t>
        </is>
      </c>
      <c r="Q604" s="391" t="inlineStr">
        <is>
          <t> </t>
        </is>
      </c>
      <c r="R604" s="38" t="inlineStr">
        <is>
          <t> </t>
        </is>
      </c>
      <c r="S604" s="391" t="inlineStr">
        <is>
          <t> </t>
        </is>
      </c>
      <c r="T604" s="391" t="inlineStr">
        <is>
          <t> </t>
        </is>
      </c>
      <c r="U604" s="391" t="inlineStr">
        <is>
          <t> </t>
        </is>
      </c>
      <c r="V604" s="391" t="inlineStr">
        <is>
          <t> </t>
        </is>
      </c>
      <c r="W604" s="391" t="inlineStr">
        <is>
          <t> </t>
        </is>
      </c>
      <c r="X604" s="391" t="inlineStr">
        <is>
          <t> </t>
        </is>
      </c>
      <c r="Y604" s="392" t="inlineStr">
        <is>
          <t> </t>
        </is>
      </c>
      <c r="Z604" s="391" t="inlineStr">
        <is>
          <t> </t>
        </is>
      </c>
      <c r="AA604" s="391" t="inlineStr">
        <is>
          <t> </t>
        </is>
      </c>
      <c r="AB604" s="391" t="inlineStr">
        <is>
          <t> </t>
        </is>
      </c>
      <c r="AC604" s="391" t="inlineStr">
        <is>
          <t> </t>
        </is>
      </c>
      <c r="AD604" s="391" t="inlineStr">
        <is>
          <t> </t>
        </is>
      </c>
      <c r="AE604" s="391" t="inlineStr">
        <is>
          <t> </t>
        </is>
      </c>
      <c r="AF604" s="38" t="inlineStr">
        <is>
          <t> </t>
        </is>
      </c>
      <c r="AG604" s="391" t="inlineStr">
        <is>
          <t> </t>
        </is>
      </c>
      <c r="AH604" s="391" t="n"/>
      <c r="AI604" s="391" t="inlineStr">
        <is>
          <t> </t>
        </is>
      </c>
      <c r="AJ604" s="391" t="inlineStr">
        <is>
          <t> </t>
        </is>
      </c>
      <c r="AK604" s="391" t="inlineStr">
        <is>
          <t> </t>
        </is>
      </c>
      <c r="AL604" s="391" t="inlineStr">
        <is>
          <t> </t>
        </is>
      </c>
      <c r="AM604" s="391" t="inlineStr">
        <is>
          <t> </t>
        </is>
      </c>
      <c r="AN604" s="391" t="inlineStr">
        <is>
          <t> </t>
        </is>
      </c>
      <c r="AO604" s="391" t="n"/>
      <c r="AP604" s="319" t="n"/>
      <c r="AQ604" s="319" t="n"/>
      <c r="AR604" s="319" t="n"/>
    </row>
    <row r="605" ht="15.75" customHeight="1" s="1264">
      <c r="A605" s="319" t="inlineStr">
        <is>
          <t> </t>
        </is>
      </c>
      <c r="B605" s="319" t="inlineStr">
        <is>
          <t> </t>
        </is>
      </c>
      <c r="C605" s="319" t="inlineStr">
        <is>
          <t> </t>
        </is>
      </c>
      <c r="D605" s="38" t="inlineStr">
        <is>
          <t> </t>
        </is>
      </c>
      <c r="E605" s="391" t="inlineStr">
        <is>
          <t> </t>
        </is>
      </c>
      <c r="F605" s="391" t="inlineStr">
        <is>
          <t> </t>
        </is>
      </c>
      <c r="G605" s="391" t="inlineStr">
        <is>
          <t> </t>
        </is>
      </c>
      <c r="H605" s="391" t="inlineStr">
        <is>
          <t> </t>
        </is>
      </c>
      <c r="I605" s="391" t="inlineStr">
        <is>
          <t> </t>
        </is>
      </c>
      <c r="J605" s="391" t="inlineStr">
        <is>
          <t> </t>
        </is>
      </c>
      <c r="K605" s="38" t="inlineStr">
        <is>
          <t> </t>
        </is>
      </c>
      <c r="L605" s="391" t="inlineStr">
        <is>
          <t> </t>
        </is>
      </c>
      <c r="M605" s="391" t="inlineStr">
        <is>
          <t> </t>
        </is>
      </c>
      <c r="N605" s="391" t="inlineStr">
        <is>
          <t> </t>
        </is>
      </c>
      <c r="O605" s="391" t="inlineStr">
        <is>
          <t> </t>
        </is>
      </c>
      <c r="P605" s="391" t="inlineStr">
        <is>
          <t> </t>
        </is>
      </c>
      <c r="Q605" s="391" t="inlineStr">
        <is>
          <t> </t>
        </is>
      </c>
      <c r="R605" s="38" t="inlineStr">
        <is>
          <t> </t>
        </is>
      </c>
      <c r="S605" s="391" t="inlineStr">
        <is>
          <t> </t>
        </is>
      </c>
      <c r="T605" s="391" t="inlineStr">
        <is>
          <t> </t>
        </is>
      </c>
      <c r="U605" s="391" t="inlineStr">
        <is>
          <t> </t>
        </is>
      </c>
      <c r="V605" s="391" t="inlineStr">
        <is>
          <t> </t>
        </is>
      </c>
      <c r="W605" s="391" t="inlineStr">
        <is>
          <t> </t>
        </is>
      </c>
      <c r="X605" s="391" t="inlineStr">
        <is>
          <t> </t>
        </is>
      </c>
      <c r="Y605" s="392" t="inlineStr">
        <is>
          <t> </t>
        </is>
      </c>
      <c r="Z605" s="391" t="inlineStr">
        <is>
          <t> </t>
        </is>
      </c>
      <c r="AA605" s="391" t="inlineStr">
        <is>
          <t> </t>
        </is>
      </c>
      <c r="AB605" s="391" t="inlineStr">
        <is>
          <t> </t>
        </is>
      </c>
      <c r="AC605" s="391" t="inlineStr">
        <is>
          <t> </t>
        </is>
      </c>
      <c r="AD605" s="391" t="inlineStr">
        <is>
          <t> </t>
        </is>
      </c>
      <c r="AE605" s="391" t="inlineStr">
        <is>
          <t> </t>
        </is>
      </c>
      <c r="AF605" s="38" t="inlineStr">
        <is>
          <t> </t>
        </is>
      </c>
      <c r="AG605" s="391" t="inlineStr">
        <is>
          <t> </t>
        </is>
      </c>
      <c r="AH605" s="391" t="n"/>
      <c r="AI605" s="391" t="inlineStr">
        <is>
          <t> </t>
        </is>
      </c>
      <c r="AJ605" s="391" t="inlineStr">
        <is>
          <t> </t>
        </is>
      </c>
      <c r="AK605" s="391" t="inlineStr">
        <is>
          <t> </t>
        </is>
      </c>
      <c r="AL605" s="391" t="inlineStr">
        <is>
          <t> </t>
        </is>
      </c>
      <c r="AM605" s="391" t="inlineStr">
        <is>
          <t> </t>
        </is>
      </c>
      <c r="AN605" s="391" t="inlineStr">
        <is>
          <t> </t>
        </is>
      </c>
      <c r="AO605" s="391" t="n"/>
      <c r="AP605" s="319" t="n"/>
      <c r="AQ605" s="319" t="n"/>
      <c r="AR605" s="319" t="n"/>
    </row>
    <row r="606" ht="15.75" customHeight="1" s="1264">
      <c r="A606" s="319" t="inlineStr">
        <is>
          <t> </t>
        </is>
      </c>
      <c r="B606" s="319" t="inlineStr">
        <is>
          <t> </t>
        </is>
      </c>
      <c r="C606" s="319" t="inlineStr">
        <is>
          <t> </t>
        </is>
      </c>
      <c r="D606" s="38" t="inlineStr">
        <is>
          <t> </t>
        </is>
      </c>
      <c r="E606" s="391" t="inlineStr">
        <is>
          <t> </t>
        </is>
      </c>
      <c r="F606" s="391" t="inlineStr">
        <is>
          <t> </t>
        </is>
      </c>
      <c r="G606" s="391" t="inlineStr">
        <is>
          <t> </t>
        </is>
      </c>
      <c r="H606" s="391" t="inlineStr">
        <is>
          <t> </t>
        </is>
      </c>
      <c r="I606" s="391" t="inlineStr">
        <is>
          <t> </t>
        </is>
      </c>
      <c r="J606" s="391" t="inlineStr">
        <is>
          <t> </t>
        </is>
      </c>
      <c r="K606" s="38" t="inlineStr">
        <is>
          <t> </t>
        </is>
      </c>
      <c r="L606" s="391" t="inlineStr">
        <is>
          <t> </t>
        </is>
      </c>
      <c r="M606" s="391" t="inlineStr">
        <is>
          <t> </t>
        </is>
      </c>
      <c r="N606" s="391" t="inlineStr">
        <is>
          <t> </t>
        </is>
      </c>
      <c r="O606" s="391" t="inlineStr">
        <is>
          <t> </t>
        </is>
      </c>
      <c r="P606" s="391" t="inlineStr">
        <is>
          <t> </t>
        </is>
      </c>
      <c r="Q606" s="391" t="inlineStr">
        <is>
          <t> </t>
        </is>
      </c>
      <c r="R606" s="38" t="inlineStr">
        <is>
          <t> </t>
        </is>
      </c>
      <c r="S606" s="391" t="inlineStr">
        <is>
          <t> </t>
        </is>
      </c>
      <c r="T606" s="391" t="inlineStr">
        <is>
          <t> </t>
        </is>
      </c>
      <c r="U606" s="391" t="inlineStr">
        <is>
          <t> </t>
        </is>
      </c>
      <c r="V606" s="391" t="inlineStr">
        <is>
          <t> </t>
        </is>
      </c>
      <c r="W606" s="391" t="inlineStr">
        <is>
          <t> </t>
        </is>
      </c>
      <c r="X606" s="391" t="inlineStr">
        <is>
          <t> </t>
        </is>
      </c>
      <c r="Y606" s="392" t="inlineStr">
        <is>
          <t> </t>
        </is>
      </c>
      <c r="Z606" s="391" t="inlineStr">
        <is>
          <t> </t>
        </is>
      </c>
      <c r="AA606" s="391" t="inlineStr">
        <is>
          <t> </t>
        </is>
      </c>
      <c r="AB606" s="391" t="inlineStr">
        <is>
          <t> </t>
        </is>
      </c>
      <c r="AC606" s="391" t="inlineStr">
        <is>
          <t> </t>
        </is>
      </c>
      <c r="AD606" s="391" t="inlineStr">
        <is>
          <t> </t>
        </is>
      </c>
      <c r="AE606" s="391" t="inlineStr">
        <is>
          <t> </t>
        </is>
      </c>
      <c r="AF606" s="38" t="inlineStr">
        <is>
          <t> </t>
        </is>
      </c>
      <c r="AG606" s="391" t="inlineStr">
        <is>
          <t> </t>
        </is>
      </c>
      <c r="AH606" s="391" t="n"/>
      <c r="AI606" s="391" t="inlineStr">
        <is>
          <t> </t>
        </is>
      </c>
      <c r="AJ606" s="391" t="inlineStr">
        <is>
          <t> </t>
        </is>
      </c>
      <c r="AK606" s="391" t="inlineStr">
        <is>
          <t> </t>
        </is>
      </c>
      <c r="AL606" s="391" t="inlineStr">
        <is>
          <t> </t>
        </is>
      </c>
      <c r="AM606" s="391" t="inlineStr">
        <is>
          <t> </t>
        </is>
      </c>
      <c r="AN606" s="391" t="inlineStr">
        <is>
          <t> </t>
        </is>
      </c>
      <c r="AO606" s="391" t="n"/>
      <c r="AP606" s="319" t="n"/>
      <c r="AQ606" s="319" t="n"/>
      <c r="AR606" s="319" t="n"/>
    </row>
    <row r="607" ht="15.75" customHeight="1" s="1264">
      <c r="A607" s="319" t="inlineStr">
        <is>
          <t> </t>
        </is>
      </c>
      <c r="B607" s="319" t="inlineStr">
        <is>
          <t> </t>
        </is>
      </c>
      <c r="C607" s="319" t="inlineStr">
        <is>
          <t> </t>
        </is>
      </c>
      <c r="D607" s="38" t="inlineStr">
        <is>
          <t> </t>
        </is>
      </c>
      <c r="E607" s="391" t="inlineStr">
        <is>
          <t> </t>
        </is>
      </c>
      <c r="F607" s="391" t="inlineStr">
        <is>
          <t> </t>
        </is>
      </c>
      <c r="G607" s="391" t="inlineStr">
        <is>
          <t> </t>
        </is>
      </c>
      <c r="H607" s="391" t="inlineStr">
        <is>
          <t> </t>
        </is>
      </c>
      <c r="I607" s="391" t="inlineStr">
        <is>
          <t> </t>
        </is>
      </c>
      <c r="J607" s="391" t="inlineStr">
        <is>
          <t> </t>
        </is>
      </c>
      <c r="K607" s="38" t="inlineStr">
        <is>
          <t> </t>
        </is>
      </c>
      <c r="L607" s="391" t="inlineStr">
        <is>
          <t> </t>
        </is>
      </c>
      <c r="M607" s="391" t="inlineStr">
        <is>
          <t> </t>
        </is>
      </c>
      <c r="N607" s="391" t="inlineStr">
        <is>
          <t> </t>
        </is>
      </c>
      <c r="O607" s="391" t="inlineStr">
        <is>
          <t> </t>
        </is>
      </c>
      <c r="P607" s="391" t="inlineStr">
        <is>
          <t> </t>
        </is>
      </c>
      <c r="Q607" s="391" t="inlineStr">
        <is>
          <t> </t>
        </is>
      </c>
      <c r="R607" s="38" t="inlineStr">
        <is>
          <t> </t>
        </is>
      </c>
      <c r="S607" s="391" t="inlineStr">
        <is>
          <t> </t>
        </is>
      </c>
      <c r="T607" s="391" t="inlineStr">
        <is>
          <t> </t>
        </is>
      </c>
      <c r="U607" s="391" t="inlineStr">
        <is>
          <t> </t>
        </is>
      </c>
      <c r="V607" s="391" t="inlineStr">
        <is>
          <t> </t>
        </is>
      </c>
      <c r="W607" s="391" t="inlineStr">
        <is>
          <t> </t>
        </is>
      </c>
      <c r="X607" s="391" t="inlineStr">
        <is>
          <t> </t>
        </is>
      </c>
      <c r="Y607" s="392" t="inlineStr">
        <is>
          <t> </t>
        </is>
      </c>
      <c r="Z607" s="391" t="inlineStr">
        <is>
          <t> </t>
        </is>
      </c>
      <c r="AA607" s="391" t="inlineStr">
        <is>
          <t> </t>
        </is>
      </c>
      <c r="AB607" s="391" t="inlineStr">
        <is>
          <t> </t>
        </is>
      </c>
      <c r="AC607" s="391" t="inlineStr">
        <is>
          <t> </t>
        </is>
      </c>
      <c r="AD607" s="391" t="inlineStr">
        <is>
          <t> </t>
        </is>
      </c>
      <c r="AE607" s="391" t="inlineStr">
        <is>
          <t> </t>
        </is>
      </c>
      <c r="AF607" s="38" t="inlineStr">
        <is>
          <t> </t>
        </is>
      </c>
      <c r="AG607" s="391" t="inlineStr">
        <is>
          <t> </t>
        </is>
      </c>
      <c r="AH607" s="391" t="n"/>
      <c r="AI607" s="391" t="inlineStr">
        <is>
          <t> </t>
        </is>
      </c>
      <c r="AJ607" s="391" t="inlineStr">
        <is>
          <t> </t>
        </is>
      </c>
      <c r="AK607" s="391" t="inlineStr">
        <is>
          <t> </t>
        </is>
      </c>
      <c r="AL607" s="391" t="inlineStr">
        <is>
          <t> </t>
        </is>
      </c>
      <c r="AM607" s="391" t="inlineStr">
        <is>
          <t> </t>
        </is>
      </c>
      <c r="AN607" s="391" t="inlineStr">
        <is>
          <t> </t>
        </is>
      </c>
      <c r="AO607" s="391" t="n"/>
      <c r="AP607" s="319" t="n"/>
      <c r="AQ607" s="319" t="n"/>
      <c r="AR607" s="319" t="n"/>
    </row>
    <row r="608" ht="15.75" customHeight="1" s="1264">
      <c r="A608" s="319" t="inlineStr">
        <is>
          <t> </t>
        </is>
      </c>
      <c r="B608" s="319" t="inlineStr">
        <is>
          <t> </t>
        </is>
      </c>
      <c r="C608" s="319" t="inlineStr">
        <is>
          <t> </t>
        </is>
      </c>
      <c r="D608" s="38" t="inlineStr">
        <is>
          <t> </t>
        </is>
      </c>
      <c r="E608" s="391" t="inlineStr">
        <is>
          <t> </t>
        </is>
      </c>
      <c r="F608" s="391" t="inlineStr">
        <is>
          <t> </t>
        </is>
      </c>
      <c r="G608" s="391" t="inlineStr">
        <is>
          <t> </t>
        </is>
      </c>
      <c r="H608" s="391" t="inlineStr">
        <is>
          <t> </t>
        </is>
      </c>
      <c r="I608" s="391" t="inlineStr">
        <is>
          <t> </t>
        </is>
      </c>
      <c r="J608" s="391" t="inlineStr">
        <is>
          <t> </t>
        </is>
      </c>
      <c r="K608" s="38" t="inlineStr">
        <is>
          <t> </t>
        </is>
      </c>
      <c r="L608" s="391" t="inlineStr">
        <is>
          <t> </t>
        </is>
      </c>
      <c r="M608" s="391" t="inlineStr">
        <is>
          <t> </t>
        </is>
      </c>
      <c r="N608" s="391" t="inlineStr">
        <is>
          <t> </t>
        </is>
      </c>
      <c r="O608" s="391" t="inlineStr">
        <is>
          <t> </t>
        </is>
      </c>
      <c r="P608" s="391" t="inlineStr">
        <is>
          <t> </t>
        </is>
      </c>
      <c r="Q608" s="391" t="inlineStr">
        <is>
          <t> </t>
        </is>
      </c>
      <c r="R608" s="38" t="inlineStr">
        <is>
          <t> </t>
        </is>
      </c>
      <c r="S608" s="391" t="inlineStr">
        <is>
          <t> </t>
        </is>
      </c>
      <c r="T608" s="391" t="inlineStr">
        <is>
          <t> </t>
        </is>
      </c>
      <c r="U608" s="391" t="inlineStr">
        <is>
          <t> </t>
        </is>
      </c>
      <c r="V608" s="391" t="inlineStr">
        <is>
          <t> </t>
        </is>
      </c>
      <c r="W608" s="391" t="inlineStr">
        <is>
          <t> </t>
        </is>
      </c>
      <c r="X608" s="391" t="inlineStr">
        <is>
          <t> </t>
        </is>
      </c>
      <c r="Y608" s="392" t="inlineStr">
        <is>
          <t> </t>
        </is>
      </c>
      <c r="Z608" s="391" t="inlineStr">
        <is>
          <t> </t>
        </is>
      </c>
      <c r="AA608" s="391" t="inlineStr">
        <is>
          <t> </t>
        </is>
      </c>
      <c r="AB608" s="391" t="inlineStr">
        <is>
          <t> </t>
        </is>
      </c>
      <c r="AC608" s="391" t="inlineStr">
        <is>
          <t> </t>
        </is>
      </c>
      <c r="AD608" s="391" t="inlineStr">
        <is>
          <t> </t>
        </is>
      </c>
      <c r="AE608" s="391" t="inlineStr">
        <is>
          <t> </t>
        </is>
      </c>
      <c r="AF608" s="38" t="inlineStr">
        <is>
          <t> </t>
        </is>
      </c>
      <c r="AG608" s="391" t="inlineStr">
        <is>
          <t> </t>
        </is>
      </c>
      <c r="AH608" s="391" t="n"/>
      <c r="AI608" s="391" t="inlineStr">
        <is>
          <t> </t>
        </is>
      </c>
      <c r="AJ608" s="391" t="inlineStr">
        <is>
          <t> </t>
        </is>
      </c>
      <c r="AK608" s="391" t="inlineStr">
        <is>
          <t> </t>
        </is>
      </c>
      <c r="AL608" s="391" t="inlineStr">
        <is>
          <t> </t>
        </is>
      </c>
      <c r="AM608" s="391" t="inlineStr">
        <is>
          <t> </t>
        </is>
      </c>
      <c r="AN608" s="391" t="inlineStr">
        <is>
          <t> </t>
        </is>
      </c>
      <c r="AO608" s="391" t="n"/>
      <c r="AP608" s="319" t="n"/>
      <c r="AQ608" s="319" t="n"/>
      <c r="AR608" s="319" t="n"/>
    </row>
    <row r="609" ht="15.75" customHeight="1" s="1264">
      <c r="A609" s="319" t="inlineStr">
        <is>
          <t> </t>
        </is>
      </c>
      <c r="B609" s="319" t="inlineStr">
        <is>
          <t> </t>
        </is>
      </c>
      <c r="C609" s="319" t="inlineStr">
        <is>
          <t> </t>
        </is>
      </c>
      <c r="D609" s="38" t="inlineStr">
        <is>
          <t> </t>
        </is>
      </c>
      <c r="E609" s="391" t="inlineStr">
        <is>
          <t> </t>
        </is>
      </c>
      <c r="F609" s="391" t="inlineStr">
        <is>
          <t> </t>
        </is>
      </c>
      <c r="G609" s="391" t="inlineStr">
        <is>
          <t> </t>
        </is>
      </c>
      <c r="H609" s="391" t="inlineStr">
        <is>
          <t> </t>
        </is>
      </c>
      <c r="I609" s="391" t="inlineStr">
        <is>
          <t> </t>
        </is>
      </c>
      <c r="J609" s="391" t="inlineStr">
        <is>
          <t> </t>
        </is>
      </c>
      <c r="K609" s="38" t="inlineStr">
        <is>
          <t> </t>
        </is>
      </c>
      <c r="L609" s="391" t="inlineStr">
        <is>
          <t> </t>
        </is>
      </c>
      <c r="M609" s="391" t="inlineStr">
        <is>
          <t> </t>
        </is>
      </c>
      <c r="N609" s="391" t="inlineStr">
        <is>
          <t> </t>
        </is>
      </c>
      <c r="O609" s="391" t="inlineStr">
        <is>
          <t> </t>
        </is>
      </c>
      <c r="P609" s="391" t="inlineStr">
        <is>
          <t> </t>
        </is>
      </c>
      <c r="Q609" s="391" t="inlineStr">
        <is>
          <t> </t>
        </is>
      </c>
      <c r="R609" s="38" t="inlineStr">
        <is>
          <t> </t>
        </is>
      </c>
      <c r="S609" s="391" t="inlineStr">
        <is>
          <t> </t>
        </is>
      </c>
      <c r="T609" s="391" t="inlineStr">
        <is>
          <t> </t>
        </is>
      </c>
      <c r="U609" s="391" t="inlineStr">
        <is>
          <t> </t>
        </is>
      </c>
      <c r="V609" s="391" t="inlineStr">
        <is>
          <t> </t>
        </is>
      </c>
      <c r="W609" s="391" t="inlineStr">
        <is>
          <t> </t>
        </is>
      </c>
      <c r="X609" s="391" t="inlineStr">
        <is>
          <t> </t>
        </is>
      </c>
      <c r="Y609" s="392" t="inlineStr">
        <is>
          <t> </t>
        </is>
      </c>
      <c r="Z609" s="391" t="inlineStr">
        <is>
          <t> </t>
        </is>
      </c>
      <c r="AA609" s="391" t="inlineStr">
        <is>
          <t> </t>
        </is>
      </c>
      <c r="AB609" s="391" t="inlineStr">
        <is>
          <t> </t>
        </is>
      </c>
      <c r="AC609" s="391" t="inlineStr">
        <is>
          <t> </t>
        </is>
      </c>
      <c r="AD609" s="391" t="inlineStr">
        <is>
          <t> </t>
        </is>
      </c>
      <c r="AE609" s="391" t="inlineStr">
        <is>
          <t> </t>
        </is>
      </c>
      <c r="AF609" s="38" t="inlineStr">
        <is>
          <t> </t>
        </is>
      </c>
      <c r="AG609" s="391" t="inlineStr">
        <is>
          <t> </t>
        </is>
      </c>
      <c r="AH609" s="391" t="n"/>
      <c r="AI609" s="391" t="inlineStr">
        <is>
          <t> </t>
        </is>
      </c>
      <c r="AJ609" s="391" t="inlineStr">
        <is>
          <t> </t>
        </is>
      </c>
      <c r="AK609" s="391" t="inlineStr">
        <is>
          <t> </t>
        </is>
      </c>
      <c r="AL609" s="391" t="inlineStr">
        <is>
          <t> </t>
        </is>
      </c>
      <c r="AM609" s="391" t="inlineStr">
        <is>
          <t> </t>
        </is>
      </c>
      <c r="AN609" s="391" t="inlineStr">
        <is>
          <t> </t>
        </is>
      </c>
      <c r="AO609" s="391" t="n"/>
      <c r="AP609" s="319" t="n"/>
      <c r="AQ609" s="319" t="n"/>
      <c r="AR609" s="319" t="n"/>
    </row>
    <row r="610" ht="15.75" customHeight="1" s="1264">
      <c r="A610" s="319" t="inlineStr">
        <is>
          <t> </t>
        </is>
      </c>
      <c r="B610" s="319" t="inlineStr">
        <is>
          <t> </t>
        </is>
      </c>
      <c r="C610" s="319" t="inlineStr">
        <is>
          <t> </t>
        </is>
      </c>
      <c r="D610" s="38" t="inlineStr">
        <is>
          <t> </t>
        </is>
      </c>
      <c r="E610" s="391" t="inlineStr">
        <is>
          <t> </t>
        </is>
      </c>
      <c r="F610" s="391" t="inlineStr">
        <is>
          <t> </t>
        </is>
      </c>
      <c r="G610" s="391" t="inlineStr">
        <is>
          <t> </t>
        </is>
      </c>
      <c r="H610" s="391" t="inlineStr">
        <is>
          <t> </t>
        </is>
      </c>
      <c r="I610" s="391" t="inlineStr">
        <is>
          <t> </t>
        </is>
      </c>
      <c r="J610" s="391" t="inlineStr">
        <is>
          <t> </t>
        </is>
      </c>
      <c r="K610" s="38" t="inlineStr">
        <is>
          <t> </t>
        </is>
      </c>
      <c r="L610" s="391" t="inlineStr">
        <is>
          <t> </t>
        </is>
      </c>
      <c r="M610" s="391" t="inlineStr">
        <is>
          <t> </t>
        </is>
      </c>
      <c r="N610" s="391" t="inlineStr">
        <is>
          <t> </t>
        </is>
      </c>
      <c r="O610" s="391" t="inlineStr">
        <is>
          <t> </t>
        </is>
      </c>
      <c r="P610" s="391" t="inlineStr">
        <is>
          <t> </t>
        </is>
      </c>
      <c r="Q610" s="391" t="inlineStr">
        <is>
          <t> </t>
        </is>
      </c>
      <c r="R610" s="38" t="inlineStr">
        <is>
          <t> </t>
        </is>
      </c>
      <c r="S610" s="391" t="inlineStr">
        <is>
          <t> </t>
        </is>
      </c>
      <c r="T610" s="391" t="inlineStr">
        <is>
          <t> </t>
        </is>
      </c>
      <c r="U610" s="391" t="inlineStr">
        <is>
          <t> </t>
        </is>
      </c>
      <c r="V610" s="391" t="inlineStr">
        <is>
          <t> </t>
        </is>
      </c>
      <c r="W610" s="391" t="inlineStr">
        <is>
          <t> </t>
        </is>
      </c>
      <c r="X610" s="391" t="inlineStr">
        <is>
          <t> </t>
        </is>
      </c>
      <c r="Y610" s="392" t="inlineStr">
        <is>
          <t> </t>
        </is>
      </c>
      <c r="Z610" s="391" t="inlineStr">
        <is>
          <t> </t>
        </is>
      </c>
      <c r="AA610" s="391" t="inlineStr">
        <is>
          <t> </t>
        </is>
      </c>
      <c r="AB610" s="391" t="inlineStr">
        <is>
          <t> </t>
        </is>
      </c>
      <c r="AC610" s="391" t="inlineStr">
        <is>
          <t> </t>
        </is>
      </c>
      <c r="AD610" s="391" t="inlineStr">
        <is>
          <t> </t>
        </is>
      </c>
      <c r="AE610" s="391" t="inlineStr">
        <is>
          <t> </t>
        </is>
      </c>
      <c r="AF610" s="38" t="inlineStr">
        <is>
          <t> </t>
        </is>
      </c>
      <c r="AG610" s="391" t="inlineStr">
        <is>
          <t> </t>
        </is>
      </c>
      <c r="AH610" s="391" t="n"/>
      <c r="AI610" s="391" t="inlineStr">
        <is>
          <t> </t>
        </is>
      </c>
      <c r="AJ610" s="391" t="inlineStr">
        <is>
          <t> </t>
        </is>
      </c>
      <c r="AK610" s="391" t="inlineStr">
        <is>
          <t> </t>
        </is>
      </c>
      <c r="AL610" s="391" t="inlineStr">
        <is>
          <t> </t>
        </is>
      </c>
      <c r="AM610" s="391" t="inlineStr">
        <is>
          <t> </t>
        </is>
      </c>
      <c r="AN610" s="391" t="inlineStr">
        <is>
          <t> </t>
        </is>
      </c>
      <c r="AO610" s="391" t="n"/>
      <c r="AP610" s="319" t="n"/>
      <c r="AQ610" s="319" t="n"/>
      <c r="AR610" s="319" t="n"/>
    </row>
    <row r="611" ht="15.75" customHeight="1" s="1264">
      <c r="A611" s="319" t="inlineStr">
        <is>
          <t> </t>
        </is>
      </c>
      <c r="B611" s="319" t="inlineStr">
        <is>
          <t> </t>
        </is>
      </c>
      <c r="C611" s="319" t="inlineStr">
        <is>
          <t> </t>
        </is>
      </c>
      <c r="D611" s="38" t="inlineStr">
        <is>
          <t> </t>
        </is>
      </c>
      <c r="E611" s="391" t="inlineStr">
        <is>
          <t> </t>
        </is>
      </c>
      <c r="F611" s="391" t="inlineStr">
        <is>
          <t> </t>
        </is>
      </c>
      <c r="G611" s="391" t="inlineStr">
        <is>
          <t> </t>
        </is>
      </c>
      <c r="H611" s="391" t="inlineStr">
        <is>
          <t> </t>
        </is>
      </c>
      <c r="I611" s="391" t="inlineStr">
        <is>
          <t> </t>
        </is>
      </c>
      <c r="J611" s="391" t="inlineStr">
        <is>
          <t> </t>
        </is>
      </c>
      <c r="K611" s="38" t="inlineStr">
        <is>
          <t> </t>
        </is>
      </c>
      <c r="L611" s="391" t="inlineStr">
        <is>
          <t> </t>
        </is>
      </c>
      <c r="M611" s="391" t="inlineStr">
        <is>
          <t> </t>
        </is>
      </c>
      <c r="N611" s="391" t="inlineStr">
        <is>
          <t> </t>
        </is>
      </c>
      <c r="O611" s="391" t="inlineStr">
        <is>
          <t> </t>
        </is>
      </c>
      <c r="P611" s="391" t="inlineStr">
        <is>
          <t> </t>
        </is>
      </c>
      <c r="Q611" s="391" t="inlineStr">
        <is>
          <t> </t>
        </is>
      </c>
      <c r="R611" s="38" t="inlineStr">
        <is>
          <t> </t>
        </is>
      </c>
      <c r="S611" s="391" t="inlineStr">
        <is>
          <t> </t>
        </is>
      </c>
      <c r="T611" s="391" t="inlineStr">
        <is>
          <t> </t>
        </is>
      </c>
      <c r="U611" s="391" t="inlineStr">
        <is>
          <t> </t>
        </is>
      </c>
      <c r="V611" s="391" t="inlineStr">
        <is>
          <t> </t>
        </is>
      </c>
      <c r="W611" s="391" t="inlineStr">
        <is>
          <t> </t>
        </is>
      </c>
      <c r="X611" s="391" t="inlineStr">
        <is>
          <t> </t>
        </is>
      </c>
      <c r="Y611" s="392" t="inlineStr">
        <is>
          <t> </t>
        </is>
      </c>
      <c r="Z611" s="391" t="inlineStr">
        <is>
          <t> </t>
        </is>
      </c>
      <c r="AA611" s="391" t="inlineStr">
        <is>
          <t> </t>
        </is>
      </c>
      <c r="AB611" s="391" t="inlineStr">
        <is>
          <t> </t>
        </is>
      </c>
      <c r="AC611" s="391" t="inlineStr">
        <is>
          <t> </t>
        </is>
      </c>
      <c r="AD611" s="391" t="inlineStr">
        <is>
          <t> </t>
        </is>
      </c>
      <c r="AE611" s="391" t="inlineStr">
        <is>
          <t> </t>
        </is>
      </c>
      <c r="AF611" s="38" t="inlineStr">
        <is>
          <t> </t>
        </is>
      </c>
      <c r="AG611" s="391" t="inlineStr">
        <is>
          <t> </t>
        </is>
      </c>
      <c r="AH611" s="391" t="n"/>
      <c r="AI611" s="391" t="inlineStr">
        <is>
          <t> </t>
        </is>
      </c>
      <c r="AJ611" s="391" t="inlineStr">
        <is>
          <t> </t>
        </is>
      </c>
      <c r="AK611" s="391" t="inlineStr">
        <is>
          <t> </t>
        </is>
      </c>
      <c r="AL611" s="391" t="inlineStr">
        <is>
          <t> </t>
        </is>
      </c>
      <c r="AM611" s="391" t="inlineStr">
        <is>
          <t> </t>
        </is>
      </c>
      <c r="AN611" s="391" t="inlineStr">
        <is>
          <t> </t>
        </is>
      </c>
      <c r="AO611" s="391" t="n"/>
      <c r="AP611" s="319" t="n"/>
      <c r="AQ611" s="319" t="n"/>
      <c r="AR611" s="319" t="n"/>
    </row>
    <row r="612" ht="15.75" customHeight="1" s="1264">
      <c r="A612" s="319" t="inlineStr">
        <is>
          <t> </t>
        </is>
      </c>
      <c r="B612" s="319" t="inlineStr">
        <is>
          <t> </t>
        </is>
      </c>
      <c r="C612" s="319" t="inlineStr">
        <is>
          <t> </t>
        </is>
      </c>
      <c r="D612" s="38" t="inlineStr">
        <is>
          <t> </t>
        </is>
      </c>
      <c r="E612" s="391" t="inlineStr">
        <is>
          <t> </t>
        </is>
      </c>
      <c r="F612" s="391" t="inlineStr">
        <is>
          <t> </t>
        </is>
      </c>
      <c r="G612" s="391" t="inlineStr">
        <is>
          <t> </t>
        </is>
      </c>
      <c r="H612" s="391" t="inlineStr">
        <is>
          <t> </t>
        </is>
      </c>
      <c r="I612" s="391" t="inlineStr">
        <is>
          <t> </t>
        </is>
      </c>
      <c r="J612" s="391" t="inlineStr">
        <is>
          <t> </t>
        </is>
      </c>
      <c r="K612" s="38" t="inlineStr">
        <is>
          <t> </t>
        </is>
      </c>
      <c r="L612" s="391" t="inlineStr">
        <is>
          <t> </t>
        </is>
      </c>
      <c r="M612" s="391" t="inlineStr">
        <is>
          <t> </t>
        </is>
      </c>
      <c r="N612" s="391" t="inlineStr">
        <is>
          <t> </t>
        </is>
      </c>
      <c r="O612" s="391" t="inlineStr">
        <is>
          <t> </t>
        </is>
      </c>
      <c r="P612" s="391" t="inlineStr">
        <is>
          <t> </t>
        </is>
      </c>
      <c r="Q612" s="391" t="inlineStr">
        <is>
          <t> </t>
        </is>
      </c>
      <c r="R612" s="38" t="inlineStr">
        <is>
          <t> </t>
        </is>
      </c>
      <c r="S612" s="391" t="inlineStr">
        <is>
          <t> </t>
        </is>
      </c>
      <c r="T612" s="391" t="inlineStr">
        <is>
          <t> </t>
        </is>
      </c>
      <c r="U612" s="391" t="inlineStr">
        <is>
          <t> </t>
        </is>
      </c>
      <c r="V612" s="391" t="inlineStr">
        <is>
          <t> </t>
        </is>
      </c>
      <c r="W612" s="391" t="inlineStr">
        <is>
          <t> </t>
        </is>
      </c>
      <c r="X612" s="391" t="inlineStr">
        <is>
          <t> </t>
        </is>
      </c>
      <c r="Y612" s="392" t="inlineStr">
        <is>
          <t> </t>
        </is>
      </c>
      <c r="Z612" s="391" t="inlineStr">
        <is>
          <t> </t>
        </is>
      </c>
      <c r="AA612" s="391" t="inlineStr">
        <is>
          <t> </t>
        </is>
      </c>
      <c r="AB612" s="391" t="inlineStr">
        <is>
          <t> </t>
        </is>
      </c>
      <c r="AC612" s="391" t="inlineStr">
        <is>
          <t> </t>
        </is>
      </c>
      <c r="AD612" s="391" t="inlineStr">
        <is>
          <t> </t>
        </is>
      </c>
      <c r="AE612" s="391" t="inlineStr">
        <is>
          <t> </t>
        </is>
      </c>
      <c r="AF612" s="38" t="inlineStr">
        <is>
          <t> </t>
        </is>
      </c>
      <c r="AG612" s="391" t="inlineStr">
        <is>
          <t> </t>
        </is>
      </c>
      <c r="AH612" s="391" t="n"/>
      <c r="AI612" s="391" t="inlineStr">
        <is>
          <t> </t>
        </is>
      </c>
      <c r="AJ612" s="391" t="inlineStr">
        <is>
          <t> </t>
        </is>
      </c>
      <c r="AK612" s="391" t="inlineStr">
        <is>
          <t> </t>
        </is>
      </c>
      <c r="AL612" s="391" t="inlineStr">
        <is>
          <t> </t>
        </is>
      </c>
      <c r="AM612" s="391" t="inlineStr">
        <is>
          <t> </t>
        </is>
      </c>
      <c r="AN612" s="391" t="inlineStr">
        <is>
          <t> </t>
        </is>
      </c>
      <c r="AO612" s="391" t="n"/>
      <c r="AP612" s="319" t="n"/>
      <c r="AQ612" s="319" t="n"/>
      <c r="AR612" s="319" t="n"/>
    </row>
    <row r="613" ht="15.75" customHeight="1" s="1264">
      <c r="A613" s="319" t="inlineStr">
        <is>
          <t> </t>
        </is>
      </c>
      <c r="B613" s="319" t="inlineStr">
        <is>
          <t> </t>
        </is>
      </c>
      <c r="C613" s="319" t="inlineStr">
        <is>
          <t> </t>
        </is>
      </c>
      <c r="D613" s="38" t="inlineStr">
        <is>
          <t> </t>
        </is>
      </c>
      <c r="E613" s="391" t="inlineStr">
        <is>
          <t> </t>
        </is>
      </c>
      <c r="F613" s="391" t="inlineStr">
        <is>
          <t> </t>
        </is>
      </c>
      <c r="G613" s="391" t="inlineStr">
        <is>
          <t> </t>
        </is>
      </c>
      <c r="H613" s="391" t="inlineStr">
        <is>
          <t> </t>
        </is>
      </c>
      <c r="I613" s="391" t="inlineStr">
        <is>
          <t> </t>
        </is>
      </c>
      <c r="J613" s="391" t="inlineStr">
        <is>
          <t> </t>
        </is>
      </c>
      <c r="K613" s="38" t="inlineStr">
        <is>
          <t> </t>
        </is>
      </c>
      <c r="L613" s="391" t="inlineStr">
        <is>
          <t> </t>
        </is>
      </c>
      <c r="M613" s="391" t="inlineStr">
        <is>
          <t> </t>
        </is>
      </c>
      <c r="N613" s="391" t="inlineStr">
        <is>
          <t> </t>
        </is>
      </c>
      <c r="O613" s="391" t="inlineStr">
        <is>
          <t> </t>
        </is>
      </c>
      <c r="P613" s="391" t="inlineStr">
        <is>
          <t> </t>
        </is>
      </c>
      <c r="Q613" s="391" t="inlineStr">
        <is>
          <t> </t>
        </is>
      </c>
      <c r="R613" s="38" t="inlineStr">
        <is>
          <t> </t>
        </is>
      </c>
      <c r="S613" s="391" t="inlineStr">
        <is>
          <t> </t>
        </is>
      </c>
      <c r="T613" s="391" t="inlineStr">
        <is>
          <t> </t>
        </is>
      </c>
      <c r="U613" s="391" t="inlineStr">
        <is>
          <t> </t>
        </is>
      </c>
      <c r="V613" s="391" t="inlineStr">
        <is>
          <t> </t>
        </is>
      </c>
      <c r="W613" s="391" t="inlineStr">
        <is>
          <t> </t>
        </is>
      </c>
      <c r="X613" s="391" t="inlineStr">
        <is>
          <t> </t>
        </is>
      </c>
      <c r="Y613" s="392" t="inlineStr">
        <is>
          <t> </t>
        </is>
      </c>
      <c r="Z613" s="391" t="inlineStr">
        <is>
          <t> </t>
        </is>
      </c>
      <c r="AA613" s="391" t="inlineStr">
        <is>
          <t> </t>
        </is>
      </c>
      <c r="AB613" s="391" t="inlineStr">
        <is>
          <t> </t>
        </is>
      </c>
      <c r="AC613" s="391" t="inlineStr">
        <is>
          <t> </t>
        </is>
      </c>
      <c r="AD613" s="391" t="inlineStr">
        <is>
          <t> </t>
        </is>
      </c>
      <c r="AE613" s="391" t="inlineStr">
        <is>
          <t> </t>
        </is>
      </c>
      <c r="AF613" s="38" t="inlineStr">
        <is>
          <t> </t>
        </is>
      </c>
      <c r="AG613" s="391" t="inlineStr">
        <is>
          <t> </t>
        </is>
      </c>
      <c r="AH613" s="391" t="n"/>
      <c r="AI613" s="391" t="inlineStr">
        <is>
          <t> </t>
        </is>
      </c>
      <c r="AJ613" s="391" t="inlineStr">
        <is>
          <t> </t>
        </is>
      </c>
      <c r="AK613" s="391" t="inlineStr">
        <is>
          <t> </t>
        </is>
      </c>
      <c r="AL613" s="391" t="inlineStr">
        <is>
          <t> </t>
        </is>
      </c>
      <c r="AM613" s="391" t="inlineStr">
        <is>
          <t> </t>
        </is>
      </c>
      <c r="AN613" s="391" t="inlineStr">
        <is>
          <t> </t>
        </is>
      </c>
      <c r="AO613" s="391" t="n"/>
      <c r="AP613" s="319" t="n"/>
      <c r="AQ613" s="319" t="n"/>
      <c r="AR613" s="319" t="n"/>
    </row>
    <row r="614" ht="15.75" customHeight="1" s="1264">
      <c r="A614" s="319" t="inlineStr">
        <is>
          <t> </t>
        </is>
      </c>
      <c r="B614" s="319" t="inlineStr">
        <is>
          <t> </t>
        </is>
      </c>
      <c r="C614" s="319" t="inlineStr">
        <is>
          <t> </t>
        </is>
      </c>
      <c r="D614" s="38" t="inlineStr">
        <is>
          <t> </t>
        </is>
      </c>
      <c r="E614" s="391" t="inlineStr">
        <is>
          <t> </t>
        </is>
      </c>
      <c r="F614" s="391" t="inlineStr">
        <is>
          <t> </t>
        </is>
      </c>
      <c r="G614" s="391" t="inlineStr">
        <is>
          <t> </t>
        </is>
      </c>
      <c r="H614" s="391" t="inlineStr">
        <is>
          <t> </t>
        </is>
      </c>
      <c r="I614" s="391" t="inlineStr">
        <is>
          <t> </t>
        </is>
      </c>
      <c r="J614" s="391" t="inlineStr">
        <is>
          <t> </t>
        </is>
      </c>
      <c r="K614" s="38" t="inlineStr">
        <is>
          <t> </t>
        </is>
      </c>
      <c r="L614" s="391" t="inlineStr">
        <is>
          <t> </t>
        </is>
      </c>
      <c r="M614" s="391" t="inlineStr">
        <is>
          <t> </t>
        </is>
      </c>
      <c r="N614" s="391" t="inlineStr">
        <is>
          <t> </t>
        </is>
      </c>
      <c r="O614" s="391" t="inlineStr">
        <is>
          <t> </t>
        </is>
      </c>
      <c r="P614" s="391" t="inlineStr">
        <is>
          <t> </t>
        </is>
      </c>
      <c r="Q614" s="391" t="inlineStr">
        <is>
          <t> </t>
        </is>
      </c>
      <c r="R614" s="38" t="inlineStr">
        <is>
          <t> </t>
        </is>
      </c>
      <c r="S614" s="391" t="inlineStr">
        <is>
          <t> </t>
        </is>
      </c>
      <c r="T614" s="391" t="inlineStr">
        <is>
          <t> </t>
        </is>
      </c>
      <c r="U614" s="391" t="inlineStr">
        <is>
          <t> </t>
        </is>
      </c>
      <c r="V614" s="391" t="inlineStr">
        <is>
          <t> </t>
        </is>
      </c>
      <c r="W614" s="391" t="inlineStr">
        <is>
          <t> </t>
        </is>
      </c>
      <c r="X614" s="391" t="inlineStr">
        <is>
          <t> </t>
        </is>
      </c>
      <c r="Y614" s="392" t="inlineStr">
        <is>
          <t> </t>
        </is>
      </c>
      <c r="Z614" s="391" t="inlineStr">
        <is>
          <t> </t>
        </is>
      </c>
      <c r="AA614" s="391" t="inlineStr">
        <is>
          <t> </t>
        </is>
      </c>
      <c r="AB614" s="391" t="inlineStr">
        <is>
          <t> </t>
        </is>
      </c>
      <c r="AC614" s="391" t="inlineStr">
        <is>
          <t> </t>
        </is>
      </c>
      <c r="AD614" s="391" t="inlineStr">
        <is>
          <t> </t>
        </is>
      </c>
      <c r="AE614" s="391" t="inlineStr">
        <is>
          <t> </t>
        </is>
      </c>
      <c r="AF614" s="38" t="inlineStr">
        <is>
          <t> </t>
        </is>
      </c>
      <c r="AG614" s="391" t="inlineStr">
        <is>
          <t> </t>
        </is>
      </c>
      <c r="AH614" s="391" t="n"/>
      <c r="AI614" s="391" t="inlineStr">
        <is>
          <t> </t>
        </is>
      </c>
      <c r="AJ614" s="391" t="inlineStr">
        <is>
          <t> </t>
        </is>
      </c>
      <c r="AK614" s="391" t="inlineStr">
        <is>
          <t> </t>
        </is>
      </c>
      <c r="AL614" s="391" t="inlineStr">
        <is>
          <t> </t>
        </is>
      </c>
      <c r="AM614" s="391" t="inlineStr">
        <is>
          <t> </t>
        </is>
      </c>
      <c r="AN614" s="391" t="inlineStr">
        <is>
          <t> </t>
        </is>
      </c>
      <c r="AO614" s="391" t="n"/>
      <c r="AP614" s="319" t="n"/>
      <c r="AQ614" s="319" t="n"/>
      <c r="AR614" s="319" t="n"/>
    </row>
    <row r="615" ht="15.75" customHeight="1" s="1264">
      <c r="A615" s="319" t="inlineStr">
        <is>
          <t> </t>
        </is>
      </c>
      <c r="B615" s="319" t="inlineStr">
        <is>
          <t> </t>
        </is>
      </c>
      <c r="C615" s="319" t="inlineStr">
        <is>
          <t> </t>
        </is>
      </c>
      <c r="D615" s="38" t="inlineStr">
        <is>
          <t> </t>
        </is>
      </c>
      <c r="E615" s="391" t="inlineStr">
        <is>
          <t> </t>
        </is>
      </c>
      <c r="F615" s="391" t="inlineStr">
        <is>
          <t> </t>
        </is>
      </c>
      <c r="G615" s="391" t="inlineStr">
        <is>
          <t> </t>
        </is>
      </c>
      <c r="H615" s="391" t="inlineStr">
        <is>
          <t> </t>
        </is>
      </c>
      <c r="I615" s="391" t="inlineStr">
        <is>
          <t> </t>
        </is>
      </c>
      <c r="J615" s="391" t="inlineStr">
        <is>
          <t> </t>
        </is>
      </c>
      <c r="K615" s="38" t="inlineStr">
        <is>
          <t> </t>
        </is>
      </c>
      <c r="L615" s="391" t="inlineStr">
        <is>
          <t> </t>
        </is>
      </c>
      <c r="M615" s="391" t="inlineStr">
        <is>
          <t> </t>
        </is>
      </c>
      <c r="N615" s="391" t="inlineStr">
        <is>
          <t> </t>
        </is>
      </c>
      <c r="O615" s="391" t="inlineStr">
        <is>
          <t> </t>
        </is>
      </c>
      <c r="P615" s="391" t="inlineStr">
        <is>
          <t> </t>
        </is>
      </c>
      <c r="Q615" s="391" t="inlineStr">
        <is>
          <t> </t>
        </is>
      </c>
      <c r="R615" s="38" t="inlineStr">
        <is>
          <t> </t>
        </is>
      </c>
      <c r="S615" s="391" t="inlineStr">
        <is>
          <t> </t>
        </is>
      </c>
      <c r="T615" s="391" t="inlineStr">
        <is>
          <t> </t>
        </is>
      </c>
      <c r="U615" s="391" t="inlineStr">
        <is>
          <t> </t>
        </is>
      </c>
      <c r="V615" s="391" t="inlineStr">
        <is>
          <t> </t>
        </is>
      </c>
      <c r="W615" s="391" t="inlineStr">
        <is>
          <t> </t>
        </is>
      </c>
      <c r="X615" s="391" t="inlineStr">
        <is>
          <t> </t>
        </is>
      </c>
      <c r="Y615" s="392" t="inlineStr">
        <is>
          <t> </t>
        </is>
      </c>
      <c r="Z615" s="391" t="inlineStr">
        <is>
          <t> </t>
        </is>
      </c>
      <c r="AA615" s="391" t="inlineStr">
        <is>
          <t> </t>
        </is>
      </c>
      <c r="AB615" s="391" t="inlineStr">
        <is>
          <t> </t>
        </is>
      </c>
      <c r="AC615" s="391" t="inlineStr">
        <is>
          <t> </t>
        </is>
      </c>
      <c r="AD615" s="391" t="inlineStr">
        <is>
          <t> </t>
        </is>
      </c>
      <c r="AE615" s="391" t="inlineStr">
        <is>
          <t> </t>
        </is>
      </c>
      <c r="AF615" s="38" t="inlineStr">
        <is>
          <t> </t>
        </is>
      </c>
      <c r="AG615" s="391" t="inlineStr">
        <is>
          <t> </t>
        </is>
      </c>
      <c r="AH615" s="391" t="n"/>
      <c r="AI615" s="391" t="inlineStr">
        <is>
          <t> </t>
        </is>
      </c>
      <c r="AJ615" s="391" t="inlineStr">
        <is>
          <t> </t>
        </is>
      </c>
      <c r="AK615" s="391" t="inlineStr">
        <is>
          <t> </t>
        </is>
      </c>
      <c r="AL615" s="391" t="inlineStr">
        <is>
          <t> </t>
        </is>
      </c>
      <c r="AM615" s="391" t="inlineStr">
        <is>
          <t> </t>
        </is>
      </c>
      <c r="AN615" s="391" t="inlineStr">
        <is>
          <t> </t>
        </is>
      </c>
      <c r="AO615" s="391" t="n"/>
      <c r="AP615" s="319" t="n"/>
      <c r="AQ615" s="319" t="n"/>
      <c r="AR615" s="319" t="n"/>
    </row>
    <row r="616" ht="15.75" customHeight="1" s="1264">
      <c r="A616" s="319" t="inlineStr">
        <is>
          <t> </t>
        </is>
      </c>
      <c r="B616" s="319" t="inlineStr">
        <is>
          <t> </t>
        </is>
      </c>
      <c r="C616" s="319" t="inlineStr">
        <is>
          <t> </t>
        </is>
      </c>
      <c r="D616" s="38" t="inlineStr">
        <is>
          <t> </t>
        </is>
      </c>
      <c r="E616" s="391" t="inlineStr">
        <is>
          <t> </t>
        </is>
      </c>
      <c r="F616" s="391" t="inlineStr">
        <is>
          <t> </t>
        </is>
      </c>
      <c r="G616" s="391" t="inlineStr">
        <is>
          <t> </t>
        </is>
      </c>
      <c r="H616" s="391" t="inlineStr">
        <is>
          <t> </t>
        </is>
      </c>
      <c r="I616" s="391" t="inlineStr">
        <is>
          <t> </t>
        </is>
      </c>
      <c r="J616" s="391" t="inlineStr">
        <is>
          <t> </t>
        </is>
      </c>
      <c r="K616" s="38" t="inlineStr">
        <is>
          <t> </t>
        </is>
      </c>
      <c r="L616" s="391" t="inlineStr">
        <is>
          <t> </t>
        </is>
      </c>
      <c r="M616" s="391" t="inlineStr">
        <is>
          <t> </t>
        </is>
      </c>
      <c r="N616" s="391" t="inlineStr">
        <is>
          <t> </t>
        </is>
      </c>
      <c r="O616" s="391" t="inlineStr">
        <is>
          <t> </t>
        </is>
      </c>
      <c r="P616" s="391" t="inlineStr">
        <is>
          <t> </t>
        </is>
      </c>
      <c r="Q616" s="391" t="inlineStr">
        <is>
          <t> </t>
        </is>
      </c>
      <c r="R616" s="38" t="inlineStr">
        <is>
          <t> </t>
        </is>
      </c>
      <c r="S616" s="391" t="inlineStr">
        <is>
          <t> </t>
        </is>
      </c>
      <c r="T616" s="391" t="inlineStr">
        <is>
          <t> </t>
        </is>
      </c>
      <c r="U616" s="391" t="inlineStr">
        <is>
          <t> </t>
        </is>
      </c>
      <c r="V616" s="391" t="inlineStr">
        <is>
          <t> </t>
        </is>
      </c>
      <c r="W616" s="391" t="inlineStr">
        <is>
          <t> </t>
        </is>
      </c>
      <c r="X616" s="391" t="inlineStr">
        <is>
          <t> </t>
        </is>
      </c>
      <c r="Y616" s="392" t="inlineStr">
        <is>
          <t> </t>
        </is>
      </c>
      <c r="Z616" s="391" t="inlineStr">
        <is>
          <t> </t>
        </is>
      </c>
      <c r="AA616" s="391" t="inlineStr">
        <is>
          <t> </t>
        </is>
      </c>
      <c r="AB616" s="391" t="inlineStr">
        <is>
          <t> </t>
        </is>
      </c>
      <c r="AC616" s="391" t="inlineStr">
        <is>
          <t> </t>
        </is>
      </c>
      <c r="AD616" s="391" t="inlineStr">
        <is>
          <t> </t>
        </is>
      </c>
      <c r="AE616" s="391" t="inlineStr">
        <is>
          <t> </t>
        </is>
      </c>
      <c r="AF616" s="38" t="inlineStr">
        <is>
          <t> </t>
        </is>
      </c>
      <c r="AG616" s="391" t="inlineStr">
        <is>
          <t> </t>
        </is>
      </c>
      <c r="AH616" s="391" t="n"/>
      <c r="AI616" s="391" t="inlineStr">
        <is>
          <t> </t>
        </is>
      </c>
      <c r="AJ616" s="391" t="inlineStr">
        <is>
          <t> </t>
        </is>
      </c>
      <c r="AK616" s="391" t="inlineStr">
        <is>
          <t> </t>
        </is>
      </c>
      <c r="AL616" s="391" t="inlineStr">
        <is>
          <t> </t>
        </is>
      </c>
      <c r="AM616" s="391" t="inlineStr">
        <is>
          <t> </t>
        </is>
      </c>
      <c r="AN616" s="391" t="inlineStr">
        <is>
          <t> </t>
        </is>
      </c>
      <c r="AO616" s="391" t="n"/>
      <c r="AP616" s="319" t="n"/>
      <c r="AQ616" s="319" t="n"/>
      <c r="AR616" s="319" t="n"/>
    </row>
    <row r="617" ht="15.75" customHeight="1" s="1264">
      <c r="A617" s="319" t="inlineStr">
        <is>
          <t> </t>
        </is>
      </c>
      <c r="B617" s="319" t="inlineStr">
        <is>
          <t> </t>
        </is>
      </c>
      <c r="C617" s="319" t="inlineStr">
        <is>
          <t> </t>
        </is>
      </c>
      <c r="D617" s="38" t="inlineStr">
        <is>
          <t> </t>
        </is>
      </c>
      <c r="E617" s="391" t="inlineStr">
        <is>
          <t> </t>
        </is>
      </c>
      <c r="F617" s="391" t="inlineStr">
        <is>
          <t> </t>
        </is>
      </c>
      <c r="G617" s="391" t="inlineStr">
        <is>
          <t> </t>
        </is>
      </c>
      <c r="H617" s="391" t="inlineStr">
        <is>
          <t> </t>
        </is>
      </c>
      <c r="I617" s="391" t="inlineStr">
        <is>
          <t> </t>
        </is>
      </c>
      <c r="J617" s="391" t="inlineStr">
        <is>
          <t> </t>
        </is>
      </c>
      <c r="K617" s="38" t="inlineStr">
        <is>
          <t> </t>
        </is>
      </c>
      <c r="L617" s="391" t="inlineStr">
        <is>
          <t> </t>
        </is>
      </c>
      <c r="M617" s="391" t="inlineStr">
        <is>
          <t> </t>
        </is>
      </c>
      <c r="N617" s="391" t="inlineStr">
        <is>
          <t> </t>
        </is>
      </c>
      <c r="O617" s="391" t="inlineStr">
        <is>
          <t> </t>
        </is>
      </c>
      <c r="P617" s="391" t="inlineStr">
        <is>
          <t> </t>
        </is>
      </c>
      <c r="Q617" s="391" t="inlineStr">
        <is>
          <t> </t>
        </is>
      </c>
      <c r="R617" s="38" t="inlineStr">
        <is>
          <t> </t>
        </is>
      </c>
      <c r="S617" s="391" t="inlineStr">
        <is>
          <t> </t>
        </is>
      </c>
      <c r="T617" s="391" t="inlineStr">
        <is>
          <t> </t>
        </is>
      </c>
      <c r="U617" s="391" t="inlineStr">
        <is>
          <t> </t>
        </is>
      </c>
      <c r="V617" s="391" t="inlineStr">
        <is>
          <t> </t>
        </is>
      </c>
      <c r="W617" s="391" t="inlineStr">
        <is>
          <t> </t>
        </is>
      </c>
      <c r="X617" s="391" t="inlineStr">
        <is>
          <t> </t>
        </is>
      </c>
      <c r="Y617" s="392" t="inlineStr">
        <is>
          <t> </t>
        </is>
      </c>
      <c r="Z617" s="391" t="inlineStr">
        <is>
          <t> </t>
        </is>
      </c>
      <c r="AA617" s="391" t="inlineStr">
        <is>
          <t> </t>
        </is>
      </c>
      <c r="AB617" s="391" t="inlineStr">
        <is>
          <t> </t>
        </is>
      </c>
      <c r="AC617" s="391" t="inlineStr">
        <is>
          <t> </t>
        </is>
      </c>
      <c r="AD617" s="391" t="inlineStr">
        <is>
          <t> </t>
        </is>
      </c>
      <c r="AE617" s="391" t="inlineStr">
        <is>
          <t> </t>
        </is>
      </c>
      <c r="AF617" s="38" t="inlineStr">
        <is>
          <t> </t>
        </is>
      </c>
      <c r="AG617" s="391" t="inlineStr">
        <is>
          <t> </t>
        </is>
      </c>
      <c r="AH617" s="391" t="n"/>
      <c r="AI617" s="391" t="inlineStr">
        <is>
          <t> </t>
        </is>
      </c>
      <c r="AJ617" s="391" t="inlineStr">
        <is>
          <t> </t>
        </is>
      </c>
      <c r="AK617" s="391" t="inlineStr">
        <is>
          <t> </t>
        </is>
      </c>
      <c r="AL617" s="391" t="inlineStr">
        <is>
          <t> </t>
        </is>
      </c>
      <c r="AM617" s="391" t="inlineStr">
        <is>
          <t> </t>
        </is>
      </c>
      <c r="AN617" s="391" t="inlineStr">
        <is>
          <t> </t>
        </is>
      </c>
      <c r="AO617" s="391" t="n"/>
      <c r="AP617" s="319" t="n"/>
      <c r="AQ617" s="319" t="n"/>
      <c r="AR617" s="319" t="n"/>
    </row>
    <row r="618" ht="15.75" customHeight="1" s="1264">
      <c r="A618" s="319" t="inlineStr">
        <is>
          <t> </t>
        </is>
      </c>
      <c r="B618" s="319" t="inlineStr">
        <is>
          <t> </t>
        </is>
      </c>
      <c r="C618" s="319" t="inlineStr">
        <is>
          <t> </t>
        </is>
      </c>
      <c r="D618" s="38" t="inlineStr">
        <is>
          <t> </t>
        </is>
      </c>
      <c r="E618" s="391" t="inlineStr">
        <is>
          <t> </t>
        </is>
      </c>
      <c r="F618" s="391" t="inlineStr">
        <is>
          <t> </t>
        </is>
      </c>
      <c r="G618" s="391" t="inlineStr">
        <is>
          <t> </t>
        </is>
      </c>
      <c r="H618" s="391" t="inlineStr">
        <is>
          <t> </t>
        </is>
      </c>
      <c r="I618" s="391" t="inlineStr">
        <is>
          <t> </t>
        </is>
      </c>
      <c r="J618" s="391" t="inlineStr">
        <is>
          <t> </t>
        </is>
      </c>
      <c r="K618" s="38" t="inlineStr">
        <is>
          <t> </t>
        </is>
      </c>
      <c r="L618" s="391" t="inlineStr">
        <is>
          <t> </t>
        </is>
      </c>
      <c r="M618" s="391" t="inlineStr">
        <is>
          <t> </t>
        </is>
      </c>
      <c r="N618" s="391" t="inlineStr">
        <is>
          <t> </t>
        </is>
      </c>
      <c r="O618" s="391" t="inlineStr">
        <is>
          <t> </t>
        </is>
      </c>
      <c r="P618" s="391" t="inlineStr">
        <is>
          <t> </t>
        </is>
      </c>
      <c r="Q618" s="391" t="inlineStr">
        <is>
          <t> </t>
        </is>
      </c>
      <c r="R618" s="38" t="inlineStr">
        <is>
          <t> </t>
        </is>
      </c>
      <c r="S618" s="391" t="inlineStr">
        <is>
          <t> </t>
        </is>
      </c>
      <c r="T618" s="391" t="inlineStr">
        <is>
          <t> </t>
        </is>
      </c>
      <c r="U618" s="391" t="inlineStr">
        <is>
          <t> </t>
        </is>
      </c>
      <c r="V618" s="391" t="inlineStr">
        <is>
          <t> </t>
        </is>
      </c>
      <c r="W618" s="391" t="inlineStr">
        <is>
          <t> </t>
        </is>
      </c>
      <c r="X618" s="391" t="inlineStr">
        <is>
          <t> </t>
        </is>
      </c>
      <c r="Y618" s="392" t="inlineStr">
        <is>
          <t> </t>
        </is>
      </c>
      <c r="Z618" s="391" t="inlineStr">
        <is>
          <t> </t>
        </is>
      </c>
      <c r="AA618" s="391" t="inlineStr">
        <is>
          <t> </t>
        </is>
      </c>
      <c r="AB618" s="391" t="inlineStr">
        <is>
          <t> </t>
        </is>
      </c>
      <c r="AC618" s="391" t="inlineStr">
        <is>
          <t> </t>
        </is>
      </c>
      <c r="AD618" s="391" t="inlineStr">
        <is>
          <t> </t>
        </is>
      </c>
      <c r="AE618" s="391" t="inlineStr">
        <is>
          <t> </t>
        </is>
      </c>
      <c r="AF618" s="38" t="inlineStr">
        <is>
          <t> </t>
        </is>
      </c>
      <c r="AG618" s="391" t="inlineStr">
        <is>
          <t> </t>
        </is>
      </c>
      <c r="AH618" s="391" t="n"/>
      <c r="AI618" s="391" t="inlineStr">
        <is>
          <t> </t>
        </is>
      </c>
      <c r="AJ618" s="391" t="inlineStr">
        <is>
          <t> </t>
        </is>
      </c>
      <c r="AK618" s="391" t="inlineStr">
        <is>
          <t> </t>
        </is>
      </c>
      <c r="AL618" s="391" t="inlineStr">
        <is>
          <t> </t>
        </is>
      </c>
      <c r="AM618" s="391" t="inlineStr">
        <is>
          <t> </t>
        </is>
      </c>
      <c r="AN618" s="391" t="inlineStr">
        <is>
          <t> </t>
        </is>
      </c>
      <c r="AO618" s="391" t="n"/>
      <c r="AP618" s="319" t="n"/>
      <c r="AQ618" s="319" t="n"/>
      <c r="AR618" s="319" t="n"/>
    </row>
    <row r="619" ht="15.75" customHeight="1" s="1264">
      <c r="A619" s="319" t="inlineStr">
        <is>
          <t> </t>
        </is>
      </c>
      <c r="B619" s="319" t="inlineStr">
        <is>
          <t> </t>
        </is>
      </c>
      <c r="C619" s="319" t="inlineStr">
        <is>
          <t> </t>
        </is>
      </c>
      <c r="D619" s="38" t="inlineStr">
        <is>
          <t> </t>
        </is>
      </c>
      <c r="E619" s="391" t="inlineStr">
        <is>
          <t> </t>
        </is>
      </c>
      <c r="F619" s="391" t="inlineStr">
        <is>
          <t> </t>
        </is>
      </c>
      <c r="G619" s="391" t="inlineStr">
        <is>
          <t> </t>
        </is>
      </c>
      <c r="H619" s="391" t="inlineStr">
        <is>
          <t> </t>
        </is>
      </c>
      <c r="I619" s="391" t="inlineStr">
        <is>
          <t> </t>
        </is>
      </c>
      <c r="J619" s="391" t="inlineStr">
        <is>
          <t> </t>
        </is>
      </c>
      <c r="K619" s="38" t="inlineStr">
        <is>
          <t> </t>
        </is>
      </c>
      <c r="L619" s="391" t="inlineStr">
        <is>
          <t> </t>
        </is>
      </c>
      <c r="M619" s="391" t="inlineStr">
        <is>
          <t> </t>
        </is>
      </c>
      <c r="N619" s="391" t="inlineStr">
        <is>
          <t> </t>
        </is>
      </c>
      <c r="O619" s="391" t="inlineStr">
        <is>
          <t> </t>
        </is>
      </c>
      <c r="P619" s="391" t="inlineStr">
        <is>
          <t> </t>
        </is>
      </c>
      <c r="Q619" s="391" t="inlineStr">
        <is>
          <t> </t>
        </is>
      </c>
      <c r="R619" s="38" t="inlineStr">
        <is>
          <t> </t>
        </is>
      </c>
      <c r="S619" s="391" t="inlineStr">
        <is>
          <t> </t>
        </is>
      </c>
      <c r="T619" s="391" t="inlineStr">
        <is>
          <t> </t>
        </is>
      </c>
      <c r="U619" s="391" t="inlineStr">
        <is>
          <t> </t>
        </is>
      </c>
      <c r="V619" s="391" t="inlineStr">
        <is>
          <t> </t>
        </is>
      </c>
      <c r="W619" s="391" t="inlineStr">
        <is>
          <t> </t>
        </is>
      </c>
      <c r="X619" s="391" t="inlineStr">
        <is>
          <t> </t>
        </is>
      </c>
      <c r="Y619" s="392" t="inlineStr">
        <is>
          <t> </t>
        </is>
      </c>
      <c r="Z619" s="391" t="inlineStr">
        <is>
          <t> </t>
        </is>
      </c>
      <c r="AA619" s="391" t="inlineStr">
        <is>
          <t> </t>
        </is>
      </c>
      <c r="AB619" s="391" t="inlineStr">
        <is>
          <t> </t>
        </is>
      </c>
      <c r="AC619" s="391" t="inlineStr">
        <is>
          <t> </t>
        </is>
      </c>
      <c r="AD619" s="391" t="inlineStr">
        <is>
          <t> </t>
        </is>
      </c>
      <c r="AE619" s="391" t="inlineStr">
        <is>
          <t> </t>
        </is>
      </c>
      <c r="AF619" s="38" t="inlineStr">
        <is>
          <t> </t>
        </is>
      </c>
      <c r="AG619" s="391" t="inlineStr">
        <is>
          <t> </t>
        </is>
      </c>
      <c r="AH619" s="391" t="n"/>
      <c r="AI619" s="391" t="inlineStr">
        <is>
          <t> </t>
        </is>
      </c>
      <c r="AJ619" s="391" t="inlineStr">
        <is>
          <t> </t>
        </is>
      </c>
      <c r="AK619" s="391" t="inlineStr">
        <is>
          <t> </t>
        </is>
      </c>
      <c r="AL619" s="391" t="inlineStr">
        <is>
          <t> </t>
        </is>
      </c>
      <c r="AM619" s="391" t="inlineStr">
        <is>
          <t> </t>
        </is>
      </c>
      <c r="AN619" s="391" t="inlineStr">
        <is>
          <t> </t>
        </is>
      </c>
      <c r="AO619" s="391" t="n"/>
      <c r="AP619" s="319" t="n"/>
      <c r="AQ619" s="319" t="n"/>
      <c r="AR619" s="319" t="n"/>
    </row>
    <row r="620" ht="15.75" customHeight="1" s="1264">
      <c r="A620" s="319" t="inlineStr">
        <is>
          <t> </t>
        </is>
      </c>
      <c r="B620" s="319" t="inlineStr">
        <is>
          <t> </t>
        </is>
      </c>
      <c r="C620" s="319" t="inlineStr">
        <is>
          <t> </t>
        </is>
      </c>
      <c r="D620" s="38" t="inlineStr">
        <is>
          <t> </t>
        </is>
      </c>
      <c r="E620" s="391" t="inlineStr">
        <is>
          <t> </t>
        </is>
      </c>
      <c r="F620" s="391" t="inlineStr">
        <is>
          <t> </t>
        </is>
      </c>
      <c r="G620" s="391" t="inlineStr">
        <is>
          <t> </t>
        </is>
      </c>
      <c r="H620" s="391" t="inlineStr">
        <is>
          <t> </t>
        </is>
      </c>
      <c r="I620" s="391" t="inlineStr">
        <is>
          <t> </t>
        </is>
      </c>
      <c r="J620" s="391" t="inlineStr">
        <is>
          <t> </t>
        </is>
      </c>
      <c r="K620" s="38" t="inlineStr">
        <is>
          <t> </t>
        </is>
      </c>
      <c r="L620" s="391" t="inlineStr">
        <is>
          <t> </t>
        </is>
      </c>
      <c r="M620" s="391" t="inlineStr">
        <is>
          <t> </t>
        </is>
      </c>
      <c r="N620" s="391" t="inlineStr">
        <is>
          <t> </t>
        </is>
      </c>
      <c r="O620" s="391" t="inlineStr">
        <is>
          <t> </t>
        </is>
      </c>
      <c r="P620" s="391" t="inlineStr">
        <is>
          <t> </t>
        </is>
      </c>
      <c r="Q620" s="391" t="inlineStr">
        <is>
          <t> </t>
        </is>
      </c>
      <c r="R620" s="38" t="inlineStr">
        <is>
          <t> </t>
        </is>
      </c>
      <c r="S620" s="391" t="inlineStr">
        <is>
          <t> </t>
        </is>
      </c>
      <c r="T620" s="391" t="inlineStr">
        <is>
          <t> </t>
        </is>
      </c>
      <c r="U620" s="391" t="inlineStr">
        <is>
          <t> </t>
        </is>
      </c>
      <c r="V620" s="391" t="inlineStr">
        <is>
          <t> </t>
        </is>
      </c>
      <c r="W620" s="391" t="inlineStr">
        <is>
          <t> </t>
        </is>
      </c>
      <c r="X620" s="391" t="inlineStr">
        <is>
          <t> </t>
        </is>
      </c>
      <c r="Y620" s="392" t="inlineStr">
        <is>
          <t> </t>
        </is>
      </c>
      <c r="Z620" s="391" t="inlineStr">
        <is>
          <t> </t>
        </is>
      </c>
      <c r="AA620" s="391" t="inlineStr">
        <is>
          <t> </t>
        </is>
      </c>
      <c r="AB620" s="391" t="inlineStr">
        <is>
          <t> </t>
        </is>
      </c>
      <c r="AC620" s="391" t="inlineStr">
        <is>
          <t> </t>
        </is>
      </c>
      <c r="AD620" s="391" t="inlineStr">
        <is>
          <t> </t>
        </is>
      </c>
      <c r="AE620" s="391" t="inlineStr">
        <is>
          <t> </t>
        </is>
      </c>
      <c r="AF620" s="38" t="inlineStr">
        <is>
          <t> </t>
        </is>
      </c>
      <c r="AG620" s="391" t="inlineStr">
        <is>
          <t> </t>
        </is>
      </c>
      <c r="AH620" s="391" t="n"/>
      <c r="AI620" s="391" t="inlineStr">
        <is>
          <t> </t>
        </is>
      </c>
      <c r="AJ620" s="391" t="inlineStr">
        <is>
          <t> </t>
        </is>
      </c>
      <c r="AK620" s="391" t="inlineStr">
        <is>
          <t> </t>
        </is>
      </c>
      <c r="AL620" s="391" t="inlineStr">
        <is>
          <t> </t>
        </is>
      </c>
      <c r="AM620" s="391" t="inlineStr">
        <is>
          <t> </t>
        </is>
      </c>
      <c r="AN620" s="391" t="inlineStr">
        <is>
          <t> </t>
        </is>
      </c>
      <c r="AO620" s="391" t="n"/>
      <c r="AP620" s="319" t="n"/>
      <c r="AQ620" s="319" t="n"/>
      <c r="AR620" s="319" t="n"/>
    </row>
    <row r="621" ht="15.75" customHeight="1" s="1264">
      <c r="A621" s="319" t="inlineStr">
        <is>
          <t> </t>
        </is>
      </c>
      <c r="B621" s="319" t="inlineStr">
        <is>
          <t> </t>
        </is>
      </c>
      <c r="C621" s="319" t="inlineStr">
        <is>
          <t> </t>
        </is>
      </c>
      <c r="D621" s="38" t="inlineStr">
        <is>
          <t> </t>
        </is>
      </c>
      <c r="E621" s="391" t="inlineStr">
        <is>
          <t> </t>
        </is>
      </c>
      <c r="F621" s="391" t="inlineStr">
        <is>
          <t> </t>
        </is>
      </c>
      <c r="G621" s="391" t="inlineStr">
        <is>
          <t> </t>
        </is>
      </c>
      <c r="H621" s="391" t="inlineStr">
        <is>
          <t> </t>
        </is>
      </c>
      <c r="I621" s="391" t="inlineStr">
        <is>
          <t> </t>
        </is>
      </c>
      <c r="J621" s="391" t="inlineStr">
        <is>
          <t> </t>
        </is>
      </c>
      <c r="K621" s="38" t="inlineStr">
        <is>
          <t> </t>
        </is>
      </c>
      <c r="L621" s="391" t="inlineStr">
        <is>
          <t> </t>
        </is>
      </c>
      <c r="M621" s="391" t="inlineStr">
        <is>
          <t> </t>
        </is>
      </c>
      <c r="N621" s="391" t="inlineStr">
        <is>
          <t> </t>
        </is>
      </c>
      <c r="O621" s="391" t="inlineStr">
        <is>
          <t> </t>
        </is>
      </c>
      <c r="P621" s="391" t="inlineStr">
        <is>
          <t> </t>
        </is>
      </c>
      <c r="Q621" s="391" t="inlineStr">
        <is>
          <t> </t>
        </is>
      </c>
      <c r="R621" s="38" t="inlineStr">
        <is>
          <t> </t>
        </is>
      </c>
      <c r="S621" s="391" t="inlineStr">
        <is>
          <t> </t>
        </is>
      </c>
      <c r="T621" s="391" t="inlineStr">
        <is>
          <t> </t>
        </is>
      </c>
      <c r="U621" s="391" t="inlineStr">
        <is>
          <t> </t>
        </is>
      </c>
      <c r="V621" s="391" t="inlineStr">
        <is>
          <t> </t>
        </is>
      </c>
      <c r="W621" s="391" t="inlineStr">
        <is>
          <t> </t>
        </is>
      </c>
      <c r="X621" s="391" t="inlineStr">
        <is>
          <t> </t>
        </is>
      </c>
      <c r="Y621" s="392" t="inlineStr">
        <is>
          <t> </t>
        </is>
      </c>
      <c r="Z621" s="391" t="inlineStr">
        <is>
          <t> </t>
        </is>
      </c>
      <c r="AA621" s="391" t="inlineStr">
        <is>
          <t> </t>
        </is>
      </c>
      <c r="AB621" s="391" t="inlineStr">
        <is>
          <t> </t>
        </is>
      </c>
      <c r="AC621" s="391" t="inlineStr">
        <is>
          <t> </t>
        </is>
      </c>
      <c r="AD621" s="391" t="inlineStr">
        <is>
          <t> </t>
        </is>
      </c>
      <c r="AE621" s="391" t="inlineStr">
        <is>
          <t> </t>
        </is>
      </c>
      <c r="AF621" s="38" t="inlineStr">
        <is>
          <t> </t>
        </is>
      </c>
      <c r="AG621" s="391" t="inlineStr">
        <is>
          <t> </t>
        </is>
      </c>
      <c r="AH621" s="391" t="n"/>
      <c r="AI621" s="391" t="inlineStr">
        <is>
          <t> </t>
        </is>
      </c>
      <c r="AJ621" s="391" t="inlineStr">
        <is>
          <t> </t>
        </is>
      </c>
      <c r="AK621" s="391" t="inlineStr">
        <is>
          <t> </t>
        </is>
      </c>
      <c r="AL621" s="391" t="inlineStr">
        <is>
          <t> </t>
        </is>
      </c>
      <c r="AM621" s="391" t="inlineStr">
        <is>
          <t> </t>
        </is>
      </c>
      <c r="AN621" s="391" t="inlineStr">
        <is>
          <t> </t>
        </is>
      </c>
      <c r="AO621" s="391" t="n"/>
      <c r="AP621" s="319" t="n"/>
      <c r="AQ621" s="319" t="n"/>
      <c r="AR621" s="319" t="n"/>
    </row>
    <row r="622" ht="15.75" customHeight="1" s="1264">
      <c r="A622" s="319" t="inlineStr">
        <is>
          <t> </t>
        </is>
      </c>
      <c r="B622" s="319" t="inlineStr">
        <is>
          <t> </t>
        </is>
      </c>
      <c r="C622" s="319" t="inlineStr">
        <is>
          <t> </t>
        </is>
      </c>
      <c r="D622" s="38" t="inlineStr">
        <is>
          <t> </t>
        </is>
      </c>
      <c r="E622" s="391" t="inlineStr">
        <is>
          <t> </t>
        </is>
      </c>
      <c r="F622" s="391" t="inlineStr">
        <is>
          <t> </t>
        </is>
      </c>
      <c r="G622" s="391" t="inlineStr">
        <is>
          <t> </t>
        </is>
      </c>
      <c r="H622" s="391" t="inlineStr">
        <is>
          <t> </t>
        </is>
      </c>
      <c r="I622" s="391" t="inlineStr">
        <is>
          <t> </t>
        </is>
      </c>
      <c r="J622" s="391" t="inlineStr">
        <is>
          <t> </t>
        </is>
      </c>
      <c r="K622" s="38" t="inlineStr">
        <is>
          <t> </t>
        </is>
      </c>
      <c r="L622" s="391" t="inlineStr">
        <is>
          <t> </t>
        </is>
      </c>
      <c r="M622" s="391" t="inlineStr">
        <is>
          <t> </t>
        </is>
      </c>
      <c r="N622" s="391" t="inlineStr">
        <is>
          <t> </t>
        </is>
      </c>
      <c r="O622" s="391" t="inlineStr">
        <is>
          <t> </t>
        </is>
      </c>
      <c r="P622" s="391" t="inlineStr">
        <is>
          <t> </t>
        </is>
      </c>
      <c r="Q622" s="391" t="inlineStr">
        <is>
          <t> </t>
        </is>
      </c>
      <c r="R622" s="38" t="inlineStr">
        <is>
          <t> </t>
        </is>
      </c>
      <c r="S622" s="391" t="inlineStr">
        <is>
          <t> </t>
        </is>
      </c>
      <c r="T622" s="391" t="inlineStr">
        <is>
          <t> </t>
        </is>
      </c>
      <c r="U622" s="391" t="inlineStr">
        <is>
          <t> </t>
        </is>
      </c>
      <c r="V622" s="391" t="inlineStr">
        <is>
          <t> </t>
        </is>
      </c>
      <c r="W622" s="391" t="inlineStr">
        <is>
          <t> </t>
        </is>
      </c>
      <c r="X622" s="391" t="inlineStr">
        <is>
          <t> </t>
        </is>
      </c>
      <c r="Y622" s="392" t="inlineStr">
        <is>
          <t> </t>
        </is>
      </c>
      <c r="Z622" s="391" t="inlineStr">
        <is>
          <t> </t>
        </is>
      </c>
      <c r="AA622" s="391" t="inlineStr">
        <is>
          <t> </t>
        </is>
      </c>
      <c r="AB622" s="391" t="inlineStr">
        <is>
          <t> </t>
        </is>
      </c>
      <c r="AC622" s="391" t="inlineStr">
        <is>
          <t> </t>
        </is>
      </c>
      <c r="AD622" s="391" t="inlineStr">
        <is>
          <t> </t>
        </is>
      </c>
      <c r="AE622" s="391" t="inlineStr">
        <is>
          <t> </t>
        </is>
      </c>
      <c r="AF622" s="38" t="inlineStr">
        <is>
          <t> </t>
        </is>
      </c>
      <c r="AG622" s="391" t="inlineStr">
        <is>
          <t> </t>
        </is>
      </c>
      <c r="AH622" s="391" t="n"/>
      <c r="AI622" s="391" t="inlineStr">
        <is>
          <t> </t>
        </is>
      </c>
      <c r="AJ622" s="391" t="inlineStr">
        <is>
          <t> </t>
        </is>
      </c>
      <c r="AK622" s="391" t="inlineStr">
        <is>
          <t> </t>
        </is>
      </c>
      <c r="AL622" s="391" t="inlineStr">
        <is>
          <t> </t>
        </is>
      </c>
      <c r="AM622" s="391" t="inlineStr">
        <is>
          <t> </t>
        </is>
      </c>
      <c r="AN622" s="391" t="inlineStr">
        <is>
          <t> </t>
        </is>
      </c>
      <c r="AO622" s="391" t="n"/>
      <c r="AP622" s="319" t="n"/>
      <c r="AQ622" s="319" t="n"/>
      <c r="AR622" s="319" t="n"/>
    </row>
    <row r="623" ht="15.75" customHeight="1" s="1264">
      <c r="A623" s="319" t="inlineStr">
        <is>
          <t> </t>
        </is>
      </c>
      <c r="B623" s="319" t="inlineStr">
        <is>
          <t> </t>
        </is>
      </c>
      <c r="C623" s="319" t="inlineStr">
        <is>
          <t> </t>
        </is>
      </c>
      <c r="D623" s="38" t="inlineStr">
        <is>
          <t> </t>
        </is>
      </c>
      <c r="E623" s="391" t="inlineStr">
        <is>
          <t> </t>
        </is>
      </c>
      <c r="F623" s="391" t="inlineStr">
        <is>
          <t> </t>
        </is>
      </c>
      <c r="G623" s="391" t="inlineStr">
        <is>
          <t> </t>
        </is>
      </c>
      <c r="H623" s="391" t="inlineStr">
        <is>
          <t> </t>
        </is>
      </c>
      <c r="I623" s="391" t="inlineStr">
        <is>
          <t> </t>
        </is>
      </c>
      <c r="J623" s="391" t="inlineStr">
        <is>
          <t> </t>
        </is>
      </c>
      <c r="K623" s="38" t="inlineStr">
        <is>
          <t> </t>
        </is>
      </c>
      <c r="L623" s="391" t="inlineStr">
        <is>
          <t> </t>
        </is>
      </c>
      <c r="M623" s="391" t="inlineStr">
        <is>
          <t> </t>
        </is>
      </c>
      <c r="N623" s="391" t="inlineStr">
        <is>
          <t> </t>
        </is>
      </c>
      <c r="O623" s="391" t="inlineStr">
        <is>
          <t> </t>
        </is>
      </c>
      <c r="P623" s="391" t="inlineStr">
        <is>
          <t> </t>
        </is>
      </c>
      <c r="Q623" s="391" t="inlineStr">
        <is>
          <t> </t>
        </is>
      </c>
      <c r="R623" s="38" t="inlineStr">
        <is>
          <t> </t>
        </is>
      </c>
      <c r="S623" s="391" t="inlineStr">
        <is>
          <t> </t>
        </is>
      </c>
      <c r="T623" s="391" t="inlineStr">
        <is>
          <t> </t>
        </is>
      </c>
      <c r="U623" s="391" t="inlineStr">
        <is>
          <t> </t>
        </is>
      </c>
      <c r="V623" s="391" t="inlineStr">
        <is>
          <t> </t>
        </is>
      </c>
      <c r="W623" s="391" t="inlineStr">
        <is>
          <t> </t>
        </is>
      </c>
      <c r="X623" s="391" t="inlineStr">
        <is>
          <t> </t>
        </is>
      </c>
      <c r="Y623" s="392" t="inlineStr">
        <is>
          <t> </t>
        </is>
      </c>
      <c r="Z623" s="391" t="inlineStr">
        <is>
          <t> </t>
        </is>
      </c>
      <c r="AA623" s="391" t="inlineStr">
        <is>
          <t> </t>
        </is>
      </c>
      <c r="AB623" s="391" t="inlineStr">
        <is>
          <t> </t>
        </is>
      </c>
      <c r="AC623" s="391" t="inlineStr">
        <is>
          <t> </t>
        </is>
      </c>
      <c r="AD623" s="391" t="inlineStr">
        <is>
          <t> </t>
        </is>
      </c>
      <c r="AE623" s="391" t="inlineStr">
        <is>
          <t> </t>
        </is>
      </c>
      <c r="AF623" s="38" t="inlineStr">
        <is>
          <t> </t>
        </is>
      </c>
      <c r="AG623" s="391" t="inlineStr">
        <is>
          <t> </t>
        </is>
      </c>
      <c r="AH623" s="391" t="n"/>
      <c r="AI623" s="391" t="inlineStr">
        <is>
          <t> </t>
        </is>
      </c>
      <c r="AJ623" s="391" t="inlineStr">
        <is>
          <t> </t>
        </is>
      </c>
      <c r="AK623" s="391" t="inlineStr">
        <is>
          <t> </t>
        </is>
      </c>
      <c r="AL623" s="391" t="inlineStr">
        <is>
          <t> </t>
        </is>
      </c>
      <c r="AM623" s="391" t="inlineStr">
        <is>
          <t> </t>
        </is>
      </c>
      <c r="AN623" s="391" t="inlineStr">
        <is>
          <t> </t>
        </is>
      </c>
      <c r="AO623" s="391" t="n"/>
      <c r="AP623" s="319" t="n"/>
      <c r="AQ623" s="319" t="n"/>
      <c r="AR623" s="319" t="n"/>
    </row>
    <row r="624" ht="15.75" customHeight="1" s="1264">
      <c r="A624" s="319" t="inlineStr">
        <is>
          <t> </t>
        </is>
      </c>
      <c r="B624" s="319" t="inlineStr">
        <is>
          <t> </t>
        </is>
      </c>
      <c r="C624" s="319" t="inlineStr">
        <is>
          <t> </t>
        </is>
      </c>
      <c r="D624" s="38" t="inlineStr">
        <is>
          <t> </t>
        </is>
      </c>
      <c r="E624" s="391" t="inlineStr">
        <is>
          <t> </t>
        </is>
      </c>
      <c r="F624" s="391" t="inlineStr">
        <is>
          <t> </t>
        </is>
      </c>
      <c r="G624" s="391" t="inlineStr">
        <is>
          <t> </t>
        </is>
      </c>
      <c r="H624" s="391" t="inlineStr">
        <is>
          <t> </t>
        </is>
      </c>
      <c r="I624" s="391" t="inlineStr">
        <is>
          <t> </t>
        </is>
      </c>
      <c r="J624" s="391" t="inlineStr">
        <is>
          <t> </t>
        </is>
      </c>
      <c r="K624" s="38" t="inlineStr">
        <is>
          <t> </t>
        </is>
      </c>
      <c r="L624" s="391" t="inlineStr">
        <is>
          <t> </t>
        </is>
      </c>
      <c r="M624" s="391" t="inlineStr">
        <is>
          <t> </t>
        </is>
      </c>
      <c r="N624" s="391" t="inlineStr">
        <is>
          <t> </t>
        </is>
      </c>
      <c r="O624" s="391" t="inlineStr">
        <is>
          <t> </t>
        </is>
      </c>
      <c r="P624" s="391" t="inlineStr">
        <is>
          <t> </t>
        </is>
      </c>
      <c r="Q624" s="391" t="inlineStr">
        <is>
          <t> </t>
        </is>
      </c>
      <c r="R624" s="38" t="inlineStr">
        <is>
          <t> </t>
        </is>
      </c>
      <c r="S624" s="391" t="inlineStr">
        <is>
          <t> </t>
        </is>
      </c>
      <c r="T624" s="391" t="inlineStr">
        <is>
          <t> </t>
        </is>
      </c>
      <c r="U624" s="391" t="inlineStr">
        <is>
          <t> </t>
        </is>
      </c>
      <c r="V624" s="391" t="inlineStr">
        <is>
          <t> </t>
        </is>
      </c>
      <c r="W624" s="391" t="inlineStr">
        <is>
          <t> </t>
        </is>
      </c>
      <c r="X624" s="391" t="inlineStr">
        <is>
          <t> </t>
        </is>
      </c>
      <c r="Y624" s="392" t="inlineStr">
        <is>
          <t> </t>
        </is>
      </c>
      <c r="Z624" s="391" t="inlineStr">
        <is>
          <t> </t>
        </is>
      </c>
      <c r="AA624" s="391" t="inlineStr">
        <is>
          <t> </t>
        </is>
      </c>
      <c r="AB624" s="391" t="inlineStr">
        <is>
          <t> </t>
        </is>
      </c>
      <c r="AC624" s="391" t="inlineStr">
        <is>
          <t> </t>
        </is>
      </c>
      <c r="AD624" s="391" t="inlineStr">
        <is>
          <t> </t>
        </is>
      </c>
      <c r="AE624" s="391" t="inlineStr">
        <is>
          <t> </t>
        </is>
      </c>
      <c r="AF624" s="38" t="inlineStr">
        <is>
          <t> </t>
        </is>
      </c>
      <c r="AG624" s="391" t="inlineStr">
        <is>
          <t> </t>
        </is>
      </c>
      <c r="AH624" s="391" t="n"/>
      <c r="AI624" s="391" t="inlineStr">
        <is>
          <t> </t>
        </is>
      </c>
      <c r="AJ624" s="391" t="inlineStr">
        <is>
          <t> </t>
        </is>
      </c>
      <c r="AK624" s="391" t="inlineStr">
        <is>
          <t> </t>
        </is>
      </c>
      <c r="AL624" s="391" t="inlineStr">
        <is>
          <t> </t>
        </is>
      </c>
      <c r="AM624" s="391" t="inlineStr">
        <is>
          <t> </t>
        </is>
      </c>
      <c r="AN624" s="391" t="inlineStr">
        <is>
          <t> </t>
        </is>
      </c>
      <c r="AO624" s="391" t="n"/>
      <c r="AP624" s="319" t="n"/>
      <c r="AQ624" s="319" t="n"/>
      <c r="AR624" s="319" t="n"/>
    </row>
    <row r="625" ht="15.75" customHeight="1" s="1264">
      <c r="A625" s="319" t="inlineStr">
        <is>
          <t> </t>
        </is>
      </c>
      <c r="B625" s="319" t="inlineStr">
        <is>
          <t> </t>
        </is>
      </c>
      <c r="C625" s="319" t="inlineStr">
        <is>
          <t> </t>
        </is>
      </c>
      <c r="D625" s="38" t="inlineStr">
        <is>
          <t> </t>
        </is>
      </c>
      <c r="E625" s="391" t="inlineStr">
        <is>
          <t> </t>
        </is>
      </c>
      <c r="F625" s="391" t="inlineStr">
        <is>
          <t> </t>
        </is>
      </c>
      <c r="G625" s="391" t="inlineStr">
        <is>
          <t> </t>
        </is>
      </c>
      <c r="H625" s="391" t="inlineStr">
        <is>
          <t> </t>
        </is>
      </c>
      <c r="I625" s="391" t="inlineStr">
        <is>
          <t> </t>
        </is>
      </c>
      <c r="J625" s="391" t="inlineStr">
        <is>
          <t> </t>
        </is>
      </c>
      <c r="K625" s="38" t="inlineStr">
        <is>
          <t> </t>
        </is>
      </c>
      <c r="L625" s="391" t="inlineStr">
        <is>
          <t> </t>
        </is>
      </c>
      <c r="M625" s="391" t="inlineStr">
        <is>
          <t> </t>
        </is>
      </c>
      <c r="N625" s="391" t="inlineStr">
        <is>
          <t> </t>
        </is>
      </c>
      <c r="O625" s="391" t="inlineStr">
        <is>
          <t> </t>
        </is>
      </c>
      <c r="P625" s="391" t="inlineStr">
        <is>
          <t> </t>
        </is>
      </c>
      <c r="Q625" s="391" t="inlineStr">
        <is>
          <t> </t>
        </is>
      </c>
      <c r="R625" s="38" t="inlineStr">
        <is>
          <t> </t>
        </is>
      </c>
      <c r="S625" s="391" t="inlineStr">
        <is>
          <t> </t>
        </is>
      </c>
      <c r="T625" s="391" t="inlineStr">
        <is>
          <t> </t>
        </is>
      </c>
      <c r="U625" s="391" t="inlineStr">
        <is>
          <t> </t>
        </is>
      </c>
      <c r="V625" s="391" t="inlineStr">
        <is>
          <t> </t>
        </is>
      </c>
      <c r="W625" s="391" t="inlineStr">
        <is>
          <t> </t>
        </is>
      </c>
      <c r="X625" s="391" t="inlineStr">
        <is>
          <t> </t>
        </is>
      </c>
      <c r="Y625" s="392" t="inlineStr">
        <is>
          <t> </t>
        </is>
      </c>
      <c r="Z625" s="391" t="inlineStr">
        <is>
          <t> </t>
        </is>
      </c>
      <c r="AA625" s="391" t="inlineStr">
        <is>
          <t> </t>
        </is>
      </c>
      <c r="AB625" s="391" t="inlineStr">
        <is>
          <t> </t>
        </is>
      </c>
      <c r="AC625" s="391" t="inlineStr">
        <is>
          <t> </t>
        </is>
      </c>
      <c r="AD625" s="391" t="inlineStr">
        <is>
          <t> </t>
        </is>
      </c>
      <c r="AE625" s="391" t="inlineStr">
        <is>
          <t> </t>
        </is>
      </c>
      <c r="AF625" s="38" t="inlineStr">
        <is>
          <t> </t>
        </is>
      </c>
      <c r="AG625" s="391" t="inlineStr">
        <is>
          <t> </t>
        </is>
      </c>
      <c r="AH625" s="391" t="n"/>
      <c r="AI625" s="391" t="inlineStr">
        <is>
          <t> </t>
        </is>
      </c>
      <c r="AJ625" s="391" t="inlineStr">
        <is>
          <t> </t>
        </is>
      </c>
      <c r="AK625" s="391" t="inlineStr">
        <is>
          <t> </t>
        </is>
      </c>
      <c r="AL625" s="391" t="inlineStr">
        <is>
          <t> </t>
        </is>
      </c>
      <c r="AM625" s="391" t="inlineStr">
        <is>
          <t> </t>
        </is>
      </c>
      <c r="AN625" s="391" t="inlineStr">
        <is>
          <t> </t>
        </is>
      </c>
      <c r="AO625" s="391" t="n"/>
      <c r="AP625" s="319" t="n"/>
      <c r="AQ625" s="319" t="n"/>
      <c r="AR625" s="319" t="n"/>
    </row>
    <row r="626" ht="15.75" customHeight="1" s="1264">
      <c r="A626" s="319" t="inlineStr">
        <is>
          <t> </t>
        </is>
      </c>
      <c r="B626" s="319" t="inlineStr">
        <is>
          <t> </t>
        </is>
      </c>
      <c r="C626" s="319" t="inlineStr">
        <is>
          <t> </t>
        </is>
      </c>
      <c r="D626" s="38" t="inlineStr">
        <is>
          <t> </t>
        </is>
      </c>
      <c r="E626" s="391" t="inlineStr">
        <is>
          <t> </t>
        </is>
      </c>
      <c r="F626" s="391" t="inlineStr">
        <is>
          <t> </t>
        </is>
      </c>
      <c r="G626" s="391" t="inlineStr">
        <is>
          <t> </t>
        </is>
      </c>
      <c r="H626" s="391" t="inlineStr">
        <is>
          <t> </t>
        </is>
      </c>
      <c r="I626" s="391" t="inlineStr">
        <is>
          <t> </t>
        </is>
      </c>
      <c r="J626" s="391" t="inlineStr">
        <is>
          <t> </t>
        </is>
      </c>
      <c r="K626" s="38" t="inlineStr">
        <is>
          <t> </t>
        </is>
      </c>
      <c r="L626" s="391" t="inlineStr">
        <is>
          <t> </t>
        </is>
      </c>
      <c r="M626" s="391" t="inlineStr">
        <is>
          <t> </t>
        </is>
      </c>
      <c r="N626" s="391" t="inlineStr">
        <is>
          <t> </t>
        </is>
      </c>
      <c r="O626" s="391" t="inlineStr">
        <is>
          <t> </t>
        </is>
      </c>
      <c r="P626" s="391" t="inlineStr">
        <is>
          <t> </t>
        </is>
      </c>
      <c r="Q626" s="391" t="inlineStr">
        <is>
          <t> </t>
        </is>
      </c>
      <c r="R626" s="38" t="inlineStr">
        <is>
          <t> </t>
        </is>
      </c>
      <c r="S626" s="391" t="inlineStr">
        <is>
          <t> </t>
        </is>
      </c>
      <c r="T626" s="391" t="inlineStr">
        <is>
          <t> </t>
        </is>
      </c>
      <c r="U626" s="391" t="inlineStr">
        <is>
          <t> </t>
        </is>
      </c>
      <c r="V626" s="391" t="inlineStr">
        <is>
          <t> </t>
        </is>
      </c>
      <c r="W626" s="391" t="inlineStr">
        <is>
          <t> </t>
        </is>
      </c>
      <c r="X626" s="391" t="inlineStr">
        <is>
          <t> </t>
        </is>
      </c>
      <c r="Y626" s="392" t="inlineStr">
        <is>
          <t> </t>
        </is>
      </c>
      <c r="Z626" s="391" t="inlineStr">
        <is>
          <t> </t>
        </is>
      </c>
      <c r="AA626" s="391" t="inlineStr">
        <is>
          <t> </t>
        </is>
      </c>
      <c r="AB626" s="391" t="inlineStr">
        <is>
          <t> </t>
        </is>
      </c>
      <c r="AC626" s="391" t="inlineStr">
        <is>
          <t> </t>
        </is>
      </c>
      <c r="AD626" s="391" t="inlineStr">
        <is>
          <t> </t>
        </is>
      </c>
      <c r="AE626" s="391" t="inlineStr">
        <is>
          <t> </t>
        </is>
      </c>
      <c r="AF626" s="38" t="inlineStr">
        <is>
          <t> </t>
        </is>
      </c>
      <c r="AG626" s="391" t="inlineStr">
        <is>
          <t> </t>
        </is>
      </c>
      <c r="AH626" s="391" t="n"/>
      <c r="AI626" s="391" t="inlineStr">
        <is>
          <t> </t>
        </is>
      </c>
      <c r="AJ626" s="391" t="inlineStr">
        <is>
          <t> </t>
        </is>
      </c>
      <c r="AK626" s="391" t="inlineStr">
        <is>
          <t> </t>
        </is>
      </c>
      <c r="AL626" s="391" t="inlineStr">
        <is>
          <t> </t>
        </is>
      </c>
      <c r="AM626" s="391" t="inlineStr">
        <is>
          <t> </t>
        </is>
      </c>
      <c r="AN626" s="391" t="inlineStr">
        <is>
          <t> </t>
        </is>
      </c>
      <c r="AO626" s="391" t="n"/>
      <c r="AP626" s="319" t="n"/>
      <c r="AQ626" s="319" t="n"/>
      <c r="AR626" s="319" t="n"/>
    </row>
    <row r="627" ht="15.75" customHeight="1" s="1264">
      <c r="A627" s="319" t="inlineStr">
        <is>
          <t> </t>
        </is>
      </c>
      <c r="B627" s="319" t="inlineStr">
        <is>
          <t> </t>
        </is>
      </c>
      <c r="C627" s="319" t="inlineStr">
        <is>
          <t> </t>
        </is>
      </c>
      <c r="D627" s="38" t="inlineStr">
        <is>
          <t> </t>
        </is>
      </c>
      <c r="E627" s="391" t="inlineStr">
        <is>
          <t> </t>
        </is>
      </c>
      <c r="F627" s="391" t="inlineStr">
        <is>
          <t> </t>
        </is>
      </c>
      <c r="G627" s="391" t="inlineStr">
        <is>
          <t> </t>
        </is>
      </c>
      <c r="H627" s="391" t="inlineStr">
        <is>
          <t> </t>
        </is>
      </c>
      <c r="I627" s="391" t="inlineStr">
        <is>
          <t> </t>
        </is>
      </c>
      <c r="J627" s="391" t="inlineStr">
        <is>
          <t> </t>
        </is>
      </c>
      <c r="K627" s="38" t="inlineStr">
        <is>
          <t> </t>
        </is>
      </c>
      <c r="L627" s="391" t="inlineStr">
        <is>
          <t> </t>
        </is>
      </c>
      <c r="M627" s="391" t="inlineStr">
        <is>
          <t> </t>
        </is>
      </c>
      <c r="N627" s="391" t="inlineStr">
        <is>
          <t> </t>
        </is>
      </c>
      <c r="O627" s="391" t="inlineStr">
        <is>
          <t> </t>
        </is>
      </c>
      <c r="P627" s="391" t="inlineStr">
        <is>
          <t> </t>
        </is>
      </c>
      <c r="Q627" s="391" t="inlineStr">
        <is>
          <t> </t>
        </is>
      </c>
      <c r="R627" s="38" t="inlineStr">
        <is>
          <t> </t>
        </is>
      </c>
      <c r="S627" s="391" t="inlineStr">
        <is>
          <t> </t>
        </is>
      </c>
      <c r="T627" s="391" t="inlineStr">
        <is>
          <t> </t>
        </is>
      </c>
      <c r="U627" s="391" t="inlineStr">
        <is>
          <t> </t>
        </is>
      </c>
      <c r="V627" s="391" t="inlineStr">
        <is>
          <t> </t>
        </is>
      </c>
      <c r="W627" s="391" t="inlineStr">
        <is>
          <t> </t>
        </is>
      </c>
      <c r="X627" s="391" t="inlineStr">
        <is>
          <t> </t>
        </is>
      </c>
      <c r="Y627" s="392" t="inlineStr">
        <is>
          <t> </t>
        </is>
      </c>
      <c r="Z627" s="391" t="inlineStr">
        <is>
          <t> </t>
        </is>
      </c>
      <c r="AA627" s="391" t="inlineStr">
        <is>
          <t> </t>
        </is>
      </c>
      <c r="AB627" s="391" t="inlineStr">
        <is>
          <t> </t>
        </is>
      </c>
      <c r="AC627" s="391" t="inlineStr">
        <is>
          <t> </t>
        </is>
      </c>
      <c r="AD627" s="391" t="inlineStr">
        <is>
          <t> </t>
        </is>
      </c>
      <c r="AE627" s="391" t="inlineStr">
        <is>
          <t> </t>
        </is>
      </c>
      <c r="AF627" s="38" t="inlineStr">
        <is>
          <t> </t>
        </is>
      </c>
      <c r="AG627" s="391" t="inlineStr">
        <is>
          <t> </t>
        </is>
      </c>
      <c r="AH627" s="391" t="n"/>
      <c r="AI627" s="391" t="inlineStr">
        <is>
          <t> </t>
        </is>
      </c>
      <c r="AJ627" s="391" t="inlineStr">
        <is>
          <t> </t>
        </is>
      </c>
      <c r="AK627" s="391" t="inlineStr">
        <is>
          <t> </t>
        </is>
      </c>
      <c r="AL627" s="391" t="inlineStr">
        <is>
          <t> </t>
        </is>
      </c>
      <c r="AM627" s="391" t="inlineStr">
        <is>
          <t> </t>
        </is>
      </c>
      <c r="AN627" s="391" t="inlineStr">
        <is>
          <t> </t>
        </is>
      </c>
      <c r="AO627" s="391" t="n"/>
      <c r="AP627" s="319" t="n"/>
      <c r="AQ627" s="319" t="n"/>
      <c r="AR627" s="319" t="n"/>
    </row>
    <row r="628" ht="15.75" customHeight="1" s="1264">
      <c r="A628" s="319" t="inlineStr">
        <is>
          <t> </t>
        </is>
      </c>
      <c r="B628" s="319" t="inlineStr">
        <is>
          <t> </t>
        </is>
      </c>
      <c r="C628" s="319" t="inlineStr">
        <is>
          <t> </t>
        </is>
      </c>
      <c r="D628" s="38" t="inlineStr">
        <is>
          <t> </t>
        </is>
      </c>
      <c r="E628" s="391" t="inlineStr">
        <is>
          <t> </t>
        </is>
      </c>
      <c r="F628" s="391" t="inlineStr">
        <is>
          <t> </t>
        </is>
      </c>
      <c r="G628" s="391" t="inlineStr">
        <is>
          <t> </t>
        </is>
      </c>
      <c r="H628" s="391" t="inlineStr">
        <is>
          <t> </t>
        </is>
      </c>
      <c r="I628" s="391" t="inlineStr">
        <is>
          <t> </t>
        </is>
      </c>
      <c r="J628" s="391" t="inlineStr">
        <is>
          <t> </t>
        </is>
      </c>
      <c r="K628" s="38" t="inlineStr">
        <is>
          <t> </t>
        </is>
      </c>
      <c r="L628" s="391" t="inlineStr">
        <is>
          <t> </t>
        </is>
      </c>
      <c r="M628" s="391" t="inlineStr">
        <is>
          <t> </t>
        </is>
      </c>
      <c r="N628" s="391" t="inlineStr">
        <is>
          <t> </t>
        </is>
      </c>
      <c r="O628" s="391" t="inlineStr">
        <is>
          <t> </t>
        </is>
      </c>
      <c r="P628" s="391" t="inlineStr">
        <is>
          <t> </t>
        </is>
      </c>
      <c r="Q628" s="391" t="inlineStr">
        <is>
          <t> </t>
        </is>
      </c>
      <c r="R628" s="38" t="inlineStr">
        <is>
          <t> </t>
        </is>
      </c>
      <c r="S628" s="391" t="inlineStr">
        <is>
          <t> </t>
        </is>
      </c>
      <c r="T628" s="391" t="inlineStr">
        <is>
          <t> </t>
        </is>
      </c>
      <c r="U628" s="391" t="inlineStr">
        <is>
          <t> </t>
        </is>
      </c>
      <c r="V628" s="391" t="inlineStr">
        <is>
          <t> </t>
        </is>
      </c>
      <c r="W628" s="391" t="inlineStr">
        <is>
          <t> </t>
        </is>
      </c>
      <c r="X628" s="391" t="inlineStr">
        <is>
          <t> </t>
        </is>
      </c>
      <c r="Y628" s="392" t="inlineStr">
        <is>
          <t> </t>
        </is>
      </c>
      <c r="Z628" s="391" t="inlineStr">
        <is>
          <t> </t>
        </is>
      </c>
      <c r="AA628" s="391" t="inlineStr">
        <is>
          <t> </t>
        </is>
      </c>
      <c r="AB628" s="391" t="inlineStr">
        <is>
          <t> </t>
        </is>
      </c>
      <c r="AC628" s="391" t="inlineStr">
        <is>
          <t> </t>
        </is>
      </c>
      <c r="AD628" s="391" t="inlineStr">
        <is>
          <t> </t>
        </is>
      </c>
      <c r="AE628" s="391" t="inlineStr">
        <is>
          <t> </t>
        </is>
      </c>
      <c r="AF628" s="38" t="inlineStr">
        <is>
          <t> </t>
        </is>
      </c>
      <c r="AG628" s="391" t="inlineStr">
        <is>
          <t> </t>
        </is>
      </c>
      <c r="AH628" s="391" t="n"/>
      <c r="AI628" s="391" t="inlineStr">
        <is>
          <t> </t>
        </is>
      </c>
      <c r="AJ628" s="391" t="inlineStr">
        <is>
          <t> </t>
        </is>
      </c>
      <c r="AK628" s="391" t="inlineStr">
        <is>
          <t> </t>
        </is>
      </c>
      <c r="AL628" s="391" t="inlineStr">
        <is>
          <t> </t>
        </is>
      </c>
      <c r="AM628" s="391" t="inlineStr">
        <is>
          <t> </t>
        </is>
      </c>
      <c r="AN628" s="391" t="inlineStr">
        <is>
          <t> </t>
        </is>
      </c>
      <c r="AO628" s="391" t="n"/>
      <c r="AP628" s="319" t="n"/>
      <c r="AQ628" s="319" t="n"/>
      <c r="AR628" s="319" t="n"/>
    </row>
    <row r="629" ht="15.75" customHeight="1" s="1264">
      <c r="A629" s="319" t="inlineStr">
        <is>
          <t> </t>
        </is>
      </c>
      <c r="B629" s="319" t="inlineStr">
        <is>
          <t> </t>
        </is>
      </c>
      <c r="C629" s="319" t="inlineStr">
        <is>
          <t> </t>
        </is>
      </c>
      <c r="D629" s="38" t="inlineStr">
        <is>
          <t> </t>
        </is>
      </c>
      <c r="E629" s="391" t="inlineStr">
        <is>
          <t> </t>
        </is>
      </c>
      <c r="F629" s="391" t="inlineStr">
        <is>
          <t> </t>
        </is>
      </c>
      <c r="G629" s="391" t="inlineStr">
        <is>
          <t> </t>
        </is>
      </c>
      <c r="H629" s="391" t="inlineStr">
        <is>
          <t> </t>
        </is>
      </c>
      <c r="I629" s="391" t="inlineStr">
        <is>
          <t> </t>
        </is>
      </c>
      <c r="J629" s="391" t="inlineStr">
        <is>
          <t> </t>
        </is>
      </c>
      <c r="K629" s="38" t="inlineStr">
        <is>
          <t> </t>
        </is>
      </c>
      <c r="L629" s="391" t="inlineStr">
        <is>
          <t> </t>
        </is>
      </c>
      <c r="M629" s="391" t="inlineStr">
        <is>
          <t> </t>
        </is>
      </c>
      <c r="N629" s="391" t="inlineStr">
        <is>
          <t> </t>
        </is>
      </c>
      <c r="O629" s="391" t="inlineStr">
        <is>
          <t> </t>
        </is>
      </c>
      <c r="P629" s="391" t="inlineStr">
        <is>
          <t> </t>
        </is>
      </c>
      <c r="Q629" s="391" t="inlineStr">
        <is>
          <t> </t>
        </is>
      </c>
      <c r="R629" s="38" t="inlineStr">
        <is>
          <t> </t>
        </is>
      </c>
      <c r="S629" s="391" t="inlineStr">
        <is>
          <t> </t>
        </is>
      </c>
      <c r="T629" s="391" t="inlineStr">
        <is>
          <t> </t>
        </is>
      </c>
      <c r="U629" s="391" t="inlineStr">
        <is>
          <t> </t>
        </is>
      </c>
      <c r="V629" s="391" t="inlineStr">
        <is>
          <t> </t>
        </is>
      </c>
      <c r="W629" s="391" t="inlineStr">
        <is>
          <t> </t>
        </is>
      </c>
      <c r="X629" s="391" t="inlineStr">
        <is>
          <t> </t>
        </is>
      </c>
      <c r="Y629" s="392" t="inlineStr">
        <is>
          <t> </t>
        </is>
      </c>
      <c r="Z629" s="391" t="inlineStr">
        <is>
          <t> </t>
        </is>
      </c>
      <c r="AA629" s="391" t="inlineStr">
        <is>
          <t> </t>
        </is>
      </c>
      <c r="AB629" s="391" t="inlineStr">
        <is>
          <t> </t>
        </is>
      </c>
      <c r="AC629" s="391" t="inlineStr">
        <is>
          <t> </t>
        </is>
      </c>
      <c r="AD629" s="391" t="inlineStr">
        <is>
          <t> </t>
        </is>
      </c>
      <c r="AE629" s="391" t="inlineStr">
        <is>
          <t> </t>
        </is>
      </c>
      <c r="AF629" s="38" t="inlineStr">
        <is>
          <t> </t>
        </is>
      </c>
      <c r="AG629" s="391" t="inlineStr">
        <is>
          <t> </t>
        </is>
      </c>
      <c r="AH629" s="391" t="n"/>
      <c r="AI629" s="391" t="inlineStr">
        <is>
          <t> </t>
        </is>
      </c>
      <c r="AJ629" s="391" t="inlineStr">
        <is>
          <t> </t>
        </is>
      </c>
      <c r="AK629" s="391" t="inlineStr">
        <is>
          <t> </t>
        </is>
      </c>
      <c r="AL629" s="391" t="inlineStr">
        <is>
          <t> </t>
        </is>
      </c>
      <c r="AM629" s="391" t="inlineStr">
        <is>
          <t> </t>
        </is>
      </c>
      <c r="AN629" s="391" t="inlineStr">
        <is>
          <t> </t>
        </is>
      </c>
      <c r="AO629" s="391" t="n"/>
      <c r="AP629" s="319" t="n"/>
      <c r="AQ629" s="319" t="n"/>
      <c r="AR629" s="319" t="n"/>
    </row>
    <row r="630" ht="15.75" customHeight="1" s="1264">
      <c r="A630" s="319" t="inlineStr">
        <is>
          <t> </t>
        </is>
      </c>
      <c r="B630" s="319" t="inlineStr">
        <is>
          <t> </t>
        </is>
      </c>
      <c r="C630" s="319" t="inlineStr">
        <is>
          <t> </t>
        </is>
      </c>
      <c r="D630" s="38" t="inlineStr">
        <is>
          <t> </t>
        </is>
      </c>
      <c r="E630" s="391" t="inlineStr">
        <is>
          <t> </t>
        </is>
      </c>
      <c r="F630" s="391" t="inlineStr">
        <is>
          <t> </t>
        </is>
      </c>
      <c r="G630" s="391" t="inlineStr">
        <is>
          <t> </t>
        </is>
      </c>
      <c r="H630" s="391" t="inlineStr">
        <is>
          <t> </t>
        </is>
      </c>
      <c r="I630" s="391" t="inlineStr">
        <is>
          <t> </t>
        </is>
      </c>
      <c r="J630" s="391" t="inlineStr">
        <is>
          <t> </t>
        </is>
      </c>
      <c r="K630" s="38" t="inlineStr">
        <is>
          <t> </t>
        </is>
      </c>
      <c r="L630" s="391" t="inlineStr">
        <is>
          <t> </t>
        </is>
      </c>
      <c r="M630" s="391" t="inlineStr">
        <is>
          <t> </t>
        </is>
      </c>
      <c r="N630" s="391" t="inlineStr">
        <is>
          <t> </t>
        </is>
      </c>
      <c r="O630" s="391" t="inlineStr">
        <is>
          <t> </t>
        </is>
      </c>
      <c r="P630" s="391" t="inlineStr">
        <is>
          <t> </t>
        </is>
      </c>
      <c r="Q630" s="391" t="inlineStr">
        <is>
          <t> </t>
        </is>
      </c>
      <c r="R630" s="38" t="inlineStr">
        <is>
          <t> </t>
        </is>
      </c>
      <c r="S630" s="391" t="inlineStr">
        <is>
          <t> </t>
        </is>
      </c>
      <c r="T630" s="391" t="inlineStr">
        <is>
          <t> </t>
        </is>
      </c>
      <c r="U630" s="391" t="inlineStr">
        <is>
          <t> </t>
        </is>
      </c>
      <c r="V630" s="391" t="inlineStr">
        <is>
          <t> </t>
        </is>
      </c>
      <c r="W630" s="391" t="inlineStr">
        <is>
          <t> </t>
        </is>
      </c>
      <c r="X630" s="391" t="inlineStr">
        <is>
          <t> </t>
        </is>
      </c>
      <c r="Y630" s="392" t="inlineStr">
        <is>
          <t> </t>
        </is>
      </c>
      <c r="Z630" s="391" t="inlineStr">
        <is>
          <t> </t>
        </is>
      </c>
      <c r="AA630" s="391" t="inlineStr">
        <is>
          <t> </t>
        </is>
      </c>
      <c r="AB630" s="391" t="inlineStr">
        <is>
          <t> </t>
        </is>
      </c>
      <c r="AC630" s="391" t="inlineStr">
        <is>
          <t> </t>
        </is>
      </c>
      <c r="AD630" s="391" t="inlineStr">
        <is>
          <t> </t>
        </is>
      </c>
      <c r="AE630" s="391" t="inlineStr">
        <is>
          <t> </t>
        </is>
      </c>
      <c r="AF630" s="38" t="inlineStr">
        <is>
          <t> </t>
        </is>
      </c>
      <c r="AG630" s="391" t="inlineStr">
        <is>
          <t> </t>
        </is>
      </c>
      <c r="AH630" s="391" t="n"/>
      <c r="AI630" s="391" t="inlineStr">
        <is>
          <t> </t>
        </is>
      </c>
      <c r="AJ630" s="391" t="inlineStr">
        <is>
          <t> </t>
        </is>
      </c>
      <c r="AK630" s="391" t="inlineStr">
        <is>
          <t> </t>
        </is>
      </c>
      <c r="AL630" s="391" t="inlineStr">
        <is>
          <t> </t>
        </is>
      </c>
      <c r="AM630" s="391" t="inlineStr">
        <is>
          <t> </t>
        </is>
      </c>
      <c r="AN630" s="391" t="inlineStr">
        <is>
          <t> </t>
        </is>
      </c>
      <c r="AO630" s="391" t="n"/>
      <c r="AP630" s="319" t="n"/>
      <c r="AQ630" s="319" t="n"/>
      <c r="AR630" s="319" t="n"/>
    </row>
    <row r="631" ht="15.75" customHeight="1" s="1264">
      <c r="A631" s="319" t="inlineStr">
        <is>
          <t> </t>
        </is>
      </c>
      <c r="B631" s="319" t="inlineStr">
        <is>
          <t> </t>
        </is>
      </c>
      <c r="C631" s="319" t="inlineStr">
        <is>
          <t> </t>
        </is>
      </c>
      <c r="D631" s="38" t="inlineStr">
        <is>
          <t> </t>
        </is>
      </c>
      <c r="E631" s="391" t="inlineStr">
        <is>
          <t> </t>
        </is>
      </c>
      <c r="F631" s="391" t="inlineStr">
        <is>
          <t> </t>
        </is>
      </c>
      <c r="G631" s="391" t="inlineStr">
        <is>
          <t> </t>
        </is>
      </c>
      <c r="H631" s="391" t="inlineStr">
        <is>
          <t> </t>
        </is>
      </c>
      <c r="I631" s="391" t="inlineStr">
        <is>
          <t> </t>
        </is>
      </c>
      <c r="J631" s="391" t="inlineStr">
        <is>
          <t> </t>
        </is>
      </c>
      <c r="K631" s="38" t="inlineStr">
        <is>
          <t> </t>
        </is>
      </c>
      <c r="L631" s="391" t="inlineStr">
        <is>
          <t> </t>
        </is>
      </c>
      <c r="M631" s="391" t="inlineStr">
        <is>
          <t> </t>
        </is>
      </c>
      <c r="N631" s="391" t="inlineStr">
        <is>
          <t> </t>
        </is>
      </c>
      <c r="O631" s="391" t="inlineStr">
        <is>
          <t> </t>
        </is>
      </c>
      <c r="P631" s="391" t="inlineStr">
        <is>
          <t> </t>
        </is>
      </c>
      <c r="Q631" s="391" t="inlineStr">
        <is>
          <t> </t>
        </is>
      </c>
      <c r="R631" s="38" t="inlineStr">
        <is>
          <t> </t>
        </is>
      </c>
      <c r="S631" s="391" t="inlineStr">
        <is>
          <t> </t>
        </is>
      </c>
      <c r="T631" s="391" t="inlineStr">
        <is>
          <t> </t>
        </is>
      </c>
      <c r="U631" s="391" t="inlineStr">
        <is>
          <t> </t>
        </is>
      </c>
      <c r="V631" s="391" t="inlineStr">
        <is>
          <t> </t>
        </is>
      </c>
      <c r="W631" s="391" t="inlineStr">
        <is>
          <t> </t>
        </is>
      </c>
      <c r="X631" s="391" t="inlineStr">
        <is>
          <t> </t>
        </is>
      </c>
      <c r="Y631" s="392" t="inlineStr">
        <is>
          <t> </t>
        </is>
      </c>
      <c r="Z631" s="391" t="inlineStr">
        <is>
          <t> </t>
        </is>
      </c>
      <c r="AA631" s="391" t="inlineStr">
        <is>
          <t> </t>
        </is>
      </c>
      <c r="AB631" s="391" t="inlineStr">
        <is>
          <t> </t>
        </is>
      </c>
      <c r="AC631" s="391" t="inlineStr">
        <is>
          <t> </t>
        </is>
      </c>
      <c r="AD631" s="391" t="inlineStr">
        <is>
          <t> </t>
        </is>
      </c>
      <c r="AE631" s="391" t="inlineStr">
        <is>
          <t> </t>
        </is>
      </c>
      <c r="AF631" s="38" t="inlineStr">
        <is>
          <t> </t>
        </is>
      </c>
      <c r="AG631" s="391" t="inlineStr">
        <is>
          <t> </t>
        </is>
      </c>
      <c r="AH631" s="391" t="n"/>
      <c r="AI631" s="391" t="inlineStr">
        <is>
          <t> </t>
        </is>
      </c>
      <c r="AJ631" s="391" t="inlineStr">
        <is>
          <t> </t>
        </is>
      </c>
      <c r="AK631" s="391" t="inlineStr">
        <is>
          <t> </t>
        </is>
      </c>
      <c r="AL631" s="391" t="inlineStr">
        <is>
          <t> </t>
        </is>
      </c>
      <c r="AM631" s="391" t="inlineStr">
        <is>
          <t> </t>
        </is>
      </c>
      <c r="AN631" s="391" t="inlineStr">
        <is>
          <t> </t>
        </is>
      </c>
      <c r="AO631" s="391" t="n"/>
      <c r="AP631" s="319" t="n"/>
      <c r="AQ631" s="319" t="n"/>
      <c r="AR631" s="319" t="n"/>
    </row>
    <row r="632" ht="15.75" customHeight="1" s="1264">
      <c r="A632" s="319" t="inlineStr">
        <is>
          <t> </t>
        </is>
      </c>
      <c r="B632" s="319" t="inlineStr">
        <is>
          <t> </t>
        </is>
      </c>
      <c r="C632" s="319" t="inlineStr">
        <is>
          <t> </t>
        </is>
      </c>
      <c r="D632" s="38" t="inlineStr">
        <is>
          <t> </t>
        </is>
      </c>
      <c r="E632" s="391" t="inlineStr">
        <is>
          <t> </t>
        </is>
      </c>
      <c r="F632" s="391" t="inlineStr">
        <is>
          <t> </t>
        </is>
      </c>
      <c r="G632" s="391" t="inlineStr">
        <is>
          <t> </t>
        </is>
      </c>
      <c r="H632" s="391" t="inlineStr">
        <is>
          <t> </t>
        </is>
      </c>
      <c r="I632" s="391" t="inlineStr">
        <is>
          <t> </t>
        </is>
      </c>
      <c r="J632" s="391" t="inlineStr">
        <is>
          <t> </t>
        </is>
      </c>
      <c r="K632" s="38" t="inlineStr">
        <is>
          <t> </t>
        </is>
      </c>
      <c r="L632" s="391" t="inlineStr">
        <is>
          <t> </t>
        </is>
      </c>
      <c r="M632" s="391" t="inlineStr">
        <is>
          <t> </t>
        </is>
      </c>
      <c r="N632" s="391" t="inlineStr">
        <is>
          <t> </t>
        </is>
      </c>
      <c r="O632" s="391" t="inlineStr">
        <is>
          <t> </t>
        </is>
      </c>
      <c r="P632" s="391" t="inlineStr">
        <is>
          <t> </t>
        </is>
      </c>
      <c r="Q632" s="391" t="inlineStr">
        <is>
          <t> </t>
        </is>
      </c>
      <c r="R632" s="38" t="inlineStr">
        <is>
          <t> </t>
        </is>
      </c>
      <c r="S632" s="391" t="inlineStr">
        <is>
          <t> </t>
        </is>
      </c>
      <c r="T632" s="391" t="inlineStr">
        <is>
          <t> </t>
        </is>
      </c>
      <c r="U632" s="391" t="inlineStr">
        <is>
          <t> </t>
        </is>
      </c>
      <c r="V632" s="391" t="inlineStr">
        <is>
          <t> </t>
        </is>
      </c>
      <c r="W632" s="391" t="inlineStr">
        <is>
          <t> </t>
        </is>
      </c>
      <c r="X632" s="391" t="inlineStr">
        <is>
          <t> </t>
        </is>
      </c>
      <c r="Y632" s="392" t="inlineStr">
        <is>
          <t> </t>
        </is>
      </c>
      <c r="Z632" s="391" t="inlineStr">
        <is>
          <t> </t>
        </is>
      </c>
      <c r="AA632" s="391" t="inlineStr">
        <is>
          <t> </t>
        </is>
      </c>
      <c r="AB632" s="391" t="inlineStr">
        <is>
          <t> </t>
        </is>
      </c>
      <c r="AC632" s="391" t="inlineStr">
        <is>
          <t> </t>
        </is>
      </c>
      <c r="AD632" s="391" t="inlineStr">
        <is>
          <t> </t>
        </is>
      </c>
      <c r="AE632" s="391" t="inlineStr">
        <is>
          <t> </t>
        </is>
      </c>
      <c r="AF632" s="38" t="inlineStr">
        <is>
          <t> </t>
        </is>
      </c>
      <c r="AG632" s="391" t="inlineStr">
        <is>
          <t> </t>
        </is>
      </c>
      <c r="AH632" s="391" t="n"/>
      <c r="AI632" s="391" t="inlineStr">
        <is>
          <t> </t>
        </is>
      </c>
      <c r="AJ632" s="391" t="inlineStr">
        <is>
          <t> </t>
        </is>
      </c>
      <c r="AK632" s="391" t="inlineStr">
        <is>
          <t> </t>
        </is>
      </c>
      <c r="AL632" s="391" t="inlineStr">
        <is>
          <t> </t>
        </is>
      </c>
      <c r="AM632" s="391" t="inlineStr">
        <is>
          <t> </t>
        </is>
      </c>
      <c r="AN632" s="391" t="inlineStr">
        <is>
          <t> </t>
        </is>
      </c>
      <c r="AO632" s="391" t="n"/>
      <c r="AP632" s="319" t="n"/>
      <c r="AQ632" s="319" t="n"/>
      <c r="AR632" s="319" t="n"/>
    </row>
    <row r="633" ht="15.75" customHeight="1" s="1264">
      <c r="A633" s="319" t="inlineStr">
        <is>
          <t> </t>
        </is>
      </c>
      <c r="B633" s="319" t="inlineStr">
        <is>
          <t> </t>
        </is>
      </c>
      <c r="C633" s="319" t="inlineStr">
        <is>
          <t> </t>
        </is>
      </c>
      <c r="D633" s="38" t="inlineStr">
        <is>
          <t> </t>
        </is>
      </c>
      <c r="E633" s="391" t="inlineStr">
        <is>
          <t> </t>
        </is>
      </c>
      <c r="F633" s="391" t="inlineStr">
        <is>
          <t> </t>
        </is>
      </c>
      <c r="G633" s="391" t="inlineStr">
        <is>
          <t> </t>
        </is>
      </c>
      <c r="H633" s="391" t="inlineStr">
        <is>
          <t> </t>
        </is>
      </c>
      <c r="I633" s="391" t="inlineStr">
        <is>
          <t> </t>
        </is>
      </c>
      <c r="J633" s="391" t="inlineStr">
        <is>
          <t> </t>
        </is>
      </c>
      <c r="K633" s="38" t="inlineStr">
        <is>
          <t> </t>
        </is>
      </c>
      <c r="L633" s="391" t="inlineStr">
        <is>
          <t> </t>
        </is>
      </c>
      <c r="M633" s="391" t="inlineStr">
        <is>
          <t> </t>
        </is>
      </c>
      <c r="N633" s="391" t="inlineStr">
        <is>
          <t> </t>
        </is>
      </c>
      <c r="O633" s="391" t="inlineStr">
        <is>
          <t> </t>
        </is>
      </c>
      <c r="P633" s="391" t="inlineStr">
        <is>
          <t> </t>
        </is>
      </c>
      <c r="Q633" s="391" t="inlineStr">
        <is>
          <t> </t>
        </is>
      </c>
      <c r="R633" s="38" t="inlineStr">
        <is>
          <t> </t>
        </is>
      </c>
      <c r="S633" s="391" t="inlineStr">
        <is>
          <t> </t>
        </is>
      </c>
      <c r="T633" s="391" t="inlineStr">
        <is>
          <t> </t>
        </is>
      </c>
      <c r="U633" s="391" t="inlineStr">
        <is>
          <t> </t>
        </is>
      </c>
      <c r="V633" s="391" t="inlineStr">
        <is>
          <t> </t>
        </is>
      </c>
      <c r="W633" s="391" t="inlineStr">
        <is>
          <t> </t>
        </is>
      </c>
      <c r="X633" s="391" t="inlineStr">
        <is>
          <t> </t>
        </is>
      </c>
      <c r="Y633" s="392" t="inlineStr">
        <is>
          <t> </t>
        </is>
      </c>
      <c r="Z633" s="391" t="inlineStr">
        <is>
          <t> </t>
        </is>
      </c>
      <c r="AA633" s="391" t="inlineStr">
        <is>
          <t> </t>
        </is>
      </c>
      <c r="AB633" s="391" t="inlineStr">
        <is>
          <t> </t>
        </is>
      </c>
      <c r="AC633" s="391" t="inlineStr">
        <is>
          <t> </t>
        </is>
      </c>
      <c r="AD633" s="391" t="inlineStr">
        <is>
          <t> </t>
        </is>
      </c>
      <c r="AE633" s="391" t="inlineStr">
        <is>
          <t> </t>
        </is>
      </c>
      <c r="AF633" s="38" t="inlineStr">
        <is>
          <t> </t>
        </is>
      </c>
      <c r="AG633" s="391" t="inlineStr">
        <is>
          <t> </t>
        </is>
      </c>
      <c r="AH633" s="391" t="n"/>
      <c r="AI633" s="391" t="inlineStr">
        <is>
          <t> </t>
        </is>
      </c>
      <c r="AJ633" s="391" t="inlineStr">
        <is>
          <t> </t>
        </is>
      </c>
      <c r="AK633" s="391" t="inlineStr">
        <is>
          <t> </t>
        </is>
      </c>
      <c r="AL633" s="391" t="inlineStr">
        <is>
          <t> </t>
        </is>
      </c>
      <c r="AM633" s="391" t="inlineStr">
        <is>
          <t> </t>
        </is>
      </c>
      <c r="AN633" s="391" t="inlineStr">
        <is>
          <t> </t>
        </is>
      </c>
      <c r="AO633" s="391" t="n"/>
      <c r="AP633" s="319" t="n"/>
      <c r="AQ633" s="319" t="n"/>
      <c r="AR633" s="319" t="n"/>
    </row>
    <row r="634" ht="15.75" customHeight="1" s="1264">
      <c r="A634" s="319" t="inlineStr">
        <is>
          <t> </t>
        </is>
      </c>
      <c r="B634" s="319" t="inlineStr">
        <is>
          <t> </t>
        </is>
      </c>
      <c r="C634" s="319" t="inlineStr">
        <is>
          <t> </t>
        </is>
      </c>
      <c r="D634" s="38" t="inlineStr">
        <is>
          <t> </t>
        </is>
      </c>
      <c r="E634" s="391" t="inlineStr">
        <is>
          <t> </t>
        </is>
      </c>
      <c r="F634" s="391" t="inlineStr">
        <is>
          <t> </t>
        </is>
      </c>
      <c r="G634" s="391" t="inlineStr">
        <is>
          <t> </t>
        </is>
      </c>
      <c r="H634" s="391" t="inlineStr">
        <is>
          <t> </t>
        </is>
      </c>
      <c r="I634" s="391" t="inlineStr">
        <is>
          <t> </t>
        </is>
      </c>
      <c r="J634" s="391" t="inlineStr">
        <is>
          <t> </t>
        </is>
      </c>
      <c r="K634" s="38" t="inlineStr">
        <is>
          <t> </t>
        </is>
      </c>
      <c r="L634" s="391" t="inlineStr">
        <is>
          <t> </t>
        </is>
      </c>
      <c r="M634" s="391" t="inlineStr">
        <is>
          <t> </t>
        </is>
      </c>
      <c r="N634" s="391" t="inlineStr">
        <is>
          <t> </t>
        </is>
      </c>
      <c r="O634" s="391" t="inlineStr">
        <is>
          <t> </t>
        </is>
      </c>
      <c r="P634" s="391" t="inlineStr">
        <is>
          <t> </t>
        </is>
      </c>
      <c r="Q634" s="391" t="inlineStr">
        <is>
          <t> </t>
        </is>
      </c>
      <c r="R634" s="38" t="inlineStr">
        <is>
          <t> </t>
        </is>
      </c>
      <c r="S634" s="391" t="inlineStr">
        <is>
          <t> </t>
        </is>
      </c>
      <c r="T634" s="391" t="inlineStr">
        <is>
          <t> </t>
        </is>
      </c>
      <c r="U634" s="391" t="inlineStr">
        <is>
          <t> </t>
        </is>
      </c>
      <c r="V634" s="391" t="inlineStr">
        <is>
          <t> </t>
        </is>
      </c>
      <c r="W634" s="391" t="inlineStr">
        <is>
          <t> </t>
        </is>
      </c>
      <c r="X634" s="391" t="inlineStr">
        <is>
          <t> </t>
        </is>
      </c>
      <c r="Y634" s="392" t="inlineStr">
        <is>
          <t> </t>
        </is>
      </c>
      <c r="Z634" s="391" t="inlineStr">
        <is>
          <t> </t>
        </is>
      </c>
      <c r="AA634" s="391" t="inlineStr">
        <is>
          <t> </t>
        </is>
      </c>
      <c r="AB634" s="391" t="inlineStr">
        <is>
          <t> </t>
        </is>
      </c>
      <c r="AC634" s="391" t="inlineStr">
        <is>
          <t> </t>
        </is>
      </c>
      <c r="AD634" s="391" t="inlineStr">
        <is>
          <t> </t>
        </is>
      </c>
      <c r="AE634" s="391" t="inlineStr">
        <is>
          <t> </t>
        </is>
      </c>
      <c r="AF634" s="38" t="inlineStr">
        <is>
          <t> </t>
        </is>
      </c>
      <c r="AG634" s="391" t="inlineStr">
        <is>
          <t> </t>
        </is>
      </c>
      <c r="AH634" s="391" t="n"/>
      <c r="AI634" s="391" t="inlineStr">
        <is>
          <t> </t>
        </is>
      </c>
      <c r="AJ634" s="391" t="inlineStr">
        <is>
          <t> </t>
        </is>
      </c>
      <c r="AK634" s="391" t="inlineStr">
        <is>
          <t> </t>
        </is>
      </c>
      <c r="AL634" s="391" t="inlineStr">
        <is>
          <t> </t>
        </is>
      </c>
      <c r="AM634" s="391" t="inlineStr">
        <is>
          <t> </t>
        </is>
      </c>
      <c r="AN634" s="391" t="inlineStr">
        <is>
          <t> </t>
        </is>
      </c>
      <c r="AO634" s="391" t="n"/>
      <c r="AP634" s="319" t="n"/>
      <c r="AQ634" s="319" t="n"/>
      <c r="AR634" s="319" t="n"/>
    </row>
    <row r="635" ht="15.75" customHeight="1" s="1264">
      <c r="A635" s="319" t="inlineStr">
        <is>
          <t> </t>
        </is>
      </c>
      <c r="B635" s="319" t="inlineStr">
        <is>
          <t> </t>
        </is>
      </c>
      <c r="C635" s="319" t="inlineStr">
        <is>
          <t> </t>
        </is>
      </c>
      <c r="D635" s="38" t="inlineStr">
        <is>
          <t> </t>
        </is>
      </c>
      <c r="E635" s="391" t="inlineStr">
        <is>
          <t> </t>
        </is>
      </c>
      <c r="F635" s="391" t="inlineStr">
        <is>
          <t> </t>
        </is>
      </c>
      <c r="G635" s="391" t="inlineStr">
        <is>
          <t> </t>
        </is>
      </c>
      <c r="H635" s="391" t="inlineStr">
        <is>
          <t> </t>
        </is>
      </c>
      <c r="I635" s="391" t="inlineStr">
        <is>
          <t> </t>
        </is>
      </c>
      <c r="J635" s="391" t="inlineStr">
        <is>
          <t> </t>
        </is>
      </c>
      <c r="K635" s="38" t="inlineStr">
        <is>
          <t> </t>
        </is>
      </c>
      <c r="L635" s="391" t="inlineStr">
        <is>
          <t> </t>
        </is>
      </c>
      <c r="M635" s="391" t="inlineStr">
        <is>
          <t> </t>
        </is>
      </c>
      <c r="N635" s="391" t="inlineStr">
        <is>
          <t> </t>
        </is>
      </c>
      <c r="O635" s="391" t="inlineStr">
        <is>
          <t> </t>
        </is>
      </c>
      <c r="P635" s="391" t="inlineStr">
        <is>
          <t> </t>
        </is>
      </c>
      <c r="Q635" s="391" t="inlineStr">
        <is>
          <t> </t>
        </is>
      </c>
      <c r="R635" s="38" t="inlineStr">
        <is>
          <t> </t>
        </is>
      </c>
      <c r="S635" s="391" t="inlineStr">
        <is>
          <t> </t>
        </is>
      </c>
      <c r="T635" s="391" t="inlineStr">
        <is>
          <t> </t>
        </is>
      </c>
      <c r="U635" s="391" t="inlineStr">
        <is>
          <t> </t>
        </is>
      </c>
      <c r="V635" s="391" t="inlineStr">
        <is>
          <t> </t>
        </is>
      </c>
      <c r="W635" s="391" t="inlineStr">
        <is>
          <t> </t>
        </is>
      </c>
      <c r="X635" s="391" t="inlineStr">
        <is>
          <t> </t>
        </is>
      </c>
      <c r="Y635" s="392" t="inlineStr">
        <is>
          <t> </t>
        </is>
      </c>
      <c r="Z635" s="391" t="inlineStr">
        <is>
          <t> </t>
        </is>
      </c>
      <c r="AA635" s="391" t="inlineStr">
        <is>
          <t> </t>
        </is>
      </c>
      <c r="AB635" s="391" t="inlineStr">
        <is>
          <t> </t>
        </is>
      </c>
      <c r="AC635" s="391" t="inlineStr">
        <is>
          <t> </t>
        </is>
      </c>
      <c r="AD635" s="391" t="inlineStr">
        <is>
          <t> </t>
        </is>
      </c>
      <c r="AE635" s="391" t="inlineStr">
        <is>
          <t> </t>
        </is>
      </c>
      <c r="AF635" s="38" t="inlineStr">
        <is>
          <t> </t>
        </is>
      </c>
      <c r="AG635" s="391" t="inlineStr">
        <is>
          <t> </t>
        </is>
      </c>
      <c r="AH635" s="391" t="n"/>
      <c r="AI635" s="391" t="inlineStr">
        <is>
          <t> </t>
        </is>
      </c>
      <c r="AJ635" s="391" t="inlineStr">
        <is>
          <t> </t>
        </is>
      </c>
      <c r="AK635" s="391" t="inlineStr">
        <is>
          <t> </t>
        </is>
      </c>
      <c r="AL635" s="391" t="inlineStr">
        <is>
          <t> </t>
        </is>
      </c>
      <c r="AM635" s="391" t="inlineStr">
        <is>
          <t> </t>
        </is>
      </c>
      <c r="AN635" s="391" t="inlineStr">
        <is>
          <t> </t>
        </is>
      </c>
      <c r="AO635" s="391" t="n"/>
      <c r="AP635" s="319" t="n"/>
      <c r="AQ635" s="319" t="n"/>
      <c r="AR635" s="319" t="n"/>
    </row>
    <row r="636" ht="15.75" customHeight="1" s="1264">
      <c r="A636" s="319" t="inlineStr">
        <is>
          <t> </t>
        </is>
      </c>
      <c r="B636" s="319" t="inlineStr">
        <is>
          <t> </t>
        </is>
      </c>
      <c r="C636" s="319" t="inlineStr">
        <is>
          <t> </t>
        </is>
      </c>
      <c r="D636" s="38" t="inlineStr">
        <is>
          <t> </t>
        </is>
      </c>
      <c r="E636" s="391" t="inlineStr">
        <is>
          <t> </t>
        </is>
      </c>
      <c r="F636" s="391" t="inlineStr">
        <is>
          <t> </t>
        </is>
      </c>
      <c r="G636" s="391" t="inlineStr">
        <is>
          <t> </t>
        </is>
      </c>
      <c r="H636" s="391" t="inlineStr">
        <is>
          <t> </t>
        </is>
      </c>
      <c r="I636" s="391" t="inlineStr">
        <is>
          <t> </t>
        </is>
      </c>
      <c r="J636" s="391" t="inlineStr">
        <is>
          <t> </t>
        </is>
      </c>
      <c r="K636" s="38" t="inlineStr">
        <is>
          <t> </t>
        </is>
      </c>
      <c r="L636" s="391" t="inlineStr">
        <is>
          <t> </t>
        </is>
      </c>
      <c r="M636" s="391" t="inlineStr">
        <is>
          <t> </t>
        </is>
      </c>
      <c r="N636" s="391" t="inlineStr">
        <is>
          <t> </t>
        </is>
      </c>
      <c r="O636" s="391" t="inlineStr">
        <is>
          <t> </t>
        </is>
      </c>
      <c r="P636" s="391" t="inlineStr">
        <is>
          <t> </t>
        </is>
      </c>
      <c r="Q636" s="391" t="inlineStr">
        <is>
          <t> </t>
        </is>
      </c>
      <c r="R636" s="38" t="inlineStr">
        <is>
          <t> </t>
        </is>
      </c>
      <c r="S636" s="391" t="inlineStr">
        <is>
          <t> </t>
        </is>
      </c>
      <c r="T636" s="391" t="inlineStr">
        <is>
          <t> </t>
        </is>
      </c>
      <c r="U636" s="391" t="inlineStr">
        <is>
          <t> </t>
        </is>
      </c>
      <c r="V636" s="391" t="inlineStr">
        <is>
          <t> </t>
        </is>
      </c>
      <c r="W636" s="391" t="inlineStr">
        <is>
          <t> </t>
        </is>
      </c>
      <c r="X636" s="391" t="inlineStr">
        <is>
          <t> </t>
        </is>
      </c>
      <c r="Y636" s="392" t="inlineStr">
        <is>
          <t> </t>
        </is>
      </c>
      <c r="Z636" s="391" t="inlineStr">
        <is>
          <t> </t>
        </is>
      </c>
      <c r="AA636" s="391" t="inlineStr">
        <is>
          <t> </t>
        </is>
      </c>
      <c r="AB636" s="391" t="inlineStr">
        <is>
          <t> </t>
        </is>
      </c>
      <c r="AC636" s="391" t="inlineStr">
        <is>
          <t> </t>
        </is>
      </c>
      <c r="AD636" s="391" t="inlineStr">
        <is>
          <t> </t>
        </is>
      </c>
      <c r="AE636" s="391" t="inlineStr">
        <is>
          <t> </t>
        </is>
      </c>
      <c r="AF636" s="38" t="inlineStr">
        <is>
          <t> </t>
        </is>
      </c>
      <c r="AG636" s="391" t="inlineStr">
        <is>
          <t> </t>
        </is>
      </c>
      <c r="AH636" s="391" t="n"/>
      <c r="AI636" s="391" t="inlineStr">
        <is>
          <t> </t>
        </is>
      </c>
      <c r="AJ636" s="391" t="inlineStr">
        <is>
          <t> </t>
        </is>
      </c>
      <c r="AK636" s="391" t="inlineStr">
        <is>
          <t> </t>
        </is>
      </c>
      <c r="AL636" s="391" t="inlineStr">
        <is>
          <t> </t>
        </is>
      </c>
      <c r="AM636" s="391" t="inlineStr">
        <is>
          <t> </t>
        </is>
      </c>
      <c r="AN636" s="391" t="inlineStr">
        <is>
          <t> </t>
        </is>
      </c>
      <c r="AO636" s="391" t="n"/>
      <c r="AP636" s="319" t="n"/>
      <c r="AQ636" s="319" t="n"/>
      <c r="AR636" s="319" t="n"/>
    </row>
    <row r="637" ht="15.75" customHeight="1" s="1264">
      <c r="A637" s="319" t="inlineStr">
        <is>
          <t> </t>
        </is>
      </c>
      <c r="B637" s="319" t="inlineStr">
        <is>
          <t> </t>
        </is>
      </c>
      <c r="C637" s="319" t="inlineStr">
        <is>
          <t> </t>
        </is>
      </c>
      <c r="D637" s="38" t="inlineStr">
        <is>
          <t> </t>
        </is>
      </c>
      <c r="E637" s="391" t="inlineStr">
        <is>
          <t> </t>
        </is>
      </c>
      <c r="F637" s="391" t="inlineStr">
        <is>
          <t> </t>
        </is>
      </c>
      <c r="G637" s="391" t="inlineStr">
        <is>
          <t> </t>
        </is>
      </c>
      <c r="H637" s="391" t="inlineStr">
        <is>
          <t> </t>
        </is>
      </c>
      <c r="I637" s="391" t="inlineStr">
        <is>
          <t> </t>
        </is>
      </c>
      <c r="J637" s="391" t="inlineStr">
        <is>
          <t> </t>
        </is>
      </c>
      <c r="K637" s="38" t="inlineStr">
        <is>
          <t> </t>
        </is>
      </c>
      <c r="L637" s="391" t="inlineStr">
        <is>
          <t> </t>
        </is>
      </c>
      <c r="M637" s="391" t="inlineStr">
        <is>
          <t> </t>
        </is>
      </c>
      <c r="N637" s="391" t="inlineStr">
        <is>
          <t> </t>
        </is>
      </c>
      <c r="O637" s="391" t="inlineStr">
        <is>
          <t> </t>
        </is>
      </c>
      <c r="P637" s="391" t="inlineStr">
        <is>
          <t> </t>
        </is>
      </c>
      <c r="Q637" s="391" t="inlineStr">
        <is>
          <t> </t>
        </is>
      </c>
      <c r="R637" s="38" t="inlineStr">
        <is>
          <t> </t>
        </is>
      </c>
      <c r="S637" s="391" t="inlineStr">
        <is>
          <t> </t>
        </is>
      </c>
      <c r="T637" s="391" t="inlineStr">
        <is>
          <t> </t>
        </is>
      </c>
      <c r="U637" s="391" t="inlineStr">
        <is>
          <t> </t>
        </is>
      </c>
      <c r="V637" s="391" t="inlineStr">
        <is>
          <t> </t>
        </is>
      </c>
      <c r="W637" s="391" t="inlineStr">
        <is>
          <t> </t>
        </is>
      </c>
      <c r="X637" s="391" t="inlineStr">
        <is>
          <t> </t>
        </is>
      </c>
      <c r="Y637" s="392" t="inlineStr">
        <is>
          <t> </t>
        </is>
      </c>
      <c r="Z637" s="391" t="inlineStr">
        <is>
          <t> </t>
        </is>
      </c>
      <c r="AA637" s="391" t="inlineStr">
        <is>
          <t> </t>
        </is>
      </c>
      <c r="AB637" s="391" t="inlineStr">
        <is>
          <t> </t>
        </is>
      </c>
      <c r="AC637" s="391" t="inlineStr">
        <is>
          <t> </t>
        </is>
      </c>
      <c r="AD637" s="391" t="inlineStr">
        <is>
          <t> </t>
        </is>
      </c>
      <c r="AE637" s="391" t="inlineStr">
        <is>
          <t> </t>
        </is>
      </c>
      <c r="AF637" s="38" t="inlineStr">
        <is>
          <t> </t>
        </is>
      </c>
      <c r="AG637" s="391" t="inlineStr">
        <is>
          <t> </t>
        </is>
      </c>
      <c r="AH637" s="391" t="n"/>
      <c r="AI637" s="391" t="inlineStr">
        <is>
          <t> </t>
        </is>
      </c>
      <c r="AJ637" s="391" t="inlineStr">
        <is>
          <t> </t>
        </is>
      </c>
      <c r="AK637" s="391" t="inlineStr">
        <is>
          <t> </t>
        </is>
      </c>
      <c r="AL637" s="391" t="inlineStr">
        <is>
          <t> </t>
        </is>
      </c>
      <c r="AM637" s="391" t="inlineStr">
        <is>
          <t> </t>
        </is>
      </c>
      <c r="AN637" s="391" t="inlineStr">
        <is>
          <t> </t>
        </is>
      </c>
      <c r="AO637" s="391" t="n"/>
      <c r="AP637" s="319" t="n"/>
      <c r="AQ637" s="319" t="n"/>
      <c r="AR637" s="319" t="n"/>
    </row>
    <row r="638" ht="15.75" customHeight="1" s="1264">
      <c r="A638" s="319" t="inlineStr">
        <is>
          <t> </t>
        </is>
      </c>
      <c r="B638" s="319" t="inlineStr">
        <is>
          <t> </t>
        </is>
      </c>
      <c r="C638" s="319" t="inlineStr">
        <is>
          <t> </t>
        </is>
      </c>
      <c r="D638" s="38" t="inlineStr">
        <is>
          <t> </t>
        </is>
      </c>
      <c r="E638" s="391" t="inlineStr">
        <is>
          <t> </t>
        </is>
      </c>
      <c r="F638" s="391" t="inlineStr">
        <is>
          <t> </t>
        </is>
      </c>
      <c r="G638" s="391" t="inlineStr">
        <is>
          <t> </t>
        </is>
      </c>
      <c r="H638" s="391" t="inlineStr">
        <is>
          <t> </t>
        </is>
      </c>
      <c r="I638" s="391" t="inlineStr">
        <is>
          <t> </t>
        </is>
      </c>
      <c r="J638" s="391" t="inlineStr">
        <is>
          <t> </t>
        </is>
      </c>
      <c r="K638" s="38" t="inlineStr">
        <is>
          <t> </t>
        </is>
      </c>
      <c r="L638" s="391" t="inlineStr">
        <is>
          <t> </t>
        </is>
      </c>
      <c r="M638" s="391" t="inlineStr">
        <is>
          <t> </t>
        </is>
      </c>
      <c r="N638" s="391" t="inlineStr">
        <is>
          <t> </t>
        </is>
      </c>
      <c r="O638" s="391" t="inlineStr">
        <is>
          <t> </t>
        </is>
      </c>
      <c r="P638" s="391" t="inlineStr">
        <is>
          <t> </t>
        </is>
      </c>
      <c r="Q638" s="391" t="inlineStr">
        <is>
          <t> </t>
        </is>
      </c>
      <c r="R638" s="38" t="inlineStr">
        <is>
          <t> </t>
        </is>
      </c>
      <c r="S638" s="391" t="inlineStr">
        <is>
          <t> </t>
        </is>
      </c>
      <c r="T638" s="391" t="inlineStr">
        <is>
          <t> </t>
        </is>
      </c>
      <c r="U638" s="391" t="inlineStr">
        <is>
          <t> </t>
        </is>
      </c>
      <c r="V638" s="391" t="inlineStr">
        <is>
          <t> </t>
        </is>
      </c>
      <c r="W638" s="391" t="inlineStr">
        <is>
          <t> </t>
        </is>
      </c>
      <c r="X638" s="391" t="inlineStr">
        <is>
          <t> </t>
        </is>
      </c>
      <c r="Y638" s="392" t="inlineStr">
        <is>
          <t> </t>
        </is>
      </c>
      <c r="Z638" s="391" t="inlineStr">
        <is>
          <t> </t>
        </is>
      </c>
      <c r="AA638" s="391" t="inlineStr">
        <is>
          <t> </t>
        </is>
      </c>
      <c r="AB638" s="391" t="inlineStr">
        <is>
          <t> </t>
        </is>
      </c>
      <c r="AC638" s="391" t="inlineStr">
        <is>
          <t> </t>
        </is>
      </c>
      <c r="AD638" s="391" t="inlineStr">
        <is>
          <t> </t>
        </is>
      </c>
      <c r="AE638" s="391" t="inlineStr">
        <is>
          <t> </t>
        </is>
      </c>
      <c r="AF638" s="38" t="inlineStr">
        <is>
          <t> </t>
        </is>
      </c>
      <c r="AG638" s="391" t="inlineStr">
        <is>
          <t> </t>
        </is>
      </c>
      <c r="AH638" s="391" t="n"/>
      <c r="AI638" s="391" t="inlineStr">
        <is>
          <t> </t>
        </is>
      </c>
      <c r="AJ638" s="391" t="inlineStr">
        <is>
          <t> </t>
        </is>
      </c>
      <c r="AK638" s="391" t="inlineStr">
        <is>
          <t> </t>
        </is>
      </c>
      <c r="AL638" s="391" t="inlineStr">
        <is>
          <t> </t>
        </is>
      </c>
      <c r="AM638" s="391" t="inlineStr">
        <is>
          <t> </t>
        </is>
      </c>
      <c r="AN638" s="391" t="inlineStr">
        <is>
          <t> </t>
        </is>
      </c>
      <c r="AO638" s="391" t="n"/>
      <c r="AP638" s="319" t="n"/>
      <c r="AQ638" s="319" t="n"/>
      <c r="AR638" s="319" t="n"/>
    </row>
    <row r="639" ht="15.75" customHeight="1" s="1264">
      <c r="A639" s="319" t="inlineStr">
        <is>
          <t> </t>
        </is>
      </c>
      <c r="B639" s="319" t="inlineStr">
        <is>
          <t> </t>
        </is>
      </c>
      <c r="C639" s="319" t="inlineStr">
        <is>
          <t> </t>
        </is>
      </c>
      <c r="D639" s="38" t="inlineStr">
        <is>
          <t> </t>
        </is>
      </c>
      <c r="E639" s="391" t="inlineStr">
        <is>
          <t> </t>
        </is>
      </c>
      <c r="F639" s="391" t="inlineStr">
        <is>
          <t> </t>
        </is>
      </c>
      <c r="G639" s="391" t="inlineStr">
        <is>
          <t> </t>
        </is>
      </c>
      <c r="H639" s="391" t="inlineStr">
        <is>
          <t> </t>
        </is>
      </c>
      <c r="I639" s="391" t="inlineStr">
        <is>
          <t> </t>
        </is>
      </c>
      <c r="J639" s="391" t="inlineStr">
        <is>
          <t> </t>
        </is>
      </c>
      <c r="K639" s="38" t="inlineStr">
        <is>
          <t> </t>
        </is>
      </c>
      <c r="L639" s="391" t="inlineStr">
        <is>
          <t> </t>
        </is>
      </c>
      <c r="M639" s="391" t="inlineStr">
        <is>
          <t> </t>
        </is>
      </c>
      <c r="N639" s="391" t="inlineStr">
        <is>
          <t> </t>
        </is>
      </c>
      <c r="O639" s="391" t="inlineStr">
        <is>
          <t> </t>
        </is>
      </c>
      <c r="P639" s="391" t="inlineStr">
        <is>
          <t> </t>
        </is>
      </c>
      <c r="Q639" s="391" t="inlineStr">
        <is>
          <t> </t>
        </is>
      </c>
      <c r="R639" s="38" t="inlineStr">
        <is>
          <t> </t>
        </is>
      </c>
      <c r="S639" s="391" t="inlineStr">
        <is>
          <t> </t>
        </is>
      </c>
      <c r="T639" s="391" t="inlineStr">
        <is>
          <t> </t>
        </is>
      </c>
      <c r="U639" s="391" t="inlineStr">
        <is>
          <t> </t>
        </is>
      </c>
      <c r="V639" s="391" t="inlineStr">
        <is>
          <t> </t>
        </is>
      </c>
      <c r="W639" s="391" t="inlineStr">
        <is>
          <t> </t>
        </is>
      </c>
      <c r="X639" s="391" t="inlineStr">
        <is>
          <t> </t>
        </is>
      </c>
      <c r="Y639" s="392" t="inlineStr">
        <is>
          <t> </t>
        </is>
      </c>
      <c r="Z639" s="391" t="inlineStr">
        <is>
          <t> </t>
        </is>
      </c>
      <c r="AA639" s="391" t="inlineStr">
        <is>
          <t> </t>
        </is>
      </c>
      <c r="AB639" s="391" t="inlineStr">
        <is>
          <t> </t>
        </is>
      </c>
      <c r="AC639" s="391" t="inlineStr">
        <is>
          <t> </t>
        </is>
      </c>
      <c r="AD639" s="391" t="inlineStr">
        <is>
          <t> </t>
        </is>
      </c>
      <c r="AE639" s="391" t="inlineStr">
        <is>
          <t> </t>
        </is>
      </c>
      <c r="AF639" s="38" t="inlineStr">
        <is>
          <t> </t>
        </is>
      </c>
      <c r="AG639" s="391" t="inlineStr">
        <is>
          <t> </t>
        </is>
      </c>
      <c r="AH639" s="391" t="n"/>
      <c r="AI639" s="391" t="inlineStr">
        <is>
          <t> </t>
        </is>
      </c>
      <c r="AJ639" s="391" t="inlineStr">
        <is>
          <t> </t>
        </is>
      </c>
      <c r="AK639" s="391" t="inlineStr">
        <is>
          <t> </t>
        </is>
      </c>
      <c r="AL639" s="391" t="inlineStr">
        <is>
          <t> </t>
        </is>
      </c>
      <c r="AM639" s="391" t="inlineStr">
        <is>
          <t> </t>
        </is>
      </c>
      <c r="AN639" s="391" t="inlineStr">
        <is>
          <t> </t>
        </is>
      </c>
      <c r="AO639" s="391" t="n"/>
      <c r="AP639" s="319" t="n"/>
      <c r="AQ639" s="319" t="n"/>
      <c r="AR639" s="319" t="n"/>
    </row>
    <row r="640" ht="15.75" customHeight="1" s="1264">
      <c r="A640" s="319" t="inlineStr">
        <is>
          <t> </t>
        </is>
      </c>
      <c r="B640" s="319" t="inlineStr">
        <is>
          <t> </t>
        </is>
      </c>
      <c r="C640" s="319" t="inlineStr">
        <is>
          <t> </t>
        </is>
      </c>
      <c r="D640" s="38" t="inlineStr">
        <is>
          <t> </t>
        </is>
      </c>
      <c r="E640" s="391" t="inlineStr">
        <is>
          <t> </t>
        </is>
      </c>
      <c r="F640" s="391" t="inlineStr">
        <is>
          <t> </t>
        </is>
      </c>
      <c r="G640" s="391" t="inlineStr">
        <is>
          <t> </t>
        </is>
      </c>
      <c r="H640" s="391" t="inlineStr">
        <is>
          <t> </t>
        </is>
      </c>
      <c r="I640" s="391" t="inlineStr">
        <is>
          <t> </t>
        </is>
      </c>
      <c r="J640" s="391" t="inlineStr">
        <is>
          <t> </t>
        </is>
      </c>
      <c r="K640" s="38" t="inlineStr">
        <is>
          <t> </t>
        </is>
      </c>
      <c r="L640" s="391" t="inlineStr">
        <is>
          <t> </t>
        </is>
      </c>
      <c r="M640" s="391" t="inlineStr">
        <is>
          <t> </t>
        </is>
      </c>
      <c r="N640" s="391" t="inlineStr">
        <is>
          <t> </t>
        </is>
      </c>
      <c r="O640" s="391" t="inlineStr">
        <is>
          <t> </t>
        </is>
      </c>
      <c r="P640" s="391" t="inlineStr">
        <is>
          <t> </t>
        </is>
      </c>
      <c r="Q640" s="391" t="inlineStr">
        <is>
          <t> </t>
        </is>
      </c>
      <c r="R640" s="38" t="inlineStr">
        <is>
          <t> </t>
        </is>
      </c>
      <c r="S640" s="391" t="inlineStr">
        <is>
          <t> </t>
        </is>
      </c>
      <c r="T640" s="391" t="inlineStr">
        <is>
          <t> </t>
        </is>
      </c>
      <c r="U640" s="391" t="inlineStr">
        <is>
          <t> </t>
        </is>
      </c>
      <c r="V640" s="391" t="inlineStr">
        <is>
          <t> </t>
        </is>
      </c>
      <c r="W640" s="391" t="inlineStr">
        <is>
          <t> </t>
        </is>
      </c>
      <c r="X640" s="391" t="inlineStr">
        <is>
          <t> </t>
        </is>
      </c>
      <c r="Y640" s="392" t="inlineStr">
        <is>
          <t> </t>
        </is>
      </c>
      <c r="Z640" s="391" t="inlineStr">
        <is>
          <t> </t>
        </is>
      </c>
      <c r="AA640" s="391" t="inlineStr">
        <is>
          <t> </t>
        </is>
      </c>
      <c r="AB640" s="391" t="inlineStr">
        <is>
          <t> </t>
        </is>
      </c>
      <c r="AC640" s="391" t="inlineStr">
        <is>
          <t> </t>
        </is>
      </c>
      <c r="AD640" s="391" t="inlineStr">
        <is>
          <t> </t>
        </is>
      </c>
      <c r="AE640" s="391" t="inlineStr">
        <is>
          <t> </t>
        </is>
      </c>
      <c r="AF640" s="38" t="inlineStr">
        <is>
          <t> </t>
        </is>
      </c>
      <c r="AG640" s="391" t="inlineStr">
        <is>
          <t> </t>
        </is>
      </c>
      <c r="AH640" s="391" t="n"/>
      <c r="AI640" s="391" t="inlineStr">
        <is>
          <t> </t>
        </is>
      </c>
      <c r="AJ640" s="391" t="inlineStr">
        <is>
          <t> </t>
        </is>
      </c>
      <c r="AK640" s="391" t="inlineStr">
        <is>
          <t> </t>
        </is>
      </c>
      <c r="AL640" s="391" t="inlineStr">
        <is>
          <t> </t>
        </is>
      </c>
      <c r="AM640" s="391" t="inlineStr">
        <is>
          <t> </t>
        </is>
      </c>
      <c r="AN640" s="391" t="inlineStr">
        <is>
          <t> </t>
        </is>
      </c>
      <c r="AO640" s="391" t="n"/>
      <c r="AP640" s="319" t="n"/>
      <c r="AQ640" s="319" t="n"/>
      <c r="AR640" s="319" t="n"/>
    </row>
    <row r="641" ht="15.75" customHeight="1" s="1264">
      <c r="A641" s="319" t="inlineStr">
        <is>
          <t> </t>
        </is>
      </c>
      <c r="B641" s="319" t="inlineStr">
        <is>
          <t> </t>
        </is>
      </c>
      <c r="C641" s="319" t="inlineStr">
        <is>
          <t> </t>
        </is>
      </c>
      <c r="D641" s="38" t="inlineStr">
        <is>
          <t> </t>
        </is>
      </c>
      <c r="E641" s="391" t="inlineStr">
        <is>
          <t> </t>
        </is>
      </c>
      <c r="F641" s="391" t="inlineStr">
        <is>
          <t> </t>
        </is>
      </c>
      <c r="G641" s="391" t="inlineStr">
        <is>
          <t> </t>
        </is>
      </c>
      <c r="H641" s="391" t="inlineStr">
        <is>
          <t> </t>
        </is>
      </c>
      <c r="I641" s="391" t="inlineStr">
        <is>
          <t> </t>
        </is>
      </c>
      <c r="J641" s="391" t="inlineStr">
        <is>
          <t> </t>
        </is>
      </c>
      <c r="K641" s="38" t="inlineStr">
        <is>
          <t> </t>
        </is>
      </c>
      <c r="L641" s="391" t="inlineStr">
        <is>
          <t> </t>
        </is>
      </c>
      <c r="M641" s="391" t="inlineStr">
        <is>
          <t> </t>
        </is>
      </c>
      <c r="N641" s="391" t="inlineStr">
        <is>
          <t> </t>
        </is>
      </c>
      <c r="O641" s="391" t="inlineStr">
        <is>
          <t> </t>
        </is>
      </c>
      <c r="P641" s="391" t="inlineStr">
        <is>
          <t> </t>
        </is>
      </c>
      <c r="Q641" s="391" t="inlineStr">
        <is>
          <t> </t>
        </is>
      </c>
      <c r="R641" s="38" t="inlineStr">
        <is>
          <t> </t>
        </is>
      </c>
      <c r="S641" s="391" t="inlineStr">
        <is>
          <t> </t>
        </is>
      </c>
      <c r="T641" s="391" t="inlineStr">
        <is>
          <t> </t>
        </is>
      </c>
      <c r="U641" s="391" t="inlineStr">
        <is>
          <t> </t>
        </is>
      </c>
      <c r="V641" s="391" t="inlineStr">
        <is>
          <t> </t>
        </is>
      </c>
      <c r="W641" s="391" t="inlineStr">
        <is>
          <t> </t>
        </is>
      </c>
      <c r="X641" s="391" t="inlineStr">
        <is>
          <t> </t>
        </is>
      </c>
      <c r="Y641" s="392" t="inlineStr">
        <is>
          <t> </t>
        </is>
      </c>
      <c r="Z641" s="391" t="inlineStr">
        <is>
          <t> </t>
        </is>
      </c>
      <c r="AA641" s="391" t="inlineStr">
        <is>
          <t> </t>
        </is>
      </c>
      <c r="AB641" s="391" t="inlineStr">
        <is>
          <t> </t>
        </is>
      </c>
      <c r="AC641" s="391" t="inlineStr">
        <is>
          <t> </t>
        </is>
      </c>
      <c r="AD641" s="391" t="inlineStr">
        <is>
          <t> </t>
        </is>
      </c>
      <c r="AE641" s="391" t="inlineStr">
        <is>
          <t> </t>
        </is>
      </c>
      <c r="AF641" s="38" t="inlineStr">
        <is>
          <t> </t>
        </is>
      </c>
      <c r="AG641" s="391" t="inlineStr">
        <is>
          <t> </t>
        </is>
      </c>
      <c r="AH641" s="391" t="n"/>
      <c r="AI641" s="391" t="inlineStr">
        <is>
          <t> </t>
        </is>
      </c>
      <c r="AJ641" s="391" t="inlineStr">
        <is>
          <t> </t>
        </is>
      </c>
      <c r="AK641" s="391" t="inlineStr">
        <is>
          <t> </t>
        </is>
      </c>
      <c r="AL641" s="391" t="inlineStr">
        <is>
          <t> </t>
        </is>
      </c>
      <c r="AM641" s="391" t="inlineStr">
        <is>
          <t> </t>
        </is>
      </c>
      <c r="AN641" s="391" t="inlineStr">
        <is>
          <t> </t>
        </is>
      </c>
      <c r="AO641" s="391" t="n"/>
      <c r="AP641" s="319" t="n"/>
      <c r="AQ641" s="319" t="n"/>
      <c r="AR641" s="319" t="n"/>
    </row>
    <row r="642" ht="15.75" customHeight="1" s="1264">
      <c r="A642" s="319" t="inlineStr">
        <is>
          <t> </t>
        </is>
      </c>
      <c r="B642" s="319" t="inlineStr">
        <is>
          <t> </t>
        </is>
      </c>
      <c r="C642" s="319" t="inlineStr">
        <is>
          <t> </t>
        </is>
      </c>
      <c r="D642" s="38" t="inlineStr">
        <is>
          <t> </t>
        </is>
      </c>
      <c r="E642" s="391" t="inlineStr">
        <is>
          <t> </t>
        </is>
      </c>
      <c r="F642" s="391" t="inlineStr">
        <is>
          <t> </t>
        </is>
      </c>
      <c r="G642" s="391" t="inlineStr">
        <is>
          <t> </t>
        </is>
      </c>
      <c r="H642" s="391" t="inlineStr">
        <is>
          <t> </t>
        </is>
      </c>
      <c r="I642" s="391" t="inlineStr">
        <is>
          <t> </t>
        </is>
      </c>
      <c r="J642" s="391" t="inlineStr">
        <is>
          <t> </t>
        </is>
      </c>
      <c r="K642" s="38" t="inlineStr">
        <is>
          <t> </t>
        </is>
      </c>
      <c r="L642" s="391" t="inlineStr">
        <is>
          <t> </t>
        </is>
      </c>
      <c r="M642" s="391" t="inlineStr">
        <is>
          <t> </t>
        </is>
      </c>
      <c r="N642" s="391" t="inlineStr">
        <is>
          <t> </t>
        </is>
      </c>
      <c r="O642" s="391" t="inlineStr">
        <is>
          <t> </t>
        </is>
      </c>
      <c r="P642" s="391" t="inlineStr">
        <is>
          <t> </t>
        </is>
      </c>
      <c r="Q642" s="391" t="inlineStr">
        <is>
          <t> </t>
        </is>
      </c>
      <c r="R642" s="38" t="inlineStr">
        <is>
          <t> </t>
        </is>
      </c>
      <c r="S642" s="391" t="inlineStr">
        <is>
          <t> </t>
        </is>
      </c>
      <c r="T642" s="391" t="inlineStr">
        <is>
          <t> </t>
        </is>
      </c>
      <c r="U642" s="391" t="inlineStr">
        <is>
          <t> </t>
        </is>
      </c>
      <c r="V642" s="391" t="inlineStr">
        <is>
          <t> </t>
        </is>
      </c>
      <c r="W642" s="391" t="inlineStr">
        <is>
          <t> </t>
        </is>
      </c>
      <c r="X642" s="391" t="inlineStr">
        <is>
          <t> </t>
        </is>
      </c>
      <c r="Y642" s="392" t="inlineStr">
        <is>
          <t> </t>
        </is>
      </c>
      <c r="Z642" s="391" t="inlineStr">
        <is>
          <t> </t>
        </is>
      </c>
      <c r="AA642" s="391" t="inlineStr">
        <is>
          <t> </t>
        </is>
      </c>
      <c r="AB642" s="391" t="inlineStr">
        <is>
          <t> </t>
        </is>
      </c>
      <c r="AC642" s="391" t="inlineStr">
        <is>
          <t> </t>
        </is>
      </c>
      <c r="AD642" s="391" t="inlineStr">
        <is>
          <t> </t>
        </is>
      </c>
      <c r="AE642" s="391" t="inlineStr">
        <is>
          <t> </t>
        </is>
      </c>
      <c r="AF642" s="38" t="inlineStr">
        <is>
          <t> </t>
        </is>
      </c>
      <c r="AG642" s="391" t="inlineStr">
        <is>
          <t> </t>
        </is>
      </c>
      <c r="AH642" s="391" t="n"/>
      <c r="AI642" s="391" t="inlineStr">
        <is>
          <t> </t>
        </is>
      </c>
      <c r="AJ642" s="391" t="inlineStr">
        <is>
          <t> </t>
        </is>
      </c>
      <c r="AK642" s="391" t="inlineStr">
        <is>
          <t> </t>
        </is>
      </c>
      <c r="AL642" s="391" t="inlineStr">
        <is>
          <t> </t>
        </is>
      </c>
      <c r="AM642" s="391" t="inlineStr">
        <is>
          <t> </t>
        </is>
      </c>
      <c r="AN642" s="391" t="inlineStr">
        <is>
          <t> </t>
        </is>
      </c>
      <c r="AO642" s="391" t="n"/>
      <c r="AP642" s="319" t="n"/>
      <c r="AQ642" s="319" t="n"/>
      <c r="AR642" s="319" t="n"/>
    </row>
    <row r="643" ht="15.75" customHeight="1" s="1264">
      <c r="A643" s="319" t="inlineStr">
        <is>
          <t> </t>
        </is>
      </c>
      <c r="B643" s="319" t="inlineStr">
        <is>
          <t> </t>
        </is>
      </c>
      <c r="C643" s="319" t="inlineStr">
        <is>
          <t> </t>
        </is>
      </c>
      <c r="D643" s="38" t="inlineStr">
        <is>
          <t> </t>
        </is>
      </c>
      <c r="E643" s="391" t="inlineStr">
        <is>
          <t> </t>
        </is>
      </c>
      <c r="F643" s="391" t="inlineStr">
        <is>
          <t> </t>
        </is>
      </c>
      <c r="G643" s="391" t="inlineStr">
        <is>
          <t> </t>
        </is>
      </c>
      <c r="H643" s="391" t="inlineStr">
        <is>
          <t> </t>
        </is>
      </c>
      <c r="I643" s="391" t="inlineStr">
        <is>
          <t> </t>
        </is>
      </c>
      <c r="J643" s="391" t="inlineStr">
        <is>
          <t> </t>
        </is>
      </c>
      <c r="K643" s="38" t="inlineStr">
        <is>
          <t> </t>
        </is>
      </c>
      <c r="L643" s="391" t="inlineStr">
        <is>
          <t> </t>
        </is>
      </c>
      <c r="M643" s="391" t="inlineStr">
        <is>
          <t> </t>
        </is>
      </c>
      <c r="N643" s="391" t="inlineStr">
        <is>
          <t> </t>
        </is>
      </c>
      <c r="O643" s="391" t="inlineStr">
        <is>
          <t> </t>
        </is>
      </c>
      <c r="P643" s="391" t="inlineStr">
        <is>
          <t> </t>
        </is>
      </c>
      <c r="Q643" s="391" t="inlineStr">
        <is>
          <t> </t>
        </is>
      </c>
      <c r="R643" s="38" t="inlineStr">
        <is>
          <t> </t>
        </is>
      </c>
      <c r="S643" s="391" t="inlineStr">
        <is>
          <t> </t>
        </is>
      </c>
      <c r="T643" s="391" t="inlineStr">
        <is>
          <t> </t>
        </is>
      </c>
      <c r="U643" s="391" t="inlineStr">
        <is>
          <t> </t>
        </is>
      </c>
      <c r="V643" s="391" t="inlineStr">
        <is>
          <t> </t>
        </is>
      </c>
      <c r="W643" s="391" t="inlineStr">
        <is>
          <t> </t>
        </is>
      </c>
      <c r="X643" s="391" t="inlineStr">
        <is>
          <t> </t>
        </is>
      </c>
      <c r="Y643" s="392" t="inlineStr">
        <is>
          <t> </t>
        </is>
      </c>
      <c r="Z643" s="391" t="inlineStr">
        <is>
          <t> </t>
        </is>
      </c>
      <c r="AA643" s="391" t="inlineStr">
        <is>
          <t> </t>
        </is>
      </c>
      <c r="AB643" s="391" t="inlineStr">
        <is>
          <t> </t>
        </is>
      </c>
      <c r="AC643" s="391" t="inlineStr">
        <is>
          <t> </t>
        </is>
      </c>
      <c r="AD643" s="391" t="inlineStr">
        <is>
          <t> </t>
        </is>
      </c>
      <c r="AE643" s="391" t="inlineStr">
        <is>
          <t> </t>
        </is>
      </c>
      <c r="AF643" s="38" t="inlineStr">
        <is>
          <t> </t>
        </is>
      </c>
      <c r="AG643" s="391" t="inlineStr">
        <is>
          <t> </t>
        </is>
      </c>
      <c r="AH643" s="391" t="n"/>
      <c r="AI643" s="391" t="inlineStr">
        <is>
          <t> </t>
        </is>
      </c>
      <c r="AJ643" s="391" t="inlineStr">
        <is>
          <t> </t>
        </is>
      </c>
      <c r="AK643" s="391" t="inlineStr">
        <is>
          <t> </t>
        </is>
      </c>
      <c r="AL643" s="391" t="inlineStr">
        <is>
          <t> </t>
        </is>
      </c>
      <c r="AM643" s="391" t="inlineStr">
        <is>
          <t> </t>
        </is>
      </c>
      <c r="AN643" s="391" t="inlineStr">
        <is>
          <t> </t>
        </is>
      </c>
      <c r="AO643" s="391" t="n"/>
      <c r="AP643" s="319" t="n"/>
      <c r="AQ643" s="319" t="n"/>
      <c r="AR643" s="319" t="n"/>
    </row>
    <row r="644" ht="15.75" customHeight="1" s="1264">
      <c r="A644" s="319" t="inlineStr">
        <is>
          <t> </t>
        </is>
      </c>
      <c r="B644" s="319" t="inlineStr">
        <is>
          <t> </t>
        </is>
      </c>
      <c r="C644" s="319" t="inlineStr">
        <is>
          <t> </t>
        </is>
      </c>
      <c r="D644" s="38" t="inlineStr">
        <is>
          <t> </t>
        </is>
      </c>
      <c r="E644" s="391" t="inlineStr">
        <is>
          <t> </t>
        </is>
      </c>
      <c r="F644" s="391" t="inlineStr">
        <is>
          <t> </t>
        </is>
      </c>
      <c r="G644" s="391" t="inlineStr">
        <is>
          <t> </t>
        </is>
      </c>
      <c r="H644" s="391" t="inlineStr">
        <is>
          <t> </t>
        </is>
      </c>
      <c r="I644" s="391" t="inlineStr">
        <is>
          <t> </t>
        </is>
      </c>
      <c r="J644" s="391" t="inlineStr">
        <is>
          <t> </t>
        </is>
      </c>
      <c r="K644" s="38" t="inlineStr">
        <is>
          <t> </t>
        </is>
      </c>
      <c r="L644" s="391" t="inlineStr">
        <is>
          <t> </t>
        </is>
      </c>
      <c r="M644" s="391" t="inlineStr">
        <is>
          <t> </t>
        </is>
      </c>
      <c r="N644" s="391" t="inlineStr">
        <is>
          <t> </t>
        </is>
      </c>
      <c r="O644" s="391" t="inlineStr">
        <is>
          <t> </t>
        </is>
      </c>
      <c r="P644" s="391" t="inlineStr">
        <is>
          <t> </t>
        </is>
      </c>
      <c r="Q644" s="391" t="inlineStr">
        <is>
          <t> </t>
        </is>
      </c>
      <c r="R644" s="38" t="inlineStr">
        <is>
          <t> </t>
        </is>
      </c>
      <c r="S644" s="391" t="inlineStr">
        <is>
          <t> </t>
        </is>
      </c>
      <c r="T644" s="391" t="inlineStr">
        <is>
          <t> </t>
        </is>
      </c>
      <c r="U644" s="391" t="inlineStr">
        <is>
          <t> </t>
        </is>
      </c>
      <c r="V644" s="391" t="inlineStr">
        <is>
          <t> </t>
        </is>
      </c>
      <c r="W644" s="391" t="inlineStr">
        <is>
          <t> </t>
        </is>
      </c>
      <c r="X644" s="391" t="inlineStr">
        <is>
          <t> </t>
        </is>
      </c>
      <c r="Y644" s="392" t="inlineStr">
        <is>
          <t> </t>
        </is>
      </c>
      <c r="Z644" s="391" t="inlineStr">
        <is>
          <t> </t>
        </is>
      </c>
      <c r="AA644" s="391" t="inlineStr">
        <is>
          <t> </t>
        </is>
      </c>
      <c r="AB644" s="391" t="inlineStr">
        <is>
          <t> </t>
        </is>
      </c>
      <c r="AC644" s="391" t="inlineStr">
        <is>
          <t> </t>
        </is>
      </c>
      <c r="AD644" s="391" t="inlineStr">
        <is>
          <t> </t>
        </is>
      </c>
      <c r="AE644" s="391" t="inlineStr">
        <is>
          <t> </t>
        </is>
      </c>
      <c r="AF644" s="38" t="inlineStr">
        <is>
          <t> </t>
        </is>
      </c>
      <c r="AG644" s="391" t="inlineStr">
        <is>
          <t> </t>
        </is>
      </c>
      <c r="AH644" s="391" t="n"/>
      <c r="AI644" s="391" t="inlineStr">
        <is>
          <t> </t>
        </is>
      </c>
      <c r="AJ644" s="391" t="inlineStr">
        <is>
          <t> </t>
        </is>
      </c>
      <c r="AK644" s="391" t="inlineStr">
        <is>
          <t> </t>
        </is>
      </c>
      <c r="AL644" s="391" t="inlineStr">
        <is>
          <t> </t>
        </is>
      </c>
      <c r="AM644" s="391" t="inlineStr">
        <is>
          <t> </t>
        </is>
      </c>
      <c r="AN644" s="391" t="inlineStr">
        <is>
          <t> </t>
        </is>
      </c>
      <c r="AO644" s="391" t="n"/>
      <c r="AP644" s="319" t="n"/>
      <c r="AQ644" s="319" t="n"/>
      <c r="AR644" s="319" t="n"/>
    </row>
    <row r="645" ht="15.75" customHeight="1" s="1264">
      <c r="A645" s="319" t="inlineStr">
        <is>
          <t> </t>
        </is>
      </c>
      <c r="B645" s="319" t="inlineStr">
        <is>
          <t> </t>
        </is>
      </c>
      <c r="C645" s="319" t="inlineStr">
        <is>
          <t> </t>
        </is>
      </c>
      <c r="D645" s="38" t="inlineStr">
        <is>
          <t> </t>
        </is>
      </c>
      <c r="E645" s="391" t="inlineStr">
        <is>
          <t> </t>
        </is>
      </c>
      <c r="F645" s="391" t="inlineStr">
        <is>
          <t> </t>
        </is>
      </c>
      <c r="G645" s="391" t="inlineStr">
        <is>
          <t> </t>
        </is>
      </c>
      <c r="H645" s="391" t="inlineStr">
        <is>
          <t> </t>
        </is>
      </c>
      <c r="I645" s="391" t="inlineStr">
        <is>
          <t> </t>
        </is>
      </c>
      <c r="J645" s="391" t="inlineStr">
        <is>
          <t> </t>
        </is>
      </c>
      <c r="K645" s="38" t="inlineStr">
        <is>
          <t> </t>
        </is>
      </c>
      <c r="L645" s="391" t="inlineStr">
        <is>
          <t> </t>
        </is>
      </c>
      <c r="M645" s="391" t="inlineStr">
        <is>
          <t> </t>
        </is>
      </c>
      <c r="N645" s="391" t="inlineStr">
        <is>
          <t> </t>
        </is>
      </c>
      <c r="O645" s="391" t="inlineStr">
        <is>
          <t> </t>
        </is>
      </c>
      <c r="P645" s="391" t="inlineStr">
        <is>
          <t> </t>
        </is>
      </c>
      <c r="Q645" s="391" t="inlineStr">
        <is>
          <t> </t>
        </is>
      </c>
      <c r="R645" s="38" t="inlineStr">
        <is>
          <t> </t>
        </is>
      </c>
      <c r="S645" s="391" t="inlineStr">
        <is>
          <t> </t>
        </is>
      </c>
      <c r="T645" s="391" t="inlineStr">
        <is>
          <t> </t>
        </is>
      </c>
      <c r="U645" s="391" t="inlineStr">
        <is>
          <t> </t>
        </is>
      </c>
      <c r="V645" s="391" t="inlineStr">
        <is>
          <t> </t>
        </is>
      </c>
      <c r="W645" s="391" t="inlineStr">
        <is>
          <t> </t>
        </is>
      </c>
      <c r="X645" s="391" t="inlineStr">
        <is>
          <t> </t>
        </is>
      </c>
      <c r="Y645" s="392" t="inlineStr">
        <is>
          <t> </t>
        </is>
      </c>
      <c r="Z645" s="391" t="inlineStr">
        <is>
          <t> </t>
        </is>
      </c>
      <c r="AA645" s="391" t="inlineStr">
        <is>
          <t> </t>
        </is>
      </c>
      <c r="AB645" s="391" t="inlineStr">
        <is>
          <t> </t>
        </is>
      </c>
      <c r="AC645" s="391" t="inlineStr">
        <is>
          <t> </t>
        </is>
      </c>
      <c r="AD645" s="391" t="inlineStr">
        <is>
          <t> </t>
        </is>
      </c>
      <c r="AE645" s="391" t="inlineStr">
        <is>
          <t> </t>
        </is>
      </c>
      <c r="AF645" s="38" t="inlineStr">
        <is>
          <t> </t>
        </is>
      </c>
      <c r="AG645" s="391" t="inlineStr">
        <is>
          <t> </t>
        </is>
      </c>
      <c r="AH645" s="391" t="n"/>
      <c r="AI645" s="391" t="inlineStr">
        <is>
          <t> </t>
        </is>
      </c>
      <c r="AJ645" s="391" t="inlineStr">
        <is>
          <t> </t>
        </is>
      </c>
      <c r="AK645" s="391" t="inlineStr">
        <is>
          <t> </t>
        </is>
      </c>
      <c r="AL645" s="391" t="inlineStr">
        <is>
          <t> </t>
        </is>
      </c>
      <c r="AM645" s="391" t="inlineStr">
        <is>
          <t> </t>
        </is>
      </c>
      <c r="AN645" s="391" t="inlineStr">
        <is>
          <t> </t>
        </is>
      </c>
      <c r="AO645" s="391" t="n"/>
      <c r="AP645" s="319" t="n"/>
      <c r="AQ645" s="319" t="n"/>
      <c r="AR645" s="319" t="n"/>
    </row>
    <row r="646" ht="15.75" customHeight="1" s="1264">
      <c r="A646" s="319" t="inlineStr">
        <is>
          <t> </t>
        </is>
      </c>
      <c r="B646" s="319" t="inlineStr">
        <is>
          <t> </t>
        </is>
      </c>
      <c r="C646" s="319" t="inlineStr">
        <is>
          <t> </t>
        </is>
      </c>
      <c r="D646" s="38" t="inlineStr">
        <is>
          <t> </t>
        </is>
      </c>
      <c r="E646" s="391" t="inlineStr">
        <is>
          <t> </t>
        </is>
      </c>
      <c r="F646" s="391" t="inlineStr">
        <is>
          <t> </t>
        </is>
      </c>
      <c r="G646" s="391" t="inlineStr">
        <is>
          <t> </t>
        </is>
      </c>
      <c r="H646" s="391" t="inlineStr">
        <is>
          <t> </t>
        </is>
      </c>
      <c r="I646" s="391" t="inlineStr">
        <is>
          <t> </t>
        </is>
      </c>
      <c r="J646" s="391" t="inlineStr">
        <is>
          <t> </t>
        </is>
      </c>
      <c r="K646" s="38" t="inlineStr">
        <is>
          <t> </t>
        </is>
      </c>
      <c r="L646" s="391" t="inlineStr">
        <is>
          <t> </t>
        </is>
      </c>
      <c r="M646" s="391" t="inlineStr">
        <is>
          <t> </t>
        </is>
      </c>
      <c r="N646" s="391" t="inlineStr">
        <is>
          <t> </t>
        </is>
      </c>
      <c r="O646" s="391" t="inlineStr">
        <is>
          <t> </t>
        </is>
      </c>
      <c r="P646" s="391" t="inlineStr">
        <is>
          <t> </t>
        </is>
      </c>
      <c r="Q646" s="391" t="inlineStr">
        <is>
          <t> </t>
        </is>
      </c>
      <c r="R646" s="38" t="inlineStr">
        <is>
          <t> </t>
        </is>
      </c>
      <c r="S646" s="391" t="inlineStr">
        <is>
          <t> </t>
        </is>
      </c>
      <c r="T646" s="391" t="inlineStr">
        <is>
          <t> </t>
        </is>
      </c>
      <c r="U646" s="391" t="inlineStr">
        <is>
          <t> </t>
        </is>
      </c>
      <c r="V646" s="391" t="inlineStr">
        <is>
          <t> </t>
        </is>
      </c>
      <c r="W646" s="391" t="inlineStr">
        <is>
          <t> </t>
        </is>
      </c>
      <c r="X646" s="391" t="inlineStr">
        <is>
          <t> </t>
        </is>
      </c>
      <c r="Y646" s="392" t="inlineStr">
        <is>
          <t> </t>
        </is>
      </c>
      <c r="Z646" s="391" t="inlineStr">
        <is>
          <t> </t>
        </is>
      </c>
      <c r="AA646" s="391" t="inlineStr">
        <is>
          <t> </t>
        </is>
      </c>
      <c r="AB646" s="391" t="inlineStr">
        <is>
          <t> </t>
        </is>
      </c>
      <c r="AC646" s="391" t="inlineStr">
        <is>
          <t> </t>
        </is>
      </c>
      <c r="AD646" s="391" t="inlineStr">
        <is>
          <t> </t>
        </is>
      </c>
      <c r="AE646" s="391" t="inlineStr">
        <is>
          <t> </t>
        </is>
      </c>
      <c r="AF646" s="38" t="inlineStr">
        <is>
          <t> </t>
        </is>
      </c>
      <c r="AG646" s="391" t="inlineStr">
        <is>
          <t> </t>
        </is>
      </c>
      <c r="AH646" s="391" t="n"/>
      <c r="AI646" s="391" t="inlineStr">
        <is>
          <t> </t>
        </is>
      </c>
      <c r="AJ646" s="391" t="inlineStr">
        <is>
          <t> </t>
        </is>
      </c>
      <c r="AK646" s="391" t="inlineStr">
        <is>
          <t> </t>
        </is>
      </c>
      <c r="AL646" s="391" t="inlineStr">
        <is>
          <t> </t>
        </is>
      </c>
      <c r="AM646" s="391" t="inlineStr">
        <is>
          <t> </t>
        </is>
      </c>
      <c r="AN646" s="391" t="inlineStr">
        <is>
          <t> </t>
        </is>
      </c>
      <c r="AO646" s="391" t="n"/>
      <c r="AP646" s="319" t="n"/>
      <c r="AQ646" s="319" t="n"/>
      <c r="AR646" s="319" t="n"/>
    </row>
    <row r="647" ht="15.75" customHeight="1" s="1264">
      <c r="A647" s="319" t="inlineStr">
        <is>
          <t> </t>
        </is>
      </c>
      <c r="B647" s="319" t="inlineStr">
        <is>
          <t> </t>
        </is>
      </c>
      <c r="C647" s="319" t="inlineStr">
        <is>
          <t> </t>
        </is>
      </c>
      <c r="D647" s="38" t="inlineStr">
        <is>
          <t> </t>
        </is>
      </c>
      <c r="E647" s="391" t="inlineStr">
        <is>
          <t> </t>
        </is>
      </c>
      <c r="F647" s="391" t="inlineStr">
        <is>
          <t> </t>
        </is>
      </c>
      <c r="G647" s="391" t="inlineStr">
        <is>
          <t> </t>
        </is>
      </c>
      <c r="H647" s="391" t="inlineStr">
        <is>
          <t> </t>
        </is>
      </c>
      <c r="I647" s="391" t="inlineStr">
        <is>
          <t> </t>
        </is>
      </c>
      <c r="J647" s="391" t="inlineStr">
        <is>
          <t> </t>
        </is>
      </c>
      <c r="K647" s="38" t="inlineStr">
        <is>
          <t> </t>
        </is>
      </c>
      <c r="L647" s="391" t="inlineStr">
        <is>
          <t> </t>
        </is>
      </c>
      <c r="M647" s="391" t="inlineStr">
        <is>
          <t> </t>
        </is>
      </c>
      <c r="N647" s="391" t="inlineStr">
        <is>
          <t> </t>
        </is>
      </c>
      <c r="O647" s="391" t="inlineStr">
        <is>
          <t> </t>
        </is>
      </c>
      <c r="P647" s="391" t="inlineStr">
        <is>
          <t> </t>
        </is>
      </c>
      <c r="Q647" s="391" t="inlineStr">
        <is>
          <t> </t>
        </is>
      </c>
      <c r="R647" s="38" t="inlineStr">
        <is>
          <t> </t>
        </is>
      </c>
      <c r="S647" s="391" t="inlineStr">
        <is>
          <t> </t>
        </is>
      </c>
      <c r="T647" s="391" t="inlineStr">
        <is>
          <t> </t>
        </is>
      </c>
      <c r="U647" s="391" t="inlineStr">
        <is>
          <t> </t>
        </is>
      </c>
      <c r="V647" s="391" t="inlineStr">
        <is>
          <t> </t>
        </is>
      </c>
      <c r="W647" s="391" t="inlineStr">
        <is>
          <t> </t>
        </is>
      </c>
      <c r="X647" s="391" t="inlineStr">
        <is>
          <t> </t>
        </is>
      </c>
      <c r="Y647" s="392" t="inlineStr">
        <is>
          <t> </t>
        </is>
      </c>
      <c r="Z647" s="391" t="inlineStr">
        <is>
          <t> </t>
        </is>
      </c>
      <c r="AA647" s="391" t="inlineStr">
        <is>
          <t> </t>
        </is>
      </c>
      <c r="AB647" s="391" t="inlineStr">
        <is>
          <t> </t>
        </is>
      </c>
      <c r="AC647" s="391" t="inlineStr">
        <is>
          <t> </t>
        </is>
      </c>
      <c r="AD647" s="391" t="inlineStr">
        <is>
          <t> </t>
        </is>
      </c>
      <c r="AE647" s="391" t="inlineStr">
        <is>
          <t> </t>
        </is>
      </c>
      <c r="AF647" s="38" t="inlineStr">
        <is>
          <t> </t>
        </is>
      </c>
      <c r="AG647" s="391" t="inlineStr">
        <is>
          <t> </t>
        </is>
      </c>
      <c r="AH647" s="391" t="n"/>
      <c r="AI647" s="391" t="inlineStr">
        <is>
          <t> </t>
        </is>
      </c>
      <c r="AJ647" s="391" t="inlineStr">
        <is>
          <t> </t>
        </is>
      </c>
      <c r="AK647" s="391" t="inlineStr">
        <is>
          <t> </t>
        </is>
      </c>
      <c r="AL647" s="391" t="inlineStr">
        <is>
          <t> </t>
        </is>
      </c>
      <c r="AM647" s="391" t="inlineStr">
        <is>
          <t> </t>
        </is>
      </c>
      <c r="AN647" s="391" t="inlineStr">
        <is>
          <t> </t>
        </is>
      </c>
      <c r="AO647" s="391" t="n"/>
      <c r="AP647" s="319" t="n"/>
      <c r="AQ647" s="319" t="n"/>
      <c r="AR647" s="319" t="n"/>
    </row>
    <row r="648" ht="15.75" customHeight="1" s="1264">
      <c r="A648" s="319" t="inlineStr">
        <is>
          <t> </t>
        </is>
      </c>
      <c r="B648" s="319" t="inlineStr">
        <is>
          <t> </t>
        </is>
      </c>
      <c r="C648" s="319" t="inlineStr">
        <is>
          <t> </t>
        </is>
      </c>
      <c r="D648" s="38" t="inlineStr">
        <is>
          <t> </t>
        </is>
      </c>
      <c r="E648" s="391" t="inlineStr">
        <is>
          <t> </t>
        </is>
      </c>
      <c r="F648" s="391" t="inlineStr">
        <is>
          <t> </t>
        </is>
      </c>
      <c r="G648" s="391" t="inlineStr">
        <is>
          <t> </t>
        </is>
      </c>
      <c r="H648" s="391" t="inlineStr">
        <is>
          <t> </t>
        </is>
      </c>
      <c r="I648" s="391" t="inlineStr">
        <is>
          <t> </t>
        </is>
      </c>
      <c r="J648" s="391" t="inlineStr">
        <is>
          <t> </t>
        </is>
      </c>
      <c r="K648" s="38" t="inlineStr">
        <is>
          <t> </t>
        </is>
      </c>
      <c r="L648" s="391" t="inlineStr">
        <is>
          <t> </t>
        </is>
      </c>
      <c r="M648" s="391" t="inlineStr">
        <is>
          <t> </t>
        </is>
      </c>
      <c r="N648" s="391" t="inlineStr">
        <is>
          <t> </t>
        </is>
      </c>
      <c r="O648" s="391" t="inlineStr">
        <is>
          <t> </t>
        </is>
      </c>
      <c r="P648" s="391" t="inlineStr">
        <is>
          <t> </t>
        </is>
      </c>
      <c r="Q648" s="391" t="inlineStr">
        <is>
          <t> </t>
        </is>
      </c>
      <c r="R648" s="38" t="inlineStr">
        <is>
          <t> </t>
        </is>
      </c>
      <c r="S648" s="391" t="inlineStr">
        <is>
          <t> </t>
        </is>
      </c>
      <c r="T648" s="391" t="inlineStr">
        <is>
          <t> </t>
        </is>
      </c>
      <c r="U648" s="391" t="inlineStr">
        <is>
          <t> </t>
        </is>
      </c>
      <c r="V648" s="391" t="inlineStr">
        <is>
          <t> </t>
        </is>
      </c>
      <c r="W648" s="391" t="inlineStr">
        <is>
          <t> </t>
        </is>
      </c>
      <c r="X648" s="391" t="inlineStr">
        <is>
          <t> </t>
        </is>
      </c>
      <c r="Y648" s="392" t="inlineStr">
        <is>
          <t> </t>
        </is>
      </c>
      <c r="Z648" s="391" t="inlineStr">
        <is>
          <t> </t>
        </is>
      </c>
      <c r="AA648" s="391" t="inlineStr">
        <is>
          <t> </t>
        </is>
      </c>
      <c r="AB648" s="391" t="inlineStr">
        <is>
          <t> </t>
        </is>
      </c>
      <c r="AC648" s="391" t="inlineStr">
        <is>
          <t> </t>
        </is>
      </c>
      <c r="AD648" s="391" t="inlineStr">
        <is>
          <t> </t>
        </is>
      </c>
      <c r="AE648" s="391" t="inlineStr">
        <is>
          <t> </t>
        </is>
      </c>
      <c r="AF648" s="38" t="inlineStr">
        <is>
          <t> </t>
        </is>
      </c>
      <c r="AG648" s="391" t="inlineStr">
        <is>
          <t> </t>
        </is>
      </c>
      <c r="AH648" s="391" t="n"/>
      <c r="AI648" s="391" t="inlineStr">
        <is>
          <t> </t>
        </is>
      </c>
      <c r="AJ648" s="391" t="inlineStr">
        <is>
          <t> </t>
        </is>
      </c>
      <c r="AK648" s="391" t="inlineStr">
        <is>
          <t> </t>
        </is>
      </c>
      <c r="AL648" s="391" t="inlineStr">
        <is>
          <t> </t>
        </is>
      </c>
      <c r="AM648" s="391" t="inlineStr">
        <is>
          <t> </t>
        </is>
      </c>
      <c r="AN648" s="391" t="inlineStr">
        <is>
          <t> </t>
        </is>
      </c>
      <c r="AO648" s="391" t="n"/>
      <c r="AP648" s="319" t="n"/>
      <c r="AQ648" s="319" t="n"/>
      <c r="AR648" s="319" t="n"/>
    </row>
    <row r="649" ht="15.75" customHeight="1" s="1264">
      <c r="A649" s="319" t="inlineStr">
        <is>
          <t> </t>
        </is>
      </c>
      <c r="B649" s="319" t="inlineStr">
        <is>
          <t> </t>
        </is>
      </c>
      <c r="C649" s="319" t="inlineStr">
        <is>
          <t> </t>
        </is>
      </c>
      <c r="D649" s="38" t="inlineStr">
        <is>
          <t> </t>
        </is>
      </c>
      <c r="E649" s="391" t="inlineStr">
        <is>
          <t> </t>
        </is>
      </c>
      <c r="F649" s="391" t="inlineStr">
        <is>
          <t> </t>
        </is>
      </c>
      <c r="G649" s="391" t="inlineStr">
        <is>
          <t> </t>
        </is>
      </c>
      <c r="H649" s="391" t="inlineStr">
        <is>
          <t> </t>
        </is>
      </c>
      <c r="I649" s="391" t="inlineStr">
        <is>
          <t> </t>
        </is>
      </c>
      <c r="J649" s="391" t="inlineStr">
        <is>
          <t> </t>
        </is>
      </c>
      <c r="K649" s="38" t="inlineStr">
        <is>
          <t> </t>
        </is>
      </c>
      <c r="L649" s="391" t="inlineStr">
        <is>
          <t> </t>
        </is>
      </c>
      <c r="M649" s="391" t="inlineStr">
        <is>
          <t> </t>
        </is>
      </c>
      <c r="N649" s="391" t="inlineStr">
        <is>
          <t> </t>
        </is>
      </c>
      <c r="O649" s="391" t="inlineStr">
        <is>
          <t> </t>
        </is>
      </c>
      <c r="P649" s="391" t="inlineStr">
        <is>
          <t> </t>
        </is>
      </c>
      <c r="Q649" s="391" t="inlineStr">
        <is>
          <t> </t>
        </is>
      </c>
      <c r="R649" s="38" t="inlineStr">
        <is>
          <t> </t>
        </is>
      </c>
      <c r="S649" s="391" t="inlineStr">
        <is>
          <t> </t>
        </is>
      </c>
      <c r="T649" s="391" t="inlineStr">
        <is>
          <t> </t>
        </is>
      </c>
      <c r="U649" s="391" t="inlineStr">
        <is>
          <t> </t>
        </is>
      </c>
      <c r="V649" s="391" t="inlineStr">
        <is>
          <t> </t>
        </is>
      </c>
      <c r="W649" s="391" t="inlineStr">
        <is>
          <t> </t>
        </is>
      </c>
      <c r="X649" s="391" t="inlineStr">
        <is>
          <t> </t>
        </is>
      </c>
      <c r="Y649" s="392" t="inlineStr">
        <is>
          <t> </t>
        </is>
      </c>
      <c r="Z649" s="391" t="inlineStr">
        <is>
          <t> </t>
        </is>
      </c>
      <c r="AA649" s="391" t="inlineStr">
        <is>
          <t> </t>
        </is>
      </c>
      <c r="AB649" s="391" t="inlineStr">
        <is>
          <t> </t>
        </is>
      </c>
      <c r="AC649" s="391" t="inlineStr">
        <is>
          <t> </t>
        </is>
      </c>
      <c r="AD649" s="391" t="inlineStr">
        <is>
          <t> </t>
        </is>
      </c>
      <c r="AE649" s="391" t="inlineStr">
        <is>
          <t> </t>
        </is>
      </c>
      <c r="AF649" s="38" t="inlineStr">
        <is>
          <t> </t>
        </is>
      </c>
      <c r="AG649" s="391" t="inlineStr">
        <is>
          <t> </t>
        </is>
      </c>
      <c r="AH649" s="391" t="n"/>
      <c r="AI649" s="391" t="inlineStr">
        <is>
          <t> </t>
        </is>
      </c>
      <c r="AJ649" s="391" t="inlineStr">
        <is>
          <t> </t>
        </is>
      </c>
      <c r="AK649" s="391" t="inlineStr">
        <is>
          <t> </t>
        </is>
      </c>
      <c r="AL649" s="391" t="inlineStr">
        <is>
          <t> </t>
        </is>
      </c>
      <c r="AM649" s="391" t="inlineStr">
        <is>
          <t> </t>
        </is>
      </c>
      <c r="AN649" s="391" t="inlineStr">
        <is>
          <t> </t>
        </is>
      </c>
      <c r="AO649" s="391" t="n"/>
      <c r="AP649" s="319" t="n"/>
      <c r="AQ649" s="319" t="n"/>
      <c r="AR649" s="319" t="n"/>
    </row>
    <row r="650" ht="15.75" customHeight="1" s="1264">
      <c r="A650" s="319" t="inlineStr">
        <is>
          <t> </t>
        </is>
      </c>
      <c r="B650" s="319" t="inlineStr">
        <is>
          <t> </t>
        </is>
      </c>
      <c r="C650" s="319" t="inlineStr">
        <is>
          <t> </t>
        </is>
      </c>
      <c r="D650" s="38" t="inlineStr">
        <is>
          <t> </t>
        </is>
      </c>
      <c r="E650" s="391" t="inlineStr">
        <is>
          <t> </t>
        </is>
      </c>
      <c r="F650" s="391" t="inlineStr">
        <is>
          <t> </t>
        </is>
      </c>
      <c r="G650" s="391" t="inlineStr">
        <is>
          <t> </t>
        </is>
      </c>
      <c r="H650" s="391" t="inlineStr">
        <is>
          <t> </t>
        </is>
      </c>
      <c r="I650" s="391" t="inlineStr">
        <is>
          <t> </t>
        </is>
      </c>
      <c r="J650" s="391" t="inlineStr">
        <is>
          <t> </t>
        </is>
      </c>
      <c r="K650" s="38" t="inlineStr">
        <is>
          <t> </t>
        </is>
      </c>
      <c r="L650" s="391" t="inlineStr">
        <is>
          <t> </t>
        </is>
      </c>
      <c r="M650" s="391" t="inlineStr">
        <is>
          <t> </t>
        </is>
      </c>
      <c r="N650" s="391" t="inlineStr">
        <is>
          <t> </t>
        </is>
      </c>
      <c r="O650" s="391" t="inlineStr">
        <is>
          <t> </t>
        </is>
      </c>
      <c r="P650" s="391" t="inlineStr">
        <is>
          <t> </t>
        </is>
      </c>
      <c r="Q650" s="391" t="inlineStr">
        <is>
          <t> </t>
        </is>
      </c>
      <c r="R650" s="38" t="inlineStr">
        <is>
          <t> </t>
        </is>
      </c>
      <c r="S650" s="391" t="inlineStr">
        <is>
          <t> </t>
        </is>
      </c>
      <c r="T650" s="391" t="inlineStr">
        <is>
          <t> </t>
        </is>
      </c>
      <c r="U650" s="391" t="inlineStr">
        <is>
          <t> </t>
        </is>
      </c>
      <c r="V650" s="391" t="inlineStr">
        <is>
          <t> </t>
        </is>
      </c>
      <c r="W650" s="391" t="inlineStr">
        <is>
          <t> </t>
        </is>
      </c>
      <c r="X650" s="391" t="inlineStr">
        <is>
          <t> </t>
        </is>
      </c>
      <c r="Y650" s="392" t="inlineStr">
        <is>
          <t> </t>
        </is>
      </c>
      <c r="Z650" s="391" t="inlineStr">
        <is>
          <t> </t>
        </is>
      </c>
      <c r="AA650" s="391" t="inlineStr">
        <is>
          <t> </t>
        </is>
      </c>
      <c r="AB650" s="391" t="inlineStr">
        <is>
          <t> </t>
        </is>
      </c>
      <c r="AC650" s="391" t="inlineStr">
        <is>
          <t> </t>
        </is>
      </c>
      <c r="AD650" s="391" t="inlineStr">
        <is>
          <t> </t>
        </is>
      </c>
      <c r="AE650" s="391" t="inlineStr">
        <is>
          <t> </t>
        </is>
      </c>
      <c r="AF650" s="38" t="inlineStr">
        <is>
          <t> </t>
        </is>
      </c>
      <c r="AG650" s="391" t="inlineStr">
        <is>
          <t> </t>
        </is>
      </c>
      <c r="AH650" s="391" t="n"/>
      <c r="AI650" s="391" t="inlineStr">
        <is>
          <t> </t>
        </is>
      </c>
      <c r="AJ650" s="391" t="inlineStr">
        <is>
          <t> </t>
        </is>
      </c>
      <c r="AK650" s="391" t="inlineStr">
        <is>
          <t> </t>
        </is>
      </c>
      <c r="AL650" s="391" t="inlineStr">
        <is>
          <t> </t>
        </is>
      </c>
      <c r="AM650" s="391" t="inlineStr">
        <is>
          <t> </t>
        </is>
      </c>
      <c r="AN650" s="391" t="inlineStr">
        <is>
          <t> </t>
        </is>
      </c>
      <c r="AO650" s="391" t="n"/>
      <c r="AP650" s="319" t="n"/>
      <c r="AQ650" s="319" t="n"/>
      <c r="AR650" s="319" t="n"/>
    </row>
    <row r="651" ht="15.75" customHeight="1" s="1264">
      <c r="A651" s="319" t="inlineStr">
        <is>
          <t> </t>
        </is>
      </c>
      <c r="B651" s="319" t="inlineStr">
        <is>
          <t> </t>
        </is>
      </c>
      <c r="C651" s="319" t="inlineStr">
        <is>
          <t> </t>
        </is>
      </c>
      <c r="D651" s="38" t="inlineStr">
        <is>
          <t> </t>
        </is>
      </c>
      <c r="E651" s="391" t="inlineStr">
        <is>
          <t> </t>
        </is>
      </c>
      <c r="F651" s="391" t="inlineStr">
        <is>
          <t> </t>
        </is>
      </c>
      <c r="G651" s="391" t="inlineStr">
        <is>
          <t> </t>
        </is>
      </c>
      <c r="H651" s="391" t="inlineStr">
        <is>
          <t> </t>
        </is>
      </c>
      <c r="I651" s="391" t="inlineStr">
        <is>
          <t> </t>
        </is>
      </c>
      <c r="J651" s="391" t="inlineStr">
        <is>
          <t> </t>
        </is>
      </c>
      <c r="K651" s="38" t="inlineStr">
        <is>
          <t> </t>
        </is>
      </c>
      <c r="L651" s="391" t="inlineStr">
        <is>
          <t> </t>
        </is>
      </c>
      <c r="M651" s="391" t="inlineStr">
        <is>
          <t> </t>
        </is>
      </c>
      <c r="N651" s="391" t="inlineStr">
        <is>
          <t> </t>
        </is>
      </c>
      <c r="O651" s="391" t="inlineStr">
        <is>
          <t> </t>
        </is>
      </c>
      <c r="P651" s="391" t="inlineStr">
        <is>
          <t> </t>
        </is>
      </c>
      <c r="Q651" s="391" t="inlineStr">
        <is>
          <t> </t>
        </is>
      </c>
      <c r="R651" s="38" t="inlineStr">
        <is>
          <t> </t>
        </is>
      </c>
      <c r="S651" s="391" t="inlineStr">
        <is>
          <t> </t>
        </is>
      </c>
      <c r="T651" s="391" t="inlineStr">
        <is>
          <t> </t>
        </is>
      </c>
      <c r="U651" s="391" t="inlineStr">
        <is>
          <t> </t>
        </is>
      </c>
      <c r="V651" s="391" t="inlineStr">
        <is>
          <t> </t>
        </is>
      </c>
      <c r="W651" s="391" t="inlineStr">
        <is>
          <t> </t>
        </is>
      </c>
      <c r="X651" s="391" t="inlineStr">
        <is>
          <t> </t>
        </is>
      </c>
      <c r="Y651" s="392" t="inlineStr">
        <is>
          <t> </t>
        </is>
      </c>
      <c r="Z651" s="391" t="inlineStr">
        <is>
          <t> </t>
        </is>
      </c>
      <c r="AA651" s="391" t="inlineStr">
        <is>
          <t> </t>
        </is>
      </c>
      <c r="AB651" s="391" t="inlineStr">
        <is>
          <t> </t>
        </is>
      </c>
      <c r="AC651" s="391" t="inlineStr">
        <is>
          <t> </t>
        </is>
      </c>
      <c r="AD651" s="391" t="inlineStr">
        <is>
          <t> </t>
        </is>
      </c>
      <c r="AE651" s="391" t="inlineStr">
        <is>
          <t> </t>
        </is>
      </c>
      <c r="AF651" s="38" t="inlineStr">
        <is>
          <t> </t>
        </is>
      </c>
      <c r="AG651" s="391" t="inlineStr">
        <is>
          <t> </t>
        </is>
      </c>
      <c r="AH651" s="391" t="n"/>
      <c r="AI651" s="391" t="inlineStr">
        <is>
          <t> </t>
        </is>
      </c>
      <c r="AJ651" s="391" t="inlineStr">
        <is>
          <t> </t>
        </is>
      </c>
      <c r="AK651" s="391" t="inlineStr">
        <is>
          <t> </t>
        </is>
      </c>
      <c r="AL651" s="391" t="inlineStr">
        <is>
          <t> </t>
        </is>
      </c>
      <c r="AM651" s="391" t="inlineStr">
        <is>
          <t> </t>
        </is>
      </c>
      <c r="AN651" s="391" t="inlineStr">
        <is>
          <t> </t>
        </is>
      </c>
      <c r="AO651" s="391" t="n"/>
      <c r="AP651" s="319" t="n"/>
      <c r="AQ651" s="319" t="n"/>
      <c r="AR651" s="319" t="n"/>
    </row>
    <row r="652" ht="15.75" customHeight="1" s="1264">
      <c r="A652" s="319" t="inlineStr">
        <is>
          <t> </t>
        </is>
      </c>
      <c r="B652" s="319" t="inlineStr">
        <is>
          <t> </t>
        </is>
      </c>
      <c r="C652" s="319" t="inlineStr">
        <is>
          <t> </t>
        </is>
      </c>
      <c r="D652" s="38" t="inlineStr">
        <is>
          <t> </t>
        </is>
      </c>
      <c r="E652" s="391" t="inlineStr">
        <is>
          <t> </t>
        </is>
      </c>
      <c r="F652" s="391" t="inlineStr">
        <is>
          <t> </t>
        </is>
      </c>
      <c r="G652" s="391" t="inlineStr">
        <is>
          <t> </t>
        </is>
      </c>
      <c r="H652" s="391" t="inlineStr">
        <is>
          <t> </t>
        </is>
      </c>
      <c r="I652" s="391" t="inlineStr">
        <is>
          <t> </t>
        </is>
      </c>
      <c r="J652" s="391" t="inlineStr">
        <is>
          <t> </t>
        </is>
      </c>
      <c r="K652" s="38" t="inlineStr">
        <is>
          <t> </t>
        </is>
      </c>
      <c r="L652" s="391" t="inlineStr">
        <is>
          <t> </t>
        </is>
      </c>
      <c r="M652" s="391" t="inlineStr">
        <is>
          <t> </t>
        </is>
      </c>
      <c r="N652" s="391" t="inlineStr">
        <is>
          <t> </t>
        </is>
      </c>
      <c r="O652" s="391" t="inlineStr">
        <is>
          <t> </t>
        </is>
      </c>
      <c r="P652" s="391" t="inlineStr">
        <is>
          <t> </t>
        </is>
      </c>
      <c r="Q652" s="391" t="inlineStr">
        <is>
          <t> </t>
        </is>
      </c>
      <c r="R652" s="38" t="inlineStr">
        <is>
          <t> </t>
        </is>
      </c>
      <c r="S652" s="391" t="inlineStr">
        <is>
          <t> </t>
        </is>
      </c>
      <c r="T652" s="391" t="inlineStr">
        <is>
          <t> </t>
        </is>
      </c>
      <c r="U652" s="391" t="inlineStr">
        <is>
          <t> </t>
        </is>
      </c>
      <c r="V652" s="391" t="inlineStr">
        <is>
          <t> </t>
        </is>
      </c>
      <c r="W652" s="391" t="inlineStr">
        <is>
          <t> </t>
        </is>
      </c>
      <c r="X652" s="391" t="inlineStr">
        <is>
          <t> </t>
        </is>
      </c>
      <c r="Y652" s="392" t="inlineStr">
        <is>
          <t> </t>
        </is>
      </c>
      <c r="Z652" s="391" t="inlineStr">
        <is>
          <t> </t>
        </is>
      </c>
      <c r="AA652" s="391" t="inlineStr">
        <is>
          <t> </t>
        </is>
      </c>
      <c r="AB652" s="391" t="inlineStr">
        <is>
          <t> </t>
        </is>
      </c>
      <c r="AC652" s="391" t="inlineStr">
        <is>
          <t> </t>
        </is>
      </c>
      <c r="AD652" s="391" t="inlineStr">
        <is>
          <t> </t>
        </is>
      </c>
      <c r="AE652" s="391" t="inlineStr">
        <is>
          <t> </t>
        </is>
      </c>
      <c r="AF652" s="38" t="inlineStr">
        <is>
          <t> </t>
        </is>
      </c>
      <c r="AG652" s="391" t="inlineStr">
        <is>
          <t> </t>
        </is>
      </c>
      <c r="AH652" s="391" t="n"/>
      <c r="AI652" s="391" t="inlineStr">
        <is>
          <t> </t>
        </is>
      </c>
      <c r="AJ652" s="391" t="inlineStr">
        <is>
          <t> </t>
        </is>
      </c>
      <c r="AK652" s="391" t="inlineStr">
        <is>
          <t> </t>
        </is>
      </c>
      <c r="AL652" s="391" t="inlineStr">
        <is>
          <t> </t>
        </is>
      </c>
      <c r="AM652" s="391" t="inlineStr">
        <is>
          <t> </t>
        </is>
      </c>
      <c r="AN652" s="391" t="inlineStr">
        <is>
          <t> </t>
        </is>
      </c>
      <c r="AO652" s="391" t="n"/>
      <c r="AP652" s="319" t="n"/>
      <c r="AQ652" s="319" t="n"/>
      <c r="AR652" s="319" t="n"/>
    </row>
    <row r="653" ht="15.75" customHeight="1" s="1264">
      <c r="A653" s="319" t="inlineStr">
        <is>
          <t> </t>
        </is>
      </c>
      <c r="B653" s="319" t="inlineStr">
        <is>
          <t> </t>
        </is>
      </c>
      <c r="C653" s="319" t="inlineStr">
        <is>
          <t> </t>
        </is>
      </c>
      <c r="D653" s="38" t="inlineStr">
        <is>
          <t> </t>
        </is>
      </c>
      <c r="E653" s="391" t="inlineStr">
        <is>
          <t> </t>
        </is>
      </c>
      <c r="F653" s="391" t="inlineStr">
        <is>
          <t> </t>
        </is>
      </c>
      <c r="G653" s="391" t="inlineStr">
        <is>
          <t> </t>
        </is>
      </c>
      <c r="H653" s="391" t="inlineStr">
        <is>
          <t> </t>
        </is>
      </c>
      <c r="I653" s="391" t="inlineStr">
        <is>
          <t> </t>
        </is>
      </c>
      <c r="J653" s="391" t="inlineStr">
        <is>
          <t> </t>
        </is>
      </c>
      <c r="K653" s="38" t="inlineStr">
        <is>
          <t> </t>
        </is>
      </c>
      <c r="L653" s="391" t="inlineStr">
        <is>
          <t> </t>
        </is>
      </c>
      <c r="M653" s="391" t="inlineStr">
        <is>
          <t> </t>
        </is>
      </c>
      <c r="N653" s="391" t="inlineStr">
        <is>
          <t> </t>
        </is>
      </c>
      <c r="O653" s="391" t="inlineStr">
        <is>
          <t> </t>
        </is>
      </c>
      <c r="P653" s="391" t="inlineStr">
        <is>
          <t> </t>
        </is>
      </c>
      <c r="Q653" s="391" t="inlineStr">
        <is>
          <t> </t>
        </is>
      </c>
      <c r="R653" s="38" t="inlineStr">
        <is>
          <t> </t>
        </is>
      </c>
      <c r="S653" s="391" t="inlineStr">
        <is>
          <t> </t>
        </is>
      </c>
      <c r="T653" s="391" t="inlineStr">
        <is>
          <t> </t>
        </is>
      </c>
      <c r="U653" s="391" t="inlineStr">
        <is>
          <t> </t>
        </is>
      </c>
      <c r="V653" s="391" t="inlineStr">
        <is>
          <t> </t>
        </is>
      </c>
      <c r="W653" s="391" t="inlineStr">
        <is>
          <t> </t>
        </is>
      </c>
      <c r="X653" s="391" t="inlineStr">
        <is>
          <t> </t>
        </is>
      </c>
      <c r="Y653" s="392" t="inlineStr">
        <is>
          <t> </t>
        </is>
      </c>
      <c r="Z653" s="391" t="inlineStr">
        <is>
          <t> </t>
        </is>
      </c>
      <c r="AA653" s="391" t="inlineStr">
        <is>
          <t> </t>
        </is>
      </c>
      <c r="AB653" s="391" t="inlineStr">
        <is>
          <t> </t>
        </is>
      </c>
      <c r="AC653" s="391" t="inlineStr">
        <is>
          <t> </t>
        </is>
      </c>
      <c r="AD653" s="391" t="inlineStr">
        <is>
          <t> </t>
        </is>
      </c>
      <c r="AE653" s="391" t="inlineStr">
        <is>
          <t> </t>
        </is>
      </c>
      <c r="AF653" s="38" t="inlineStr">
        <is>
          <t> </t>
        </is>
      </c>
      <c r="AG653" s="391" t="inlineStr">
        <is>
          <t> </t>
        </is>
      </c>
      <c r="AH653" s="391" t="n"/>
      <c r="AI653" s="391" t="inlineStr">
        <is>
          <t> </t>
        </is>
      </c>
      <c r="AJ653" s="391" t="inlineStr">
        <is>
          <t> </t>
        </is>
      </c>
      <c r="AK653" s="391" t="inlineStr">
        <is>
          <t> </t>
        </is>
      </c>
      <c r="AL653" s="391" t="inlineStr">
        <is>
          <t> </t>
        </is>
      </c>
      <c r="AM653" s="391" t="inlineStr">
        <is>
          <t> </t>
        </is>
      </c>
      <c r="AN653" s="391" t="inlineStr">
        <is>
          <t> </t>
        </is>
      </c>
      <c r="AO653" s="391" t="n"/>
      <c r="AP653" s="319" t="n"/>
      <c r="AQ653" s="319" t="n"/>
      <c r="AR653" s="319" t="n"/>
    </row>
    <row r="654" ht="15.75" customHeight="1" s="1264">
      <c r="A654" s="319" t="inlineStr">
        <is>
          <t> </t>
        </is>
      </c>
      <c r="B654" s="319" t="inlineStr">
        <is>
          <t> </t>
        </is>
      </c>
      <c r="C654" s="319" t="inlineStr">
        <is>
          <t> </t>
        </is>
      </c>
      <c r="D654" s="38" t="inlineStr">
        <is>
          <t> </t>
        </is>
      </c>
      <c r="E654" s="391" t="inlineStr">
        <is>
          <t> </t>
        </is>
      </c>
      <c r="F654" s="391" t="inlineStr">
        <is>
          <t> </t>
        </is>
      </c>
      <c r="G654" s="391" t="inlineStr">
        <is>
          <t> </t>
        </is>
      </c>
      <c r="H654" s="391" t="inlineStr">
        <is>
          <t> </t>
        </is>
      </c>
      <c r="I654" s="391" t="inlineStr">
        <is>
          <t> </t>
        </is>
      </c>
      <c r="J654" s="391" t="inlineStr">
        <is>
          <t> </t>
        </is>
      </c>
      <c r="K654" s="38" t="inlineStr">
        <is>
          <t> </t>
        </is>
      </c>
      <c r="L654" s="391" t="inlineStr">
        <is>
          <t> </t>
        </is>
      </c>
      <c r="M654" s="391" t="inlineStr">
        <is>
          <t> </t>
        </is>
      </c>
      <c r="N654" s="391" t="inlineStr">
        <is>
          <t> </t>
        </is>
      </c>
      <c r="O654" s="391" t="inlineStr">
        <is>
          <t> </t>
        </is>
      </c>
      <c r="P654" s="391" t="inlineStr">
        <is>
          <t> </t>
        </is>
      </c>
      <c r="Q654" s="391" t="inlineStr">
        <is>
          <t> </t>
        </is>
      </c>
      <c r="R654" s="38" t="inlineStr">
        <is>
          <t> </t>
        </is>
      </c>
      <c r="S654" s="391" t="inlineStr">
        <is>
          <t> </t>
        </is>
      </c>
      <c r="T654" s="391" t="inlineStr">
        <is>
          <t> </t>
        </is>
      </c>
      <c r="U654" s="391" t="inlineStr">
        <is>
          <t> </t>
        </is>
      </c>
      <c r="V654" s="391" t="inlineStr">
        <is>
          <t> </t>
        </is>
      </c>
      <c r="W654" s="391" t="inlineStr">
        <is>
          <t> </t>
        </is>
      </c>
      <c r="X654" s="391" t="inlineStr">
        <is>
          <t> </t>
        </is>
      </c>
      <c r="Y654" s="392" t="inlineStr">
        <is>
          <t> </t>
        </is>
      </c>
      <c r="Z654" s="391" t="inlineStr">
        <is>
          <t> </t>
        </is>
      </c>
      <c r="AA654" s="391" t="inlineStr">
        <is>
          <t> </t>
        </is>
      </c>
      <c r="AB654" s="391" t="inlineStr">
        <is>
          <t> </t>
        </is>
      </c>
      <c r="AC654" s="391" t="inlineStr">
        <is>
          <t> </t>
        </is>
      </c>
      <c r="AD654" s="391" t="inlineStr">
        <is>
          <t> </t>
        </is>
      </c>
      <c r="AE654" s="391" t="inlineStr">
        <is>
          <t> </t>
        </is>
      </c>
      <c r="AF654" s="38" t="inlineStr">
        <is>
          <t> </t>
        </is>
      </c>
      <c r="AG654" s="391" t="inlineStr">
        <is>
          <t> </t>
        </is>
      </c>
      <c r="AH654" s="391" t="n"/>
      <c r="AI654" s="391" t="inlineStr">
        <is>
          <t> </t>
        </is>
      </c>
      <c r="AJ654" s="391" t="inlineStr">
        <is>
          <t> </t>
        </is>
      </c>
      <c r="AK654" s="391" t="inlineStr">
        <is>
          <t> </t>
        </is>
      </c>
      <c r="AL654" s="391" t="inlineStr">
        <is>
          <t> </t>
        </is>
      </c>
      <c r="AM654" s="391" t="inlineStr">
        <is>
          <t> </t>
        </is>
      </c>
      <c r="AN654" s="391" t="inlineStr">
        <is>
          <t> </t>
        </is>
      </c>
      <c r="AO654" s="391" t="n"/>
      <c r="AP654" s="319" t="n"/>
      <c r="AQ654" s="319" t="n"/>
      <c r="AR654" s="319" t="n"/>
    </row>
    <row r="655" ht="15.75" customHeight="1" s="1264">
      <c r="A655" s="319" t="inlineStr">
        <is>
          <t> </t>
        </is>
      </c>
      <c r="B655" s="319" t="inlineStr">
        <is>
          <t> </t>
        </is>
      </c>
      <c r="C655" s="319" t="inlineStr">
        <is>
          <t> </t>
        </is>
      </c>
      <c r="D655" s="38" t="inlineStr">
        <is>
          <t> </t>
        </is>
      </c>
      <c r="E655" s="391" t="inlineStr">
        <is>
          <t> </t>
        </is>
      </c>
      <c r="F655" s="391" t="inlineStr">
        <is>
          <t> </t>
        </is>
      </c>
      <c r="G655" s="391" t="inlineStr">
        <is>
          <t> </t>
        </is>
      </c>
      <c r="H655" s="391" t="inlineStr">
        <is>
          <t> </t>
        </is>
      </c>
      <c r="I655" s="391" t="inlineStr">
        <is>
          <t> </t>
        </is>
      </c>
      <c r="J655" s="391" t="inlineStr">
        <is>
          <t> </t>
        </is>
      </c>
      <c r="K655" s="38" t="inlineStr">
        <is>
          <t> </t>
        </is>
      </c>
      <c r="L655" s="391" t="inlineStr">
        <is>
          <t> </t>
        </is>
      </c>
      <c r="M655" s="391" t="inlineStr">
        <is>
          <t> </t>
        </is>
      </c>
      <c r="N655" s="391" t="inlineStr">
        <is>
          <t> </t>
        </is>
      </c>
      <c r="O655" s="391" t="inlineStr">
        <is>
          <t> </t>
        </is>
      </c>
      <c r="P655" s="391" t="inlineStr">
        <is>
          <t> </t>
        </is>
      </c>
      <c r="Q655" s="391" t="inlineStr">
        <is>
          <t> </t>
        </is>
      </c>
      <c r="R655" s="38" t="inlineStr">
        <is>
          <t> </t>
        </is>
      </c>
      <c r="S655" s="391" t="inlineStr">
        <is>
          <t> </t>
        </is>
      </c>
      <c r="T655" s="391" t="inlineStr">
        <is>
          <t> </t>
        </is>
      </c>
      <c r="U655" s="391" t="inlineStr">
        <is>
          <t> </t>
        </is>
      </c>
      <c r="V655" s="391" t="inlineStr">
        <is>
          <t> </t>
        </is>
      </c>
      <c r="W655" s="391" t="inlineStr">
        <is>
          <t> </t>
        </is>
      </c>
      <c r="X655" s="391" t="inlineStr">
        <is>
          <t> </t>
        </is>
      </c>
      <c r="Y655" s="392" t="inlineStr">
        <is>
          <t> </t>
        </is>
      </c>
      <c r="Z655" s="391" t="inlineStr">
        <is>
          <t> </t>
        </is>
      </c>
      <c r="AA655" s="391" t="inlineStr">
        <is>
          <t> </t>
        </is>
      </c>
      <c r="AB655" s="391" t="inlineStr">
        <is>
          <t> </t>
        </is>
      </c>
      <c r="AC655" s="391" t="inlineStr">
        <is>
          <t> </t>
        </is>
      </c>
      <c r="AD655" s="391" t="inlineStr">
        <is>
          <t> </t>
        </is>
      </c>
      <c r="AE655" s="391" t="inlineStr">
        <is>
          <t> </t>
        </is>
      </c>
      <c r="AF655" s="38" t="inlineStr">
        <is>
          <t> </t>
        </is>
      </c>
      <c r="AG655" s="391" t="inlineStr">
        <is>
          <t> </t>
        </is>
      </c>
      <c r="AH655" s="391" t="n"/>
      <c r="AI655" s="391" t="inlineStr">
        <is>
          <t> </t>
        </is>
      </c>
      <c r="AJ655" s="391" t="inlineStr">
        <is>
          <t> </t>
        </is>
      </c>
      <c r="AK655" s="391" t="inlineStr">
        <is>
          <t> </t>
        </is>
      </c>
      <c r="AL655" s="391" t="inlineStr">
        <is>
          <t> </t>
        </is>
      </c>
      <c r="AM655" s="391" t="inlineStr">
        <is>
          <t> </t>
        </is>
      </c>
      <c r="AN655" s="391" t="inlineStr">
        <is>
          <t> </t>
        </is>
      </c>
      <c r="AO655" s="391" t="n"/>
      <c r="AP655" s="319" t="n"/>
      <c r="AQ655" s="319" t="n"/>
      <c r="AR655" s="319" t="n"/>
    </row>
    <row r="656" ht="15.75" customHeight="1" s="1264">
      <c r="A656" s="319" t="inlineStr">
        <is>
          <t> </t>
        </is>
      </c>
      <c r="B656" s="319" t="inlineStr">
        <is>
          <t> </t>
        </is>
      </c>
      <c r="C656" s="319" t="inlineStr">
        <is>
          <t> </t>
        </is>
      </c>
      <c r="D656" s="38" t="inlineStr">
        <is>
          <t> </t>
        </is>
      </c>
      <c r="E656" s="391" t="inlineStr">
        <is>
          <t> </t>
        </is>
      </c>
      <c r="F656" s="391" t="inlineStr">
        <is>
          <t> </t>
        </is>
      </c>
      <c r="G656" s="391" t="inlineStr">
        <is>
          <t> </t>
        </is>
      </c>
      <c r="H656" s="391" t="inlineStr">
        <is>
          <t> </t>
        </is>
      </c>
      <c r="I656" s="391" t="inlineStr">
        <is>
          <t> </t>
        </is>
      </c>
      <c r="J656" s="391" t="inlineStr">
        <is>
          <t> </t>
        </is>
      </c>
      <c r="K656" s="38" t="inlineStr">
        <is>
          <t> </t>
        </is>
      </c>
      <c r="L656" s="391" t="inlineStr">
        <is>
          <t> </t>
        </is>
      </c>
      <c r="M656" s="391" t="inlineStr">
        <is>
          <t> </t>
        </is>
      </c>
      <c r="N656" s="391" t="inlineStr">
        <is>
          <t> </t>
        </is>
      </c>
      <c r="O656" s="391" t="inlineStr">
        <is>
          <t> </t>
        </is>
      </c>
      <c r="P656" s="391" t="inlineStr">
        <is>
          <t> </t>
        </is>
      </c>
      <c r="Q656" s="391" t="inlineStr">
        <is>
          <t> </t>
        </is>
      </c>
      <c r="R656" s="38" t="inlineStr">
        <is>
          <t> </t>
        </is>
      </c>
      <c r="S656" s="391" t="inlineStr">
        <is>
          <t> </t>
        </is>
      </c>
      <c r="T656" s="391" t="inlineStr">
        <is>
          <t> </t>
        </is>
      </c>
      <c r="U656" s="391" t="inlineStr">
        <is>
          <t> </t>
        </is>
      </c>
      <c r="V656" s="391" t="inlineStr">
        <is>
          <t> </t>
        </is>
      </c>
      <c r="W656" s="391" t="inlineStr">
        <is>
          <t> </t>
        </is>
      </c>
      <c r="X656" s="391" t="inlineStr">
        <is>
          <t> </t>
        </is>
      </c>
      <c r="Y656" s="392" t="inlineStr">
        <is>
          <t> </t>
        </is>
      </c>
      <c r="Z656" s="391" t="inlineStr">
        <is>
          <t> </t>
        </is>
      </c>
      <c r="AA656" s="391" t="inlineStr">
        <is>
          <t> </t>
        </is>
      </c>
      <c r="AB656" s="391" t="inlineStr">
        <is>
          <t> </t>
        </is>
      </c>
      <c r="AC656" s="391" t="inlineStr">
        <is>
          <t> </t>
        </is>
      </c>
      <c r="AD656" s="391" t="inlineStr">
        <is>
          <t> </t>
        </is>
      </c>
      <c r="AE656" s="391" t="inlineStr">
        <is>
          <t> </t>
        </is>
      </c>
      <c r="AF656" s="38" t="inlineStr">
        <is>
          <t> </t>
        </is>
      </c>
      <c r="AG656" s="391" t="inlineStr">
        <is>
          <t> </t>
        </is>
      </c>
      <c r="AH656" s="391" t="n"/>
      <c r="AI656" s="391" t="inlineStr">
        <is>
          <t> </t>
        </is>
      </c>
      <c r="AJ656" s="391" t="inlineStr">
        <is>
          <t> </t>
        </is>
      </c>
      <c r="AK656" s="391" t="inlineStr">
        <is>
          <t> </t>
        </is>
      </c>
      <c r="AL656" s="391" t="inlineStr">
        <is>
          <t> </t>
        </is>
      </c>
      <c r="AM656" s="391" t="inlineStr">
        <is>
          <t> </t>
        </is>
      </c>
      <c r="AN656" s="391" t="inlineStr">
        <is>
          <t> </t>
        </is>
      </c>
      <c r="AO656" s="391" t="n"/>
      <c r="AP656" s="319" t="n"/>
      <c r="AQ656" s="319" t="n"/>
      <c r="AR656" s="319" t="n"/>
    </row>
    <row r="657" ht="15.75" customHeight="1" s="1264">
      <c r="A657" s="319" t="inlineStr">
        <is>
          <t> </t>
        </is>
      </c>
      <c r="B657" s="319" t="inlineStr">
        <is>
          <t> </t>
        </is>
      </c>
      <c r="C657" s="319" t="inlineStr">
        <is>
          <t> </t>
        </is>
      </c>
      <c r="D657" s="38" t="inlineStr">
        <is>
          <t> </t>
        </is>
      </c>
      <c r="E657" s="391" t="inlineStr">
        <is>
          <t> </t>
        </is>
      </c>
      <c r="F657" s="391" t="inlineStr">
        <is>
          <t> </t>
        </is>
      </c>
      <c r="G657" s="391" t="inlineStr">
        <is>
          <t> </t>
        </is>
      </c>
      <c r="H657" s="391" t="inlineStr">
        <is>
          <t> </t>
        </is>
      </c>
      <c r="I657" s="391" t="inlineStr">
        <is>
          <t> </t>
        </is>
      </c>
      <c r="J657" s="391" t="inlineStr">
        <is>
          <t> </t>
        </is>
      </c>
      <c r="K657" s="38" t="inlineStr">
        <is>
          <t> </t>
        </is>
      </c>
      <c r="L657" s="391" t="inlineStr">
        <is>
          <t> </t>
        </is>
      </c>
      <c r="M657" s="391" t="inlineStr">
        <is>
          <t> </t>
        </is>
      </c>
      <c r="N657" s="391" t="inlineStr">
        <is>
          <t> </t>
        </is>
      </c>
      <c r="O657" s="391" t="inlineStr">
        <is>
          <t> </t>
        </is>
      </c>
      <c r="P657" s="391" t="inlineStr">
        <is>
          <t> </t>
        </is>
      </c>
      <c r="Q657" s="391" t="inlineStr">
        <is>
          <t> </t>
        </is>
      </c>
      <c r="R657" s="38" t="inlineStr">
        <is>
          <t> </t>
        </is>
      </c>
      <c r="S657" s="391" t="inlineStr">
        <is>
          <t> </t>
        </is>
      </c>
      <c r="T657" s="391" t="inlineStr">
        <is>
          <t> </t>
        </is>
      </c>
      <c r="U657" s="391" t="inlineStr">
        <is>
          <t> </t>
        </is>
      </c>
      <c r="V657" s="391" t="inlineStr">
        <is>
          <t> </t>
        </is>
      </c>
      <c r="W657" s="391" t="inlineStr">
        <is>
          <t> </t>
        </is>
      </c>
      <c r="X657" s="391" t="inlineStr">
        <is>
          <t> </t>
        </is>
      </c>
      <c r="Y657" s="392" t="inlineStr">
        <is>
          <t> </t>
        </is>
      </c>
      <c r="Z657" s="391" t="inlineStr">
        <is>
          <t> </t>
        </is>
      </c>
      <c r="AA657" s="391" t="inlineStr">
        <is>
          <t> </t>
        </is>
      </c>
      <c r="AB657" s="391" t="inlineStr">
        <is>
          <t> </t>
        </is>
      </c>
      <c r="AC657" s="391" t="inlineStr">
        <is>
          <t> </t>
        </is>
      </c>
      <c r="AD657" s="391" t="inlineStr">
        <is>
          <t> </t>
        </is>
      </c>
      <c r="AE657" s="391" t="inlineStr">
        <is>
          <t> </t>
        </is>
      </c>
      <c r="AF657" s="38" t="inlineStr">
        <is>
          <t> </t>
        </is>
      </c>
      <c r="AG657" s="391" t="inlineStr">
        <is>
          <t> </t>
        </is>
      </c>
      <c r="AH657" s="391" t="n"/>
      <c r="AI657" s="391" t="inlineStr">
        <is>
          <t> </t>
        </is>
      </c>
      <c r="AJ657" s="391" t="inlineStr">
        <is>
          <t> </t>
        </is>
      </c>
      <c r="AK657" s="391" t="inlineStr">
        <is>
          <t> </t>
        </is>
      </c>
      <c r="AL657" s="391" t="inlineStr">
        <is>
          <t> </t>
        </is>
      </c>
      <c r="AM657" s="391" t="inlineStr">
        <is>
          <t> </t>
        </is>
      </c>
      <c r="AN657" s="391" t="inlineStr">
        <is>
          <t> </t>
        </is>
      </c>
      <c r="AO657" s="391" t="n"/>
      <c r="AP657" s="319" t="n"/>
      <c r="AQ657" s="319" t="n"/>
      <c r="AR657" s="319" t="n"/>
    </row>
    <row r="658" ht="15.75" customHeight="1" s="1264">
      <c r="A658" s="319" t="inlineStr">
        <is>
          <t> </t>
        </is>
      </c>
      <c r="B658" s="319" t="inlineStr">
        <is>
          <t> </t>
        </is>
      </c>
      <c r="C658" s="319" t="inlineStr">
        <is>
          <t> </t>
        </is>
      </c>
      <c r="D658" s="38" t="inlineStr">
        <is>
          <t> </t>
        </is>
      </c>
      <c r="E658" s="391" t="inlineStr">
        <is>
          <t> </t>
        </is>
      </c>
      <c r="F658" s="391" t="inlineStr">
        <is>
          <t> </t>
        </is>
      </c>
      <c r="G658" s="391" t="inlineStr">
        <is>
          <t> </t>
        </is>
      </c>
      <c r="H658" s="391" t="inlineStr">
        <is>
          <t> </t>
        </is>
      </c>
      <c r="I658" s="391" t="inlineStr">
        <is>
          <t> </t>
        </is>
      </c>
      <c r="J658" s="391" t="inlineStr">
        <is>
          <t> </t>
        </is>
      </c>
      <c r="K658" s="38" t="inlineStr">
        <is>
          <t> </t>
        </is>
      </c>
      <c r="L658" s="391" t="inlineStr">
        <is>
          <t> </t>
        </is>
      </c>
      <c r="M658" s="391" t="inlineStr">
        <is>
          <t> </t>
        </is>
      </c>
      <c r="N658" s="391" t="inlineStr">
        <is>
          <t> </t>
        </is>
      </c>
      <c r="O658" s="391" t="inlineStr">
        <is>
          <t> </t>
        </is>
      </c>
      <c r="P658" s="391" t="inlineStr">
        <is>
          <t> </t>
        </is>
      </c>
      <c r="Q658" s="391" t="inlineStr">
        <is>
          <t> </t>
        </is>
      </c>
      <c r="R658" s="38" t="inlineStr">
        <is>
          <t> </t>
        </is>
      </c>
      <c r="S658" s="391" t="inlineStr">
        <is>
          <t> </t>
        </is>
      </c>
      <c r="T658" s="391" t="inlineStr">
        <is>
          <t> </t>
        </is>
      </c>
      <c r="U658" s="391" t="inlineStr">
        <is>
          <t> </t>
        </is>
      </c>
      <c r="V658" s="391" t="inlineStr">
        <is>
          <t> </t>
        </is>
      </c>
      <c r="W658" s="391" t="inlineStr">
        <is>
          <t> </t>
        </is>
      </c>
      <c r="X658" s="391" t="inlineStr">
        <is>
          <t> </t>
        </is>
      </c>
      <c r="Y658" s="392" t="inlineStr">
        <is>
          <t> </t>
        </is>
      </c>
      <c r="Z658" s="391" t="inlineStr">
        <is>
          <t> </t>
        </is>
      </c>
      <c r="AA658" s="391" t="inlineStr">
        <is>
          <t> </t>
        </is>
      </c>
      <c r="AB658" s="391" t="inlineStr">
        <is>
          <t> </t>
        </is>
      </c>
      <c r="AC658" s="391" t="inlineStr">
        <is>
          <t> </t>
        </is>
      </c>
      <c r="AD658" s="391" t="inlineStr">
        <is>
          <t> </t>
        </is>
      </c>
      <c r="AE658" s="391" t="inlineStr">
        <is>
          <t> </t>
        </is>
      </c>
      <c r="AF658" s="38" t="inlineStr">
        <is>
          <t> </t>
        </is>
      </c>
      <c r="AG658" s="391" t="inlineStr">
        <is>
          <t> </t>
        </is>
      </c>
      <c r="AH658" s="391" t="n"/>
      <c r="AI658" s="391" t="inlineStr">
        <is>
          <t> </t>
        </is>
      </c>
      <c r="AJ658" s="391" t="inlineStr">
        <is>
          <t> </t>
        </is>
      </c>
      <c r="AK658" s="391" t="inlineStr">
        <is>
          <t> </t>
        </is>
      </c>
      <c r="AL658" s="391" t="inlineStr">
        <is>
          <t> </t>
        </is>
      </c>
      <c r="AM658" s="391" t="inlineStr">
        <is>
          <t> </t>
        </is>
      </c>
      <c r="AN658" s="391" t="inlineStr">
        <is>
          <t> </t>
        </is>
      </c>
      <c r="AO658" s="391" t="n"/>
      <c r="AP658" s="319" t="n"/>
      <c r="AQ658" s="319" t="n"/>
      <c r="AR658" s="319" t="n"/>
    </row>
    <row r="659" ht="15.75" customHeight="1" s="1264">
      <c r="A659" s="319" t="inlineStr">
        <is>
          <t> </t>
        </is>
      </c>
      <c r="B659" s="319" t="inlineStr">
        <is>
          <t> </t>
        </is>
      </c>
      <c r="C659" s="319" t="inlineStr">
        <is>
          <t> </t>
        </is>
      </c>
      <c r="D659" s="38" t="inlineStr">
        <is>
          <t> </t>
        </is>
      </c>
      <c r="E659" s="391" t="inlineStr">
        <is>
          <t> </t>
        </is>
      </c>
      <c r="F659" s="391" t="inlineStr">
        <is>
          <t> </t>
        </is>
      </c>
      <c r="G659" s="391" t="inlineStr">
        <is>
          <t> </t>
        </is>
      </c>
      <c r="H659" s="391" t="inlineStr">
        <is>
          <t> </t>
        </is>
      </c>
      <c r="I659" s="391" t="inlineStr">
        <is>
          <t> </t>
        </is>
      </c>
      <c r="J659" s="391" t="inlineStr">
        <is>
          <t> </t>
        </is>
      </c>
      <c r="K659" s="38" t="inlineStr">
        <is>
          <t> </t>
        </is>
      </c>
      <c r="L659" s="391" t="inlineStr">
        <is>
          <t> </t>
        </is>
      </c>
      <c r="M659" s="391" t="inlineStr">
        <is>
          <t> </t>
        </is>
      </c>
      <c r="N659" s="391" t="inlineStr">
        <is>
          <t> </t>
        </is>
      </c>
      <c r="O659" s="391" t="inlineStr">
        <is>
          <t> </t>
        </is>
      </c>
      <c r="P659" s="391" t="inlineStr">
        <is>
          <t> </t>
        </is>
      </c>
      <c r="Q659" s="391" t="inlineStr">
        <is>
          <t> </t>
        </is>
      </c>
      <c r="R659" s="38" t="inlineStr">
        <is>
          <t> </t>
        </is>
      </c>
      <c r="S659" s="391" t="inlineStr">
        <is>
          <t> </t>
        </is>
      </c>
      <c r="T659" s="391" t="inlineStr">
        <is>
          <t> </t>
        </is>
      </c>
      <c r="U659" s="391" t="inlineStr">
        <is>
          <t> </t>
        </is>
      </c>
      <c r="V659" s="391" t="inlineStr">
        <is>
          <t> </t>
        </is>
      </c>
      <c r="W659" s="391" t="inlineStr">
        <is>
          <t> </t>
        </is>
      </c>
      <c r="X659" s="391" t="inlineStr">
        <is>
          <t> </t>
        </is>
      </c>
      <c r="Y659" s="392" t="inlineStr">
        <is>
          <t> </t>
        </is>
      </c>
      <c r="Z659" s="391" t="inlineStr">
        <is>
          <t> </t>
        </is>
      </c>
      <c r="AA659" s="391" t="inlineStr">
        <is>
          <t> </t>
        </is>
      </c>
      <c r="AB659" s="391" t="inlineStr">
        <is>
          <t> </t>
        </is>
      </c>
      <c r="AC659" s="391" t="inlineStr">
        <is>
          <t> </t>
        </is>
      </c>
      <c r="AD659" s="391" t="inlineStr">
        <is>
          <t> </t>
        </is>
      </c>
      <c r="AE659" s="391" t="inlineStr">
        <is>
          <t> </t>
        </is>
      </c>
      <c r="AF659" s="38" t="inlineStr">
        <is>
          <t> </t>
        </is>
      </c>
      <c r="AG659" s="391" t="inlineStr">
        <is>
          <t> </t>
        </is>
      </c>
      <c r="AH659" s="391" t="n"/>
      <c r="AI659" s="391" t="inlineStr">
        <is>
          <t> </t>
        </is>
      </c>
      <c r="AJ659" s="391" t="inlineStr">
        <is>
          <t> </t>
        </is>
      </c>
      <c r="AK659" s="391" t="inlineStr">
        <is>
          <t> </t>
        </is>
      </c>
      <c r="AL659" s="391" t="inlineStr">
        <is>
          <t> </t>
        </is>
      </c>
      <c r="AM659" s="391" t="inlineStr">
        <is>
          <t> </t>
        </is>
      </c>
      <c r="AN659" s="391" t="inlineStr">
        <is>
          <t> </t>
        </is>
      </c>
      <c r="AO659" s="391" t="n"/>
      <c r="AP659" s="319" t="n"/>
      <c r="AQ659" s="319" t="n"/>
      <c r="AR659" s="319" t="n"/>
    </row>
    <row r="660" ht="15.75" customHeight="1" s="1264">
      <c r="A660" s="319" t="inlineStr">
        <is>
          <t> </t>
        </is>
      </c>
      <c r="B660" s="319" t="inlineStr">
        <is>
          <t> </t>
        </is>
      </c>
      <c r="C660" s="319" t="inlineStr">
        <is>
          <t> </t>
        </is>
      </c>
      <c r="D660" s="38" t="inlineStr">
        <is>
          <t> </t>
        </is>
      </c>
      <c r="E660" s="391" t="inlineStr">
        <is>
          <t> </t>
        </is>
      </c>
      <c r="F660" s="391" t="inlineStr">
        <is>
          <t> </t>
        </is>
      </c>
      <c r="G660" s="391" t="inlineStr">
        <is>
          <t> </t>
        </is>
      </c>
      <c r="H660" s="391" t="inlineStr">
        <is>
          <t> </t>
        </is>
      </c>
      <c r="I660" s="391" t="inlineStr">
        <is>
          <t> </t>
        </is>
      </c>
      <c r="J660" s="391" t="inlineStr">
        <is>
          <t> </t>
        </is>
      </c>
      <c r="K660" s="38" t="inlineStr">
        <is>
          <t> </t>
        </is>
      </c>
      <c r="L660" s="391" t="inlineStr">
        <is>
          <t> </t>
        </is>
      </c>
      <c r="M660" s="391" t="inlineStr">
        <is>
          <t> </t>
        </is>
      </c>
      <c r="N660" s="391" t="inlineStr">
        <is>
          <t> </t>
        </is>
      </c>
      <c r="O660" s="391" t="inlineStr">
        <is>
          <t> </t>
        </is>
      </c>
      <c r="P660" s="391" t="inlineStr">
        <is>
          <t> </t>
        </is>
      </c>
      <c r="Q660" s="391" t="inlineStr">
        <is>
          <t> </t>
        </is>
      </c>
      <c r="R660" s="38" t="inlineStr">
        <is>
          <t> </t>
        </is>
      </c>
      <c r="S660" s="391" t="inlineStr">
        <is>
          <t> </t>
        </is>
      </c>
      <c r="T660" s="391" t="inlineStr">
        <is>
          <t> </t>
        </is>
      </c>
      <c r="U660" s="391" t="inlineStr">
        <is>
          <t> </t>
        </is>
      </c>
      <c r="V660" s="391" t="inlineStr">
        <is>
          <t> </t>
        </is>
      </c>
      <c r="W660" s="391" t="inlineStr">
        <is>
          <t> </t>
        </is>
      </c>
      <c r="X660" s="391" t="inlineStr">
        <is>
          <t> </t>
        </is>
      </c>
      <c r="Y660" s="392" t="inlineStr">
        <is>
          <t> </t>
        </is>
      </c>
      <c r="Z660" s="391" t="inlineStr">
        <is>
          <t> </t>
        </is>
      </c>
      <c r="AA660" s="391" t="inlineStr">
        <is>
          <t> </t>
        </is>
      </c>
      <c r="AB660" s="391" t="inlineStr">
        <is>
          <t> </t>
        </is>
      </c>
      <c r="AC660" s="391" t="inlineStr">
        <is>
          <t> </t>
        </is>
      </c>
      <c r="AD660" s="391" t="inlineStr">
        <is>
          <t> </t>
        </is>
      </c>
      <c r="AE660" s="391" t="inlineStr">
        <is>
          <t> </t>
        </is>
      </c>
      <c r="AF660" s="38" t="inlineStr">
        <is>
          <t> </t>
        </is>
      </c>
      <c r="AG660" s="391" t="inlineStr">
        <is>
          <t> </t>
        </is>
      </c>
      <c r="AH660" s="391" t="n"/>
      <c r="AI660" s="391" t="inlineStr">
        <is>
          <t> </t>
        </is>
      </c>
      <c r="AJ660" s="391" t="inlineStr">
        <is>
          <t> </t>
        </is>
      </c>
      <c r="AK660" s="391" t="inlineStr">
        <is>
          <t> </t>
        </is>
      </c>
      <c r="AL660" s="391" t="inlineStr">
        <is>
          <t> </t>
        </is>
      </c>
      <c r="AM660" s="391" t="inlineStr">
        <is>
          <t> </t>
        </is>
      </c>
      <c r="AN660" s="391" t="inlineStr">
        <is>
          <t> </t>
        </is>
      </c>
      <c r="AO660" s="391" t="n"/>
      <c r="AP660" s="319" t="n"/>
      <c r="AQ660" s="319" t="n"/>
      <c r="AR660" s="319" t="n"/>
    </row>
    <row r="661" ht="15.75" customHeight="1" s="1264">
      <c r="A661" s="319" t="inlineStr">
        <is>
          <t> </t>
        </is>
      </c>
      <c r="B661" s="319" t="inlineStr">
        <is>
          <t> </t>
        </is>
      </c>
      <c r="C661" s="319" t="inlineStr">
        <is>
          <t> </t>
        </is>
      </c>
      <c r="D661" s="38" t="inlineStr">
        <is>
          <t> </t>
        </is>
      </c>
      <c r="E661" s="391" t="inlineStr">
        <is>
          <t> </t>
        </is>
      </c>
      <c r="F661" s="391" t="inlineStr">
        <is>
          <t> </t>
        </is>
      </c>
      <c r="G661" s="391" t="inlineStr">
        <is>
          <t> </t>
        </is>
      </c>
      <c r="H661" s="391" t="inlineStr">
        <is>
          <t> </t>
        </is>
      </c>
      <c r="I661" s="391" t="inlineStr">
        <is>
          <t> </t>
        </is>
      </c>
      <c r="J661" s="391" t="inlineStr">
        <is>
          <t> </t>
        </is>
      </c>
      <c r="K661" s="38" t="inlineStr">
        <is>
          <t> </t>
        </is>
      </c>
      <c r="L661" s="391" t="inlineStr">
        <is>
          <t> </t>
        </is>
      </c>
      <c r="M661" s="391" t="inlineStr">
        <is>
          <t> </t>
        </is>
      </c>
      <c r="N661" s="391" t="inlineStr">
        <is>
          <t> </t>
        </is>
      </c>
      <c r="O661" s="391" t="inlineStr">
        <is>
          <t> </t>
        </is>
      </c>
      <c r="P661" s="391" t="inlineStr">
        <is>
          <t> </t>
        </is>
      </c>
      <c r="Q661" s="391" t="inlineStr">
        <is>
          <t> </t>
        </is>
      </c>
      <c r="R661" s="38" t="inlineStr">
        <is>
          <t> </t>
        </is>
      </c>
      <c r="S661" s="391" t="inlineStr">
        <is>
          <t> </t>
        </is>
      </c>
      <c r="T661" s="391" t="inlineStr">
        <is>
          <t> </t>
        </is>
      </c>
      <c r="U661" s="391" t="inlineStr">
        <is>
          <t> </t>
        </is>
      </c>
      <c r="V661" s="391" t="inlineStr">
        <is>
          <t> </t>
        </is>
      </c>
      <c r="W661" s="391" t="inlineStr">
        <is>
          <t> </t>
        </is>
      </c>
      <c r="X661" s="391" t="inlineStr">
        <is>
          <t> </t>
        </is>
      </c>
      <c r="Y661" s="392" t="inlineStr">
        <is>
          <t> </t>
        </is>
      </c>
      <c r="Z661" s="391" t="inlineStr">
        <is>
          <t> </t>
        </is>
      </c>
      <c r="AA661" s="391" t="inlineStr">
        <is>
          <t> </t>
        </is>
      </c>
      <c r="AB661" s="391" t="inlineStr">
        <is>
          <t> </t>
        </is>
      </c>
      <c r="AC661" s="391" t="inlineStr">
        <is>
          <t> </t>
        </is>
      </c>
      <c r="AD661" s="391" t="inlineStr">
        <is>
          <t> </t>
        </is>
      </c>
      <c r="AE661" s="391" t="inlineStr">
        <is>
          <t> </t>
        </is>
      </c>
      <c r="AF661" s="38" t="inlineStr">
        <is>
          <t> </t>
        </is>
      </c>
      <c r="AG661" s="391" t="inlineStr">
        <is>
          <t> </t>
        </is>
      </c>
      <c r="AH661" s="391" t="n"/>
      <c r="AI661" s="391" t="inlineStr">
        <is>
          <t> </t>
        </is>
      </c>
      <c r="AJ661" s="391" t="inlineStr">
        <is>
          <t> </t>
        </is>
      </c>
      <c r="AK661" s="391" t="inlineStr">
        <is>
          <t> </t>
        </is>
      </c>
      <c r="AL661" s="391" t="inlineStr">
        <is>
          <t> </t>
        </is>
      </c>
      <c r="AM661" s="391" t="inlineStr">
        <is>
          <t> </t>
        </is>
      </c>
      <c r="AN661" s="391" t="inlineStr">
        <is>
          <t> </t>
        </is>
      </c>
      <c r="AO661" s="391" t="n"/>
      <c r="AP661" s="319" t="n"/>
      <c r="AQ661" s="319" t="n"/>
      <c r="AR661" s="319" t="n"/>
    </row>
    <row r="662" ht="15.75" customHeight="1" s="1264">
      <c r="A662" s="319" t="inlineStr">
        <is>
          <t> </t>
        </is>
      </c>
      <c r="B662" s="319" t="inlineStr">
        <is>
          <t> </t>
        </is>
      </c>
      <c r="C662" s="319" t="inlineStr">
        <is>
          <t> </t>
        </is>
      </c>
      <c r="D662" s="38" t="inlineStr">
        <is>
          <t> </t>
        </is>
      </c>
      <c r="E662" s="391" t="inlineStr">
        <is>
          <t> </t>
        </is>
      </c>
      <c r="F662" s="391" t="inlineStr">
        <is>
          <t> </t>
        </is>
      </c>
      <c r="G662" s="391" t="inlineStr">
        <is>
          <t> </t>
        </is>
      </c>
      <c r="H662" s="391" t="inlineStr">
        <is>
          <t> </t>
        </is>
      </c>
      <c r="I662" s="391" t="inlineStr">
        <is>
          <t> </t>
        </is>
      </c>
      <c r="J662" s="391" t="inlineStr">
        <is>
          <t> </t>
        </is>
      </c>
      <c r="K662" s="38" t="inlineStr">
        <is>
          <t> </t>
        </is>
      </c>
      <c r="L662" s="391" t="inlineStr">
        <is>
          <t> </t>
        </is>
      </c>
      <c r="M662" s="391" t="inlineStr">
        <is>
          <t> </t>
        </is>
      </c>
      <c r="N662" s="391" t="inlineStr">
        <is>
          <t> </t>
        </is>
      </c>
      <c r="O662" s="391" t="inlineStr">
        <is>
          <t> </t>
        </is>
      </c>
      <c r="P662" s="391" t="inlineStr">
        <is>
          <t> </t>
        </is>
      </c>
      <c r="Q662" s="391" t="inlineStr">
        <is>
          <t> </t>
        </is>
      </c>
      <c r="R662" s="38" t="inlineStr">
        <is>
          <t> </t>
        </is>
      </c>
      <c r="S662" s="391" t="inlineStr">
        <is>
          <t> </t>
        </is>
      </c>
      <c r="T662" s="391" t="inlineStr">
        <is>
          <t> </t>
        </is>
      </c>
      <c r="U662" s="391" t="inlineStr">
        <is>
          <t> </t>
        </is>
      </c>
      <c r="V662" s="391" t="inlineStr">
        <is>
          <t> </t>
        </is>
      </c>
      <c r="W662" s="391" t="inlineStr">
        <is>
          <t> </t>
        </is>
      </c>
      <c r="X662" s="391" t="inlineStr">
        <is>
          <t> </t>
        </is>
      </c>
      <c r="Y662" s="392" t="inlineStr">
        <is>
          <t> </t>
        </is>
      </c>
      <c r="Z662" s="391" t="inlineStr">
        <is>
          <t> </t>
        </is>
      </c>
      <c r="AA662" s="391" t="inlineStr">
        <is>
          <t> </t>
        </is>
      </c>
      <c r="AB662" s="391" t="inlineStr">
        <is>
          <t> </t>
        </is>
      </c>
      <c r="AC662" s="391" t="inlineStr">
        <is>
          <t> </t>
        </is>
      </c>
      <c r="AD662" s="391" t="inlineStr">
        <is>
          <t> </t>
        </is>
      </c>
      <c r="AE662" s="391" t="inlineStr">
        <is>
          <t> </t>
        </is>
      </c>
      <c r="AF662" s="38" t="inlineStr">
        <is>
          <t> </t>
        </is>
      </c>
      <c r="AG662" s="391" t="inlineStr">
        <is>
          <t> </t>
        </is>
      </c>
      <c r="AH662" s="391" t="n"/>
      <c r="AI662" s="391" t="inlineStr">
        <is>
          <t> </t>
        </is>
      </c>
      <c r="AJ662" s="391" t="inlineStr">
        <is>
          <t> </t>
        </is>
      </c>
      <c r="AK662" s="391" t="inlineStr">
        <is>
          <t> </t>
        </is>
      </c>
      <c r="AL662" s="391" t="inlineStr">
        <is>
          <t> </t>
        </is>
      </c>
      <c r="AM662" s="391" t="inlineStr">
        <is>
          <t> </t>
        </is>
      </c>
      <c r="AN662" s="391" t="inlineStr">
        <is>
          <t> </t>
        </is>
      </c>
      <c r="AO662" s="391" t="n"/>
      <c r="AP662" s="319" t="n"/>
      <c r="AQ662" s="319" t="n"/>
      <c r="AR662" s="319" t="n"/>
    </row>
    <row r="663" ht="15.75" customHeight="1" s="1264">
      <c r="A663" s="319" t="inlineStr">
        <is>
          <t> </t>
        </is>
      </c>
      <c r="B663" s="319" t="inlineStr">
        <is>
          <t> </t>
        </is>
      </c>
      <c r="C663" s="319" t="inlineStr">
        <is>
          <t> </t>
        </is>
      </c>
      <c r="D663" s="38" t="inlineStr">
        <is>
          <t> </t>
        </is>
      </c>
      <c r="E663" s="391" t="inlineStr">
        <is>
          <t> </t>
        </is>
      </c>
      <c r="F663" s="391" t="inlineStr">
        <is>
          <t> </t>
        </is>
      </c>
      <c r="G663" s="391" t="inlineStr">
        <is>
          <t> </t>
        </is>
      </c>
      <c r="H663" s="391" t="inlineStr">
        <is>
          <t> </t>
        </is>
      </c>
      <c r="I663" s="391" t="inlineStr">
        <is>
          <t> </t>
        </is>
      </c>
      <c r="J663" s="391" t="inlineStr">
        <is>
          <t> </t>
        </is>
      </c>
      <c r="K663" s="38" t="inlineStr">
        <is>
          <t> </t>
        </is>
      </c>
      <c r="L663" s="391" t="inlineStr">
        <is>
          <t> </t>
        </is>
      </c>
      <c r="M663" s="391" t="inlineStr">
        <is>
          <t> </t>
        </is>
      </c>
      <c r="N663" s="391" t="inlineStr">
        <is>
          <t> </t>
        </is>
      </c>
      <c r="O663" s="391" t="inlineStr">
        <is>
          <t> </t>
        </is>
      </c>
      <c r="P663" s="391" t="inlineStr">
        <is>
          <t> </t>
        </is>
      </c>
      <c r="Q663" s="391" t="inlineStr">
        <is>
          <t> </t>
        </is>
      </c>
      <c r="R663" s="38" t="inlineStr">
        <is>
          <t> </t>
        </is>
      </c>
      <c r="S663" s="391" t="inlineStr">
        <is>
          <t> </t>
        </is>
      </c>
      <c r="T663" s="391" t="inlineStr">
        <is>
          <t> </t>
        </is>
      </c>
      <c r="U663" s="391" t="inlineStr">
        <is>
          <t> </t>
        </is>
      </c>
      <c r="V663" s="391" t="inlineStr">
        <is>
          <t> </t>
        </is>
      </c>
      <c r="W663" s="391" t="inlineStr">
        <is>
          <t> </t>
        </is>
      </c>
      <c r="X663" s="391" t="inlineStr">
        <is>
          <t> </t>
        </is>
      </c>
      <c r="Y663" s="392" t="inlineStr">
        <is>
          <t> </t>
        </is>
      </c>
      <c r="Z663" s="391" t="inlineStr">
        <is>
          <t> </t>
        </is>
      </c>
      <c r="AA663" s="391" t="inlineStr">
        <is>
          <t> </t>
        </is>
      </c>
      <c r="AB663" s="391" t="inlineStr">
        <is>
          <t> </t>
        </is>
      </c>
      <c r="AC663" s="391" t="inlineStr">
        <is>
          <t> </t>
        </is>
      </c>
      <c r="AD663" s="391" t="inlineStr">
        <is>
          <t> </t>
        </is>
      </c>
      <c r="AE663" s="391" t="inlineStr">
        <is>
          <t> </t>
        </is>
      </c>
      <c r="AF663" s="38" t="inlineStr">
        <is>
          <t> </t>
        </is>
      </c>
      <c r="AG663" s="391" t="inlineStr">
        <is>
          <t> </t>
        </is>
      </c>
      <c r="AH663" s="391" t="n"/>
      <c r="AI663" s="391" t="inlineStr">
        <is>
          <t> </t>
        </is>
      </c>
      <c r="AJ663" s="391" t="inlineStr">
        <is>
          <t> </t>
        </is>
      </c>
      <c r="AK663" s="391" t="inlineStr">
        <is>
          <t> </t>
        </is>
      </c>
      <c r="AL663" s="391" t="inlineStr">
        <is>
          <t> </t>
        </is>
      </c>
      <c r="AM663" s="391" t="inlineStr">
        <is>
          <t> </t>
        </is>
      </c>
      <c r="AN663" s="391" t="inlineStr">
        <is>
          <t> </t>
        </is>
      </c>
      <c r="AO663" s="391" t="n"/>
      <c r="AP663" s="319" t="n"/>
      <c r="AQ663" s="319" t="n"/>
      <c r="AR663" s="319" t="n"/>
    </row>
    <row r="664" ht="15.75" customHeight="1" s="1264">
      <c r="A664" s="319" t="inlineStr">
        <is>
          <t> </t>
        </is>
      </c>
      <c r="B664" s="319" t="inlineStr">
        <is>
          <t> </t>
        </is>
      </c>
      <c r="C664" s="319" t="inlineStr">
        <is>
          <t> </t>
        </is>
      </c>
      <c r="D664" s="38" t="inlineStr">
        <is>
          <t> </t>
        </is>
      </c>
      <c r="E664" s="391" t="inlineStr">
        <is>
          <t> </t>
        </is>
      </c>
      <c r="F664" s="391" t="inlineStr">
        <is>
          <t> </t>
        </is>
      </c>
      <c r="G664" s="391" t="inlineStr">
        <is>
          <t> </t>
        </is>
      </c>
      <c r="H664" s="391" t="inlineStr">
        <is>
          <t> </t>
        </is>
      </c>
      <c r="I664" s="391" t="inlineStr">
        <is>
          <t> </t>
        </is>
      </c>
      <c r="J664" s="391" t="inlineStr">
        <is>
          <t> </t>
        </is>
      </c>
      <c r="K664" s="38" t="inlineStr">
        <is>
          <t> </t>
        </is>
      </c>
      <c r="L664" s="391" t="inlineStr">
        <is>
          <t> </t>
        </is>
      </c>
      <c r="M664" s="391" t="inlineStr">
        <is>
          <t> </t>
        </is>
      </c>
      <c r="N664" s="391" t="inlineStr">
        <is>
          <t> </t>
        </is>
      </c>
      <c r="O664" s="391" t="inlineStr">
        <is>
          <t> </t>
        </is>
      </c>
      <c r="P664" s="391" t="inlineStr">
        <is>
          <t> </t>
        </is>
      </c>
      <c r="Q664" s="391" t="inlineStr">
        <is>
          <t> </t>
        </is>
      </c>
      <c r="R664" s="38" t="inlineStr">
        <is>
          <t> </t>
        </is>
      </c>
      <c r="S664" s="391" t="inlineStr">
        <is>
          <t> </t>
        </is>
      </c>
      <c r="T664" s="391" t="inlineStr">
        <is>
          <t> </t>
        </is>
      </c>
      <c r="U664" s="391" t="inlineStr">
        <is>
          <t> </t>
        </is>
      </c>
      <c r="V664" s="391" t="inlineStr">
        <is>
          <t> </t>
        </is>
      </c>
      <c r="W664" s="391" t="inlineStr">
        <is>
          <t> </t>
        </is>
      </c>
      <c r="X664" s="391" t="inlineStr">
        <is>
          <t> </t>
        </is>
      </c>
      <c r="Y664" s="392" t="inlineStr">
        <is>
          <t> </t>
        </is>
      </c>
      <c r="Z664" s="391" t="inlineStr">
        <is>
          <t> </t>
        </is>
      </c>
      <c r="AA664" s="391" t="inlineStr">
        <is>
          <t> </t>
        </is>
      </c>
      <c r="AB664" s="391" t="inlineStr">
        <is>
          <t> </t>
        </is>
      </c>
      <c r="AC664" s="391" t="inlineStr">
        <is>
          <t> </t>
        </is>
      </c>
      <c r="AD664" s="391" t="inlineStr">
        <is>
          <t> </t>
        </is>
      </c>
      <c r="AE664" s="391" t="inlineStr">
        <is>
          <t> </t>
        </is>
      </c>
      <c r="AF664" s="38" t="inlineStr">
        <is>
          <t> </t>
        </is>
      </c>
      <c r="AG664" s="391" t="inlineStr">
        <is>
          <t> </t>
        </is>
      </c>
      <c r="AH664" s="391" t="n"/>
      <c r="AI664" s="391" t="inlineStr">
        <is>
          <t> </t>
        </is>
      </c>
      <c r="AJ664" s="391" t="inlineStr">
        <is>
          <t> </t>
        </is>
      </c>
      <c r="AK664" s="391" t="inlineStr">
        <is>
          <t> </t>
        </is>
      </c>
      <c r="AL664" s="391" t="inlineStr">
        <is>
          <t> </t>
        </is>
      </c>
      <c r="AM664" s="391" t="inlineStr">
        <is>
          <t> </t>
        </is>
      </c>
      <c r="AN664" s="391" t="inlineStr">
        <is>
          <t> </t>
        </is>
      </c>
      <c r="AO664" s="391" t="n"/>
      <c r="AP664" s="319" t="n"/>
      <c r="AQ664" s="319" t="n"/>
      <c r="AR664" s="319" t="n"/>
    </row>
    <row r="665" ht="15.75" customHeight="1" s="1264">
      <c r="A665" s="319" t="inlineStr">
        <is>
          <t> </t>
        </is>
      </c>
      <c r="B665" s="319" t="inlineStr">
        <is>
          <t> </t>
        </is>
      </c>
      <c r="C665" s="319" t="inlineStr">
        <is>
          <t> </t>
        </is>
      </c>
      <c r="D665" s="38" t="inlineStr">
        <is>
          <t> </t>
        </is>
      </c>
      <c r="E665" s="391" t="inlineStr">
        <is>
          <t> </t>
        </is>
      </c>
      <c r="F665" s="391" t="inlineStr">
        <is>
          <t> </t>
        </is>
      </c>
      <c r="G665" s="391" t="inlineStr">
        <is>
          <t> </t>
        </is>
      </c>
      <c r="H665" s="391" t="inlineStr">
        <is>
          <t> </t>
        </is>
      </c>
      <c r="I665" s="391" t="inlineStr">
        <is>
          <t> </t>
        </is>
      </c>
      <c r="J665" s="391" t="inlineStr">
        <is>
          <t> </t>
        </is>
      </c>
      <c r="K665" s="38" t="inlineStr">
        <is>
          <t> </t>
        </is>
      </c>
      <c r="L665" s="391" t="inlineStr">
        <is>
          <t> </t>
        </is>
      </c>
      <c r="M665" s="391" t="inlineStr">
        <is>
          <t> </t>
        </is>
      </c>
      <c r="N665" s="391" t="inlineStr">
        <is>
          <t> </t>
        </is>
      </c>
      <c r="O665" s="391" t="inlineStr">
        <is>
          <t> </t>
        </is>
      </c>
      <c r="P665" s="391" t="inlineStr">
        <is>
          <t> </t>
        </is>
      </c>
      <c r="Q665" s="391" t="inlineStr">
        <is>
          <t> </t>
        </is>
      </c>
      <c r="R665" s="38" t="inlineStr">
        <is>
          <t> </t>
        </is>
      </c>
      <c r="S665" s="391" t="inlineStr">
        <is>
          <t> </t>
        </is>
      </c>
      <c r="T665" s="391" t="inlineStr">
        <is>
          <t> </t>
        </is>
      </c>
      <c r="U665" s="391" t="inlineStr">
        <is>
          <t> </t>
        </is>
      </c>
      <c r="V665" s="391" t="inlineStr">
        <is>
          <t> </t>
        </is>
      </c>
      <c r="W665" s="391" t="inlineStr">
        <is>
          <t> </t>
        </is>
      </c>
      <c r="X665" s="391" t="inlineStr">
        <is>
          <t> </t>
        </is>
      </c>
      <c r="Y665" s="392" t="inlineStr">
        <is>
          <t> </t>
        </is>
      </c>
      <c r="Z665" s="391" t="inlineStr">
        <is>
          <t> </t>
        </is>
      </c>
      <c r="AA665" s="391" t="inlineStr">
        <is>
          <t> </t>
        </is>
      </c>
      <c r="AB665" s="391" t="inlineStr">
        <is>
          <t> </t>
        </is>
      </c>
      <c r="AC665" s="391" t="inlineStr">
        <is>
          <t> </t>
        </is>
      </c>
      <c r="AD665" s="391" t="inlineStr">
        <is>
          <t> </t>
        </is>
      </c>
      <c r="AE665" s="391" t="inlineStr">
        <is>
          <t> </t>
        </is>
      </c>
      <c r="AF665" s="38" t="inlineStr">
        <is>
          <t> </t>
        </is>
      </c>
      <c r="AG665" s="391" t="inlineStr">
        <is>
          <t> </t>
        </is>
      </c>
      <c r="AH665" s="391" t="n"/>
      <c r="AI665" s="391" t="inlineStr">
        <is>
          <t> </t>
        </is>
      </c>
      <c r="AJ665" s="391" t="inlineStr">
        <is>
          <t> </t>
        </is>
      </c>
      <c r="AK665" s="391" t="inlineStr">
        <is>
          <t> </t>
        </is>
      </c>
      <c r="AL665" s="391" t="inlineStr">
        <is>
          <t> </t>
        </is>
      </c>
      <c r="AM665" s="391" t="inlineStr">
        <is>
          <t> </t>
        </is>
      </c>
      <c r="AN665" s="391" t="inlineStr">
        <is>
          <t> </t>
        </is>
      </c>
      <c r="AO665" s="391" t="n"/>
      <c r="AP665" s="319" t="n"/>
      <c r="AQ665" s="319" t="n"/>
      <c r="AR665" s="319" t="n"/>
    </row>
    <row r="666" ht="15.75" customHeight="1" s="1264">
      <c r="A666" s="319" t="inlineStr">
        <is>
          <t> </t>
        </is>
      </c>
      <c r="B666" s="319" t="inlineStr">
        <is>
          <t> </t>
        </is>
      </c>
      <c r="C666" s="319" t="inlineStr">
        <is>
          <t> </t>
        </is>
      </c>
      <c r="D666" s="38" t="inlineStr">
        <is>
          <t> </t>
        </is>
      </c>
      <c r="E666" s="391" t="inlineStr">
        <is>
          <t> </t>
        </is>
      </c>
      <c r="F666" s="391" t="inlineStr">
        <is>
          <t> </t>
        </is>
      </c>
      <c r="G666" s="391" t="inlineStr">
        <is>
          <t> </t>
        </is>
      </c>
      <c r="H666" s="391" t="inlineStr">
        <is>
          <t> </t>
        </is>
      </c>
      <c r="I666" s="391" t="inlineStr">
        <is>
          <t> </t>
        </is>
      </c>
      <c r="J666" s="391" t="inlineStr">
        <is>
          <t> </t>
        </is>
      </c>
      <c r="K666" s="38" t="inlineStr">
        <is>
          <t> </t>
        </is>
      </c>
      <c r="L666" s="391" t="inlineStr">
        <is>
          <t> </t>
        </is>
      </c>
      <c r="M666" s="391" t="inlineStr">
        <is>
          <t> </t>
        </is>
      </c>
      <c r="N666" s="391" t="inlineStr">
        <is>
          <t> </t>
        </is>
      </c>
      <c r="O666" s="391" t="inlineStr">
        <is>
          <t> </t>
        </is>
      </c>
      <c r="P666" s="391" t="inlineStr">
        <is>
          <t> </t>
        </is>
      </c>
      <c r="Q666" s="391" t="inlineStr">
        <is>
          <t> </t>
        </is>
      </c>
      <c r="R666" s="38" t="inlineStr">
        <is>
          <t> </t>
        </is>
      </c>
      <c r="S666" s="391" t="n"/>
      <c r="T666" s="391" t="n"/>
      <c r="U666" s="391" t="n"/>
      <c r="V666" s="391" t="n"/>
      <c r="W666" s="391" t="n"/>
      <c r="X666" s="391" t="inlineStr">
        <is>
          <t> </t>
        </is>
      </c>
      <c r="Y666" s="392" t="inlineStr">
        <is>
          <t> </t>
        </is>
      </c>
      <c r="Z666" s="391" t="inlineStr">
        <is>
          <t> </t>
        </is>
      </c>
      <c r="AA666" s="391" t="inlineStr">
        <is>
          <t> </t>
        </is>
      </c>
      <c r="AB666" s="391" t="inlineStr">
        <is>
          <t> </t>
        </is>
      </c>
      <c r="AC666" s="391" t="inlineStr">
        <is>
          <t> </t>
        </is>
      </c>
      <c r="AD666" s="391" t="inlineStr">
        <is>
          <t> </t>
        </is>
      </c>
      <c r="AE666" s="391" t="inlineStr">
        <is>
          <t> </t>
        </is>
      </c>
      <c r="AF666" s="38" t="inlineStr">
        <is>
          <t> </t>
        </is>
      </c>
      <c r="AG666" s="391" t="inlineStr">
        <is>
          <t> </t>
        </is>
      </c>
      <c r="AH666" s="391" t="n"/>
      <c r="AI666" s="391" t="inlineStr">
        <is>
          <t> </t>
        </is>
      </c>
      <c r="AJ666" s="391" t="inlineStr">
        <is>
          <t> </t>
        </is>
      </c>
      <c r="AK666" s="391" t="inlineStr">
        <is>
          <t> </t>
        </is>
      </c>
      <c r="AL666" s="391" t="inlineStr">
        <is>
          <t> </t>
        </is>
      </c>
      <c r="AM666" s="391" t="inlineStr">
        <is>
          <t> </t>
        </is>
      </c>
      <c r="AN666" s="391" t="inlineStr">
        <is>
          <t> </t>
        </is>
      </c>
      <c r="AO666" s="391" t="n"/>
      <c r="AP666" s="319" t="n"/>
      <c r="AQ666" s="319" t="n"/>
      <c r="AR666" s="319" t="n"/>
    </row>
    <row r="667" ht="15.75" customHeight="1" s="1264">
      <c r="A667" s="319" t="inlineStr">
        <is>
          <t> </t>
        </is>
      </c>
      <c r="B667" s="319" t="inlineStr">
        <is>
          <t> </t>
        </is>
      </c>
      <c r="C667" s="319" t="inlineStr">
        <is>
          <t> </t>
        </is>
      </c>
      <c r="D667" s="38" t="inlineStr">
        <is>
          <t> </t>
        </is>
      </c>
      <c r="E667" s="391" t="inlineStr">
        <is>
          <t> </t>
        </is>
      </c>
      <c r="F667" s="391" t="inlineStr">
        <is>
          <t> </t>
        </is>
      </c>
      <c r="G667" s="391" t="inlineStr">
        <is>
          <t> </t>
        </is>
      </c>
      <c r="H667" s="391" t="inlineStr">
        <is>
          <t> </t>
        </is>
      </c>
      <c r="I667" s="391" t="inlineStr">
        <is>
          <t> </t>
        </is>
      </c>
      <c r="J667" s="391" t="inlineStr">
        <is>
          <t> </t>
        </is>
      </c>
      <c r="K667" s="38" t="inlineStr">
        <is>
          <t> </t>
        </is>
      </c>
      <c r="L667" s="391" t="inlineStr">
        <is>
          <t> </t>
        </is>
      </c>
      <c r="M667" s="391" t="n"/>
      <c r="N667" s="391" t="n"/>
      <c r="O667" s="391" t="n"/>
      <c r="P667" s="391" t="n"/>
      <c r="Q667" s="391" t="inlineStr">
        <is>
          <t> </t>
        </is>
      </c>
      <c r="R667" s="38" t="inlineStr">
        <is>
          <t> </t>
        </is>
      </c>
      <c r="S667" s="391" t="n"/>
      <c r="T667" s="391" t="n"/>
      <c r="U667" s="391" t="n"/>
      <c r="V667" s="391" t="n"/>
      <c r="W667" s="391" t="n"/>
      <c r="X667" s="391" t="inlineStr">
        <is>
          <t> </t>
        </is>
      </c>
      <c r="Y667" s="392" t="inlineStr">
        <is>
          <t> </t>
        </is>
      </c>
      <c r="Z667" s="391" t="inlineStr">
        <is>
          <t> </t>
        </is>
      </c>
      <c r="AA667" s="391" t="inlineStr">
        <is>
          <t> </t>
        </is>
      </c>
      <c r="AB667" s="391" t="inlineStr">
        <is>
          <t> </t>
        </is>
      </c>
      <c r="AC667" s="391" t="inlineStr">
        <is>
          <t> </t>
        </is>
      </c>
      <c r="AD667" s="391" t="inlineStr">
        <is>
          <t> </t>
        </is>
      </c>
      <c r="AE667" s="391" t="inlineStr">
        <is>
          <t> </t>
        </is>
      </c>
      <c r="AF667" s="38" t="inlineStr">
        <is>
          <t> </t>
        </is>
      </c>
      <c r="AG667" s="391" t="inlineStr">
        <is>
          <t> </t>
        </is>
      </c>
      <c r="AH667" s="391" t="n"/>
      <c r="AI667" s="391" t="inlineStr">
        <is>
          <t> </t>
        </is>
      </c>
      <c r="AJ667" s="391" t="inlineStr">
        <is>
          <t> </t>
        </is>
      </c>
      <c r="AK667" s="391" t="inlineStr">
        <is>
          <t> </t>
        </is>
      </c>
      <c r="AL667" s="391" t="inlineStr">
        <is>
          <t> </t>
        </is>
      </c>
      <c r="AM667" s="391" t="inlineStr">
        <is>
          <t> </t>
        </is>
      </c>
      <c r="AN667" s="391" t="inlineStr">
        <is>
          <t> </t>
        </is>
      </c>
      <c r="AO667" s="391" t="n"/>
      <c r="AP667" s="319" t="n"/>
      <c r="AQ667" s="319" t="n"/>
      <c r="AR667" s="319" t="n"/>
    </row>
    <row r="668" ht="15.75" customHeight="1" s="1264">
      <c r="A668" s="319" t="inlineStr">
        <is>
          <t> </t>
        </is>
      </c>
      <c r="B668" s="319" t="inlineStr">
        <is>
          <t> </t>
        </is>
      </c>
      <c r="C668" s="319" t="inlineStr">
        <is>
          <t> </t>
        </is>
      </c>
      <c r="D668" s="38" t="inlineStr">
        <is>
          <t> </t>
        </is>
      </c>
      <c r="E668" s="391" t="inlineStr">
        <is>
          <t> </t>
        </is>
      </c>
      <c r="F668" s="391" t="inlineStr">
        <is>
          <t> </t>
        </is>
      </c>
      <c r="G668" s="391" t="inlineStr">
        <is>
          <t> </t>
        </is>
      </c>
      <c r="H668" s="391" t="inlineStr">
        <is>
          <t> </t>
        </is>
      </c>
      <c r="I668" s="391" t="inlineStr">
        <is>
          <t> </t>
        </is>
      </c>
      <c r="J668" s="391" t="inlineStr">
        <is>
          <t> </t>
        </is>
      </c>
      <c r="K668" s="38" t="inlineStr">
        <is>
          <t> </t>
        </is>
      </c>
      <c r="L668" s="391" t="inlineStr">
        <is>
          <t> </t>
        </is>
      </c>
      <c r="M668" s="391" t="n"/>
      <c r="N668" s="391" t="n"/>
      <c r="O668" s="391" t="n"/>
      <c r="P668" s="391" t="n"/>
      <c r="Q668" s="391" t="inlineStr">
        <is>
          <t> </t>
        </is>
      </c>
      <c r="R668" s="38" t="inlineStr">
        <is>
          <t> </t>
        </is>
      </c>
      <c r="S668" s="391" t="n"/>
      <c r="T668" s="391" t="n"/>
      <c r="U668" s="391" t="n"/>
      <c r="V668" s="391" t="n"/>
      <c r="W668" s="391" t="n"/>
      <c r="X668" s="391" t="inlineStr">
        <is>
          <t> </t>
        </is>
      </c>
      <c r="Y668" s="392" t="n"/>
      <c r="Z668" s="391" t="n"/>
      <c r="AA668" s="391" t="n"/>
      <c r="AB668" s="391" t="n"/>
      <c r="AC668" s="391" t="n"/>
      <c r="AD668" s="391" t="n"/>
      <c r="AE668" s="391" t="n"/>
      <c r="AF668" s="38" t="inlineStr">
        <is>
          <t> </t>
        </is>
      </c>
      <c r="AG668" s="391" t="inlineStr">
        <is>
          <t> </t>
        </is>
      </c>
      <c r="AH668" s="391" t="n"/>
      <c r="AI668" s="391" t="inlineStr">
        <is>
          <t> </t>
        </is>
      </c>
      <c r="AJ668" s="391" t="inlineStr">
        <is>
          <t> </t>
        </is>
      </c>
      <c r="AK668" s="391" t="inlineStr">
        <is>
          <t> </t>
        </is>
      </c>
      <c r="AL668" s="391" t="inlineStr">
        <is>
          <t> </t>
        </is>
      </c>
      <c r="AM668" s="391" t="inlineStr">
        <is>
          <t> </t>
        </is>
      </c>
      <c r="AN668" s="391" t="inlineStr">
        <is>
          <t> </t>
        </is>
      </c>
      <c r="AO668" s="391" t="n"/>
      <c r="AP668" s="319" t="n"/>
      <c r="AQ668" s="319" t="n"/>
      <c r="AR668" s="319" t="n"/>
    </row>
    <row r="669" ht="15.75" customHeight="1" s="1264">
      <c r="A669" s="405" t="n"/>
      <c r="B669" s="405" t="n"/>
      <c r="C669" s="319" t="n"/>
      <c r="D669" s="38" t="n"/>
      <c r="E669" s="391" t="n"/>
      <c r="F669" s="391" t="n"/>
      <c r="G669" s="391" t="n"/>
      <c r="H669" s="391" t="n"/>
      <c r="I669" s="391" t="n"/>
      <c r="J669" s="391" t="n"/>
      <c r="K669" s="38" t="n"/>
      <c r="L669" s="391" t="n"/>
      <c r="M669" s="391" t="n"/>
      <c r="N669" s="391" t="n"/>
      <c r="O669" s="391" t="n"/>
      <c r="P669" s="391" t="n"/>
      <c r="Q669" s="391" t="n"/>
      <c r="R669" s="38" t="n"/>
      <c r="S669" s="391" t="n"/>
      <c r="T669" s="391" t="n"/>
      <c r="U669" s="391" t="n"/>
      <c r="V669" s="391" t="n"/>
      <c r="W669" s="391" t="n"/>
      <c r="X669" s="391" t="n"/>
      <c r="Y669" s="392" t="n"/>
      <c r="Z669" s="391" t="n"/>
      <c r="AA669" s="391" t="n"/>
      <c r="AB669" s="391" t="n"/>
      <c r="AC669" s="391" t="n"/>
      <c r="AD669" s="391" t="n"/>
      <c r="AE669" s="391" t="n"/>
      <c r="AF669" s="38" t="n"/>
      <c r="AG669" s="391" t="n"/>
      <c r="AH669" s="391" t="n"/>
      <c r="AI669" s="391" t="n"/>
      <c r="AJ669" s="391" t="n"/>
      <c r="AK669" s="391" t="n"/>
      <c r="AL669" s="391" t="n"/>
      <c r="AM669" s="391" t="n"/>
      <c r="AN669" s="391" t="n"/>
      <c r="AO669" s="391" t="n"/>
      <c r="AP669" s="319" t="n"/>
      <c r="AQ669" s="319" t="n"/>
      <c r="AR669" s="319" t="n"/>
    </row>
    <row r="670" ht="15.75" customHeight="1" s="1264">
      <c r="A670" s="405" t="n"/>
      <c r="B670" s="405" t="n"/>
      <c r="C670" s="319" t="n"/>
      <c r="D670" s="38" t="n"/>
      <c r="E670" s="391" t="n"/>
      <c r="F670" s="391" t="n"/>
      <c r="G670" s="391" t="n"/>
      <c r="H670" s="391" t="n"/>
      <c r="I670" s="391" t="n"/>
      <c r="J670" s="391" t="n"/>
      <c r="K670" s="38" t="n"/>
      <c r="L670" s="391" t="n"/>
      <c r="M670" s="391" t="n"/>
      <c r="N670" s="391" t="n"/>
      <c r="O670" s="391" t="n"/>
      <c r="P670" s="391" t="n"/>
      <c r="Q670" s="391" t="n"/>
      <c r="R670" s="38" t="n"/>
      <c r="S670" s="391" t="n"/>
      <c r="T670" s="391" t="n"/>
      <c r="U670" s="391" t="n"/>
      <c r="V670" s="391" t="n"/>
      <c r="W670" s="391" t="n"/>
      <c r="X670" s="391" t="n"/>
      <c r="Y670" s="392" t="n"/>
      <c r="Z670" s="391" t="n"/>
      <c r="AA670" s="391" t="n"/>
      <c r="AB670" s="391" t="n"/>
      <c r="AC670" s="391" t="n"/>
      <c r="AD670" s="391" t="n"/>
      <c r="AE670" s="391" t="n"/>
      <c r="AF670" s="38" t="n"/>
      <c r="AG670" s="391" t="n"/>
      <c r="AH670" s="391" t="n"/>
      <c r="AI670" s="391" t="n"/>
      <c r="AJ670" s="391" t="n"/>
      <c r="AK670" s="391" t="n"/>
      <c r="AL670" s="391" t="n"/>
      <c r="AM670" s="391" t="n"/>
      <c r="AN670" s="391" t="n"/>
      <c r="AO670" s="391" t="n"/>
      <c r="AP670" s="319" t="n"/>
      <c r="AQ670" s="319" t="n"/>
      <c r="AR670" s="319" t="n"/>
    </row>
    <row r="671" ht="15.75" customHeight="1" s="1264">
      <c r="A671" s="405" t="n"/>
      <c r="B671" s="405" t="n"/>
      <c r="C671" s="319" t="n"/>
      <c r="D671" s="38" t="n"/>
      <c r="E671" s="391" t="n"/>
      <c r="F671" s="391" t="n"/>
      <c r="G671" s="391" t="n"/>
      <c r="H671" s="391" t="n"/>
      <c r="I671" s="391" t="n"/>
      <c r="J671" s="391" t="n"/>
      <c r="K671" s="38" t="n"/>
      <c r="L671" s="391" t="n"/>
      <c r="M671" s="391" t="n"/>
      <c r="N671" s="391" t="n"/>
      <c r="O671" s="391" t="n"/>
      <c r="P671" s="391" t="n"/>
      <c r="Q671" s="391" t="n"/>
      <c r="R671" s="38" t="n"/>
      <c r="S671" s="391" t="n"/>
      <c r="T671" s="391" t="n"/>
      <c r="U671" s="391" t="n"/>
      <c r="V671" s="391" t="n"/>
      <c r="W671" s="391" t="n"/>
      <c r="X671" s="391" t="n"/>
      <c r="Y671" s="392" t="n"/>
      <c r="Z671" s="391" t="n"/>
      <c r="AA671" s="391" t="n"/>
      <c r="AB671" s="391" t="n"/>
      <c r="AC671" s="391" t="n"/>
      <c r="AD671" s="391" t="n"/>
      <c r="AE671" s="391" t="n"/>
      <c r="AF671" s="38" t="n"/>
      <c r="AG671" s="391" t="n"/>
      <c r="AH671" s="391" t="n"/>
      <c r="AI671" s="391" t="n"/>
      <c r="AJ671" s="391" t="n"/>
      <c r="AK671" s="391" t="n"/>
      <c r="AL671" s="391" t="n"/>
      <c r="AM671" s="391" t="n"/>
      <c r="AN671" s="391" t="n"/>
      <c r="AO671" s="391" t="n"/>
      <c r="AP671" s="319" t="n"/>
      <c r="AQ671" s="319" t="n"/>
      <c r="AR671" s="319" t="n"/>
    </row>
    <row r="672" ht="15.75" customHeight="1" s="1264">
      <c r="A672" s="405" t="n"/>
      <c r="B672" s="405" t="n"/>
      <c r="C672" s="319" t="n"/>
      <c r="D672" s="38" t="n"/>
      <c r="E672" s="391" t="n"/>
      <c r="F672" s="391" t="n"/>
      <c r="G672" s="391" t="n"/>
      <c r="H672" s="391" t="n"/>
      <c r="I672" s="391" t="n"/>
      <c r="J672" s="391" t="n"/>
      <c r="K672" s="38" t="n"/>
      <c r="L672" s="391" t="n"/>
      <c r="M672" s="391" t="n"/>
      <c r="N672" s="391" t="n"/>
      <c r="O672" s="391" t="n"/>
      <c r="P672" s="391" t="n"/>
      <c r="Q672" s="391" t="n"/>
      <c r="R672" s="38" t="n"/>
      <c r="S672" s="391" t="n"/>
      <c r="T672" s="391" t="n"/>
      <c r="U672" s="391" t="n"/>
      <c r="V672" s="391" t="n"/>
      <c r="W672" s="391" t="n"/>
      <c r="X672" s="391" t="n"/>
      <c r="Y672" s="392" t="n"/>
      <c r="Z672" s="391" t="n"/>
      <c r="AA672" s="391" t="n"/>
      <c r="AB672" s="391" t="n"/>
      <c r="AC672" s="391" t="n"/>
      <c r="AD672" s="391" t="n"/>
      <c r="AE672" s="391" t="n"/>
      <c r="AF672" s="38" t="n"/>
      <c r="AG672" s="391" t="n"/>
      <c r="AH672" s="391" t="n"/>
      <c r="AI672" s="391" t="n"/>
      <c r="AJ672" s="391" t="n"/>
      <c r="AK672" s="391" t="n"/>
      <c r="AL672" s="391" t="n"/>
      <c r="AM672" s="391" t="n"/>
      <c r="AN672" s="391" t="n"/>
      <c r="AO672" s="391" t="n"/>
      <c r="AP672" s="319" t="n"/>
      <c r="AQ672" s="319" t="n"/>
      <c r="AR672" s="319" t="n"/>
    </row>
    <row r="673" ht="15.75" customHeight="1" s="1264">
      <c r="A673" s="405" t="n"/>
      <c r="B673" s="405" t="n"/>
      <c r="C673" s="319" t="n"/>
      <c r="D673" s="38" t="n"/>
      <c r="E673" s="391" t="n"/>
      <c r="F673" s="391" t="n"/>
      <c r="G673" s="391" t="n"/>
      <c r="H673" s="391" t="n"/>
      <c r="I673" s="391" t="n"/>
      <c r="J673" s="391" t="n"/>
      <c r="K673" s="38" t="n"/>
      <c r="L673" s="391" t="n"/>
      <c r="M673" s="391" t="n"/>
      <c r="N673" s="391" t="n"/>
      <c r="O673" s="391" t="n"/>
      <c r="P673" s="391" t="n"/>
      <c r="Q673" s="391" t="n"/>
      <c r="R673" s="38" t="n"/>
      <c r="S673" s="391" t="n"/>
      <c r="T673" s="391" t="n"/>
      <c r="U673" s="391" t="n"/>
      <c r="V673" s="391" t="n"/>
      <c r="W673" s="391" t="n"/>
      <c r="X673" s="391" t="n"/>
      <c r="Y673" s="392" t="n"/>
      <c r="Z673" s="391" t="n"/>
      <c r="AA673" s="391" t="n"/>
      <c r="AB673" s="391" t="n"/>
      <c r="AC673" s="391" t="n"/>
      <c r="AD673" s="391" t="n"/>
      <c r="AE673" s="391" t="n"/>
      <c r="AF673" s="38" t="n"/>
      <c r="AG673" s="391" t="n"/>
      <c r="AH673" s="391" t="n"/>
      <c r="AI673" s="391" t="n"/>
      <c r="AJ673" s="391" t="n"/>
      <c r="AK673" s="391" t="n"/>
      <c r="AL673" s="391" t="n"/>
      <c r="AM673" s="391" t="n"/>
      <c r="AN673" s="391" t="n"/>
      <c r="AO673" s="391" t="n"/>
      <c r="AP673" s="319" t="n"/>
      <c r="AQ673" s="319" t="n"/>
      <c r="AR673" s="319" t="n"/>
    </row>
    <row r="674" ht="15.75" customHeight="1" s="1264">
      <c r="A674" s="405" t="n"/>
      <c r="B674" s="405" t="n"/>
      <c r="C674" s="319" t="n"/>
      <c r="D674" s="38" t="n"/>
      <c r="E674" s="391" t="n"/>
      <c r="F674" s="391" t="n"/>
      <c r="G674" s="391" t="n"/>
      <c r="H674" s="391" t="n"/>
      <c r="I674" s="391" t="n"/>
      <c r="J674" s="391" t="n"/>
      <c r="K674" s="38" t="n"/>
      <c r="L674" s="391" t="n"/>
      <c r="M674" s="391" t="n"/>
      <c r="N674" s="391" t="n"/>
      <c r="O674" s="391" t="n"/>
      <c r="P674" s="391" t="n"/>
      <c r="Q674" s="391" t="n"/>
      <c r="R674" s="38" t="n"/>
      <c r="S674" s="391" t="n"/>
      <c r="T674" s="391" t="n"/>
      <c r="U674" s="391" t="n"/>
      <c r="V674" s="391" t="n"/>
      <c r="W674" s="391" t="n"/>
      <c r="X674" s="391" t="n"/>
      <c r="Y674" s="392" t="n"/>
      <c r="Z674" s="391" t="n"/>
      <c r="AA674" s="391" t="n"/>
      <c r="AB674" s="391" t="n"/>
      <c r="AC674" s="391" t="n"/>
      <c r="AD674" s="391" t="n"/>
      <c r="AE674" s="391" t="n"/>
      <c r="AF674" s="38" t="n"/>
      <c r="AG674" s="391" t="n"/>
      <c r="AH674" s="391" t="n"/>
      <c r="AI674" s="391" t="n"/>
      <c r="AJ674" s="391" t="n"/>
      <c r="AK674" s="391" t="n"/>
      <c r="AL674" s="391" t="n"/>
      <c r="AM674" s="391" t="n"/>
      <c r="AN674" s="391" t="n"/>
      <c r="AO674" s="391" t="n"/>
      <c r="AP674" s="319" t="n"/>
      <c r="AQ674" s="319" t="n"/>
      <c r="AR674" s="319" t="n"/>
    </row>
  </sheetData>
  <autoFilter ref="A6:AR668"/>
  <mergeCells count="5">
    <mergeCell ref="P3:Q3"/>
    <mergeCell ref="AI4:AL4"/>
    <mergeCell ref="D4:AH4"/>
    <mergeCell ref="A4:C4"/>
    <mergeCell ref="A1:AN1"/>
  </mergeCells>
  <conditionalFormatting sqref="C25">
    <cfRule type="duplicateValues" priority="2" dxfId="25"/>
  </conditionalFormatting>
  <conditionalFormatting sqref="C50:C52">
    <cfRule type="duplicateValues" priority="477" dxfId="25"/>
  </conditionalFormatting>
  <conditionalFormatting sqref="C54">
    <cfRule type="duplicateValues" priority="7" dxfId="25"/>
  </conditionalFormatting>
  <conditionalFormatting sqref="C59:C62">
    <cfRule type="duplicateValues" priority="6" dxfId="25"/>
  </conditionalFormatting>
  <conditionalFormatting sqref="C63">
    <cfRule type="duplicateValues" priority="1" dxfId="25"/>
  </conditionalFormatting>
  <conditionalFormatting sqref="C64">
    <cfRule type="duplicateValues" priority="5" dxfId="25"/>
  </conditionalFormatting>
  <conditionalFormatting sqref="C76:C83">
    <cfRule type="duplicateValues" priority="3" dxfId="25"/>
  </conditionalFormatting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89"/>
  <sheetViews>
    <sheetView workbookViewId="0">
      <selection activeCell="A1" sqref="A1"/>
    </sheetView>
  </sheetViews>
  <sheetFormatPr baseColWidth="8" defaultRowHeight="15"/>
  <cols>
    <col width="5.85185185185185" customWidth="1" style="1264" min="1" max="1"/>
    <col width="7.57407407407407" customWidth="1" style="1264" min="2" max="2"/>
    <col width="24.8518518518519" customWidth="1" style="1264" min="3" max="3"/>
    <col width="27.287037037037" customWidth="1" style="1264" min="4" max="4"/>
    <col width="10.1388888888889" customWidth="1" style="1264" min="5" max="5"/>
    <col width="20.287037037037" customWidth="1" style="1264" min="6" max="6"/>
    <col width="13.287037037037" customWidth="1" style="1264" min="7" max="7"/>
    <col width="12.712962962963" customWidth="1" style="1264" min="8" max="8"/>
    <col width="16.5740740740741" customWidth="1" style="1264" min="9" max="9"/>
    <col width="16" customWidth="1" style="1264" min="10" max="10"/>
    <col width="10.1388888888889" customWidth="1" style="1264" min="11" max="11"/>
    <col width="10.1388888888889" customWidth="1" style="1264" min="12" max="12"/>
    <col width="11" customWidth="1" style="1264" min="13" max="13"/>
    <col width="10.8518518518519" customWidth="1" style="1264" min="14" max="14"/>
    <col width="9.425925925925929" customWidth="1" style="1264" min="15" max="15"/>
    <col width="8.28703703703704" customWidth="1" style="1264" min="16" max="16"/>
    <col width="14.5740740740741" customWidth="1" style="1264" min="18" max="18"/>
    <col width="14" customWidth="1" style="1264" min="19" max="19"/>
    <col width="14.712962962963" customWidth="1" style="1264" min="20" max="20"/>
    <col width="12.712962962963" customWidth="1" style="1264" min="21" max="21"/>
    <col width="13.4259259259259" customWidth="1" style="1264" min="22" max="22"/>
    <col width="13.5740740740741" customWidth="1" style="1264" min="27" max="27"/>
    <col width="14.712962962963" customWidth="1" style="1264" min="29" max="29"/>
    <col width="14.8518518518519" customWidth="1" style="1264" min="30" max="30"/>
    <col width="13.1388888888889" customWidth="1" style="1264" min="31" max="31"/>
    <col width="16.1388888888889" customWidth="1" style="1264" min="32" max="32"/>
    <col width="11.287037037037" customWidth="1" style="1264" min="35" max="35"/>
    <col width="10.5740740740741" customWidth="1" style="1264" min="36" max="36"/>
    <col width="11" customWidth="1" style="1264" min="37" max="37"/>
    <col width="14.4259259259259" customWidth="1" style="1264" min="38" max="38"/>
    <col width="12" customWidth="1" style="1264" min="39" max="39"/>
    <col width="13.8518518518519" customWidth="1" style="1264" min="40" max="40"/>
    <col width="13.5740740740741" customWidth="1" style="1264" min="43" max="43"/>
    <col width="11.8518518518519" customWidth="1" style="1264" min="44" max="44"/>
    <col width="14.1388888888889" customWidth="1" style="1264" min="45" max="45"/>
    <col width="13.5740740740741" customWidth="1" style="1264" min="46" max="46"/>
    <col width="12.4259259259259" customWidth="1" style="1264" min="49" max="49"/>
    <col width="14.712962962963" customWidth="1" style="1264" min="50" max="50"/>
    <col width="12.4259259259259" customWidth="1" style="1264" min="51" max="51"/>
    <col width="13.5740740740741" customWidth="1" style="1264" min="52" max="52"/>
    <col width="12.8518518518519" customWidth="1" style="1264" min="53" max="53"/>
    <col width="12.4259259259259" customWidth="1" style="1264" min="54" max="54"/>
    <col width="13.287037037037" customWidth="1" style="1264" min="55" max="55"/>
    <col width="11.712962962963" customWidth="1" style="1264" min="56" max="56"/>
    <col width="13.8518518518519" customWidth="1" style="1264" min="57" max="57"/>
    <col width="14.1388888888889" customWidth="1" style="1264" min="58" max="58"/>
    <col width="14.4259259259259" customWidth="1" style="1264" min="60" max="60"/>
    <col width="14.5740740740741" customWidth="1" style="1264" min="61" max="61"/>
    <col width="13" customWidth="1" style="1264" min="62" max="62"/>
    <col width="11.287037037037" customWidth="1" style="1264" min="64" max="64"/>
    <col width="13.8518518518519" customWidth="1" style="1264" min="65" max="65"/>
    <col width="13.8518518518519" customWidth="1" style="1264" min="66" max="66"/>
    <col width="12.287037037037" customWidth="1" style="1264" min="67" max="67"/>
    <col width="11.287037037037" customWidth="1" style="1264" min="69" max="69"/>
    <col width="14.712962962963" customWidth="1" style="1264" min="70" max="70"/>
    <col width="15" customWidth="1" style="1264" min="71" max="71"/>
    <col width="15" customWidth="1" style="1264" min="77" max="77"/>
    <col width="14.8518518518519" customWidth="1" style="1264" min="78" max="78"/>
    <col width="12.8518518518519" customWidth="1" style="1264" min="79" max="79"/>
    <col width="15.287037037037" customWidth="1" style="1264" min="80" max="80"/>
    <col width="13" customWidth="1" style="1264" min="81" max="81"/>
    <col width="14.712962962963" customWidth="1" style="1264" min="82" max="82"/>
    <col width="15.8518518518519" customWidth="1" style="1264" min="83" max="83"/>
    <col width="14" customWidth="1" style="1264" min="84" max="84"/>
    <col width="15" customWidth="1" style="1264" min="85" max="85"/>
    <col width="13" customWidth="1" style="1264" min="86" max="86"/>
    <col width="40.712962962963" customWidth="1" style="1264" min="87" max="87"/>
    <col width="41.712962962963" customWidth="1" style="1264" min="88" max="88"/>
    <col width="8.28703703703704" customWidth="1" style="1264" min="89" max="89"/>
    <col width="14.4259259259259" customWidth="1" style="1264" min="90" max="90"/>
    <col width="8.574074074074071" customWidth="1" style="1264" min="91" max="91"/>
    <col width="14.4259259259259" customWidth="1" style="1264" min="94" max="94"/>
    <col width="18.5740740740741" customWidth="1" style="1264" min="100" max="100"/>
    <col width="17" customWidth="1" style="1264" min="101" max="101"/>
    <col width="21.287037037037" customWidth="1" style="1264" min="102" max="102"/>
    <col width="23.4259259259259" customWidth="1" style="1264" min="103" max="103"/>
    <col width="14.4259259259259" customWidth="1" style="1264" min="104" max="104"/>
    <col width="74.287037037037" customWidth="1" style="1264" min="106" max="106"/>
    <col width="14.4259259259259" customWidth="1" style="1264" min="107" max="107"/>
    <col width="14.4259259259259" customWidth="1" style="1264" min="108" max="108"/>
    <col width="14.4259259259259" customWidth="1" style="1264" min="109" max="109"/>
    <col width="14.4259259259259" customWidth="1" style="1264" min="110" max="110"/>
    <col width="14.4259259259259" customWidth="1" style="1264" min="119" max="119"/>
  </cols>
  <sheetData>
    <row r="1" ht="18" customHeight="1" s="1264">
      <c r="A1" s="47" t="n"/>
      <c r="B1" s="47" t="n"/>
      <c r="C1" s="47" t="n"/>
      <c r="D1" s="1394" t="n"/>
      <c r="E1" s="1395" t="n"/>
      <c r="F1" s="1396" t="n"/>
      <c r="G1" s="1397" t="n"/>
      <c r="H1" s="1395" t="inlineStr">
        <is>
          <t>BẢNG LƯƠNG THÁNG 6</t>
        </is>
      </c>
      <c r="I1" s="1398" t="n"/>
      <c r="J1" s="1399" t="n"/>
      <c r="K1" s="1400" t="n"/>
      <c r="L1" s="1400" t="n"/>
      <c r="M1" s="1400" t="n"/>
      <c r="N1" s="1400" t="n"/>
      <c r="O1" s="1401" t="n"/>
      <c r="P1" s="1400" t="n"/>
      <c r="Q1" s="1400" t="n"/>
      <c r="R1" s="1402" t="n"/>
      <c r="S1" s="1403" t="n"/>
      <c r="T1" s="1402" t="n"/>
      <c r="U1" s="1404" t="n"/>
      <c r="V1" s="1402" t="n"/>
      <c r="W1" s="1402" t="n"/>
      <c r="X1" s="1402" t="n"/>
      <c r="Y1" s="1402" t="n"/>
      <c r="Z1" s="1402" t="n"/>
      <c r="AA1" s="1402" t="n"/>
      <c r="AB1" s="1402" t="n"/>
      <c r="AC1" s="1402" t="n"/>
      <c r="AD1" s="1402" t="n"/>
      <c r="AE1" s="1404" t="n"/>
      <c r="AF1" s="1402" t="n"/>
      <c r="AG1" s="1402" t="n"/>
      <c r="AH1" s="1402" t="n"/>
      <c r="AI1" s="1402" t="n"/>
      <c r="AJ1" s="1402" t="n"/>
      <c r="AK1" s="1402" t="n"/>
      <c r="AL1" s="1402" t="n"/>
      <c r="AM1" s="1402" t="n"/>
      <c r="AN1" s="1402" t="n"/>
      <c r="AO1" s="1402" t="n"/>
      <c r="AP1" s="1402" t="n"/>
      <c r="AQ1" s="1402" t="n"/>
      <c r="AR1" s="1402" t="n"/>
      <c r="AS1" s="1402" t="n"/>
      <c r="AT1" s="1402" t="n"/>
      <c r="AU1" s="1402" t="n"/>
      <c r="AV1" s="1402" t="n"/>
      <c r="AW1" s="1405" t="n"/>
      <c r="AX1" s="1406" t="n"/>
      <c r="AY1" s="1402" t="n"/>
      <c r="AZ1" s="1402" t="n"/>
      <c r="BA1" s="1402" t="n"/>
      <c r="BB1" s="1406" t="n"/>
      <c r="BC1" s="1406" t="n"/>
      <c r="BD1" s="1406" t="n"/>
      <c r="BE1" s="1406" t="n"/>
      <c r="BF1" s="1402" t="n"/>
      <c r="BG1" s="1402" t="n"/>
      <c r="BH1" s="1407" t="n"/>
      <c r="BI1" s="1402" t="n"/>
      <c r="BJ1" s="1402" t="n"/>
      <c r="BK1" s="1402" t="n"/>
      <c r="BL1" s="1402" t="n"/>
      <c r="BM1" s="1402" t="n"/>
      <c r="BN1" s="1402" t="n"/>
      <c r="BO1" s="1402" t="n"/>
      <c r="BP1" s="1402" t="n"/>
      <c r="BQ1" s="1402" t="n"/>
      <c r="BR1" s="1402" t="n"/>
      <c r="BS1" s="1402" t="n"/>
      <c r="BT1" s="1402" t="n"/>
      <c r="BU1" s="1402" t="n"/>
      <c r="BV1" s="1402" t="n"/>
      <c r="BW1" s="1402" t="n"/>
      <c r="BX1" s="1402" t="n"/>
      <c r="BY1" s="1404" t="n"/>
      <c r="BZ1" s="1402" t="n"/>
      <c r="CA1" s="1406" t="n"/>
      <c r="CB1" s="1408" t="n"/>
      <c r="CC1" s="1402" t="n"/>
      <c r="CD1" s="1402" t="n"/>
      <c r="CE1" s="1409" t="n"/>
      <c r="CF1" s="1410" t="n"/>
      <c r="CG1" s="1411" t="n"/>
      <c r="CH1" s="1412" t="n"/>
      <c r="CI1" s="1412" t="n"/>
      <c r="CK1" s="1413" t="n"/>
    </row>
    <row r="2" ht="18" customHeight="1" s="1264">
      <c r="A2" s="29" t="n"/>
      <c r="B2" s="29" t="n"/>
      <c r="C2" s="29" t="n"/>
      <c r="D2" s="159" t="inlineStr">
        <is>
          <t>BẢNG LƯƠNG THÁNG 8/2026</t>
        </is>
      </c>
      <c r="E2" s="1414" t="n"/>
      <c r="F2" s="35" t="n"/>
      <c r="G2" s="1415" t="inlineStr">
        <is>
          <t>Ngày bắt đầu</t>
        </is>
      </c>
      <c r="H2" s="1416" t="n">
        <v>46174</v>
      </c>
      <c r="I2" s="160" t="inlineStr">
        <is>
          <t>Ngày kết thúc</t>
        </is>
      </c>
      <c r="J2" s="1416" t="n">
        <v>46203</v>
      </c>
      <c r="K2" s="1417" t="n"/>
      <c r="L2" s="1417" t="n"/>
      <c r="M2" s="1417" t="n"/>
      <c r="N2" s="1417" t="n"/>
      <c r="O2" s="1418" t="n"/>
      <c r="P2" s="1417" t="n"/>
      <c r="Q2" s="1417" t="n"/>
      <c r="R2" s="1419" t="n"/>
      <c r="S2" s="1420" t="n"/>
      <c r="T2" s="1404" t="n"/>
      <c r="U2" s="48" t="n"/>
      <c r="V2" s="1404" t="n"/>
      <c r="W2" s="1404" t="n"/>
      <c r="X2" s="1404" t="n"/>
      <c r="Y2" s="1404" t="n"/>
      <c r="Z2" s="1404" t="n"/>
      <c r="AA2" s="1404" t="n"/>
      <c r="AB2" s="1404" t="n"/>
      <c r="AC2" s="1421" t="n"/>
      <c r="AD2" s="1404" t="n"/>
      <c r="AE2" s="1404" t="n"/>
      <c r="AF2" s="1404" t="n"/>
      <c r="AG2" s="1404" t="n"/>
      <c r="AH2" s="1404" t="n"/>
      <c r="AI2" s="1404" t="n"/>
      <c r="AJ2" s="1404" t="n"/>
      <c r="AK2" s="1404" t="n"/>
      <c r="AL2" s="1404" t="n"/>
      <c r="AM2" s="1404" t="n"/>
      <c r="AN2" s="1404" t="n"/>
      <c r="AO2" s="1404" t="n"/>
      <c r="AP2" s="1404" t="n"/>
      <c r="AQ2" s="1404" t="n"/>
      <c r="AR2" s="1404" t="n"/>
      <c r="AS2" s="1404" t="n"/>
      <c r="AT2" s="1404" t="n"/>
      <c r="AU2" s="1404" t="n"/>
      <c r="AV2" s="1404" t="n"/>
      <c r="AW2" s="164" t="n"/>
      <c r="AX2" s="1406" t="n"/>
      <c r="AY2" s="1404" t="n"/>
      <c r="AZ2" s="1404" t="n"/>
      <c r="BA2" s="1404" t="n"/>
      <c r="BB2" s="1422" t="n"/>
      <c r="BC2" s="1422" t="n"/>
      <c r="BD2" s="1422" t="n"/>
      <c r="BE2" s="1422" t="n"/>
      <c r="BF2" s="1419" t="n"/>
      <c r="BG2" s="1419" t="n"/>
      <c r="BH2" s="1423" t="n"/>
      <c r="BI2" s="1404" t="n"/>
      <c r="BJ2" s="1402" t="n"/>
      <c r="BK2" s="1404" t="n"/>
      <c r="BL2" s="1404" t="n"/>
      <c r="BM2" s="1404" t="n"/>
      <c r="BN2" s="1404" t="n"/>
      <c r="BO2" s="1402" t="n"/>
      <c r="BP2" s="1404" t="n"/>
      <c r="BQ2" s="1404" t="n"/>
      <c r="BR2" s="1404" t="n"/>
      <c r="BS2" s="1404" t="n"/>
      <c r="BT2" s="1404" t="n"/>
      <c r="BU2" s="1404" t="n"/>
      <c r="BV2" s="1404" t="n"/>
      <c r="BW2" s="1404" t="n"/>
      <c r="BX2" s="1404" t="n"/>
      <c r="BY2" s="1404" t="n"/>
      <c r="BZ2" s="1404" t="n"/>
      <c r="CA2" s="1422" t="n"/>
      <c r="CB2" s="1424" t="n"/>
      <c r="CC2" s="1404" t="n"/>
      <c r="CD2" s="1404" t="n"/>
      <c r="CE2" s="1425" t="n"/>
      <c r="CF2" s="1410" t="n"/>
      <c r="CG2" s="1426" t="n"/>
      <c r="CH2" s="165" t="n"/>
      <c r="CI2" s="165" t="n"/>
      <c r="CK2" s="1427" t="n"/>
    </row>
    <row r="3" ht="13.5" customHeight="1" s="1264">
      <c r="A3" s="1414" t="n"/>
      <c r="B3" s="1414" t="n"/>
      <c r="C3" s="1414" t="n"/>
      <c r="D3" s="1428" t="n"/>
      <c r="E3" s="1414" t="n"/>
      <c r="F3" s="1429" t="n"/>
      <c r="G3" s="1430" t="n"/>
      <c r="H3" s="1431" t="n"/>
      <c r="I3" s="160" t="n"/>
      <c r="J3" s="1431" t="n"/>
      <c r="K3" s="1417" t="n"/>
      <c r="L3" s="1417" t="n"/>
      <c r="M3" s="1417" t="n"/>
      <c r="N3" s="1417" t="n"/>
      <c r="O3" s="1418" t="n"/>
      <c r="P3" s="1417" t="n"/>
      <c r="Q3" s="1432" t="n"/>
      <c r="R3" s="1433" t="n"/>
      <c r="S3" s="30" t="n"/>
      <c r="T3" s="1434" t="n"/>
      <c r="U3" s="1434" t="n"/>
      <c r="V3" s="1434" t="n"/>
      <c r="W3" s="1434" t="n"/>
      <c r="X3" s="1434" t="n"/>
      <c r="Y3" s="1434" t="n"/>
      <c r="Z3" s="1434" t="n"/>
      <c r="AA3" s="1434" t="n"/>
      <c r="AB3" s="1434" t="n"/>
      <c r="AC3" s="1435" t="n"/>
      <c r="AD3" s="1434" t="n"/>
      <c r="AE3" s="1434" t="n"/>
      <c r="AF3" s="1434" t="n"/>
      <c r="AG3" s="1434" t="n"/>
      <c r="AH3" s="1434" t="n"/>
      <c r="AI3" s="1434" t="n"/>
      <c r="AJ3" s="1417" t="n"/>
      <c r="AK3" s="1434" t="n"/>
      <c r="AL3" s="1434" t="n"/>
      <c r="AM3" s="1434" t="n"/>
      <c r="AN3" s="1434" t="n"/>
      <c r="AO3" s="1434" t="n"/>
      <c r="AP3" s="1434" t="n"/>
      <c r="AQ3" s="1434" t="n"/>
      <c r="AR3" s="1434" t="n"/>
      <c r="AS3" s="1434" t="n"/>
      <c r="AT3" s="1434" t="n"/>
      <c r="AU3" s="1434" t="n"/>
      <c r="AV3" s="1434" t="n"/>
      <c r="AW3" s="1436" t="n"/>
      <c r="AX3" s="1437" t="n"/>
      <c r="AY3" s="1434" t="n"/>
      <c r="AZ3" s="1434" t="n"/>
      <c r="BA3" s="1434" t="n"/>
      <c r="BB3" s="1438" t="n"/>
      <c r="BC3" s="1438" t="n"/>
      <c r="BD3" s="1438" t="n"/>
      <c r="BE3" s="1438" t="n"/>
      <c r="BF3" s="1434" t="n"/>
      <c r="BG3" s="1434" t="n"/>
      <c r="BH3" s="1439" t="n"/>
      <c r="BI3" s="1434" t="n"/>
      <c r="BJ3" s="1435" t="n"/>
      <c r="BK3" s="1434" t="n"/>
      <c r="BL3" s="1434" t="n"/>
      <c r="BM3" s="1434" t="n"/>
      <c r="BN3" s="1434" t="n"/>
      <c r="BO3" s="1435" t="n"/>
      <c r="BP3" s="1434" t="n"/>
      <c r="BQ3" s="1434" t="n"/>
      <c r="BR3" s="1434" t="n"/>
      <c r="BS3" s="1434" t="n"/>
      <c r="BT3" s="1434" t="n"/>
      <c r="BU3" s="1434" t="n"/>
      <c r="BV3" s="1434" t="n"/>
      <c r="BW3" s="1434" t="n"/>
      <c r="BX3" s="1434" t="n"/>
      <c r="BY3" s="1440" t="n"/>
      <c r="BZ3" s="1434" t="n"/>
      <c r="CA3" s="1438" t="n"/>
      <c r="CB3" s="1441" t="n"/>
      <c r="CC3" s="1434" t="n"/>
      <c r="CD3" s="1434" t="n"/>
      <c r="CE3" s="1442" t="n"/>
      <c r="CF3" s="1443" t="n"/>
      <c r="CG3" s="1444" t="n"/>
      <c r="CH3" s="1445" t="n"/>
      <c r="CI3" s="1445" t="n"/>
      <c r="CK3" s="1446" t="n"/>
    </row>
    <row r="4" ht="12.75" customHeight="1" s="1264">
      <c r="A4" s="29" t="n"/>
      <c r="B4" s="29" t="n"/>
      <c r="C4" s="29" t="n"/>
      <c r="D4" s="159" t="n"/>
      <c r="E4" s="1414" t="n"/>
      <c r="F4" s="35" t="n"/>
      <c r="G4" s="1430" t="n"/>
      <c r="H4" s="1431" t="n"/>
      <c r="I4" s="160" t="n"/>
      <c r="J4" s="1431" t="n"/>
      <c r="K4" s="1417" t="n"/>
      <c r="L4" s="1417" t="n"/>
      <c r="M4" s="1417" t="n"/>
      <c r="N4" s="1417" t="n"/>
      <c r="O4" s="1418" t="n"/>
      <c r="P4" s="1417" t="n"/>
      <c r="Q4" s="1417" t="n"/>
      <c r="R4" s="1404" t="n"/>
      <c r="S4" s="1404" t="n"/>
      <c r="T4" s="1404" t="n"/>
      <c r="U4" s="1404" t="n"/>
      <c r="V4" s="1404" t="n"/>
      <c r="W4" s="1404" t="n"/>
      <c r="X4" s="1404" t="n"/>
      <c r="Y4" s="1404" t="n"/>
      <c r="Z4" s="1404" t="n"/>
      <c r="AA4" s="1404" t="n"/>
      <c r="AB4" s="1404" t="n"/>
      <c r="AC4" s="1402" t="n"/>
      <c r="AD4" s="1404" t="n"/>
      <c r="AE4" s="1404" t="n"/>
      <c r="AF4" s="1404" t="n"/>
      <c r="AG4" s="1404" t="n"/>
      <c r="AH4" s="1404" t="n"/>
      <c r="AI4" s="1404" t="n"/>
      <c r="AJ4" s="1404" t="n"/>
      <c r="AK4" s="1404" t="n"/>
      <c r="AL4" s="1404" t="n"/>
      <c r="AM4" s="1404" t="n"/>
      <c r="AN4" s="1404" t="n"/>
      <c r="AO4" s="1404" t="n"/>
      <c r="AP4" s="1404" t="n"/>
      <c r="AQ4" s="1404" t="n"/>
      <c r="AR4" s="1404" t="n"/>
      <c r="AS4" s="1404" t="n"/>
      <c r="AT4" s="1404" t="n"/>
      <c r="AU4" s="1404" t="n"/>
      <c r="AV4" s="1404" t="n"/>
      <c r="AW4" s="164" t="n"/>
      <c r="AX4" s="1406" t="n"/>
      <c r="AY4" s="1404" t="n"/>
      <c r="AZ4" s="1404" t="n"/>
      <c r="BA4" s="1404" t="n"/>
      <c r="BB4" s="1422" t="n"/>
      <c r="BC4" s="1422" t="n"/>
      <c r="BD4" s="1422" t="n"/>
      <c r="BE4" s="1422" t="n"/>
      <c r="BF4" s="1404" t="n"/>
      <c r="BG4" s="1404" t="n"/>
      <c r="BH4" s="1423" t="n"/>
      <c r="BI4" s="1404" t="n"/>
      <c r="BJ4" s="1402" t="n"/>
      <c r="BK4" s="1404" t="n"/>
      <c r="BL4" s="1404" t="n"/>
      <c r="BM4" s="1404" t="n"/>
      <c r="BN4" s="1404" t="n"/>
      <c r="BO4" s="1402" t="n"/>
      <c r="BP4" s="1404" t="n"/>
      <c r="BQ4" s="1404" t="n"/>
      <c r="BR4" s="1404" t="n"/>
      <c r="BS4" s="1404" t="n"/>
      <c r="BT4" s="1404" t="n"/>
      <c r="BU4" s="1404" t="n"/>
      <c r="BV4" s="1404" t="n"/>
      <c r="BW4" s="1404" t="n"/>
      <c r="BX4" s="1404" t="n"/>
      <c r="BY4" s="1404" t="n"/>
      <c r="BZ4" s="1404" t="n"/>
      <c r="CA4" s="1422" t="n"/>
      <c r="CB4" s="1424" t="n"/>
      <c r="CC4" s="1404" t="n"/>
      <c r="CD4" s="1404" t="n"/>
      <c r="CE4" s="1447" t="n"/>
      <c r="CF4" s="1410" t="n"/>
      <c r="CG4" s="1448" t="n"/>
      <c r="CH4" s="165" t="n"/>
      <c r="CI4" s="165" t="n"/>
      <c r="CK4" s="1427" t="n"/>
    </row>
    <row r="5" ht="12.75" customHeight="1" s="1264">
      <c r="A5" s="29" t="n"/>
      <c r="B5" s="29" t="n"/>
      <c r="C5" s="29" t="n"/>
      <c r="D5" s="159" t="n"/>
      <c r="E5" s="1414" t="n"/>
      <c r="F5" s="35" t="n"/>
      <c r="G5" s="1430" t="n"/>
      <c r="H5" s="1431" t="n"/>
      <c r="I5" s="160" t="n"/>
      <c r="J5" s="1431" t="n"/>
      <c r="K5" s="1417" t="n"/>
      <c r="L5" s="1417" t="n"/>
      <c r="M5" s="1417" t="n"/>
      <c r="N5" s="1417" t="n"/>
      <c r="O5" s="1418" t="n"/>
      <c r="P5" s="1417" t="n"/>
      <c r="Q5" s="1417" t="n"/>
      <c r="R5" s="1404" t="n"/>
      <c r="S5" s="1404" t="n"/>
      <c r="T5" s="1404" t="n"/>
      <c r="U5" s="1404" t="n"/>
      <c r="V5" s="1404" t="n"/>
      <c r="W5" s="1404" t="n"/>
      <c r="X5" s="1404" t="n"/>
      <c r="Y5" s="1404" t="n"/>
      <c r="Z5" s="1404" t="n"/>
      <c r="AA5" s="1404" t="n"/>
      <c r="AB5" s="1404" t="n"/>
      <c r="AC5" s="1402" t="n"/>
      <c r="AD5" s="1404" t="n"/>
      <c r="AE5" s="30" t="n"/>
      <c r="AF5" s="30" t="n"/>
      <c r="AG5" s="30" t="n"/>
      <c r="AH5" s="30" t="n"/>
      <c r="AI5" s="1404" t="n"/>
      <c r="AJ5" s="1404" t="n"/>
      <c r="AK5" s="1404" t="n"/>
      <c r="AL5" s="1404" t="n"/>
      <c r="AM5" s="1404" t="n"/>
      <c r="AN5" s="1404" t="n"/>
      <c r="AO5" s="1404" t="n"/>
      <c r="AP5" s="1404" t="n"/>
      <c r="AQ5" s="1404" t="n"/>
      <c r="AR5" s="1404" t="n"/>
      <c r="AS5" s="1404" t="n"/>
      <c r="AT5" s="1404" t="n"/>
      <c r="AU5" s="1404" t="n"/>
      <c r="AV5" s="1404" t="n"/>
      <c r="AW5" s="164" t="n"/>
      <c r="AX5" s="1406" t="n"/>
      <c r="AY5" s="1404" t="n"/>
      <c r="AZ5" s="1404" t="n"/>
      <c r="BA5" s="1404" t="n"/>
      <c r="BB5" s="1422" t="n"/>
      <c r="BC5" s="1422" t="n"/>
      <c r="BD5" s="1422" t="n"/>
      <c r="BE5" s="1422" t="n"/>
      <c r="BF5" s="1404" t="n"/>
      <c r="BG5" s="1404" t="n"/>
      <c r="BH5" s="1423" t="n"/>
      <c r="BI5" s="1404" t="n"/>
      <c r="BJ5" s="1402" t="n"/>
      <c r="BK5" s="1404" t="n"/>
      <c r="BL5" s="1404" t="n"/>
      <c r="BM5" s="1404" t="n"/>
      <c r="BN5" s="1404" t="n"/>
      <c r="BO5" s="1402" t="n"/>
      <c r="BP5" s="1404" t="n"/>
      <c r="BQ5" s="1404" t="n"/>
      <c r="BR5" s="1404" t="n"/>
      <c r="BS5" s="1404" t="n"/>
      <c r="BT5" s="1404" t="n"/>
      <c r="BU5" s="1404" t="n"/>
      <c r="BV5" s="1404" t="n"/>
      <c r="BW5" s="1404" t="n"/>
      <c r="BX5" s="1404" t="n"/>
      <c r="BY5" s="1404" t="n"/>
      <c r="BZ5" s="1404" t="n"/>
      <c r="CA5" s="1422" t="n"/>
      <c r="CB5" s="1424" t="n"/>
      <c r="CC5" s="1404" t="n"/>
      <c r="CD5" s="1404" t="n"/>
      <c r="CE5" s="1447" t="n"/>
      <c r="CF5" s="1410" t="n"/>
      <c r="CG5" s="1448" t="n"/>
      <c r="CH5" s="165" t="n"/>
      <c r="CI5" s="165" t="n"/>
      <c r="CK5" s="1427" t="n"/>
    </row>
    <row r="6" ht="12.75" customHeight="1" s="1264">
      <c r="A6" s="29" t="n"/>
      <c r="B6" s="29" t="n"/>
      <c r="C6" s="29" t="n"/>
      <c r="D6" s="159" t="n"/>
      <c r="E6" s="1414" t="n"/>
      <c r="F6" s="35" t="n"/>
      <c r="G6" s="1430" t="n"/>
      <c r="H6" s="1431" t="n"/>
      <c r="I6" s="160" t="n"/>
      <c r="J6" s="1431" t="n"/>
      <c r="K6" s="1417" t="n"/>
      <c r="L6" s="1417" t="n"/>
      <c r="M6" s="1417" t="n"/>
      <c r="N6" s="1417" t="n"/>
      <c r="O6" s="1418" t="n"/>
      <c r="P6" s="1417" t="n"/>
      <c r="Q6" s="1417" t="n"/>
      <c r="R6" s="1404" t="n"/>
      <c r="S6" s="1404" t="n"/>
      <c r="T6" s="1404" t="n"/>
      <c r="U6" s="1404" t="n"/>
      <c r="V6" s="1404" t="n"/>
      <c r="W6" s="1404" t="n"/>
      <c r="X6" s="1404" t="n"/>
      <c r="Y6" s="1404" t="n"/>
      <c r="Z6" s="1404" t="n"/>
      <c r="AA6" s="1404" t="n"/>
      <c r="AB6" s="1404" t="n"/>
      <c r="AC6" s="1402" t="n"/>
      <c r="AD6" s="1404" t="n"/>
      <c r="AE6" s="1404" t="n"/>
      <c r="AF6" s="1404" t="n"/>
      <c r="AG6" s="1404" t="n"/>
      <c r="AH6" s="1404" t="n"/>
      <c r="AI6" s="1404" t="n"/>
      <c r="AJ6" s="1404" t="n"/>
      <c r="AK6" s="1404" t="n"/>
      <c r="AL6" s="1404" t="n"/>
      <c r="AM6" s="1404" t="n"/>
      <c r="AN6" s="1404" t="n"/>
      <c r="AO6" s="1404" t="n"/>
      <c r="AP6" s="1404" t="n"/>
      <c r="AQ6" s="1404" t="n"/>
      <c r="AR6" s="1404" t="n"/>
      <c r="AS6" s="1404" t="n"/>
      <c r="AT6" s="1404" t="n"/>
      <c r="AU6" s="1404" t="n"/>
      <c r="AV6" s="1404" t="n"/>
      <c r="AW6" s="164" t="n"/>
      <c r="AX6" s="1406" t="n"/>
      <c r="AY6" s="1404" t="n"/>
      <c r="AZ6" s="1404" t="n"/>
      <c r="BA6" s="1404" t="n"/>
      <c r="BB6" s="1422" t="n"/>
      <c r="BC6" s="1422" t="n"/>
      <c r="BD6" s="1422" t="n"/>
      <c r="BE6" s="1422" t="n"/>
      <c r="BF6" s="1404" t="n"/>
      <c r="BG6" s="1404" t="n"/>
      <c r="BH6" s="1423" t="n"/>
      <c r="BI6" s="1404" t="n"/>
      <c r="BJ6" s="1402" t="n"/>
      <c r="BK6" s="1404" t="n"/>
      <c r="BL6" s="1404" t="n"/>
      <c r="BM6" s="1404" t="n"/>
      <c r="BN6" s="1404" t="n"/>
      <c r="BO6" s="1402" t="n"/>
      <c r="BP6" s="1404" t="n"/>
      <c r="BQ6" s="1404" t="n"/>
      <c r="BR6" s="1404" t="n"/>
      <c r="BS6" s="1404" t="n"/>
      <c r="BT6" s="1404" t="n"/>
      <c r="BU6" s="1404" t="n"/>
      <c r="BV6" s="1404" t="n"/>
      <c r="BW6" s="1404" t="n"/>
      <c r="BX6" s="1404" t="n"/>
      <c r="BY6" s="1404" t="n"/>
      <c r="BZ6" s="1404" t="n"/>
      <c r="CA6" s="1422" t="n"/>
      <c r="CB6" s="1424" t="n"/>
      <c r="CC6" s="1404" t="n"/>
      <c r="CD6" s="1404" t="n"/>
      <c r="CE6" s="1447" t="n"/>
      <c r="CF6" s="1410" t="n"/>
      <c r="CG6" s="1449" t="n"/>
      <c r="CH6" s="165" t="n"/>
      <c r="CI6" s="165" t="n"/>
      <c r="CK6" s="1427" t="n"/>
    </row>
    <row r="7" ht="12.75" customHeight="1" s="1264">
      <c r="A7" s="29" t="n"/>
      <c r="B7" s="29" t="n"/>
      <c r="C7" s="29" t="n"/>
      <c r="D7" s="159" t="n"/>
      <c r="E7" s="1414" t="n"/>
      <c r="F7" s="35" t="n"/>
      <c r="G7" s="1430" t="n"/>
      <c r="H7" s="1431" t="n"/>
      <c r="I7" s="160" t="n"/>
      <c r="J7" s="1431" t="n"/>
      <c r="K7" s="1417" t="n"/>
      <c r="L7" s="1417" t="n"/>
      <c r="M7" s="1417" t="n"/>
      <c r="N7" s="1417" t="n"/>
      <c r="O7" s="1418" t="n"/>
      <c r="P7" s="1417" t="n"/>
      <c r="Q7" s="1417" t="n"/>
      <c r="R7" s="1450" t="n"/>
      <c r="S7" s="1404" t="n"/>
      <c r="T7" s="1404" t="n"/>
      <c r="U7" s="1404" t="n"/>
      <c r="V7" s="1404" t="n"/>
      <c r="W7" s="1404" t="n"/>
      <c r="X7" s="1404" t="n"/>
      <c r="Y7" s="1404" t="n"/>
      <c r="Z7" s="1404" t="n"/>
      <c r="AA7" s="1404" t="n"/>
      <c r="AB7" s="1404" t="n"/>
      <c r="AC7" s="1402" t="n"/>
      <c r="AD7" s="1404" t="n"/>
      <c r="AE7" s="1404" t="n"/>
      <c r="AF7" s="1451" t="n"/>
      <c r="AG7" s="1451" t="n"/>
      <c r="AH7" s="1451" t="n"/>
      <c r="AI7" s="1404" t="n"/>
      <c r="AJ7" s="1404" t="n"/>
      <c r="AK7" s="1404" t="n"/>
      <c r="AL7" s="1404" t="n"/>
      <c r="AM7" s="1404" t="n"/>
      <c r="AN7" s="1404" t="n"/>
      <c r="AO7" s="1404" t="n"/>
      <c r="AP7" s="1404" t="n"/>
      <c r="AQ7" s="1404" t="n"/>
      <c r="AR7" s="1404" t="n"/>
      <c r="AS7" s="1404" t="n"/>
      <c r="AT7" s="1404" t="n"/>
      <c r="AU7" s="1404" t="n"/>
      <c r="AV7" s="1404" t="n"/>
      <c r="AW7" s="164" t="n"/>
      <c r="AX7" s="1406" t="n"/>
      <c r="AY7" s="1404" t="n"/>
      <c r="AZ7" s="1404" t="n"/>
      <c r="BA7" s="1404" t="n"/>
      <c r="BB7" s="1422" t="n"/>
      <c r="BC7" s="1422" t="n"/>
      <c r="BD7" s="1422" t="n"/>
      <c r="BE7" s="1422" t="n"/>
      <c r="BF7" s="1404" t="n"/>
      <c r="BG7" s="1404" t="n"/>
      <c r="BH7" s="1423" t="n"/>
      <c r="BI7" s="1404" t="n"/>
      <c r="BJ7" s="1402" t="n"/>
      <c r="BK7" s="1404" t="n"/>
      <c r="BL7" s="1404" t="n"/>
      <c r="BM7" s="1404" t="n"/>
      <c r="BN7" s="1404" t="n"/>
      <c r="BO7" s="1402" t="n"/>
      <c r="BP7" s="1404" t="n"/>
      <c r="BQ7" s="1404" t="n"/>
      <c r="BR7" s="1404" t="n"/>
      <c r="BS7" s="1404" t="n"/>
      <c r="BT7" s="1404" t="n"/>
      <c r="BU7" s="1404" t="n"/>
      <c r="BV7" s="1404" t="n"/>
      <c r="BW7" s="1404" t="n"/>
      <c r="BX7" s="1404" t="n"/>
      <c r="BY7" s="1404" t="n"/>
      <c r="BZ7" s="1404" t="n"/>
      <c r="CA7" s="1422" t="n"/>
      <c r="CB7" s="1424" t="n"/>
      <c r="CC7" s="1404" t="n"/>
      <c r="CD7" s="1404" t="n"/>
      <c r="CE7" s="1425" t="n"/>
      <c r="CF7" s="1410" t="n"/>
      <c r="CG7" s="1449" t="n"/>
      <c r="CH7" s="165" t="n"/>
      <c r="CI7" s="165" t="n"/>
      <c r="CK7" s="1427" t="n"/>
      <c r="CM7" s="1452" t="n">
        <v>1</v>
      </c>
      <c r="CN7" s="1452" t="n">
        <v>4</v>
      </c>
      <c r="CO7" s="1452" t="n">
        <v>2024</v>
      </c>
      <c r="CP7" s="1453" t="n">
        <v>5</v>
      </c>
      <c r="CQ7" s="1454" t="n">
        <v>2026</v>
      </c>
      <c r="DA7" s="1455" t="inlineStr">
        <is>
          <t>05/2026</t>
        </is>
      </c>
      <c r="DB7" s="156" t="inlineStr">
        <is>
          <t>05/2026</t>
        </is>
      </c>
    </row>
    <row r="8" ht="87.75" customHeight="1" s="1264">
      <c r="A8" s="1456" t="inlineStr">
        <is>
          <t>STT</t>
        </is>
      </c>
      <c r="B8" s="1456" t="inlineStr">
        <is>
          <t>Tháng</t>
        </is>
      </c>
      <c r="C8" s="1456" t="inlineStr">
        <is>
          <t>Mã NV</t>
        </is>
      </c>
      <c r="D8" s="167" t="inlineStr">
        <is>
          <t>Họ tên</t>
        </is>
      </c>
      <c r="E8" s="1457" t="inlineStr">
        <is>
          <t>Loại Hợp đồng</t>
        </is>
      </c>
      <c r="F8" s="168" t="inlineStr">
        <is>
          <t>Bộ phận</t>
        </is>
      </c>
      <c r="G8" s="1458" t="inlineStr">
        <is>
          <t>Chức 
vụ</t>
        </is>
      </c>
      <c r="H8" s="1457" t="inlineStr">
        <is>
          <t>Ngày vào công ty</t>
        </is>
      </c>
      <c r="I8" s="169" t="inlineStr">
        <is>
          <t xml:space="preserve">Số tài khoản </t>
        </is>
      </c>
      <c r="J8" s="1457" t="inlineStr">
        <is>
          <t xml:space="preserve">CN Ngân hàng </t>
        </is>
      </c>
      <c r="K8" s="1457" t="inlineStr">
        <is>
          <t>Ngày công chuẩn</t>
        </is>
      </c>
      <c r="L8" s="1457" t="inlineStr">
        <is>
          <t>Ngày công thực tế</t>
        </is>
      </c>
      <c r="M8" s="1459" t="inlineStr">
        <is>
          <t>CNT ca ngày (giờ)</t>
        </is>
      </c>
      <c r="N8" s="1459" t="inlineStr">
        <is>
          <t>CNT ca đêm (giờ)</t>
        </is>
      </c>
      <c r="O8" s="1460" t="inlineStr">
        <is>
          <t>Số giờ TC ngày thường</t>
        </is>
      </c>
      <c r="P8" s="1461" t="inlineStr">
        <is>
          <t>Số giờ TC ngày CN (*2)</t>
        </is>
      </c>
      <c r="Q8" s="1461" t="inlineStr">
        <is>
          <t>Số giờ TC ngày Lễ, tết (*3)</t>
        </is>
      </c>
      <c r="R8" s="1462" t="inlineStr">
        <is>
          <t>HT hiệu quả làm việc</t>
        </is>
      </c>
      <c r="S8" s="1462" t="inlineStr">
        <is>
          <t>Lương cơ bản (đóng BHXH)</t>
        </is>
      </c>
      <c r="T8" s="1462" t="inlineStr">
        <is>
          <t>Hỗ trợ tiền ăn</t>
        </is>
      </c>
      <c r="U8" s="1462" t="inlineStr">
        <is>
          <t>Hỗ trợ đồng phục</t>
        </is>
      </c>
      <c r="V8" s="1462" t="inlineStr">
        <is>
          <t>Hỗ trợ điện thoại, xăng xe</t>
        </is>
      </c>
      <c r="W8" s="1462" t="inlineStr">
        <is>
          <t>Hỗ trợ tiền gởi xe</t>
        </is>
      </c>
      <c r="X8" s="1462" t="inlineStr">
        <is>
          <t>Hỗ trợ nhà ở</t>
        </is>
      </c>
      <c r="Y8" s="1462" t="inlineStr">
        <is>
          <t>Hỗ trợ nuôi con nhỏ</t>
        </is>
      </c>
      <c r="Z8" s="1462" t="inlineStr">
        <is>
          <t>Hỗ trợ phụ trách dự án/ sáng kiến</t>
        </is>
      </c>
      <c r="AA8" s="1463" t="inlineStr">
        <is>
          <t>CNT - Phụ cấp lưu động</t>
        </is>
      </c>
      <c r="AB8" s="1463" t="inlineStr">
        <is>
          <t>CNT - Phụ cấp tăng cường vận hành</t>
        </is>
      </c>
      <c r="AC8" s="1464" t="inlineStr">
        <is>
          <t>Lương thỏa thuận</t>
        </is>
      </c>
      <c r="AD8" s="1462" t="inlineStr">
        <is>
          <t>Lương chính thức</t>
        </is>
      </c>
      <c r="AE8" s="1465" t="inlineStr">
        <is>
          <t>Lương thử việc</t>
        </is>
      </c>
      <c r="AF8" s="1465" t="inlineStr">
        <is>
          <t>Lương thực tế</t>
        </is>
      </c>
      <c r="AG8" s="1466" t="inlineStr">
        <is>
          <t>CNT- Lương ca ngày</t>
        </is>
      </c>
      <c r="AH8" s="1466" t="inlineStr">
        <is>
          <t>CNT- Lương ca đêm</t>
        </is>
      </c>
      <c r="AI8" s="1467" t="inlineStr">
        <is>
          <t>Lương tăng ca ngày thường</t>
        </is>
      </c>
      <c r="AJ8" s="1467" t="inlineStr">
        <is>
          <t>Lương TC ngày CN (*2)</t>
        </is>
      </c>
      <c r="AK8" s="1467" t="inlineStr">
        <is>
          <t>Lương TC ngày lễ, tết (*3)</t>
        </is>
      </c>
      <c r="AL8" s="1468" t="inlineStr">
        <is>
          <t xml:space="preserve">CNT- Tiền HT trách nhiệm </t>
        </is>
      </c>
      <c r="AM8" s="1468" t="inlineStr">
        <is>
          <t>CNT-Tiền HT cửa hàng mới</t>
        </is>
      </c>
      <c r="AN8" s="1468" t="inlineStr">
        <is>
          <t>CNT- Tiền HT quy trình/dự án</t>
        </is>
      </c>
      <c r="AO8" s="1468" t="inlineStr">
        <is>
          <t>CNT- Tiền hỗ trợ đạt KPI</t>
        </is>
      </c>
      <c r="AP8" s="1468" t="inlineStr">
        <is>
          <t>CNT- tiền HT hàng điểm + Cắt liều</t>
        </is>
      </c>
      <c r="AQ8" s="1468" t="inlineStr">
        <is>
          <t>CNT- Tiền HT hàng cận date</t>
        </is>
      </c>
      <c r="AR8" s="1468" t="inlineStr">
        <is>
          <t>CNT- Tiền hỗ trợ chương trình Maps</t>
        </is>
      </c>
      <c r="AS8" s="1468" t="inlineStr">
        <is>
          <t>CNT- HT Thưởng khác</t>
        </is>
      </c>
      <c r="AT8" s="1468" t="inlineStr">
        <is>
          <t>Bổ sung lương tính thiếu tháng trước</t>
        </is>
      </c>
      <c r="AU8" s="1463" t="inlineStr">
        <is>
          <t>CNT - Thưởng dự án Mini</t>
        </is>
      </c>
      <c r="AV8" s="1463" t="inlineStr">
        <is>
          <t>CNT - Thường Whatsapp</t>
        </is>
      </c>
      <c r="AW8" s="1469" t="inlineStr">
        <is>
          <t>Hỗ trợ đạt KPI Quý</t>
        </is>
      </c>
      <c r="AX8" s="1462" t="inlineStr">
        <is>
          <t>HT lễ, tết / thưởng khác</t>
        </is>
      </c>
      <c r="AY8" s="1462" t="inlineStr">
        <is>
          <t>HT đi CT tỉnh/ gởi xe</t>
        </is>
      </c>
      <c r="AZ8" s="1462" t="inlineStr">
        <is>
          <t>HT sinh nhật</t>
        </is>
      </c>
      <c r="BA8" s="1462" t="inlineStr">
        <is>
          <t>HT khấu hao máy tính/ kiêm nhiệm/ hỗ trợ đứng bằng</t>
        </is>
      </c>
      <c r="BB8" s="1470" t="inlineStr">
        <is>
          <t>CNT trừ hết date</t>
        </is>
      </c>
      <c r="BC8" s="1470" t="inlineStr">
        <is>
          <t>CNT trừ quy chế, quy trình</t>
        </is>
      </c>
      <c r="BD8" s="1470" t="inlineStr">
        <is>
          <t>CNT trừ App- Kiot</t>
        </is>
      </c>
      <c r="BE8" s="1470" t="inlineStr">
        <is>
          <t>CNT trừ Ecom</t>
        </is>
      </c>
      <c r="BF8" s="1471" t="inlineStr">
        <is>
          <t>CNT các khoản trừ khác</t>
        </is>
      </c>
      <c r="BG8" s="1462" t="inlineStr">
        <is>
          <t>Khoản trừ KPI, trừ khác</t>
        </is>
      </c>
      <c r="BH8" s="1472" t="inlineStr">
        <is>
          <t>Tổng thu nhập thực tế</t>
        </is>
      </c>
      <c r="BI8" s="1465" t="inlineStr">
        <is>
          <t>BHXH Cty
(17.5%)</t>
        </is>
      </c>
      <c r="BJ8" s="1465" t="inlineStr">
        <is>
          <t>BHYT Cty
(3%)</t>
        </is>
      </c>
      <c r="BK8" s="1465" t="inlineStr">
        <is>
          <t>BHTN CTy
1%</t>
        </is>
      </c>
      <c r="BL8" s="1465" t="inlineStr">
        <is>
          <t>KPCĐ Cty (2%)</t>
        </is>
      </c>
      <c r="BM8" s="1465" t="inlineStr">
        <is>
          <t>Cộng Cty
23,5%</t>
        </is>
      </c>
      <c r="BN8" s="1465" t="inlineStr">
        <is>
          <t>BHXH NV
(8%)</t>
        </is>
      </c>
      <c r="BO8" s="1465" t="inlineStr">
        <is>
          <t>BHYT NV
(1,5%)</t>
        </is>
      </c>
      <c r="BP8" s="1465" t="inlineStr">
        <is>
          <t>BHTN NV
(1%)</t>
        </is>
      </c>
      <c r="BQ8" s="1465" t="inlineStr">
        <is>
          <t>ĐP NV (1%)</t>
        </is>
      </c>
      <c r="BR8" s="1465" t="inlineStr">
        <is>
          <t>BHXH, BHYT, BHTN của NV (11,5%)</t>
        </is>
      </c>
      <c r="BS8" s="1473" t="inlineStr">
        <is>
          <t>Tổng miễn giảm thuế TNCN (gởi xe, PC điện thoại, tiền ăn, đồng phục)</t>
        </is>
      </c>
      <c r="BT8" s="1474" t="inlineStr">
        <is>
          <t>Thu nhập chịu thuế</t>
        </is>
      </c>
      <c r="BU8" s="1465" t="inlineStr">
        <is>
          <t>Giảm trừ TTNCN
Bản thân</t>
        </is>
      </c>
      <c r="BV8" s="1465" t="inlineStr">
        <is>
          <t>Số người phụ thuộc</t>
        </is>
      </c>
      <c r="BW8" s="1465" t="inlineStr">
        <is>
          <t>Giảm trừ TTNCN
Người PT</t>
        </is>
      </c>
      <c r="BX8" s="1465" t="inlineStr">
        <is>
          <t>Giảm trừ TTNCN
10.5% BHXH, BHYT, BHTN</t>
        </is>
      </c>
      <c r="BY8" s="1475" t="inlineStr">
        <is>
          <t>Tổng các khoản giảm trừ</t>
        </is>
      </c>
      <c r="BZ8" s="1465" t="inlineStr">
        <is>
          <t>Thu nhập tính thuế</t>
        </is>
      </c>
      <c r="CA8" s="1476" t="inlineStr">
        <is>
          <t>Thuế TNCN phải nộp</t>
        </is>
      </c>
      <c r="CB8" s="1477" t="inlineStr">
        <is>
          <t>Tổng thực nhận sau khi trừ TTNCN, BHXH</t>
        </is>
      </c>
      <c r="CC8" s="1462" t="inlineStr">
        <is>
          <t>Trả lại  lương Cty tính sai/thiếu</t>
        </is>
      </c>
      <c r="CD8" s="1465" t="inlineStr">
        <is>
          <t xml:space="preserve">Trừ tạm ứng/ mượn/ bồi thường/ khác </t>
        </is>
      </c>
      <c r="CE8" s="1478" t="inlineStr">
        <is>
          <t xml:space="preserve">Tổng thu nhập còn lại </t>
        </is>
      </c>
      <c r="CF8" s="1479" t="inlineStr">
        <is>
          <t>CK TM</t>
        </is>
      </c>
      <c r="CG8" s="1480" t="inlineStr">
        <is>
          <t>CK TK</t>
        </is>
      </c>
      <c r="CH8" s="173" t="inlineStr">
        <is>
          <t>ESHOP</t>
        </is>
      </c>
      <c r="CI8" s="173" t="inlineStr">
        <is>
          <t>Email</t>
        </is>
      </c>
      <c r="CJ8" s="173" t="inlineStr">
        <is>
          <t>Lý do bổ sung lương/ trừ lương</t>
        </is>
      </c>
      <c r="CK8" s="173" t="inlineStr">
        <is>
          <t>Tháng sinh</t>
        </is>
      </c>
      <c r="CL8" s="1481" t="inlineStr">
        <is>
          <t>Giờ công đào tạo</t>
        </is>
      </c>
      <c r="CM8" s="1481" t="inlineStr">
        <is>
          <t>Ngày nhận việc</t>
        </is>
      </c>
      <c r="CN8" s="1481" t="inlineStr">
        <is>
          <t>Tháng nhận việc</t>
        </is>
      </c>
      <c r="CO8" s="1481" t="inlineStr">
        <is>
          <t>Năm nhận việc</t>
        </is>
      </c>
      <c r="CP8" s="1482" t="inlineStr">
        <is>
          <t>thâm niên trước tháng 04/2024 đến 01/4/2024</t>
        </is>
      </c>
      <c r="CQ8" s="1482" t="inlineStr">
        <is>
          <t>thâm niên cho NV chưa đủ 12 tháng trong CSTN cũ -&gt; hưởng theo CSTN mới</t>
        </is>
      </c>
      <c r="CR8" s="1482" t="inlineStr">
        <is>
          <t>Thâm niên cho NV vừa theo chính sách cũ vừa theo chính sách mới</t>
        </is>
      </c>
      <c r="CS8" s="1483" t="inlineStr">
        <is>
          <t>Số năm TN làm tròn xuống theo CS cũ</t>
        </is>
      </c>
      <c r="CT8" s="1483" t="inlineStr">
        <is>
          <t>Số năm TN làm tròn xuống theo CS mới</t>
        </is>
      </c>
      <c r="CU8" s="1483" t="inlineStr">
        <is>
          <t>Số năm TN làm tròn xuống NV hưởng CS mới+ cũ</t>
        </is>
      </c>
      <c r="CV8" s="1481" t="inlineStr">
        <is>
          <t>Lương thâm niên theo chính sách cũ trước tháng 04/2024</t>
        </is>
      </c>
      <c r="CW8" s="1481" t="inlineStr">
        <is>
          <t>Lương thâm niên theo chính sách mới từ 01/04/2024</t>
        </is>
      </c>
      <c r="CX8" s="1481" t="inlineStr">
        <is>
          <t>Lương thâm niên cho NV vừa theo chính sách mới + cũ</t>
        </is>
      </c>
      <c r="CY8" s="1484" t="inlineStr">
        <is>
          <t>Lương Thâm niên của NV</t>
        </is>
      </c>
      <c r="CZ8" s="173" t="inlineStr">
        <is>
          <t>Lý do cộng trừ của HC-NS</t>
        </is>
      </c>
      <c r="DA8" s="173" t="inlineStr">
        <is>
          <t>Lý do cộng trừ của nhà thuốc</t>
        </is>
      </c>
      <c r="DB8" s="173" t="inlineStr">
        <is>
          <t>Lý do chung</t>
        </is>
      </c>
      <c r="DC8" s="173" t="n"/>
    </row>
    <row r="9" ht="12.75" customHeight="1" s="1264">
      <c r="A9" s="174" t="n">
        <v>1</v>
      </c>
      <c r="B9" s="174">
        <f>1+A9</f>
        <v/>
      </c>
      <c r="C9" s="174" t="n">
        <v>3</v>
      </c>
      <c r="D9" s="174" t="n">
        <v>4</v>
      </c>
      <c r="E9" s="174" t="n">
        <v>5</v>
      </c>
      <c r="F9" s="174" t="n">
        <v>6</v>
      </c>
      <c r="G9" s="174" t="n">
        <v>7</v>
      </c>
      <c r="H9" s="174" t="n">
        <v>8</v>
      </c>
      <c r="I9" s="174" t="n">
        <v>9</v>
      </c>
      <c r="J9" s="174" t="n">
        <v>10</v>
      </c>
      <c r="K9" s="174" t="n">
        <v>11</v>
      </c>
      <c r="L9" s="174" t="n">
        <v>12</v>
      </c>
      <c r="M9" s="174" t="n">
        <v>13</v>
      </c>
      <c r="N9" s="174" t="n">
        <v>14</v>
      </c>
      <c r="O9" s="174" t="n">
        <v>15</v>
      </c>
      <c r="P9" s="174" t="n">
        <v>16</v>
      </c>
      <c r="Q9" s="174" t="n">
        <v>17</v>
      </c>
      <c r="R9" s="174" t="n">
        <v>18</v>
      </c>
      <c r="S9" s="174" t="n">
        <v>19</v>
      </c>
      <c r="T9" s="174" t="n">
        <v>20</v>
      </c>
      <c r="U9" s="174" t="n">
        <v>21</v>
      </c>
      <c r="V9" s="174" t="n">
        <v>22</v>
      </c>
      <c r="W9" s="174" t="n">
        <v>23</v>
      </c>
      <c r="X9" s="174" t="n">
        <v>24</v>
      </c>
      <c r="Y9" s="174" t="n">
        <v>25</v>
      </c>
      <c r="Z9" s="174" t="n">
        <v>26</v>
      </c>
      <c r="AA9" s="174" t="n">
        <v>44</v>
      </c>
      <c r="AB9" s="174" t="n">
        <v>44</v>
      </c>
      <c r="AC9" s="174" t="n">
        <v>27</v>
      </c>
      <c r="AD9" s="174" t="n">
        <v>28</v>
      </c>
      <c r="AE9" s="174" t="n">
        <v>29</v>
      </c>
      <c r="AF9" s="174" t="n">
        <v>30</v>
      </c>
      <c r="AG9" s="174" t="n">
        <v>31</v>
      </c>
      <c r="AH9" s="174" t="n">
        <v>32</v>
      </c>
      <c r="AI9" s="174" t="n">
        <v>33</v>
      </c>
      <c r="AJ9" s="174" t="n">
        <v>34</v>
      </c>
      <c r="AK9" s="174" t="n">
        <v>35</v>
      </c>
      <c r="AL9" s="174" t="n">
        <v>36</v>
      </c>
      <c r="AM9" s="174" t="n">
        <v>37</v>
      </c>
      <c r="AN9" s="174" t="n">
        <v>38</v>
      </c>
      <c r="AO9" s="174" t="n">
        <v>39</v>
      </c>
      <c r="AP9" s="174" t="n">
        <v>40</v>
      </c>
      <c r="AQ9" s="174" t="n">
        <v>41</v>
      </c>
      <c r="AR9" s="174" t="n">
        <v>42</v>
      </c>
      <c r="AS9" s="174" t="n">
        <v>43</v>
      </c>
      <c r="AT9" s="174" t="n">
        <v>44</v>
      </c>
      <c r="AU9" s="174" t="n">
        <v>44</v>
      </c>
      <c r="AV9" s="174" t="n">
        <v>44</v>
      </c>
      <c r="AW9" s="174" t="n">
        <v>46</v>
      </c>
      <c r="AX9" s="174" t="n">
        <v>47</v>
      </c>
      <c r="AY9" s="174" t="n">
        <v>48</v>
      </c>
      <c r="AZ9" s="174" t="n">
        <v>49</v>
      </c>
      <c r="BA9" s="174" t="n">
        <v>50</v>
      </c>
      <c r="BB9" s="174" t="n">
        <v>51</v>
      </c>
      <c r="BC9" s="174" t="n">
        <v>52</v>
      </c>
      <c r="BD9" s="174" t="n">
        <v>53</v>
      </c>
      <c r="BE9" s="174" t="n">
        <v>54</v>
      </c>
      <c r="BF9" s="174" t="n">
        <v>55</v>
      </c>
      <c r="BG9" s="174" t="n">
        <v>56</v>
      </c>
      <c r="BH9" s="174" t="n">
        <v>57</v>
      </c>
      <c r="BI9" s="174" t="n">
        <v>58</v>
      </c>
      <c r="BJ9" s="174" t="n">
        <v>59</v>
      </c>
      <c r="BK9" s="174" t="n">
        <v>60</v>
      </c>
      <c r="BL9" s="174" t="n">
        <v>61</v>
      </c>
      <c r="BM9" s="174" t="n">
        <v>62</v>
      </c>
      <c r="BN9" s="174" t="n">
        <v>63</v>
      </c>
      <c r="BO9" s="174" t="n">
        <v>64</v>
      </c>
      <c r="BP9" s="174" t="n">
        <v>65</v>
      </c>
      <c r="BQ9" s="174" t="n">
        <v>66</v>
      </c>
      <c r="BR9" s="174" t="n">
        <v>67</v>
      </c>
      <c r="BS9" s="174" t="n">
        <v>68</v>
      </c>
      <c r="BT9" s="1485" t="n">
        <v>69</v>
      </c>
      <c r="BU9" s="174" t="n">
        <v>70</v>
      </c>
      <c r="BV9" s="174" t="n">
        <v>71</v>
      </c>
      <c r="BW9" s="174" t="n">
        <v>72</v>
      </c>
      <c r="BX9" s="174" t="n">
        <v>73</v>
      </c>
      <c r="BY9" s="174" t="n">
        <v>74</v>
      </c>
      <c r="BZ9" s="174" t="n">
        <v>75</v>
      </c>
      <c r="CA9" s="174" t="n">
        <v>76</v>
      </c>
      <c r="CB9" s="1486" t="n">
        <v>77</v>
      </c>
      <c r="CC9" s="174" t="n">
        <v>78</v>
      </c>
      <c r="CD9" s="174" t="n">
        <v>79</v>
      </c>
      <c r="CE9" s="174" t="n">
        <v>80</v>
      </c>
      <c r="CF9" s="174" t="n">
        <v>81</v>
      </c>
      <c r="CG9" s="174" t="n">
        <v>82</v>
      </c>
      <c r="CH9" s="174" t="n">
        <v>83</v>
      </c>
      <c r="CI9" s="174" t="n">
        <v>84</v>
      </c>
      <c r="CJ9" s="174" t="n">
        <v>85</v>
      </c>
      <c r="CK9" s="174" t="n">
        <v>86</v>
      </c>
      <c r="CL9" s="174" t="n">
        <v>87</v>
      </c>
      <c r="CM9" s="174" t="n">
        <v>88</v>
      </c>
      <c r="CN9" s="174" t="n">
        <v>89</v>
      </c>
      <c r="CO9" s="174" t="n">
        <v>90</v>
      </c>
      <c r="CP9" s="174" t="n">
        <v>91</v>
      </c>
      <c r="CQ9" s="174" t="n">
        <v>92</v>
      </c>
      <c r="CR9" s="174" t="n">
        <v>93</v>
      </c>
      <c r="CS9" s="174" t="n">
        <v>94</v>
      </c>
      <c r="CT9" s="174" t="n">
        <v>95</v>
      </c>
      <c r="CU9" s="174" t="n">
        <v>96</v>
      </c>
      <c r="CV9" s="174" t="n">
        <v>97</v>
      </c>
      <c r="CW9" s="174" t="n">
        <v>98</v>
      </c>
      <c r="CX9" s="174" t="n">
        <v>99</v>
      </c>
      <c r="CY9" s="174" t="n">
        <v>100</v>
      </c>
      <c r="CZ9" s="174" t="n">
        <v>102</v>
      </c>
      <c r="DA9" s="174" t="n">
        <v>103</v>
      </c>
      <c r="DB9" s="174" t="n">
        <v>104</v>
      </c>
      <c r="DC9" s="174" t="n">
        <v>105</v>
      </c>
      <c r="DD9" s="1487" t="n"/>
    </row>
    <row r="10" ht="33" customHeight="1" s="1264">
      <c r="A10" s="653" t="inlineStr">
        <is>
          <t xml:space="preserve">V. </t>
        </is>
      </c>
      <c r="B10" s="653" t="inlineStr">
        <is>
          <t>CHUỖI NHÀ THUỐC</t>
        </is>
      </c>
      <c r="C10" s="654" t="n"/>
      <c r="D10" s="1488" t="n"/>
      <c r="E10" s="656" t="n"/>
      <c r="F10" s="656" t="n"/>
      <c r="G10" s="656" t="n"/>
      <c r="H10" s="656" t="n"/>
      <c r="I10" s="657" t="n"/>
      <c r="J10" s="657" t="n"/>
      <c r="K10" s="1489">
        <f>K18+K26+K32+K41+K49+K56+K65+K70+K77+K83+K89</f>
        <v/>
      </c>
      <c r="L10" s="1489">
        <f>L18+L26+L32+L41+L49+L56+L65+L70+L77+L83+L89</f>
        <v/>
      </c>
      <c r="M10" s="1490">
        <f>M18+M26+M32+M41+M49+M56+M65+M70+M77+M83+M89</f>
        <v/>
      </c>
      <c r="N10" s="1490">
        <f>N18+N26+N32+N41+N49+N56+N65+N70+N77+N83+N89</f>
        <v/>
      </c>
      <c r="O10" s="1489">
        <f>O18+O26+O32+O41+O49+O56+O65+O70+O77+O83+O89</f>
        <v/>
      </c>
      <c r="P10" s="1489">
        <f>P18+P26+P32+P41+P49+P56+P65+P70+P77+P83+P89</f>
        <v/>
      </c>
      <c r="Q10" s="1489">
        <f>Q18+Q26+Q32+Q41+Q49+Q56+Q65+Q70+Q77+Q83+Q89</f>
        <v/>
      </c>
      <c r="R10" s="1489">
        <f>R16+R24+R29+R35+R45+R52+R58+R64+R70+R76</f>
        <v/>
      </c>
      <c r="S10" s="1489">
        <f>S18+S26+S32+S41+S49+S56+S65+S70+S77+S83+S89</f>
        <v/>
      </c>
      <c r="T10" s="1489">
        <f>T18+T26+T32+T41+T49+T56+T65+T70+T77+T83+T89</f>
        <v/>
      </c>
      <c r="U10" s="1489">
        <f>U18+U26+U32+U41+U49+U56+U65+U70+U77+U83+U89</f>
        <v/>
      </c>
      <c r="V10" s="1489">
        <f>V18+V26+V32+V41+V49+V56+V65+V70+V77+V83+V89</f>
        <v/>
      </c>
      <c r="W10" s="1489">
        <f>W18+W26+W32+W41+W49+W56+W65+W70+W77+W83+W89</f>
        <v/>
      </c>
      <c r="X10" s="1489">
        <f>X18+X26+X32+X41+X49+X56+X65+X70+X77+X83+X89</f>
        <v/>
      </c>
      <c r="Y10" s="1489">
        <f>Y18+Y26+Y32+Y41+Y49+Y56+Y65+Y70+Y77+Y83+Y89</f>
        <v/>
      </c>
      <c r="Z10" s="1489">
        <f>Z18+Z26+Z32+Z41+Z49+Z56+Z65+Z70+Z77+Z83+Z89</f>
        <v/>
      </c>
      <c r="AA10" s="1489">
        <f>AA18+AA26+AA32+AA41+AA49+AA56+AA65+AA70+AA77+AA83+AA89</f>
        <v/>
      </c>
      <c r="AB10" s="1489">
        <f>AB18+AB26+AB32+AB41+AB49+AB56+AB65+AB70+AB77+AB83+AB89</f>
        <v/>
      </c>
      <c r="AC10" s="1489">
        <f>AC18+AC26+AC32+AC41+AC49+AC56+AC65+AC70+AC77+AC83+AC89</f>
        <v/>
      </c>
      <c r="AD10" s="1489">
        <f>AD18+AD26+AD32+AD41+AD49+AD56+AD65+AD70+AD77+AD83+AD89</f>
        <v/>
      </c>
      <c r="AE10" s="1489">
        <f>AE18+AE26+AE32+AE41+AE49+AE56+AE65+AE70+AE77+AE83+AE89</f>
        <v/>
      </c>
      <c r="AF10" s="1489">
        <f>AF18+AF26+AF32+AF41+AF49+AF56+AF65+AF70+AF77+AF83+AF89</f>
        <v/>
      </c>
      <c r="AG10" s="1489">
        <f>AG18+AG26+AG32+AG41+AG49+AG56+AG65+AG70+AG77+AG83+AG89</f>
        <v/>
      </c>
      <c r="AH10" s="1489">
        <f>AH18+AH26+AH32+AH41+AH49+AH56+AH65+AH70+AH77+AH83+AH89</f>
        <v/>
      </c>
      <c r="AI10" s="1489">
        <f>AI18+AI26+AI32+AI41+AI49+AI56+AI65+AI70+AI77+AI83+AI89</f>
        <v/>
      </c>
      <c r="AJ10" s="1489">
        <f>AJ18+AJ26+AJ32+AJ41+AJ49+AJ56+AJ65+AJ70+AJ77+AJ83+AJ89</f>
        <v/>
      </c>
      <c r="AK10" s="1489">
        <f>AK18+AK26+AK32+AK41+AK49+AK56+AK65+AK70+AK77+AK83+AK89</f>
        <v/>
      </c>
      <c r="AL10" s="1489">
        <f>AL18+AL26+AL32+AL41+AL49+AL56+AL65+AL70+AL77+AL83+AL89</f>
        <v/>
      </c>
      <c r="AM10" s="1489">
        <f>AM18+AM26+AM32+AM41+AM49+AM56+AM65+AM70+AM77+AM83+AM89</f>
        <v/>
      </c>
      <c r="AN10" s="1489">
        <f>AN18+AN26+AN32+AN41+AN49+AN56+AN65+AN70+AN77+AN83+AN89</f>
        <v/>
      </c>
      <c r="AO10" s="1489">
        <f>AO18+AO26+AO32+AO41+AO49+AO56+AO65+AO70+AO77+AO83+AO89</f>
        <v/>
      </c>
      <c r="AP10" s="1489">
        <f>AP18+AP26+AP32+AP41+AP49+AP56+AP65+AP70+AP77+AP83+AP89</f>
        <v/>
      </c>
      <c r="AQ10" s="1489">
        <f>AQ18+AQ26+AQ32+AQ41+AQ49+AQ56+AQ65+AQ70+AQ77+AQ83+AQ89</f>
        <v/>
      </c>
      <c r="AR10" s="1489">
        <f>AR18+AR26+AR32+AR41+AR49+AR56+AR65+AR70+AR77+AR83+AR89</f>
        <v/>
      </c>
      <c r="AS10" s="1489">
        <f>AS18+AS26+AS32+AS41+AS49+AS56+AS65+AS70+AS77+AS83+AS89</f>
        <v/>
      </c>
      <c r="AT10" s="1489">
        <f>AT18+AT26+AT32+AT41+AT49+AT56+AT65+AT70+AT77+AT83+AT89</f>
        <v/>
      </c>
      <c r="AU10" s="1489">
        <f>AU18+AU26+AU32+AU41+AU49+AU56+AU65+AU70+AU77+AU83+AU89</f>
        <v/>
      </c>
      <c r="AV10" s="1489">
        <f>AV18+AV26+AV32+AV41+AV49+AV56+AV65+AV70+AV77+AV83+AV89</f>
        <v/>
      </c>
      <c r="AW10" s="1489">
        <f>AW18+AW26+AW32+AW41+AW49+AW56+AW65+AW70+AW77+AW83+AW89</f>
        <v/>
      </c>
      <c r="AX10" s="1489">
        <f>AX18+AX26+AX32+AX41+AX49+AX56+AX65+AX70+AX77+AX83+AX89</f>
        <v/>
      </c>
      <c r="AY10" s="1489">
        <f>AY18+AY26+AY32+AY41+AY49+AY56+AY65+AY70+AY77+AY83+AY89</f>
        <v/>
      </c>
      <c r="AZ10" s="1489">
        <f>AZ18+AZ26+AZ32+AZ41+AZ49+AZ56+AZ65+AZ70+AZ77+AZ83+AZ89</f>
        <v/>
      </c>
      <c r="BA10" s="1489">
        <f>BA18+BA26+BA32+BA41+BA49+BA56+BA65+BA70+BA77+BA83+BA89</f>
        <v/>
      </c>
      <c r="BB10" s="1489">
        <f>BB18+BB26+BB32+BB41+BB49+BB56+BB65+BB70+BB77+BB83+BB89</f>
        <v/>
      </c>
      <c r="BC10" s="1489">
        <f>BC18+BC26+BC32+BC41+BC49+BC56+BC65+BC70+BC77+BC83+BC89</f>
        <v/>
      </c>
      <c r="BD10" s="1489">
        <f>BD18+BD26+BD32+BD41+BD49+BD56+BD65+BD70+BD77+BD83+BD89</f>
        <v/>
      </c>
      <c r="BE10" s="1489">
        <f>BE18+BE26+BE32+BE41+BE49+BE56+BE65+BE70+BE77+BE83+BE89</f>
        <v/>
      </c>
      <c r="BF10" s="1489">
        <f>BF18+BF26+BF32+BF41+BF49+BF56+BF65+BF70+BF77+BF83+BF89</f>
        <v/>
      </c>
      <c r="BG10" s="1489">
        <f>BG18+BG26+BG32+BG41+BG49+BG56+BG65+BG70+BG77+BG83+BG89</f>
        <v/>
      </c>
      <c r="BH10" s="1489">
        <f>BH18+BH26+BH32+BH41+BH49+BH56+BH65+BH70+BH77+BH83+BH89</f>
        <v/>
      </c>
      <c r="BI10" s="1489">
        <f>BI18+BI26+BI32+BI41+BI49+BI56+BI65+BI70+BI77+BI83+BI89</f>
        <v/>
      </c>
      <c r="BJ10" s="1489">
        <f>BJ18+BJ26+BJ32+BJ41+BJ49+BJ56+BJ65+BJ70+BJ77+BJ83+BJ89</f>
        <v/>
      </c>
      <c r="BK10" s="1489">
        <f>BK18+BK26+BK32+BK41+BK49+BK56+BK65+BK70+BK77+BK83+BK89</f>
        <v/>
      </c>
      <c r="BL10" s="1489">
        <f>BL18+BL26+BL32+BL41+BL49+BL56+BL65+BL70+BL77+BL83+BL89</f>
        <v/>
      </c>
      <c r="BM10" s="1489">
        <f>BM18+BM26+BM32+BM41+BM49+BM56+BM65+BM70+BM77+BM83+BM89</f>
        <v/>
      </c>
      <c r="BN10" s="1489">
        <f>BN18+BN26+BN32+BN41+BN49+BN56+BN65+BN70+BN77+BN83+BN89</f>
        <v/>
      </c>
      <c r="BO10" s="1489">
        <f>BO18+BO26+BO32+BO41+BO49+BO56+BO65+BO70+BO77+BO83+BO89</f>
        <v/>
      </c>
      <c r="BP10" s="1489">
        <f>BP18+BP26+BP32+BP41+BP49+BP56+BP65+BP70+BP77+BP83+BP89</f>
        <v/>
      </c>
      <c r="BQ10" s="1489">
        <f>BQ18+BQ26+BQ32+BQ41+BQ49+BQ56+BQ65+BQ70+BQ77+BQ83+BQ89</f>
        <v/>
      </c>
      <c r="BR10" s="1489">
        <f>BR18+BR26+BR32+BR41+BR49+BR56+BR65+BR70+BR77+BR83+BR89</f>
        <v/>
      </c>
      <c r="BS10" s="1489">
        <f>BS18+BS26+BS32+BS41+BS49+BS56+BS65+BS70+BS77+BS83+BS89</f>
        <v/>
      </c>
      <c r="BT10" s="1489">
        <f>BT18+BT26+BT32+BT41+BT49+BT56+BT65+BT70+BT77+BT83+BT89</f>
        <v/>
      </c>
      <c r="BU10" s="1489">
        <f>BU18+BU26+BU32+BU41+BU49+BU56+BU65+BU70+BU77+BU83+BU89</f>
        <v/>
      </c>
      <c r="BV10" s="1489">
        <f>BV18+BV26+BV32+BV41+BV49+BV56+BV65+BV70+BV77+BV83+BV89</f>
        <v/>
      </c>
      <c r="BW10" s="1489">
        <f>BW18+BW26+BW32+BW41+BW49+BW56+BW65+BW70+BW77+BW83+BW89</f>
        <v/>
      </c>
      <c r="BX10" s="1489">
        <f>BX18+BX26+BX32+BX41+BX49+BX56+BX65+BX70+BX77+BX83+BX89</f>
        <v/>
      </c>
      <c r="BY10" s="1489">
        <f>BY18+BY26+BY32+BY41+BY49+BY56+BY65+BY70+BY77+BY83+BY89</f>
        <v/>
      </c>
      <c r="BZ10" s="1489">
        <f>BZ18+BZ26+BZ32+BZ41+BZ49+BZ56+BZ65+BZ70+BZ77+BZ83+BZ89</f>
        <v/>
      </c>
      <c r="CA10" s="1489">
        <f>CA18+CA26+CA32+CA41+CA49+CA56+CA65+CA70+CA77+CA83+CA89</f>
        <v/>
      </c>
      <c r="CB10" s="1489">
        <f>CB18+CB26+CB32+CB41+CB49+CB56+CB65+CB70+CB77+CB83+CB89</f>
        <v/>
      </c>
      <c r="CC10" s="1489">
        <f>CC18+CC26+CC32+CC41+CC49+CC56+CC65+CC70+CC77+CC83+CC89</f>
        <v/>
      </c>
      <c r="CD10" s="1489">
        <f>CD18+CD26+CD32+CD41+CD49+CD56+CD65+CD70+CD77+CD83+CD89</f>
        <v/>
      </c>
      <c r="CE10" s="1489">
        <f>CE18+CE26+CE32+CE41+CE49+CE56+CE65+CE70+CE77+CE83+CE89</f>
        <v/>
      </c>
      <c r="CF10" s="1489">
        <f>CF18+CF26+CF32+CF41+CF49+CF56+CF65+CF70+CF77+CF83+CF89</f>
        <v/>
      </c>
      <c r="CG10" s="1489">
        <f>CG18+CG26+CG32+CG41+CG49+CG56+CG65+CG70+CG77+CG83+CG89</f>
        <v/>
      </c>
      <c r="CH10" s="1489">
        <f>CH16+CH24+CH29+CH35+CH45+CH52+CH58+CH64+CH70+CH76</f>
        <v/>
      </c>
      <c r="CI10" s="1489" t="n"/>
      <c r="CJ10" s="1489" t="n"/>
      <c r="CK10" s="1489" t="n"/>
      <c r="CL10" s="1490">
        <f>CL18+CL26+CL32+CL41+CL49+CL56+CL65+CL70+CL77+CL83+CL89</f>
        <v/>
      </c>
      <c r="CM10" s="654" t="n"/>
      <c r="CN10" s="654" t="n"/>
      <c r="CO10" s="654" t="n"/>
      <c r="CP10" s="654" t="n"/>
      <c r="CQ10" s="654" t="n"/>
      <c r="CR10" s="654" t="n"/>
      <c r="CS10" s="654" t="n"/>
      <c r="CT10" s="654" t="n"/>
      <c r="CU10" s="654" t="n"/>
      <c r="CV10" s="654" t="n"/>
      <c r="CW10" s="654" t="n"/>
      <c r="CX10" s="654" t="n"/>
      <c r="CY10" s="654" t="n"/>
      <c r="CZ10" s="654" t="n"/>
      <c r="DA10" s="654" t="n"/>
      <c r="DB10" s="662" t="n"/>
      <c r="DC10" s="654" t="n"/>
      <c r="DD10" s="1491" t="n"/>
      <c r="DE10" s="664" t="n"/>
    </row>
    <row r="11">
      <c r="A11" s="230" t="n">
        <v>1</v>
      </c>
      <c r="B11" s="1376" t="n">
        <v>8</v>
      </c>
      <c r="C11" s="176" t="inlineStr">
        <is>
          <t>Ho Thi Minh Hoa</t>
        </is>
      </c>
      <c r="D11" s="250" t="inlineStr">
        <is>
          <t>Hồ Thị Minh Hòa</t>
        </is>
      </c>
      <c r="E11" s="1492">
        <f>IF(OR(G11="CHT",G11="DSBC",G11="DSXC"),"HĐLĐ",IF(OR(G11="DSTV",G11="Q.CHT"),"HĐTV","HĐCTV"))</f>
        <v/>
      </c>
      <c r="F11" s="1493" t="inlineStr">
        <is>
          <t>24H</t>
        </is>
      </c>
      <c r="G11" s="1494" t="inlineStr">
        <is>
          <t>DSBC</t>
        </is>
      </c>
      <c r="H11" s="1495" t="n">
        <v>45352</v>
      </c>
      <c r="I11" s="1496" t="inlineStr">
        <is>
          <t>0051000542226</t>
        </is>
      </c>
      <c r="J11" s="1496" t="inlineStr">
        <is>
          <t>Vietcombank</t>
        </is>
      </c>
      <c r="K11" s="1497" t="n">
        <v>26</v>
      </c>
      <c r="L11" s="1497" t="n">
        <v>2</v>
      </c>
      <c r="M11" s="1497" t="n">
        <v>31.69</v>
      </c>
      <c r="N11" s="1497" t="n">
        <v>0</v>
      </c>
      <c r="O11" s="1497" t="n">
        <v>16</v>
      </c>
      <c r="P11" s="232" t="n"/>
      <c r="Q11" s="1497" t="n"/>
      <c r="R11" s="1498" t="n"/>
      <c r="S11" s="1499">
        <f>IF(E11="HĐLĐ",5310000,0)</f>
        <v/>
      </c>
      <c r="T11" s="1500" t="n"/>
      <c r="U11" s="1501" t="n"/>
      <c r="V11" s="232" t="n"/>
      <c r="W11" s="232" t="n"/>
      <c r="X11" s="232" t="n"/>
      <c r="Y11" s="232" t="n"/>
      <c r="Z11" s="232" t="n"/>
      <c r="AA11" s="1497" t="n">
        <v>0</v>
      </c>
      <c r="AB11" s="1497" t="n">
        <v>0</v>
      </c>
      <c r="AC11" s="1499" t="n">
        <v>6500000</v>
      </c>
      <c r="AD11" s="232" t="n"/>
      <c r="AE11" s="232" t="n"/>
      <c r="AF11" s="232" t="n"/>
      <c r="AG11" s="1502">
        <f>IF(E11="HĐTV",AE11/28/8*M11,AC11/28/8*M11)</f>
        <v/>
      </c>
      <c r="AH11" s="1499">
        <f>IF(E11="HĐTV",AE11/28/8*N11*1.5,AC11/28/8*N11*1.5)</f>
        <v/>
      </c>
      <c r="AI11" s="232" t="n">
        <v>0</v>
      </c>
      <c r="AJ11" s="232" t="n">
        <v>0</v>
      </c>
      <c r="AK11" s="232" t="n">
        <v>0</v>
      </c>
      <c r="AL11" s="1497" t="n">
        <v>0</v>
      </c>
      <c r="AM11" s="1497" t="n">
        <v>0</v>
      </c>
      <c r="AN11" s="1497" t="n">
        <v>0</v>
      </c>
      <c r="AO11" s="1497" t="n">
        <v>0</v>
      </c>
      <c r="AP11" s="1497" t="n">
        <v>0</v>
      </c>
      <c r="AQ11" s="1497" t="n">
        <v>0</v>
      </c>
      <c r="AR11" s="1497" t="n">
        <v>0</v>
      </c>
      <c r="AS11" s="1497" t="n">
        <v>0</v>
      </c>
      <c r="AT11" s="1497" t="n">
        <v>0</v>
      </c>
      <c r="AU11" s="1497" t="n">
        <v>0</v>
      </c>
      <c r="AV11" s="1497" t="n">
        <v>0</v>
      </c>
      <c r="AW11" s="1497" t="n">
        <v>0</v>
      </c>
      <c r="AX11" s="1497" t="n">
        <v>0</v>
      </c>
      <c r="AY11" s="232" t="n">
        <v>0</v>
      </c>
      <c r="AZ11" s="1499" t="n">
        <v>0</v>
      </c>
      <c r="BA11" s="1503" t="n">
        <v>0</v>
      </c>
      <c r="BB11" s="1497" t="n">
        <v>0</v>
      </c>
      <c r="BC11" s="1497" t="n">
        <v>0</v>
      </c>
      <c r="BD11" s="1497" t="n">
        <v>0</v>
      </c>
      <c r="BE11" s="1497" t="n">
        <v>0</v>
      </c>
      <c r="BF11" s="1497" t="n">
        <v>0</v>
      </c>
      <c r="BG11" s="1497" t="n">
        <v>0</v>
      </c>
      <c r="BH11" s="1504">
        <f>SUM(T11:AB11)+SUM(AF11:BA11)-SUM(BB11:BG11)</f>
        <v/>
      </c>
      <c r="BI11" s="1505">
        <f>S11*17.5%</f>
        <v/>
      </c>
      <c r="BJ11" s="1505">
        <f>S11*3%</f>
        <v/>
      </c>
      <c r="BK11" s="1505">
        <f>S11*1%</f>
        <v/>
      </c>
      <c r="BL11" s="1506" t="n"/>
      <c r="BM11" s="1507">
        <f>SUM(BI11:BL11)</f>
        <v/>
      </c>
      <c r="BN11" s="1505">
        <f>S11*8%</f>
        <v/>
      </c>
      <c r="BO11" s="1505">
        <f>S11*1.5%</f>
        <v/>
      </c>
      <c r="BP11" s="1505">
        <f>S11*1%</f>
        <v/>
      </c>
      <c r="BQ11" s="1506" t="n"/>
      <c r="BR11" s="1507">
        <f>SUM(BN11:BQ11)</f>
        <v/>
      </c>
      <c r="BS11" s="1505">
        <f>T11+U11+V11+W11</f>
        <v/>
      </c>
      <c r="BT11" s="1508">
        <f>BH11-BS11-AH11</f>
        <v/>
      </c>
      <c r="BU11" s="1505">
        <f>IF(E11="HĐLĐ",15500000,0)</f>
        <v/>
      </c>
      <c r="BV11" s="1509" t="n">
        <v>0</v>
      </c>
      <c r="BW11" s="1505">
        <f>BV11*6200000</f>
        <v/>
      </c>
      <c r="BX11" s="1505">
        <f>BR11</f>
        <v/>
      </c>
      <c r="BY11" s="1510">
        <f>BU11+BW11+BX11</f>
        <v/>
      </c>
      <c r="BZ11" s="1505">
        <f>IF(BT11-BY11&gt;0,BT11-BY11,0)</f>
        <v/>
      </c>
      <c r="CA11" s="1506">
        <f>IF(AND(OR($E11="HĐTV",$E11="HĐCTV"),$BZ11&lt;2000000),0,IF(OR($E11="HĐTV",$E11="HĐCTV"),$BZ11*10%,ROUND(IF($BZ11&lt;=10000000,$BZ11*5%,IF($BZ11&lt;=30000000,$BZ11*10%-500000,IF($BZ11&lt;=60000000,$BZ11*20%-3500000,IF($BZ11&lt;=100000000,$BZ11*30%-9500000,$BZ11*35%-14500000)))),0)))</f>
        <v/>
      </c>
      <c r="CB11" s="1511">
        <f>ROUND(BH11-BR11-CA11,0)</f>
        <v/>
      </c>
      <c r="CC11" s="1509" t="n"/>
      <c r="CD11" s="1512" t="n">
        <v>0</v>
      </c>
      <c r="CE11" s="1513">
        <f>CB11+CC11-CD11</f>
        <v/>
      </c>
      <c r="CF11" s="1514">
        <f>CE11-CG11</f>
        <v/>
      </c>
      <c r="CG11" s="1514">
        <f>CE11</f>
        <v/>
      </c>
      <c r="CH11" s="1515" t="n"/>
      <c r="CI11" s="1516" t="inlineStr">
        <is>
          <t>hoa.ho@medigoapp.com</t>
        </is>
      </c>
      <c r="CJ11" s="1497" t="n">
        <v>0</v>
      </c>
      <c r="CK11" s="1495" t="n">
        <v>11</v>
      </c>
      <c r="CL11" s="1497" t="n"/>
      <c r="CM11" s="1495" t="n">
        <v>1</v>
      </c>
      <c r="CN11" s="1495" t="n">
        <v>3</v>
      </c>
      <c r="CO11" s="1495" t="n">
        <v>2024</v>
      </c>
      <c r="CP11" s="1517">
        <f>IF((($CO$7-CO11)*12)+($CN$7-CN11)&gt;=12,((($CO$7-CO11)*12)+($CN$7-CN11))-1,0)</f>
        <v/>
      </c>
      <c r="CQ11" s="1518">
        <f>IF(CP11&lt;12,(($CQ$7-CO11)*12)+($CP$7-CN11),0)</f>
        <v/>
      </c>
      <c r="CR11" s="1517">
        <f>IF(OR(CP11&gt;12,CP11=12),((CP11-(CS11*12))+((($CQ$7-2024)*12)+($CP$7-4)))+1,0)</f>
        <v/>
      </c>
      <c r="CS11" s="1519">
        <f>IF(OR(CP11&gt;12,CP11=12),ROUNDDOWN(CP11/12,0),0)</f>
        <v/>
      </c>
      <c r="CT11" s="1519">
        <f>IF(CQ11&gt;11,ROUNDDOWN(CQ11/12,0),0)</f>
        <v/>
      </c>
      <c r="CU11" s="1519">
        <f>IF(CR11&gt;11,ROUNDDOWN(CR11/12,0),0)</f>
        <v/>
      </c>
      <c r="CV11" s="1520">
        <f>IF(CP11=0,0,6000000*1.07^CS11)</f>
        <v/>
      </c>
      <c r="CW11" s="1520">
        <f>IF(CT11&lt;2,0,6000000+(CT11-1)*500000)</f>
        <v/>
      </c>
      <c r="CX11" s="1520">
        <f>IF(CU11=0,CV11,IF(CU11&lt;1,0,CV11+CU11*500000))</f>
        <v/>
      </c>
      <c r="CY11" s="1520">
        <f>IF(CX11&gt;0,CX11,IF(CW11&gt;0,CW11,6000000))</f>
        <v/>
      </c>
      <c r="CZ11" s="1521" t="n"/>
      <c r="DA11" s="1522" t="n"/>
      <c r="DB11" s="1521" t="n"/>
      <c r="DC11" s="1521" t="n"/>
      <c r="DD11" s="1487" t="n"/>
      <c r="DE11" s="1523" t="n"/>
      <c r="DF11" s="1497" t="n"/>
      <c r="DG11" s="212" t="n"/>
    </row>
    <row r="12">
      <c r="A12" s="230" t="n">
        <v>2</v>
      </c>
      <c r="B12" s="1376" t="n">
        <v>8</v>
      </c>
      <c r="C12" s="176" t="inlineStr">
        <is>
          <t>Nguyen Tran Ngoc Phuong</t>
        </is>
      </c>
      <c r="D12" s="250" t="inlineStr">
        <is>
          <t>Nguyễn Trần Ngọc Phương</t>
        </is>
      </c>
      <c r="E12" s="1492">
        <f>IF(OR(G12="CHT",G12="DSBC",G12="DSXC"),"HĐLĐ",IF(OR(G12="DSTV",G12="Q.CHT"),"HĐTV","HĐCTV"))</f>
        <v/>
      </c>
      <c r="F12" s="1493" t="inlineStr">
        <is>
          <t>24H</t>
        </is>
      </c>
      <c r="G12" s="1494" t="inlineStr">
        <is>
          <t>Q.CHT</t>
        </is>
      </c>
      <c r="H12" s="1495" t="n">
        <v>46196</v>
      </c>
      <c r="I12" s="1496" t="inlineStr">
        <is>
          <t>0721000550950</t>
        </is>
      </c>
      <c r="J12" s="1496" t="inlineStr">
        <is>
          <t>Vietcombank</t>
        </is>
      </c>
      <c r="K12" s="1497" t="n">
        <v>28</v>
      </c>
      <c r="L12" s="1497" t="n">
        <v>26</v>
      </c>
      <c r="M12" s="1497" t="n">
        <v>186.64</v>
      </c>
      <c r="N12" s="1497" t="n">
        <v>28.38</v>
      </c>
      <c r="O12" s="1497" t="n">
        <v>0</v>
      </c>
      <c r="P12" s="232" t="n"/>
      <c r="Q12" s="1497" t="n"/>
      <c r="R12" s="1498" t="n"/>
      <c r="S12" s="1499">
        <f>IF(E12="HĐLĐ",5310000,0)</f>
        <v/>
      </c>
      <c r="T12" s="1500" t="n">
        <v>464285.7142857143</v>
      </c>
      <c r="U12" s="1501" t="n"/>
      <c r="V12" s="232" t="n"/>
      <c r="W12" s="232" t="n"/>
      <c r="X12" s="232" t="n"/>
      <c r="Y12" s="232" t="n"/>
      <c r="Z12" s="232" t="n"/>
      <c r="AA12" s="1497" t="n">
        <v>0</v>
      </c>
      <c r="AB12" s="1497" t="n">
        <v>0</v>
      </c>
      <c r="AC12" s="1499" t="n">
        <v>6000000</v>
      </c>
      <c r="AD12" s="232" t="n"/>
      <c r="AE12" s="232" t="n">
        <v>6000000</v>
      </c>
      <c r="AF12" s="232" t="n"/>
      <c r="AG12" s="1502">
        <f>IF(E12="HĐTV",AE12/28/8*M12,AC12/28/8*M12)</f>
        <v/>
      </c>
      <c r="AH12" s="1499">
        <f>IF(E12="HĐTV",AE12/28/8*N12*1.5,AC12/28/8*N12*1.5)</f>
        <v/>
      </c>
      <c r="AI12" s="232" t="n">
        <v>0</v>
      </c>
      <c r="AJ12" s="232" t="n">
        <v>0</v>
      </c>
      <c r="AK12" s="232" t="n">
        <v>0</v>
      </c>
      <c r="AL12" s="1497" t="inlineStr">
        <is>
          <t>1,500,000</t>
        </is>
      </c>
      <c r="AM12" s="1497" t="n">
        <v>0</v>
      </c>
      <c r="AN12" s="1497" t="n">
        <v>1000000</v>
      </c>
      <c r="AO12" s="1497" t="n">
        <v>0</v>
      </c>
      <c r="AP12" s="1497" t="n">
        <v>1280200</v>
      </c>
      <c r="AQ12" s="1497" t="n">
        <v>6601</v>
      </c>
      <c r="AR12" s="1497" t="n">
        <v>0</v>
      </c>
      <c r="AS12" s="1497" t="n">
        <v>0</v>
      </c>
      <c r="AT12" s="1497" t="n">
        <v>0</v>
      </c>
      <c r="AU12" s="1497" t="n">
        <v>300000</v>
      </c>
      <c r="AV12" s="1497" t="n">
        <v>0</v>
      </c>
      <c r="AW12" s="1497" t="n">
        <v>0</v>
      </c>
      <c r="AX12" s="1497" t="n">
        <v>0</v>
      </c>
      <c r="AY12" s="232" t="n">
        <v>0</v>
      </c>
      <c r="AZ12" s="1499" t="n">
        <v>0</v>
      </c>
      <c r="BA12" s="1503" t="n">
        <v>0</v>
      </c>
      <c r="BB12" s="1497" t="n">
        <v>0</v>
      </c>
      <c r="BC12" s="1497" t="n">
        <v>0</v>
      </c>
      <c r="BD12" s="1497" t="n">
        <v>0</v>
      </c>
      <c r="BE12" s="1497" t="n">
        <v>0</v>
      </c>
      <c r="BF12" s="1497" t="n">
        <v>0</v>
      </c>
      <c r="BG12" s="1497" t="n">
        <v>0</v>
      </c>
      <c r="BH12" s="1504">
        <f>SUM(T12:AB12)+SUM(AF12:BA12)-SUM(BB12:BG12)</f>
        <v/>
      </c>
      <c r="BI12" s="1505">
        <f>S12*17.5%</f>
        <v/>
      </c>
      <c r="BJ12" s="1505">
        <f>S12*3%</f>
        <v/>
      </c>
      <c r="BK12" s="1505">
        <f>S12*1%</f>
        <v/>
      </c>
      <c r="BL12" s="1506" t="n"/>
      <c r="BM12" s="1507">
        <f>SUM(BI12:BL12)</f>
        <v/>
      </c>
      <c r="BN12" s="1505">
        <f>S12*8%</f>
        <v/>
      </c>
      <c r="BO12" s="1505">
        <f>S12*1.5%</f>
        <v/>
      </c>
      <c r="BP12" s="1505">
        <f>S12*1%</f>
        <v/>
      </c>
      <c r="BQ12" s="1506" t="n"/>
      <c r="BR12" s="1507">
        <f>SUM(BN12:BQ12)</f>
        <v/>
      </c>
      <c r="BS12" s="1505">
        <f>T12+U12+V12+W12</f>
        <v/>
      </c>
      <c r="BT12" s="1508">
        <f>BH12-BS12-AH12</f>
        <v/>
      </c>
      <c r="BU12" s="1505">
        <f>IF(E12="HĐLĐ",15500000,0)</f>
        <v/>
      </c>
      <c r="BV12" s="1509" t="n">
        <v>0</v>
      </c>
      <c r="BW12" s="1505">
        <f>BV12*6200000</f>
        <v/>
      </c>
      <c r="BX12" s="1505">
        <f>BR12</f>
        <v/>
      </c>
      <c r="BY12" s="1510">
        <f>BU12+BW12+BX12</f>
        <v/>
      </c>
      <c r="BZ12" s="1505">
        <f>IF(BT12-BY12&gt;0,BT12-BY12,0)</f>
        <v/>
      </c>
      <c r="CA12" s="1506">
        <f>IF(AND(OR($E12="HĐTV",$E12="HĐCTV"),$BZ12&lt;2000000),0,IF(OR($E12="HĐTV",$E12="HĐCTV"),$BZ12*10%,ROUND(IF($BZ12&lt;=10000000,$BZ12*5%,IF($BZ12&lt;=30000000,$BZ12*10%-500000,IF($BZ12&lt;=60000000,$BZ12*20%-3500000,IF($BZ12&lt;=100000000,$BZ12*30%-9500000,$BZ12*35%-14500000)))),0)))</f>
        <v/>
      </c>
      <c r="CB12" s="1511">
        <f>ROUND(BH12-BR12-CA12,0)</f>
        <v/>
      </c>
      <c r="CC12" s="1509" t="n"/>
      <c r="CD12" s="1512" t="n">
        <v>0</v>
      </c>
      <c r="CE12" s="1513">
        <f>CB12+CC12-CD12</f>
        <v/>
      </c>
      <c r="CF12" s="1514">
        <f>CE12-CG12</f>
        <v/>
      </c>
      <c r="CG12" s="1514">
        <f>CE12</f>
        <v/>
      </c>
      <c r="CH12" s="1515" t="n"/>
      <c r="CI12" s="1516" t="inlineStr">
        <is>
          <t>phuong.nguyen@medigoapp.com</t>
        </is>
      </c>
      <c r="CJ12" s="1497" t="n"/>
      <c r="CK12" s="1495" t="n">
        <v>9</v>
      </c>
      <c r="CL12" s="1497" t="n">
        <v>0</v>
      </c>
      <c r="CM12" s="1495" t="n">
        <v>23</v>
      </c>
      <c r="CN12" s="1495" t="n">
        <v>6</v>
      </c>
      <c r="CO12" s="1495" t="n">
        <v>2026</v>
      </c>
      <c r="CP12" s="1517">
        <f>IF((($CO$7-CO12)*12)+($CN$7-CN12)&gt;=12,((($CO$7-CO12)*12)+($CN$7-CN12))-1,0)</f>
        <v/>
      </c>
      <c r="CQ12" s="1518">
        <f>IF(CP12&lt;12,(($CQ$7-CO12)*12)+($CP$7-CN12),0)</f>
        <v/>
      </c>
      <c r="CR12" s="1517">
        <f>IF(OR(CP12&gt;12,CP12=12),((CP12-(CS12*12))+((($CQ$7-2024)*12)+($CP$7-4)))+1,0)</f>
        <v/>
      </c>
      <c r="CS12" s="1519">
        <f>IF(OR(CP12&gt;12,CP12=12),ROUNDDOWN(CP12/12,0),0)</f>
        <v/>
      </c>
      <c r="CT12" s="1519">
        <f>IF(CQ12&gt;11,ROUNDDOWN(CQ12/12,0),0)</f>
        <v/>
      </c>
      <c r="CU12" s="1519">
        <f>IF(CR12&gt;11,ROUNDDOWN(CR12/12,0),0)</f>
        <v/>
      </c>
      <c r="CV12" s="1520">
        <f>IF(CP12=0,0,6000000*1.07^CS12)</f>
        <v/>
      </c>
      <c r="CW12" s="1520">
        <f>IF(CT12&lt;2,0,6000000+(CT12-1)*500000)</f>
        <v/>
      </c>
      <c r="CX12" s="1520">
        <f>IF(CU12=0,CV12,IF(CU12&lt;1,0,CV12+CU12*500000))</f>
        <v/>
      </c>
      <c r="CY12" s="1520">
        <f>IF(CX12&gt;0,CX12,IF(CW12&gt;0,CW12,6000000))</f>
        <v/>
      </c>
      <c r="CZ12" s="1521" t="n"/>
      <c r="DA12" s="1522" t="n"/>
      <c r="DB12" s="1521" t="n"/>
      <c r="DC12" s="1521" t="n"/>
      <c r="DD12" s="1487" t="n"/>
      <c r="DE12" s="1523" t="n"/>
      <c r="DF12" s="1497" t="n"/>
      <c r="DG12" s="212" t="n"/>
    </row>
    <row r="13">
      <c r="A13" s="230" t="n">
        <v>3</v>
      </c>
      <c r="B13" s="1376" t="n">
        <v>8</v>
      </c>
      <c r="C13" s="176" t="inlineStr">
        <is>
          <t>Nguyen Ngoc Anh Thu</t>
        </is>
      </c>
      <c r="D13" s="250" t="inlineStr">
        <is>
          <t>Nguyễn Ngọc Anh Thư</t>
        </is>
      </c>
      <c r="E13" s="1492">
        <f>IF(OR(G13="CHT",G13="DSBC",G13="DSXC"),"HĐLĐ",IF(OR(G13="DSTV",G13="Q.CHT"),"HĐTV","HĐCTV"))</f>
        <v/>
      </c>
      <c r="F13" s="1493" t="inlineStr">
        <is>
          <t>24H</t>
        </is>
      </c>
      <c r="G13" s="1494" t="inlineStr">
        <is>
          <t>DSTV</t>
        </is>
      </c>
      <c r="H13" s="1495" t="inlineStr">
        <is>
          <t>14/07/2026</t>
        </is>
      </c>
      <c r="I13" s="1496" t="inlineStr">
        <is>
          <t>7500664184</t>
        </is>
      </c>
      <c r="J13" s="1496" t="inlineStr">
        <is>
          <t>BIDV</t>
        </is>
      </c>
      <c r="K13" s="1497" t="n">
        <v>28</v>
      </c>
      <c r="L13" s="1497" t="n">
        <v>29</v>
      </c>
      <c r="M13" s="1497" t="n">
        <v>26.98</v>
      </c>
      <c r="N13" s="1497" t="n">
        <v>219.5</v>
      </c>
      <c r="O13" s="1497" t="n">
        <v>8</v>
      </c>
      <c r="P13" s="232" t="n"/>
      <c r="Q13" s="1497" t="n"/>
      <c r="R13" s="1498" t="n"/>
      <c r="S13" s="1499">
        <f>IF(E13="HĐLĐ",5310000,0)</f>
        <v/>
      </c>
      <c r="T13" s="1500" t="n">
        <v>500000</v>
      </c>
      <c r="U13" s="1501" t="n"/>
      <c r="V13" s="232" t="n"/>
      <c r="W13" s="232" t="n"/>
      <c r="X13" s="232" t="n"/>
      <c r="Y13" s="232" t="n"/>
      <c r="Z13" s="232" t="n"/>
      <c r="AA13" s="1497" t="n">
        <v>0</v>
      </c>
      <c r="AB13" s="1497" t="n">
        <v>0</v>
      </c>
      <c r="AC13" s="1499" t="n">
        <v>6000000</v>
      </c>
      <c r="AD13" s="232">
        <f>AC13</f>
        <v/>
      </c>
      <c r="AE13" s="232" t="n">
        <v>6000000</v>
      </c>
      <c r="AF13" s="232">
        <f>IF(E13="HĐTV",AE13/K13*L13,AD13/K13*L13)</f>
        <v/>
      </c>
      <c r="AG13" s="1502">
        <f>IF(E13="HĐTV",AE13/28/8*M13,AC13/28/8*M13)</f>
        <v/>
      </c>
      <c r="AH13" s="1499">
        <f>IF(E13="HĐTV",AE13/28/8*N13*1.5,AC13/28/8*N13*1.5)</f>
        <v/>
      </c>
      <c r="AI13" s="232" t="n">
        <v>1446429</v>
      </c>
      <c r="AJ13" s="232" t="n">
        <v>0</v>
      </c>
      <c r="AK13" s="232" t="n">
        <v>0</v>
      </c>
      <c r="AL13" s="1497" t="n">
        <v>0</v>
      </c>
      <c r="AM13" s="1497" t="n">
        <v>0</v>
      </c>
      <c r="AN13" s="1497" t="n">
        <v>933333</v>
      </c>
      <c r="AO13" s="1497" t="n">
        <v>0</v>
      </c>
      <c r="AP13" s="1497" t="n">
        <v>579960</v>
      </c>
      <c r="AQ13" s="1497" t="n">
        <v>7700</v>
      </c>
      <c r="AR13" s="1497" t="n">
        <v>0</v>
      </c>
      <c r="AS13" s="1497" t="n">
        <v>0</v>
      </c>
      <c r="AT13" s="1497" t="n">
        <v>0</v>
      </c>
      <c r="AU13" s="1497" t="n">
        <v>0</v>
      </c>
      <c r="AV13" s="1497" t="n">
        <v>0</v>
      </c>
      <c r="AW13" s="1497" t="n">
        <v>0</v>
      </c>
      <c r="AX13" s="1497" t="n">
        <v>0</v>
      </c>
      <c r="AY13" s="232" t="n">
        <v>0</v>
      </c>
      <c r="AZ13" s="1499" t="n">
        <v>0</v>
      </c>
      <c r="BA13" s="1503" t="n">
        <v>0</v>
      </c>
      <c r="BB13" s="1497" t="n">
        <v>0</v>
      </c>
      <c r="BC13" s="1497" t="n">
        <v>0</v>
      </c>
      <c r="BD13" s="1497" t="n">
        <v>0</v>
      </c>
      <c r="BE13" s="1497" t="n">
        <v>0</v>
      </c>
      <c r="BF13" s="1497" t="n">
        <v>0</v>
      </c>
      <c r="BG13" s="1497" t="n">
        <v>0</v>
      </c>
      <c r="BH13" s="1504">
        <f>SUM(T13:AB13)+SUM(AF13:BA13)-SUM(BB13:BG13)</f>
        <v/>
      </c>
      <c r="BI13" s="1505">
        <f>S13*17.5%</f>
        <v/>
      </c>
      <c r="BJ13" s="1505">
        <f>S13*3%</f>
        <v/>
      </c>
      <c r="BK13" s="1505">
        <f>S13*1%</f>
        <v/>
      </c>
      <c r="BL13" s="1506" t="n"/>
      <c r="BM13" s="1507">
        <f>SUM(BI13:BL13)</f>
        <v/>
      </c>
      <c r="BN13" s="1505">
        <f>S13*8%</f>
        <v/>
      </c>
      <c r="BO13" s="1505">
        <f>S13*1.5%</f>
        <v/>
      </c>
      <c r="BP13" s="1505">
        <f>S13*1%</f>
        <v/>
      </c>
      <c r="BQ13" s="1506" t="n"/>
      <c r="BR13" s="1507">
        <f>SUM(BN13:BQ13)</f>
        <v/>
      </c>
      <c r="BS13" s="1505">
        <f>T13+U13+V13+W13</f>
        <v/>
      </c>
      <c r="BT13" s="1508">
        <f>BH13-BS13-AH13</f>
        <v/>
      </c>
      <c r="BU13" s="1505">
        <f>IF(E13="HĐLĐ",15500000,0)</f>
        <v/>
      </c>
      <c r="BV13" s="1509" t="n">
        <v>0</v>
      </c>
      <c r="BW13" s="1505">
        <f>BV13*6200000</f>
        <v/>
      </c>
      <c r="BX13" s="1505">
        <f>BR13</f>
        <v/>
      </c>
      <c r="BY13" s="1510">
        <f>BU13+BW13+BX13</f>
        <v/>
      </c>
      <c r="BZ13" s="1505">
        <f>IF(BT13-BY13&gt;0,BT13-BY13,0)</f>
        <v/>
      </c>
      <c r="CA13" s="1506">
        <f>IF(AND(OR($E13="HĐTV",$E13="HĐCTV"),$BZ13&lt;2000000),0,IF(OR($E13="HĐTV",$E13="HĐCTV"),$BZ13*10%,ROUND(IF($BZ13&lt;=10000000,$BZ13*5%,IF($BZ13&lt;=30000000,$BZ13*10%-500000,IF($BZ13&lt;=60000000,$BZ13*20%-3500000,IF($BZ13&lt;=100000000,$BZ13*30%-9500000,$BZ13*35%-14500000)))),0)))</f>
        <v/>
      </c>
      <c r="CB13" s="1511">
        <f>ROUND(BH13-BR13-CA13,0)</f>
        <v/>
      </c>
      <c r="CC13" s="1509" t="n"/>
      <c r="CD13" s="1512" t="n">
        <v>0</v>
      </c>
      <c r="CE13" s="1513">
        <f>CB13+CC13-CD13</f>
        <v/>
      </c>
      <c r="CF13" s="1514">
        <f>CE13-CG13</f>
        <v/>
      </c>
      <c r="CG13" s="1514">
        <f>CE13</f>
        <v/>
      </c>
      <c r="CH13" s="1515" t="n"/>
      <c r="CI13" s="1516" t="inlineStr">
        <is>
          <t>thu.nguyen@medigoapp.com</t>
        </is>
      </c>
      <c r="CJ13" s="1497" t="n"/>
      <c r="CK13" s="1495" t="n">
        <v>1</v>
      </c>
      <c r="CL13" s="1497" t="n"/>
      <c r="CM13" s="1495" t="n"/>
      <c r="CN13" s="1495" t="n"/>
      <c r="CO13" s="1495" t="n"/>
      <c r="CP13" s="1517" t="n"/>
      <c r="CQ13" s="1518" t="n"/>
      <c r="CR13" s="1517" t="n"/>
      <c r="CS13" s="1519" t="n"/>
      <c r="CT13" s="1519" t="n"/>
      <c r="CU13" s="1519" t="n"/>
      <c r="CV13" s="1520" t="n"/>
      <c r="CW13" s="1520" t="n"/>
      <c r="CX13" s="1520" t="n"/>
      <c r="CY13" s="1520">
        <f>IF(CX13&gt;0,CX13,IF(CW13&gt;0,CW13,6000000))</f>
        <v/>
      </c>
      <c r="CZ13" s="1521" t="n"/>
      <c r="DA13" s="1522" t="n"/>
      <c r="DB13" s="1521" t="n"/>
      <c r="DC13" s="1521" t="n"/>
      <c r="DD13" s="1487" t="n"/>
      <c r="DE13" s="1523" t="n"/>
      <c r="DF13" s="1497" t="n"/>
      <c r="DG13" s="212" t="n"/>
    </row>
    <row r="14">
      <c r="A14" s="230" t="n">
        <v>4</v>
      </c>
      <c r="B14" s="1376" t="n">
        <v>8</v>
      </c>
      <c r="C14" s="176" t="inlineStr">
        <is>
          <t>Trinh Thi Phuong</t>
        </is>
      </c>
      <c r="D14" s="250" t="inlineStr">
        <is>
          <t>Trịnh Thị Phượng</t>
        </is>
      </c>
      <c r="E14" s="1492">
        <f>IF(OR(G14="CHT",G14="DSBC",G14="DSXC"),"HĐLĐ",IF(OR(G14="DSTV",G14="Q.CHT"),"HĐTV","HĐCTV"))</f>
        <v/>
      </c>
      <c r="F14" s="1493" t="inlineStr">
        <is>
          <t>24H</t>
        </is>
      </c>
      <c r="G14" s="1494" t="inlineStr">
        <is>
          <t>DSBC</t>
        </is>
      </c>
      <c r="H14" s="1495" t="n">
        <v>45096</v>
      </c>
      <c r="I14" s="1496" t="inlineStr">
        <is>
          <t>10200014211025</t>
        </is>
      </c>
      <c r="J14" s="1496" t="inlineStr">
        <is>
          <t xml:space="preserve"> Đông Nam Á (Seabank)</t>
        </is>
      </c>
      <c r="K14" s="1497" t="n">
        <v>26</v>
      </c>
      <c r="L14" s="1497" t="n">
        <v>21</v>
      </c>
      <c r="M14" s="1497" t="n">
        <v>0.38</v>
      </c>
      <c r="N14" s="1497" t="n">
        <v>164.21</v>
      </c>
      <c r="O14" s="1497" t="n">
        <v>0</v>
      </c>
      <c r="P14" s="232" t="n"/>
      <c r="Q14" s="1497" t="n"/>
      <c r="R14" s="1498" t="n"/>
      <c r="S14" s="1499">
        <f>IF(E14="HĐLĐ",5310000,0)</f>
        <v/>
      </c>
      <c r="T14" s="1500" t="n">
        <v>375000.0000000001</v>
      </c>
      <c r="U14" s="1501" t="n"/>
      <c r="V14" s="232" t="n"/>
      <c r="W14" s="232" t="n"/>
      <c r="X14" s="232" t="n"/>
      <c r="Y14" s="232" t="n"/>
      <c r="Z14" s="232" t="n"/>
      <c r="AA14" s="1497" t="n">
        <v>0</v>
      </c>
      <c r="AB14" s="1497" t="n">
        <v>0</v>
      </c>
      <c r="AC14" s="1499" t="n">
        <v>6500000</v>
      </c>
      <c r="AD14" s="232">
        <f>AC14</f>
        <v/>
      </c>
      <c r="AE14" s="232" t="n">
        <v>0</v>
      </c>
      <c r="AF14" s="232">
        <f>IF(E14="HĐTV",AE14/K14*L14,AD14/K14*L14)</f>
        <v/>
      </c>
      <c r="AG14" s="1502">
        <f>IF(E14="HĐTV",AE14/28/8*M14,AC14/28/8*M14)</f>
        <v/>
      </c>
      <c r="AH14" s="1499">
        <f>IF(E14="HĐTV",AE14/28/8*N14*1.5,AC14/28/8*N14*1.5)</f>
        <v/>
      </c>
      <c r="AI14" s="232" t="n">
        <v>1125000</v>
      </c>
      <c r="AJ14" s="232" t="n">
        <v>0</v>
      </c>
      <c r="AK14" s="232" t="n">
        <v>0</v>
      </c>
      <c r="AL14" s="1497" t="n">
        <v>0</v>
      </c>
      <c r="AM14" s="1497" t="n">
        <v>0</v>
      </c>
      <c r="AN14" s="1497" t="n">
        <v>2200000</v>
      </c>
      <c r="AO14" s="1497" t="n">
        <v>0</v>
      </c>
      <c r="AP14" s="1497" t="n">
        <v>3537750</v>
      </c>
      <c r="AQ14" s="1497" t="n">
        <v>11205</v>
      </c>
      <c r="AR14" s="1497" t="n">
        <v>0</v>
      </c>
      <c r="AS14" s="1497" t="n">
        <v>0</v>
      </c>
      <c r="AT14" s="1497" t="n">
        <v>0</v>
      </c>
      <c r="AU14" s="1497" t="n">
        <v>0</v>
      </c>
      <c r="AV14" s="1497" t="n">
        <v>0</v>
      </c>
      <c r="AW14" s="1497" t="n">
        <v>0</v>
      </c>
      <c r="AX14" s="1497" t="n">
        <v>0</v>
      </c>
      <c r="AY14" s="232" t="n">
        <v>0</v>
      </c>
      <c r="AZ14" s="1499" t="n">
        <v>0</v>
      </c>
      <c r="BA14" s="1503" t="n">
        <v>0</v>
      </c>
      <c r="BB14" s="1497" t="n">
        <v>0</v>
      </c>
      <c r="BC14" s="1497" t="n">
        <v>0</v>
      </c>
      <c r="BD14" s="1497" t="n">
        <v>0</v>
      </c>
      <c r="BE14" s="1497" t="n">
        <v>0</v>
      </c>
      <c r="BF14" s="1497" t="n">
        <v>0</v>
      </c>
      <c r="BG14" s="1497" t="n">
        <v>0</v>
      </c>
      <c r="BH14" s="1504">
        <f>SUM(T14:AB14)+SUM(AF14:BA14)-SUM(BB14:BG14)</f>
        <v/>
      </c>
      <c r="BI14" s="1505">
        <f>S14*17.5%</f>
        <v/>
      </c>
      <c r="BJ14" s="1505">
        <f>S14*3%</f>
        <v/>
      </c>
      <c r="BK14" s="1505">
        <f>S14*1%</f>
        <v/>
      </c>
      <c r="BL14" s="1506" t="n"/>
      <c r="BM14" s="1507">
        <f>SUM(BI14:BL14)</f>
        <v/>
      </c>
      <c r="BN14" s="1505">
        <f>S14*8%</f>
        <v/>
      </c>
      <c r="BO14" s="1505">
        <f>S14*1.5%</f>
        <v/>
      </c>
      <c r="BP14" s="1505">
        <f>S14*1%</f>
        <v/>
      </c>
      <c r="BQ14" s="1506" t="n"/>
      <c r="BR14" s="1507">
        <f>SUM(BN14:BQ14)</f>
        <v/>
      </c>
      <c r="BS14" s="1505">
        <f>T14+U14+V14+W14</f>
        <v/>
      </c>
      <c r="BT14" s="1508">
        <f>BH14-BS14-AH14</f>
        <v/>
      </c>
      <c r="BU14" s="1505">
        <f>IF(E14="HĐLĐ",15500000,0)</f>
        <v/>
      </c>
      <c r="BV14" s="1509" t="n">
        <v>0</v>
      </c>
      <c r="BW14" s="1505">
        <f>BV14*6200000</f>
        <v/>
      </c>
      <c r="BX14" s="1505">
        <f>BR14</f>
        <v/>
      </c>
      <c r="BY14" s="1510">
        <f>BU14+BW14+BX14</f>
        <v/>
      </c>
      <c r="BZ14" s="1505">
        <f>IF(BT14-BY14&gt;0,BT14-BY14,0)</f>
        <v/>
      </c>
      <c r="CA14" s="1506">
        <f>IF(AND(OR($E14="HĐTV",$E14="HĐCTV"),$BZ14&lt;2000000),0,IF(OR($E14="HĐTV",$E14="HĐCTV"),$BZ14*10%,ROUND(IF($BZ14&lt;=10000000,$BZ14*5%,IF($BZ14&lt;=30000000,$BZ14*10%-500000,IF($BZ14&lt;=60000000,$BZ14*20%-3500000,IF($BZ14&lt;=100000000,$BZ14*30%-9500000,$BZ14*35%-14500000)))),0)))</f>
        <v/>
      </c>
      <c r="CB14" s="1511">
        <f>ROUND(BH14-BR14-CA14,0)</f>
        <v/>
      </c>
      <c r="CC14" s="1509" t="n"/>
      <c r="CD14" s="1512" t="n">
        <v>0</v>
      </c>
      <c r="CE14" s="1513">
        <f>CB14+CC14-CD14</f>
        <v/>
      </c>
      <c r="CF14" s="1514">
        <f>CE14-CG14</f>
        <v/>
      </c>
      <c r="CG14" s="1514">
        <f>CE14</f>
        <v/>
      </c>
      <c r="CH14" s="1515" t="n"/>
      <c r="CI14" s="1516" t="n"/>
      <c r="CJ14" s="1497" t="n"/>
      <c r="CK14" s="1495" t="n">
        <v>2</v>
      </c>
      <c r="CL14" s="1497" t="n"/>
      <c r="CM14" s="1495" t="n"/>
      <c r="CN14" s="1495" t="n"/>
      <c r="CO14" s="1495" t="n"/>
      <c r="CP14" s="1517" t="n"/>
      <c r="CQ14" s="1518" t="n"/>
      <c r="CR14" s="1517" t="n"/>
      <c r="CS14" s="1519" t="n"/>
      <c r="CT14" s="1519" t="n"/>
      <c r="CU14" s="1519" t="n"/>
      <c r="CV14" s="1520" t="n"/>
      <c r="CW14" s="1520" t="n"/>
      <c r="CX14" s="1520" t="n"/>
      <c r="CY14" s="1520">
        <f>IF(CX14&gt;0,CX14,IF(CW14&gt;0,CW14,6000000))</f>
        <v/>
      </c>
      <c r="CZ14" s="1521" t="n"/>
      <c r="DA14" s="1522" t="n"/>
      <c r="DB14" s="1521" t="n"/>
      <c r="DC14" s="1521" t="n"/>
      <c r="DD14" s="1487" t="n"/>
      <c r="DE14" s="1523" t="n"/>
      <c r="DF14" s="1497" t="n"/>
      <c r="DG14" s="212" t="n"/>
    </row>
    <row r="15">
      <c r="A15" s="230" t="n">
        <v>5</v>
      </c>
      <c r="B15" s="1376" t="n">
        <v>8</v>
      </c>
      <c r="C15" s="176" t="inlineStr">
        <is>
          <t>Ngo Tran Tuyet Vy</t>
        </is>
      </c>
      <c r="D15" s="250" t="inlineStr">
        <is>
          <t>Ngô Trần Tuyết Vy</t>
        </is>
      </c>
      <c r="E15" s="1492">
        <f>IF(OR(G15="CHT",G15="DSBC",G15="DSXC"),"HĐLĐ",IF(OR(G15="DSTV",G15="Q.CHT"),"HĐTV","HĐCTV"))</f>
        <v/>
      </c>
      <c r="F15" s="1493" t="inlineStr">
        <is>
          <t>24H</t>
        </is>
      </c>
      <c r="G15" s="1494" t="inlineStr">
        <is>
          <t>DSBC</t>
        </is>
      </c>
      <c r="H15" s="1495" t="n">
        <v>44743</v>
      </c>
      <c r="I15" s="1496" t="inlineStr">
        <is>
          <t>060260188766</t>
        </is>
      </c>
      <c r="J15" s="1496" t="inlineStr">
        <is>
          <t>Sacombank</t>
        </is>
      </c>
      <c r="K15" s="1497" t="n">
        <v>28</v>
      </c>
      <c r="L15" s="1497" t="n">
        <v>11</v>
      </c>
      <c r="M15" s="1497" t="n">
        <v>66.26000000000001</v>
      </c>
      <c r="N15" s="1497" t="n">
        <v>23.12</v>
      </c>
      <c r="O15" s="1497" t="n">
        <v>0</v>
      </c>
      <c r="P15" s="232" t="n"/>
      <c r="Q15" s="1497" t="n"/>
      <c r="R15" s="1498" t="n"/>
      <c r="S15" s="1499">
        <f>IF(E15="HĐLĐ",5310000,0)</f>
        <v/>
      </c>
      <c r="T15" s="1500" t="n">
        <v>196428.5714285714</v>
      </c>
      <c r="U15" s="1501" t="n"/>
      <c r="V15" s="232" t="n"/>
      <c r="W15" s="232" t="n"/>
      <c r="X15" s="232" t="n"/>
      <c r="Y15" s="232" t="n"/>
      <c r="Z15" s="232" t="n"/>
      <c r="AA15" s="1497" t="n">
        <v>0</v>
      </c>
      <c r="AB15" s="1497" t="n">
        <v>0</v>
      </c>
      <c r="AC15" s="1499" t="n">
        <v>8350258.000000001</v>
      </c>
      <c r="AD15" s="232" t="n"/>
      <c r="AE15" s="232" t="n"/>
      <c r="AF15" s="232" t="n"/>
      <c r="AG15" s="1502">
        <f>IF(E15="HĐTV",AE15/28/8*M15,AC15/28/8*M15)</f>
        <v/>
      </c>
      <c r="AH15" s="1499">
        <f>IF(E15="HĐTV",AE15/28/8*N15*1.5,AC15/28/8*N15*1.5)</f>
        <v/>
      </c>
      <c r="AI15" s="232" t="n">
        <v>0</v>
      </c>
      <c r="AJ15" s="232" t="n">
        <v>0</v>
      </c>
      <c r="AK15" s="232" t="n">
        <v>0</v>
      </c>
      <c r="AL15" s="1497" t="n">
        <v>0</v>
      </c>
      <c r="AM15" s="1497" t="n">
        <v>0</v>
      </c>
      <c r="AN15" s="1497" t="n">
        <v>0</v>
      </c>
      <c r="AO15" s="1497" t="n">
        <v>0</v>
      </c>
      <c r="AP15" s="1497" t="n">
        <v>1011600</v>
      </c>
      <c r="AQ15" s="1497" t="n">
        <v>0</v>
      </c>
      <c r="AR15" s="1497" t="n">
        <v>0</v>
      </c>
      <c r="AS15" s="1497" t="n">
        <v>0</v>
      </c>
      <c r="AT15" s="1497" t="n">
        <v>0</v>
      </c>
      <c r="AU15" s="1497" t="n">
        <v>0</v>
      </c>
      <c r="AV15" s="1497" t="n">
        <v>0</v>
      </c>
      <c r="AW15" s="1497" t="n">
        <v>0</v>
      </c>
      <c r="AX15" s="1497" t="n">
        <v>0</v>
      </c>
      <c r="AY15" s="232" t="n">
        <v>0</v>
      </c>
      <c r="AZ15" s="1499" t="n">
        <v>0</v>
      </c>
      <c r="BA15" s="1503" t="n">
        <v>0</v>
      </c>
      <c r="BB15" s="1497" t="n">
        <v>0</v>
      </c>
      <c r="BC15" s="1497" t="n">
        <v>0</v>
      </c>
      <c r="BD15" s="1497" t="n">
        <v>0</v>
      </c>
      <c r="BE15" s="1497" t="n">
        <v>0</v>
      </c>
      <c r="BF15" s="1497" t="n">
        <v>0</v>
      </c>
      <c r="BG15" s="1497" t="n">
        <v>0</v>
      </c>
      <c r="BH15" s="1504">
        <f>SUM(T15:AB15)+SUM(AF15:BA15)-SUM(BB15:BG15)</f>
        <v/>
      </c>
      <c r="BI15" s="1505">
        <f>S15*17.5%</f>
        <v/>
      </c>
      <c r="BJ15" s="1505">
        <f>S15*3%</f>
        <v/>
      </c>
      <c r="BK15" s="1505">
        <f>S15*1%</f>
        <v/>
      </c>
      <c r="BL15" s="1506" t="n"/>
      <c r="BM15" s="1507">
        <f>SUM(BI15:BL15)</f>
        <v/>
      </c>
      <c r="BN15" s="1505">
        <f>S15*8%</f>
        <v/>
      </c>
      <c r="BO15" s="1505">
        <f>S15*1.5%</f>
        <v/>
      </c>
      <c r="BP15" s="1505">
        <f>S15*1%</f>
        <v/>
      </c>
      <c r="BQ15" s="1506" t="n"/>
      <c r="BR15" s="1507">
        <f>SUM(BN15:BQ15)</f>
        <v/>
      </c>
      <c r="BS15" s="1505">
        <f>T15+U15+V15+W15</f>
        <v/>
      </c>
      <c r="BT15" s="1508">
        <f>BH15-BS15-AH15</f>
        <v/>
      </c>
      <c r="BU15" s="1505">
        <f>IF(E15="HĐLĐ",15500000,0)</f>
        <v/>
      </c>
      <c r="BV15" s="1509" t="n">
        <v>0</v>
      </c>
      <c r="BW15" s="1505">
        <f>BV15*6200000</f>
        <v/>
      </c>
      <c r="BX15" s="1505">
        <f>BR15</f>
        <v/>
      </c>
      <c r="BY15" s="1510">
        <f>BU15+BW15+BX15</f>
        <v/>
      </c>
      <c r="BZ15" s="1505">
        <f>IF(BT15-BY15&gt;0,BT15-BY15,0)</f>
        <v/>
      </c>
      <c r="CA15" s="1506">
        <f>IF(AND(OR($E15="HĐTV",$E15="HĐCTV"),$BZ15&lt;2000000),0,IF(OR($E15="HĐTV",$E15="HĐCTV"),$BZ15*10%,ROUND(IF($BZ15&lt;=10000000,$BZ15*5%,IF($BZ15&lt;=30000000,$BZ15*10%-500000,IF($BZ15&lt;=60000000,$BZ15*20%-3500000,IF($BZ15&lt;=100000000,$BZ15*30%-9500000,$BZ15*35%-14500000)))),0)))</f>
        <v/>
      </c>
      <c r="CB15" s="1511">
        <f>ROUND(BH15-BR15-CA15,0)</f>
        <v/>
      </c>
      <c r="CC15" s="1509" t="n"/>
      <c r="CD15" s="1512" t="n">
        <v>0</v>
      </c>
      <c r="CE15" s="1513">
        <f>CB15+CC15-CD15</f>
        <v/>
      </c>
      <c r="CF15" s="1514">
        <f>CE15-CG15</f>
        <v/>
      </c>
      <c r="CG15" s="1514">
        <f>CE15</f>
        <v/>
      </c>
      <c r="CH15" s="1515" t="n"/>
      <c r="CI15" s="1516">
        <f>VLOOKUP($C19,[5]Sheet1!$C$5:$K$139,9,0)</f>
        <v/>
      </c>
      <c r="CJ15" s="1497" t="n">
        <v>0</v>
      </c>
      <c r="CK15" s="1495" t="n">
        <v>3</v>
      </c>
      <c r="CL15" s="1497" t="n">
        <v>0</v>
      </c>
      <c r="CM15" s="1495" t="n">
        <v>14</v>
      </c>
      <c r="CN15" s="1495" t="n">
        <v>2</v>
      </c>
      <c r="CO15" s="1495" t="n">
        <v>2021</v>
      </c>
      <c r="CP15" s="1517">
        <f>IF((($CO$7-CO15)*12)+($CN$7-CN15)&gt;=12,((($CO$7-CO15)*12)+($CN$7-CN15))-1,0)</f>
        <v/>
      </c>
      <c r="CQ15" s="1518">
        <f>IF(CP15&lt;12,(($CQ$7-CO15)*12)+($CP$7-CN15),0)</f>
        <v/>
      </c>
      <c r="CR15" s="1517">
        <f>IF(OR(CP15&gt;12,CP15=12),((CP15-(CS15*12))+((($CQ$7-2024)*12)+($CP$7-4)))+1,0)</f>
        <v/>
      </c>
      <c r="CS15" s="1519">
        <f>IF(OR(CP15&gt;12,CP15=12),ROUNDDOWN(CP15/12,0),0)</f>
        <v/>
      </c>
      <c r="CT15" s="1519">
        <f>IF(CQ15&gt;11,ROUNDDOWN(CQ15/12,0),0)</f>
        <v/>
      </c>
      <c r="CU15" s="1519">
        <f>IF(CR15&gt;11,ROUNDDOWN(CR15/12,0),0)</f>
        <v/>
      </c>
      <c r="CV15" s="1520">
        <f>IF(CP15=0,0,6000000*1.07^CS15)</f>
        <v/>
      </c>
      <c r="CW15" s="1520">
        <f>IF(CT15&lt;2,0,6000000+(CT15-1)*500000)</f>
        <v/>
      </c>
      <c r="CX15" s="1520">
        <f>IF(CU15=0,CV15,IF(CU15&lt;1,0,CV15+CU15*500000))</f>
        <v/>
      </c>
      <c r="CY15" s="1520">
        <f>IF(CX15&gt;0,CX15,IF(CW15&gt;0,CW15,6000000))</f>
        <v/>
      </c>
      <c r="CZ15" s="1521" t="n"/>
      <c r="DA15" s="1522" t="n"/>
      <c r="DB15" s="1521" t="n"/>
      <c r="DC15" s="1521" t="n"/>
      <c r="DD15" s="1487" t="n"/>
      <c r="DE15" s="1523" t="n"/>
      <c r="DF15" s="1497" t="n"/>
      <c r="DG15" s="212" t="n"/>
    </row>
    <row r="16">
      <c r="A16" s="230" t="n">
        <v>6</v>
      </c>
      <c r="B16" s="1376" t="n">
        <v>8</v>
      </c>
      <c r="C16" s="176" t="inlineStr">
        <is>
          <t>Pham Nguyen Ngoc Quy</t>
        </is>
      </c>
      <c r="D16" s="250" t="inlineStr">
        <is>
          <t>Phạm Nguyễn Ngọc Quý</t>
        </is>
      </c>
      <c r="E16" s="1492">
        <f>IF(OR(G16="CHT",G16="DSBC",G16="DSXC"),"HĐLĐ",IF(OR(G16="DSTV",G16="Q.CHT"),"HĐTV","HĐCTV"))</f>
        <v/>
      </c>
      <c r="F16" s="1493" t="inlineStr">
        <is>
          <t>24H</t>
        </is>
      </c>
      <c r="G16" s="1494" t="inlineStr">
        <is>
          <t>DSBC</t>
        </is>
      </c>
      <c r="H16" s="1495" t="inlineStr">
        <is>
          <t>01/11/2024</t>
        </is>
      </c>
      <c r="I16" s="1496" t="inlineStr">
        <is>
          <t>1026764251</t>
        </is>
      </c>
      <c r="J16" s="1496" t="inlineStr">
        <is>
          <t>Vietcombank</t>
        </is>
      </c>
      <c r="K16" s="1497" t="n">
        <v>28</v>
      </c>
      <c r="L16" s="1497" t="n">
        <v>23</v>
      </c>
      <c r="M16" s="1497" t="n">
        <v>164.33</v>
      </c>
      <c r="N16" s="1497" t="n">
        <v>24.07</v>
      </c>
      <c r="O16" s="1497" t="n">
        <v>0</v>
      </c>
      <c r="P16" s="232" t="n"/>
      <c r="Q16" s="1497" t="n"/>
      <c r="R16" s="1498" t="n"/>
      <c r="S16" s="1499">
        <f>IF(E16="HĐLĐ",5310000,0)</f>
        <v/>
      </c>
      <c r="T16" s="1500" t="n">
        <v>410714.2857142857</v>
      </c>
      <c r="U16" s="1501" t="n"/>
      <c r="V16" s="232" t="n"/>
      <c r="W16" s="232" t="n"/>
      <c r="X16" s="232" t="n"/>
      <c r="Y16" s="232" t="n"/>
      <c r="Z16" s="232" t="n"/>
      <c r="AA16" s="1497" t="n">
        <v>0</v>
      </c>
      <c r="AB16" s="1497" t="n">
        <v>0</v>
      </c>
      <c r="AC16" s="1499" t="n">
        <v>6000000</v>
      </c>
      <c r="AD16" s="232" t="n"/>
      <c r="AE16" s="232" t="n"/>
      <c r="AF16" s="232" t="n"/>
      <c r="AG16" s="1502">
        <f>IF(E16="HĐTV",AE16/28/8*M16,AC16/28/8*M16)</f>
        <v/>
      </c>
      <c r="AH16" s="1499">
        <f>IF(E16="HĐTV",AE16/28/8*N16*1.5,AC16/28/8*N16*1.5)</f>
        <v/>
      </c>
      <c r="AI16" s="232" t="n">
        <v>0</v>
      </c>
      <c r="AJ16" s="232" t="n">
        <v>0</v>
      </c>
      <c r="AK16" s="232" t="n">
        <v>0</v>
      </c>
      <c r="AL16" s="1497" t="n">
        <v>0</v>
      </c>
      <c r="AM16" s="1497" t="n">
        <v>0</v>
      </c>
      <c r="AN16" s="1497" t="n">
        <v>0</v>
      </c>
      <c r="AO16" s="1497" t="n">
        <v>0</v>
      </c>
      <c r="AP16" s="1497" t="n">
        <v>1686900</v>
      </c>
      <c r="AQ16" s="1497" t="n">
        <v>18300</v>
      </c>
      <c r="AR16" s="1497" t="n">
        <v>0</v>
      </c>
      <c r="AS16" s="1497" t="n">
        <v>0</v>
      </c>
      <c r="AT16" s="1497" t="n">
        <v>0</v>
      </c>
      <c r="AU16" s="1497" t="n">
        <v>0</v>
      </c>
      <c r="AV16" s="1497" t="n">
        <v>0</v>
      </c>
      <c r="AW16" s="1497" t="n">
        <v>0</v>
      </c>
      <c r="AX16" s="1497" t="n">
        <v>0</v>
      </c>
      <c r="AY16" s="232" t="n">
        <v>0</v>
      </c>
      <c r="AZ16" s="1499" t="n">
        <v>0</v>
      </c>
      <c r="BA16" s="1503" t="n">
        <v>0</v>
      </c>
      <c r="BB16" s="1497" t="n">
        <v>0</v>
      </c>
      <c r="BC16" s="1497" t="n">
        <v>0</v>
      </c>
      <c r="BD16" s="1497" t="n">
        <v>0</v>
      </c>
      <c r="BE16" s="1497" t="n">
        <v>0</v>
      </c>
      <c r="BF16" s="1497" t="n">
        <v>0</v>
      </c>
      <c r="BG16" s="1497" t="n">
        <v>0</v>
      </c>
      <c r="BH16" s="1504">
        <f>SUM(T16:AB16)+SUM(AF16:BA16)-SUM(BB16:BG16)</f>
        <v/>
      </c>
      <c r="BI16" s="1505">
        <f>S16*17.5%</f>
        <v/>
      </c>
      <c r="BJ16" s="1505">
        <f>S16*3%</f>
        <v/>
      </c>
      <c r="BK16" s="1505">
        <f>S16*1%</f>
        <v/>
      </c>
      <c r="BL16" s="1506" t="n"/>
      <c r="BM16" s="1507">
        <f>SUM(BI16:BL16)</f>
        <v/>
      </c>
      <c r="BN16" s="1505">
        <f>S16*8%</f>
        <v/>
      </c>
      <c r="BO16" s="1505">
        <f>S16*1.5%</f>
        <v/>
      </c>
      <c r="BP16" s="1505">
        <f>S16*1%</f>
        <v/>
      </c>
      <c r="BQ16" s="1506" t="n"/>
      <c r="BR16" s="1507">
        <f>SUM(BN16:BQ16)</f>
        <v/>
      </c>
      <c r="BS16" s="1505">
        <f>T16+U16+V16+W16</f>
        <v/>
      </c>
      <c r="BT16" s="1508">
        <f>BH16-BS16-AH16</f>
        <v/>
      </c>
      <c r="BU16" s="1505">
        <f>IF(E16="HĐLĐ",15500000,0)</f>
        <v/>
      </c>
      <c r="BV16" s="1509" t="n">
        <v>0</v>
      </c>
      <c r="BW16" s="1505">
        <f>BV16*6200000</f>
        <v/>
      </c>
      <c r="BX16" s="1505">
        <f>BR16</f>
        <v/>
      </c>
      <c r="BY16" s="1510">
        <f>BU16+BW16+BX16</f>
        <v/>
      </c>
      <c r="BZ16" s="1505">
        <f>IF(BT16-BY16&gt;0,BT16-BY16,0)</f>
        <v/>
      </c>
      <c r="CA16" s="1506">
        <f>IF(AND(OR($E16="HĐTV",$E16="HĐCTV"),$BZ16&lt;2000000),0,IF(OR($E16="HĐTV",$E16="HĐCTV"),$BZ16*10%,ROUND(IF($BZ16&lt;=10000000,$BZ16*5%,IF($BZ16&lt;=30000000,$BZ16*10%-500000,IF($BZ16&lt;=60000000,$BZ16*20%-3500000,IF($BZ16&lt;=100000000,$BZ16*30%-9500000,$BZ16*35%-14500000)))),0)))</f>
        <v/>
      </c>
      <c r="CB16" s="1511">
        <f>ROUND(BH16-BR16-CA16,0)</f>
        <v/>
      </c>
      <c r="CC16" s="1509" t="n"/>
      <c r="CD16" s="1512" t="n">
        <v>0</v>
      </c>
      <c r="CE16" s="1513">
        <f>CB16+CC16-CD16</f>
        <v/>
      </c>
      <c r="CF16" s="1514">
        <f>CE16-CG16</f>
        <v/>
      </c>
      <c r="CG16" s="1514">
        <f>CE16</f>
        <v/>
      </c>
      <c r="CH16" s="1515" t="n"/>
      <c r="CI16" s="1516" t="inlineStr">
        <is>
          <t>quy.pham@medigoapp.com</t>
        </is>
      </c>
      <c r="CJ16" s="1497" t="n">
        <v>0</v>
      </c>
      <c r="CK16" s="1495" t="n">
        <v>6</v>
      </c>
      <c r="CL16" s="1497" t="n">
        <v>0</v>
      </c>
      <c r="CM16" s="1495" t="n">
        <v>1</v>
      </c>
      <c r="CN16" s="1495" t="n">
        <v>11</v>
      </c>
      <c r="CO16" s="1495" t="n">
        <v>2024</v>
      </c>
      <c r="CP16" s="1517">
        <f>IF((($CO$7-CO16)*12)+($CN$7-CN16)&gt;=12,((($CO$7-CO16)*12)+($CN$7-CN16))-1,0)</f>
        <v/>
      </c>
      <c r="CQ16" s="1518">
        <f>IF(CP16&lt;12,(($CQ$7-CO16)*12)+($CP$7-CN16),0)</f>
        <v/>
      </c>
      <c r="CR16" s="1517">
        <f>IF(OR(CP16&gt;12,CP16=12),((CP16-(CS16*12))+((($CQ$7-1624)*12)+($CP$7-4)))+1,0)</f>
        <v/>
      </c>
      <c r="CS16" s="1519">
        <f>IF(OR(CP16&gt;12,CP16=12),ROUNDDOWN(CP16/12,0),0)</f>
        <v/>
      </c>
      <c r="CT16" s="1519">
        <f>IF(CQ16&gt;11,ROUNDDOWN(CQ16/12,0),0)</f>
        <v/>
      </c>
      <c r="CU16" s="1519">
        <f>IF(CR16&gt;11,ROUNDDOWN(CR16/12,0),0)</f>
        <v/>
      </c>
      <c r="CV16" s="1520">
        <f>IF(CP16=0,0,6000000*1.07^CS16)</f>
        <v/>
      </c>
      <c r="CW16" s="1520">
        <f>IF(CT16&lt;2,0,6000000+(CT16-1)*500000)</f>
        <v/>
      </c>
      <c r="CX16" s="1520">
        <f>IF(CU16=0,CV16,IF(CU16&lt;1,0,CV16+CU16*500000))</f>
        <v/>
      </c>
      <c r="CY16" s="1520">
        <f>IF(CX16&gt;0,CX16,IF(CW16&gt;0,CW16,6000000))</f>
        <v/>
      </c>
      <c r="CZ16" s="1521" t="n"/>
      <c r="DA16" s="1522" t="n"/>
      <c r="DB16" s="1521" t="n"/>
      <c r="DC16" s="1521" t="n"/>
      <c r="DD16" s="1487" t="n"/>
      <c r="DE16" s="1523" t="n"/>
      <c r="DF16" s="1497" t="n"/>
      <c r="DG16" s="212" t="n"/>
    </row>
    <row r="17">
      <c r="A17" s="230" t="n">
        <v>7</v>
      </c>
      <c r="B17" s="1376" t="n">
        <v>8</v>
      </c>
      <c r="C17" s="176" t="inlineStr">
        <is>
          <t>Tran Thi Kim Khanh</t>
        </is>
      </c>
      <c r="D17" s="250" t="inlineStr">
        <is>
          <t>Trần Thị Kim Khánh</t>
        </is>
      </c>
      <c r="E17" s="1492">
        <f>IF(OR(G17="CHT",G17="DSBC",G17="DSXC"),"HĐLĐ",IF(OR(G17="DSTV",G17="Q.CHT"),"HĐTV","HĐCTV"))</f>
        <v/>
      </c>
      <c r="F17" s="1493" t="inlineStr">
        <is>
          <t>24H</t>
        </is>
      </c>
      <c r="G17" s="1494" t="inlineStr">
        <is>
          <t>DSBC</t>
        </is>
      </c>
      <c r="H17" s="1495" t="n">
        <v>45099</v>
      </c>
      <c r="I17" s="1496" t="inlineStr">
        <is>
          <t>69110000565904</t>
        </is>
      </c>
      <c r="J17" s="1496" t="inlineStr">
        <is>
          <t xml:space="preserve">BIDV </t>
        </is>
      </c>
      <c r="K17" s="1497" t="n">
        <v>26</v>
      </c>
      <c r="L17" s="1497" t="n">
        <v>29</v>
      </c>
      <c r="M17" s="1497" t="n">
        <v>253.43</v>
      </c>
      <c r="N17" s="1497" t="n">
        <v>31.43</v>
      </c>
      <c r="O17" s="1497" t="n">
        <v>8</v>
      </c>
      <c r="P17" s="232" t="n"/>
      <c r="Q17" s="1497" t="n"/>
      <c r="R17" s="1498" t="n"/>
      <c r="S17" s="1499">
        <f>IF(E17="HĐLĐ",5310000,0)</f>
        <v/>
      </c>
      <c r="T17" s="1500" t="n">
        <v>500000</v>
      </c>
      <c r="U17" s="1501" t="n"/>
      <c r="V17" s="232" t="n"/>
      <c r="W17" s="232" t="n"/>
      <c r="X17" s="232" t="n"/>
      <c r="Y17" s="232" t="n"/>
      <c r="Z17" s="232" t="n"/>
      <c r="AA17" s="1497" t="n">
        <v>0</v>
      </c>
      <c r="AB17" s="1497" t="n">
        <v>0</v>
      </c>
      <c r="AC17" s="1499" t="n">
        <v>6500000</v>
      </c>
      <c r="AD17" s="232">
        <f>AC17</f>
        <v/>
      </c>
      <c r="AE17" s="232" t="n">
        <v>0</v>
      </c>
      <c r="AF17" s="232">
        <f>IF(E17="HĐTV",AE17/K17*L17,AD17/K17*L17)</f>
        <v/>
      </c>
      <c r="AG17" s="1502">
        <f>IF(E17="HĐTV",AE17/28/8*M17,AC17/28/8*M17)</f>
        <v/>
      </c>
      <c r="AH17" s="1499">
        <f>IF(E17="HĐTV",AE17/28/8*N17*1.5,AC17/28/8*N17*1.5)</f>
        <v/>
      </c>
      <c r="AI17" s="232" t="n">
        <v>0</v>
      </c>
      <c r="AJ17" s="232" t="n">
        <v>0</v>
      </c>
      <c r="AK17" s="232" t="n">
        <v>0</v>
      </c>
      <c r="AL17" s="1497" t="n">
        <v>0</v>
      </c>
      <c r="AM17" s="1497" t="n">
        <v>0</v>
      </c>
      <c r="AN17" s="1497" t="n">
        <v>2800000</v>
      </c>
      <c r="AO17" s="1497" t="n">
        <v>2472797</v>
      </c>
      <c r="AP17" s="1497" t="n">
        <v>3808150</v>
      </c>
      <c r="AQ17" s="1497" t="n">
        <v>46851</v>
      </c>
      <c r="AR17" s="1497" t="n">
        <v>0</v>
      </c>
      <c r="AS17" s="1497" t="n">
        <v>0</v>
      </c>
      <c r="AT17" s="1497" t="n">
        <v>0</v>
      </c>
      <c r="AU17" s="1497" t="n">
        <v>0</v>
      </c>
      <c r="AV17" s="1497" t="n">
        <v>0</v>
      </c>
      <c r="AW17" s="1497" t="n">
        <v>0</v>
      </c>
      <c r="AX17" s="1497" t="n">
        <v>0</v>
      </c>
      <c r="AY17" s="232" t="n">
        <v>0</v>
      </c>
      <c r="AZ17" s="1499" t="n">
        <v>0</v>
      </c>
      <c r="BA17" s="1503" t="n">
        <v>0</v>
      </c>
      <c r="BB17" s="1497" t="n">
        <v>0</v>
      </c>
      <c r="BC17" s="1497" t="n">
        <v>0</v>
      </c>
      <c r="BD17" s="1497" t="n">
        <v>0</v>
      </c>
      <c r="BE17" s="1497" t="n">
        <v>0</v>
      </c>
      <c r="BF17" s="1497" t="n">
        <v>0</v>
      </c>
      <c r="BG17" s="1497" t="n">
        <v>0</v>
      </c>
      <c r="BH17" s="1504">
        <f>SUM(T17:AB17)+SUM(AF17:BA17)-SUM(BB17:BG17)</f>
        <v/>
      </c>
      <c r="BI17" s="1505">
        <f>S17*17.5%</f>
        <v/>
      </c>
      <c r="BJ17" s="1505">
        <f>S17*3%</f>
        <v/>
      </c>
      <c r="BK17" s="1505">
        <f>S17*1%</f>
        <v/>
      </c>
      <c r="BL17" s="1506" t="n"/>
      <c r="BM17" s="1507">
        <f>SUM(BI17:BL17)</f>
        <v/>
      </c>
      <c r="BN17" s="1505">
        <f>S17*8%</f>
        <v/>
      </c>
      <c r="BO17" s="1505">
        <f>S17*1.5%</f>
        <v/>
      </c>
      <c r="BP17" s="1505">
        <f>S17*1%</f>
        <v/>
      </c>
      <c r="BQ17" s="1506" t="n"/>
      <c r="BR17" s="1507">
        <f>SUM(BN17:BQ17)</f>
        <v/>
      </c>
      <c r="BS17" s="1505">
        <f>T17+U17+V17+W17</f>
        <v/>
      </c>
      <c r="BT17" s="1508">
        <f>BH17-BS17-AH17</f>
        <v/>
      </c>
      <c r="BU17" s="1505">
        <f>IF(E17="HĐLĐ",15500000,0)</f>
        <v/>
      </c>
      <c r="BV17" s="1509" t="n">
        <v>0</v>
      </c>
      <c r="BW17" s="1505">
        <f>BV17*6200000</f>
        <v/>
      </c>
      <c r="BX17" s="1505">
        <f>BR17</f>
        <v/>
      </c>
      <c r="BY17" s="1510">
        <f>BU17+BW17+BX17</f>
        <v/>
      </c>
      <c r="BZ17" s="1505">
        <f>IF(BT17-BY17&gt;0,BT17-BY17,0)</f>
        <v/>
      </c>
      <c r="CA17" s="1506">
        <f>IF(AND(OR($E17="HĐTV",$E17="HĐCTV"),$BZ17&lt;2000000),0,IF(OR($E17="HĐTV",$E17="HĐCTV"),$BZ17*10%,ROUND(IF($BZ17&lt;=10000000,$BZ17*5%,IF($BZ17&lt;=30000000,$BZ17*10%-500000,IF($BZ17&lt;=60000000,$BZ17*20%-3500000,IF($BZ17&lt;=100000000,$BZ17*30%-9500000,$BZ17*35%-14500000)))),0)))</f>
        <v/>
      </c>
      <c r="CB17" s="1511">
        <f>ROUND(BH17-BR17-CA17,0)</f>
        <v/>
      </c>
      <c r="CC17" s="1509" t="n"/>
      <c r="CD17" s="1512" t="n">
        <v>0</v>
      </c>
      <c r="CE17" s="1513">
        <f>CB17+CC17-CD17</f>
        <v/>
      </c>
      <c r="CF17" s="1514">
        <f>CE17-CG17</f>
        <v/>
      </c>
      <c r="CG17" s="1514">
        <f>CE17</f>
        <v/>
      </c>
      <c r="CH17" s="1515" t="n"/>
      <c r="CI17" s="1516" t="n"/>
      <c r="CJ17" s="1497" t="n"/>
      <c r="CK17" s="1495" t="n"/>
      <c r="CL17" s="1497" t="n"/>
      <c r="CM17" s="1495" t="n"/>
      <c r="CN17" s="1495" t="n"/>
      <c r="CO17" s="1495" t="n"/>
      <c r="CP17" s="1517" t="n"/>
      <c r="CQ17" s="1518" t="n"/>
      <c r="CR17" s="1517" t="n"/>
      <c r="CS17" s="1519" t="n"/>
      <c r="CT17" s="1519" t="n"/>
      <c r="CU17" s="1519" t="n"/>
      <c r="CV17" s="1520" t="n"/>
      <c r="CW17" s="1520" t="n"/>
      <c r="CX17" s="1520" t="n"/>
      <c r="CY17" s="1520">
        <f>IF(CX17&gt;0,CX17,IF(CW17&gt;0,CW17,6000000))</f>
        <v/>
      </c>
      <c r="CZ17" s="1521" t="n"/>
      <c r="DA17" s="1522" t="n"/>
      <c r="DB17" s="1521" t="n"/>
      <c r="DC17" s="1521" t="n"/>
      <c r="DD17" s="1487" t="n"/>
      <c r="DE17" s="1523" t="n"/>
      <c r="DF17" s="1497" t="n"/>
      <c r="DG17" s="212" t="n"/>
    </row>
    <row r="18">
      <c r="A18" s="1524" t="n"/>
      <c r="B18" s="1525" t="n"/>
      <c r="C18" s="1526" t="n"/>
      <c r="D18" s="1527" t="n"/>
      <c r="E18" s="1528" t="n"/>
      <c r="F18" s="1529">
        <f>SUM(F11:F17)</f>
        <v/>
      </c>
      <c r="G18" s="1530" t="n"/>
      <c r="H18" s="1531" t="n"/>
      <c r="I18" s="1532" t="n"/>
      <c r="J18" s="1532" t="n"/>
      <c r="K18" s="1533">
        <f>SUM(K11:K17)</f>
        <v/>
      </c>
      <c r="L18" s="1533">
        <f>SUM(L11:L17)</f>
        <v/>
      </c>
      <c r="M18" s="1534">
        <f>SUM(M11:M17)</f>
        <v/>
      </c>
      <c r="N18" s="1534">
        <f>SUM(N11:N17)</f>
        <v/>
      </c>
      <c r="O18" s="1533">
        <f>SUM(O11:O17)</f>
        <v/>
      </c>
      <c r="P18" s="1533">
        <f>SUM(P11:P17)</f>
        <v/>
      </c>
      <c r="Q18" s="1533">
        <f>SUM(Q11:Q17)</f>
        <v/>
      </c>
      <c r="R18" s="1533" t="n"/>
      <c r="S18" s="1533">
        <f>SUM(S11:S17)</f>
        <v/>
      </c>
      <c r="T18" s="1533">
        <f>SUM(T11:T17)</f>
        <v/>
      </c>
      <c r="U18" s="1533">
        <f>SUM(U11:U17)</f>
        <v/>
      </c>
      <c r="V18" s="1533">
        <f>SUM(V11:V17)</f>
        <v/>
      </c>
      <c r="W18" s="1533">
        <f>SUM(W11:W17)</f>
        <v/>
      </c>
      <c r="X18" s="1533">
        <f>SUM(X11:X17)</f>
        <v/>
      </c>
      <c r="Y18" s="1533">
        <f>SUM(Y11:Y17)</f>
        <v/>
      </c>
      <c r="Z18" s="1533">
        <f>SUM(Z11:Z17)</f>
        <v/>
      </c>
      <c r="AA18" s="1533">
        <f>SUM(AA11:AA17)</f>
        <v/>
      </c>
      <c r="AB18" s="1533">
        <f>SUM(AB11:AB17)</f>
        <v/>
      </c>
      <c r="AC18" s="1533">
        <f>SUM(AC11:AC17)</f>
        <v/>
      </c>
      <c r="AD18" s="1533">
        <f>SUM(AD11:AD17)</f>
        <v/>
      </c>
      <c r="AE18" s="1533">
        <f>SUM(AE11:AE17)</f>
        <v/>
      </c>
      <c r="AF18" s="1533">
        <f>SUM(AF11:AF17)</f>
        <v/>
      </c>
      <c r="AG18" s="1533">
        <f>SUM(AG11:AG17)</f>
        <v/>
      </c>
      <c r="AH18" s="1533">
        <f>SUM(AH11:AH17)</f>
        <v/>
      </c>
      <c r="AI18" s="1533">
        <f>SUM(AI11:AI17)</f>
        <v/>
      </c>
      <c r="AJ18" s="1533">
        <f>SUM(AJ11:AJ17)</f>
        <v/>
      </c>
      <c r="AK18" s="1533">
        <f>SUM(AK11:AK17)</f>
        <v/>
      </c>
      <c r="AL18" s="1533">
        <f>SUM(AL11:AL17)</f>
        <v/>
      </c>
      <c r="AM18" s="1533">
        <f>SUM(AM11:AM17)</f>
        <v/>
      </c>
      <c r="AN18" s="1533">
        <f>SUM(AN11:AN17)</f>
        <v/>
      </c>
      <c r="AO18" s="1533">
        <f>SUM(AO11:AO17)</f>
        <v/>
      </c>
      <c r="AP18" s="1533">
        <f>SUM(AP11:AP17)</f>
        <v/>
      </c>
      <c r="AQ18" s="1533">
        <f>SUM(AQ11:AQ17)</f>
        <v/>
      </c>
      <c r="AR18" s="1533">
        <f>SUM(AR11:AR17)</f>
        <v/>
      </c>
      <c r="AS18" s="1533">
        <f>SUM(AS11:AS17)</f>
        <v/>
      </c>
      <c r="AT18" s="1533">
        <f>SUM(AT11:AT17)</f>
        <v/>
      </c>
      <c r="AU18" s="1533">
        <f>SUM(AU11:AU17)</f>
        <v/>
      </c>
      <c r="AV18" s="1533">
        <f>SUM(AV11:AV17)</f>
        <v/>
      </c>
      <c r="AW18" s="1533">
        <f>SUM(AW11:AW17)</f>
        <v/>
      </c>
      <c r="AX18" s="1533">
        <f>SUM(AX11:AX17)</f>
        <v/>
      </c>
      <c r="AY18" s="1533">
        <f>SUM(AY11:AY17)</f>
        <v/>
      </c>
      <c r="AZ18" s="1533">
        <f>SUM(AZ11:AZ17)</f>
        <v/>
      </c>
      <c r="BA18" s="1533">
        <f>SUM(BA11:BA17)</f>
        <v/>
      </c>
      <c r="BB18" s="1533">
        <f>SUM(BB11:BB17)</f>
        <v/>
      </c>
      <c r="BC18" s="1533">
        <f>SUM(BC11:BC17)</f>
        <v/>
      </c>
      <c r="BD18" s="1533">
        <f>SUM(BD11:BD17)</f>
        <v/>
      </c>
      <c r="BE18" s="1533">
        <f>SUM(BE11:BE17)</f>
        <v/>
      </c>
      <c r="BF18" s="1533">
        <f>SUM(BF11:BF17)</f>
        <v/>
      </c>
      <c r="BG18" s="1533">
        <f>SUM(BG11:BG17)</f>
        <v/>
      </c>
      <c r="BH18" s="1533">
        <f>SUM(BH11:BH17)</f>
        <v/>
      </c>
      <c r="BI18" s="1533">
        <f>SUM(BI11:BI17)</f>
        <v/>
      </c>
      <c r="BJ18" s="1533">
        <f>SUM(BJ11:BJ17)</f>
        <v/>
      </c>
      <c r="BK18" s="1533">
        <f>SUM(BK11:BK17)</f>
        <v/>
      </c>
      <c r="BL18" s="1533">
        <f>SUM(BL11:BL17)</f>
        <v/>
      </c>
      <c r="BM18" s="1533">
        <f>SUM(BM11:BM17)</f>
        <v/>
      </c>
      <c r="BN18" s="1533">
        <f>SUM(BN11:BN17)</f>
        <v/>
      </c>
      <c r="BO18" s="1533">
        <f>SUM(BO11:BO17)</f>
        <v/>
      </c>
      <c r="BP18" s="1533">
        <f>SUM(BP11:BP17)</f>
        <v/>
      </c>
      <c r="BQ18" s="1533">
        <f>SUM(BQ11:BQ17)</f>
        <v/>
      </c>
      <c r="BR18" s="1533">
        <f>SUM(BR11:BR17)</f>
        <v/>
      </c>
      <c r="BS18" s="1533">
        <f>SUM(BS11:BS17)</f>
        <v/>
      </c>
      <c r="BT18" s="1533">
        <f>SUM(BT11:BT17)</f>
        <v/>
      </c>
      <c r="BU18" s="1533">
        <f>SUM(BU11:BU17)</f>
        <v/>
      </c>
      <c r="BV18" s="1533">
        <f>SUM(BV11:BV17)</f>
        <v/>
      </c>
      <c r="BW18" s="1533">
        <f>SUM(BW11:BW17)</f>
        <v/>
      </c>
      <c r="BX18" s="1533">
        <f>SUM(BX11:BX17)</f>
        <v/>
      </c>
      <c r="BY18" s="1533">
        <f>SUM(BY11:BY17)</f>
        <v/>
      </c>
      <c r="BZ18" s="1533">
        <f>SUM(BZ11:BZ17)</f>
        <v/>
      </c>
      <c r="CA18" s="1533">
        <f>SUM(CA11:CA17)</f>
        <v/>
      </c>
      <c r="CB18" s="1533">
        <f>SUM(CB11:CB17)</f>
        <v/>
      </c>
      <c r="CC18" s="1533">
        <f>SUM(CC11:CC17)</f>
        <v/>
      </c>
      <c r="CD18" s="1533">
        <f>SUM(CD11:CD17)</f>
        <v/>
      </c>
      <c r="CE18" s="1533">
        <f>SUM(CE11:CE17)</f>
        <v/>
      </c>
      <c r="CF18" s="1533">
        <f>SUM(CF11:CF17)</f>
        <v/>
      </c>
      <c r="CG18" s="1533">
        <f>SUM(CG11:CG17)</f>
        <v/>
      </c>
      <c r="CH18" s="1533" t="n"/>
      <c r="CI18" s="1533" t="n"/>
      <c r="CJ18" s="1533" t="n"/>
      <c r="CK18" s="1531" t="n"/>
      <c r="CL18" s="1533">
        <f>SUM(CL11:CL17)</f>
        <v/>
      </c>
      <c r="CM18" s="1531" t="n"/>
      <c r="CN18" s="1531" t="n"/>
      <c r="CO18" s="1531" t="n"/>
      <c r="CP18" s="1535" t="n"/>
      <c r="CQ18" s="1536" t="n"/>
      <c r="CR18" s="1535" t="n"/>
      <c r="CS18" s="1537" t="n"/>
      <c r="CT18" s="1537" t="n"/>
      <c r="CU18" s="1537" t="n"/>
      <c r="CV18" s="1538" t="n"/>
      <c r="CW18" s="1538" t="n"/>
      <c r="CX18" s="1538" t="n"/>
      <c r="CY18" s="1538" t="n"/>
      <c r="CZ18" s="1526" t="n"/>
      <c r="DA18" s="1539" t="n"/>
      <c r="DB18" s="1526" t="n"/>
      <c r="DC18" s="1526" t="n"/>
      <c r="DD18" s="1487" t="n"/>
      <c r="DE18" s="1523" t="n"/>
      <c r="DF18" s="1497" t="n"/>
      <c r="DG18" s="212" t="n"/>
    </row>
    <row r="19">
      <c r="A19" s="230" t="n">
        <v>8</v>
      </c>
      <c r="B19" s="1376" t="n">
        <v>8</v>
      </c>
      <c r="C19" s="176" t="inlineStr">
        <is>
          <t>Ngo Thi Thanh Tham</t>
        </is>
      </c>
      <c r="D19" s="250" t="inlineStr">
        <is>
          <t>Ngô Thị Thanh Thắm</t>
        </is>
      </c>
      <c r="E19" s="1492">
        <f>IF(OR(G19="CHT",G19="DSBC",G19="DSXC"),"HĐLĐ",IF(OR(G19="DSTV",G19="Q.CHT"),"HĐTV","HĐCTV"))</f>
        <v/>
      </c>
      <c r="F19" s="1493" t="inlineStr">
        <is>
          <t>Đỗ Quang Đẩu</t>
        </is>
      </c>
      <c r="G19" s="1494" t="inlineStr">
        <is>
          <t>CHT</t>
        </is>
      </c>
      <c r="H19" s="1495" t="n">
        <v>45524</v>
      </c>
      <c r="I19" s="1496" t="inlineStr">
        <is>
          <t>0431000219840</t>
        </is>
      </c>
      <c r="J19" s="1496" t="inlineStr">
        <is>
          <t>Vietcombank</t>
        </is>
      </c>
      <c r="K19" s="1497" t="n">
        <v>28</v>
      </c>
      <c r="L19" s="1497" t="n">
        <v>23</v>
      </c>
      <c r="M19" s="1497" t="n">
        <v>183.01</v>
      </c>
      <c r="N19" s="1497" t="n">
        <v>0</v>
      </c>
      <c r="O19" s="1497" t="n">
        <v>0</v>
      </c>
      <c r="P19" s="232" t="n"/>
      <c r="Q19" s="1497" t="n"/>
      <c r="R19" s="1498" t="n"/>
      <c r="S19" s="1499">
        <f>IF(E19="HĐLĐ",5310000,0)</f>
        <v/>
      </c>
      <c r="T19" s="1500" t="n">
        <v>410714.2857142857</v>
      </c>
      <c r="U19" s="1501" t="n"/>
      <c r="V19" s="232" t="n"/>
      <c r="W19" s="232" t="n"/>
      <c r="X19" s="232" t="n"/>
      <c r="Y19" s="232" t="n"/>
      <c r="Z19" s="232" t="n"/>
      <c r="AA19" s="1497" t="n">
        <v>0</v>
      </c>
      <c r="AB19" s="1497" t="n">
        <v>0</v>
      </c>
      <c r="AC19" s="1499" t="n">
        <v>6000000</v>
      </c>
      <c r="AD19" s="232" t="n"/>
      <c r="AE19" s="232" t="n"/>
      <c r="AF19" s="232" t="n"/>
      <c r="AG19" s="1502">
        <f>IF(E19="HĐTV",AE19/28/8*M19,AC19/28/8*M19)</f>
        <v/>
      </c>
      <c r="AH19" s="1499">
        <f>IF(E19="HĐTV",AE19/28/8*N19*1.5,AC19/28/8*N19*1.5)</f>
        <v/>
      </c>
      <c r="AI19" s="232" t="n">
        <v>0</v>
      </c>
      <c r="AJ19" s="232" t="n">
        <v>0</v>
      </c>
      <c r="AK19" s="232" t="n">
        <v>0</v>
      </c>
      <c r="AL19" s="1497" t="inlineStr">
        <is>
          <t>2,000,000</t>
        </is>
      </c>
      <c r="AM19" s="1497" t="n">
        <v>0</v>
      </c>
      <c r="AN19" s="1497" t="n">
        <v>0</v>
      </c>
      <c r="AO19" s="1497" t="n">
        <v>0</v>
      </c>
      <c r="AP19" s="1497" t="n">
        <v>688400</v>
      </c>
      <c r="AQ19" s="1497" t="n">
        <v>14067</v>
      </c>
      <c r="AR19" s="1497" t="n">
        <v>0</v>
      </c>
      <c r="AS19" s="1497" t="n">
        <v>1000000</v>
      </c>
      <c r="AT19" s="1497" t="n">
        <v>0</v>
      </c>
      <c r="AU19" s="1497" t="n">
        <v>0</v>
      </c>
      <c r="AV19" s="1497" t="n">
        <v>2681852</v>
      </c>
      <c r="AW19" s="1497" t="n">
        <v>0</v>
      </c>
      <c r="AX19" s="1497" t="n">
        <v>0</v>
      </c>
      <c r="AY19" s="232" t="n">
        <v>0</v>
      </c>
      <c r="AZ19" s="1499" t="n">
        <v>0</v>
      </c>
      <c r="BA19" s="1503" t="n">
        <v>0</v>
      </c>
      <c r="BB19" s="1497" t="n">
        <v>0</v>
      </c>
      <c r="BC19" s="1497" t="n">
        <v>0</v>
      </c>
      <c r="BD19" s="1497" t="n">
        <v>0</v>
      </c>
      <c r="BE19" s="1497" t="n">
        <v>0</v>
      </c>
      <c r="BF19" s="1497" t="n">
        <v>0</v>
      </c>
      <c r="BG19" s="1497" t="n">
        <v>0</v>
      </c>
      <c r="BH19" s="1504">
        <f>SUM(T19:AB19)+SUM(AF19:BA19)-SUM(BB19:BG19)</f>
        <v/>
      </c>
      <c r="BI19" s="1505">
        <f>S19*17.5%</f>
        <v/>
      </c>
      <c r="BJ19" s="1505">
        <f>S19*3%</f>
        <v/>
      </c>
      <c r="BK19" s="1505">
        <f>S19*1%</f>
        <v/>
      </c>
      <c r="BL19" s="1506" t="n"/>
      <c r="BM19" s="1507">
        <f>SUM(BI19:BL19)</f>
        <v/>
      </c>
      <c r="BN19" s="1505">
        <f>S19*8%</f>
        <v/>
      </c>
      <c r="BO19" s="1505">
        <f>S19*1.5%</f>
        <v/>
      </c>
      <c r="BP19" s="1505">
        <f>S19*1%</f>
        <v/>
      </c>
      <c r="BQ19" s="1506" t="n"/>
      <c r="BR19" s="1507">
        <f>SUM(BN19:BQ19)</f>
        <v/>
      </c>
      <c r="BS19" s="1505">
        <f>T19+U19+V19+W19</f>
        <v/>
      </c>
      <c r="BT19" s="1508">
        <f>BH19-BS19-AH19</f>
        <v/>
      </c>
      <c r="BU19" s="1505">
        <f>IF(E19="HĐLĐ",15500000,0)</f>
        <v/>
      </c>
      <c r="BV19" s="1509" t="n">
        <v>0</v>
      </c>
      <c r="BW19" s="1505">
        <f>BV19*6200000</f>
        <v/>
      </c>
      <c r="BX19" s="1505">
        <f>BR19</f>
        <v/>
      </c>
      <c r="BY19" s="1510">
        <f>BU19+BW19+BX19</f>
        <v/>
      </c>
      <c r="BZ19" s="1505">
        <f>IF(BT19-BY19&gt;0,BT19-BY19,0)</f>
        <v/>
      </c>
      <c r="CA19" s="1506">
        <f>IF(AND(OR($E19="HĐTV",$E19="HĐCTV"),$BZ19&lt;2000000),0,IF(OR($E19="HĐTV",$E19="HĐCTV"),$BZ19*10%,ROUND(IF($BZ19&lt;=10000000,$BZ19*5%,IF($BZ19&lt;=30000000,$BZ19*10%-500000,IF($BZ19&lt;=60000000,$BZ19*20%-3500000,IF($BZ19&lt;=100000000,$BZ19*30%-9500000,$BZ19*35%-14500000)))),0)))</f>
        <v/>
      </c>
      <c r="CB19" s="1511">
        <f>ROUND(BH19-BR19-CA19,0)</f>
        <v/>
      </c>
      <c r="CC19" s="1509" t="n"/>
      <c r="CD19" s="1512" t="n">
        <v>0</v>
      </c>
      <c r="CE19" s="1513">
        <f>CB19+CC19-CD19</f>
        <v/>
      </c>
      <c r="CF19" s="1514">
        <f>CE19-CG19</f>
        <v/>
      </c>
      <c r="CG19" s="1514">
        <f>CE19</f>
        <v/>
      </c>
      <c r="CH19" s="1515" t="n"/>
      <c r="CI19" s="1516" t="inlineStr">
        <is>
          <t>tham.ngo@medigoapp.com</t>
        </is>
      </c>
      <c r="CJ19" s="1497" t="n">
        <v>0</v>
      </c>
      <c r="CK19" s="1495" t="n">
        <v>12</v>
      </c>
      <c r="CL19" s="1497" t="n">
        <v>0</v>
      </c>
      <c r="CM19" s="1495" t="n">
        <v>20</v>
      </c>
      <c r="CN19" s="1495" t="n">
        <v>8</v>
      </c>
      <c r="CO19" s="1495" t="n">
        <v>2024</v>
      </c>
      <c r="CP19" s="1517">
        <f>IF((($CO$7-CO19)*12)+($CN$7-CN19)&gt;=12,((($CO$7-CO19)*12)+($CN$7-CN19))-1,0)</f>
        <v/>
      </c>
      <c r="CQ19" s="1518">
        <f>IF(CP19&lt;12,(($CQ$7-CO19)*12)+($CP$7-CN19),0)</f>
        <v/>
      </c>
      <c r="CR19" s="1517">
        <f>IF(OR(CP19&gt;12,CP19=12),((CP19-(CS19*12))+((($CQ$7-2024)*12)+($CP$7-4)))+1,0)</f>
        <v/>
      </c>
      <c r="CS19" s="1519">
        <f>IF(OR(CP19&gt;12,CP19=12),ROUNDDOWN(CP19/12,0),0)</f>
        <v/>
      </c>
      <c r="CT19" s="1519">
        <f>IF(CQ19&gt;11,ROUNDDOWN(CQ19/12,0),0)</f>
        <v/>
      </c>
      <c r="CU19" s="1519">
        <f>IF(CR19&gt;11,ROUNDDOWN(CR19/12,0),0)</f>
        <v/>
      </c>
      <c r="CV19" s="1520">
        <f>IF(CP19=0,0,6000000*1.07^CS19)</f>
        <v/>
      </c>
      <c r="CW19" s="1520">
        <f>IF(CT19&lt;2,0,6000000+(CT19-1)*500000)</f>
        <v/>
      </c>
      <c r="CX19" s="1520">
        <f>IF(CU19=0,CV19,IF(CU19&lt;1,0,CV19+CU19*500000))</f>
        <v/>
      </c>
      <c r="CY19" s="1520">
        <f>IF(CX19&gt;0,CX19,IF(CW19&gt;0,CW19,6000000))</f>
        <v/>
      </c>
      <c r="CZ19" s="1521" t="n"/>
      <c r="DA19" s="1522" t="n"/>
      <c r="DB19" s="1521" t="n"/>
      <c r="DC19" s="1521" t="n"/>
      <c r="DD19" s="1487" t="n"/>
      <c r="DE19" s="1523" t="n"/>
      <c r="DF19" s="1497" t="n"/>
      <c r="DG19" s="212" t="n"/>
    </row>
    <row r="20">
      <c r="A20" s="230" t="n">
        <v>9</v>
      </c>
      <c r="B20" s="1376" t="n">
        <v>8</v>
      </c>
      <c r="C20" s="176" t="inlineStr">
        <is>
          <t>Duong Thi Huynh Nhu</t>
        </is>
      </c>
      <c r="D20" s="250" t="inlineStr">
        <is>
          <t>Dương Thị Huỳnh Như</t>
        </is>
      </c>
      <c r="E20" s="1492">
        <f>IF(OR(G20="CHT",G20="DSBC",G20="DSXC"),"HĐLĐ",IF(OR(G20="DSTV",G20="Q.CHT"),"HĐTV","HĐCTV"))</f>
        <v/>
      </c>
      <c r="F20" s="1493" t="inlineStr">
        <is>
          <t>Đỗ Quang Đẩu</t>
        </is>
      </c>
      <c r="G20" s="1494" t="inlineStr">
        <is>
          <t>DSTV</t>
        </is>
      </c>
      <c r="H20" s="1495" t="inlineStr">
        <is>
          <t>28/07/2026</t>
        </is>
      </c>
      <c r="I20" s="1496" t="inlineStr">
        <is>
          <t>023704070008223</t>
        </is>
      </c>
      <c r="J20" s="1496" t="inlineStr">
        <is>
          <t>HD Bank</t>
        </is>
      </c>
      <c r="K20" s="1497" t="n">
        <v>28</v>
      </c>
      <c r="L20" s="1497" t="n">
        <v>4</v>
      </c>
      <c r="M20" s="1497" t="n">
        <v>32.49</v>
      </c>
      <c r="N20" s="1497" t="n">
        <v>0</v>
      </c>
      <c r="O20" s="1497" t="n">
        <v>0</v>
      </c>
      <c r="P20" s="232" t="n"/>
      <c r="Q20" s="1497" t="n"/>
      <c r="R20" s="1498" t="n"/>
      <c r="S20" s="1499">
        <f>IF(E20="HĐLĐ",5310000,0)</f>
        <v/>
      </c>
      <c r="T20" s="1500" t="n">
        <v>71428.57142857143</v>
      </c>
      <c r="U20" s="1501" t="n"/>
      <c r="V20" s="232" t="n"/>
      <c r="W20" s="232" t="n"/>
      <c r="X20" s="232" t="n"/>
      <c r="Y20" s="232" t="n"/>
      <c r="Z20" s="232" t="n"/>
      <c r="AA20" s="1497" t="n">
        <v>0</v>
      </c>
      <c r="AB20" s="1497" t="n">
        <v>0</v>
      </c>
      <c r="AC20" s="1499" t="n">
        <v>6000000</v>
      </c>
      <c r="AD20" s="232">
        <f>AC20</f>
        <v/>
      </c>
      <c r="AE20" s="232" t="n">
        <v>6000000</v>
      </c>
      <c r="AF20" s="232">
        <f>IF(E20="HĐTV",AE20/K20*L20,AD20/K20*L20)</f>
        <v/>
      </c>
      <c r="AG20" s="1502">
        <f>IF(E20="HĐTV",AE20/28/8*M20,AC20/28/8*M20)</f>
        <v/>
      </c>
      <c r="AH20" s="1499">
        <f>IF(E20="HĐTV",AE20/28/8*N20*1.5,AC20/28/8*N20*1.5)</f>
        <v/>
      </c>
      <c r="AI20" s="232" t="n">
        <v>0</v>
      </c>
      <c r="AJ20" s="232" t="n">
        <v>0</v>
      </c>
      <c r="AK20" s="232" t="n">
        <v>0</v>
      </c>
      <c r="AL20" s="1497" t="n">
        <v>0</v>
      </c>
      <c r="AM20" s="1497" t="n">
        <v>0</v>
      </c>
      <c r="AN20" s="1497" t="n">
        <v>0</v>
      </c>
      <c r="AO20" s="1497" t="n">
        <v>0</v>
      </c>
      <c r="AP20" s="1497" t="n">
        <v>0</v>
      </c>
      <c r="AQ20" s="1497" t="n">
        <v>0</v>
      </c>
      <c r="AR20" s="1497" t="n">
        <v>0</v>
      </c>
      <c r="AS20" s="1497" t="n">
        <v>0</v>
      </c>
      <c r="AT20" s="1497" t="n">
        <v>0</v>
      </c>
      <c r="AU20" s="1497" t="n">
        <v>0</v>
      </c>
      <c r="AV20" s="1497" t="n">
        <v>0</v>
      </c>
      <c r="AW20" s="1497" t="n">
        <v>0</v>
      </c>
      <c r="AX20" s="1497" t="n">
        <v>0</v>
      </c>
      <c r="AY20" s="232" t="n">
        <v>0</v>
      </c>
      <c r="AZ20" s="1499" t="n">
        <v>0</v>
      </c>
      <c r="BA20" s="1503" t="n">
        <v>0</v>
      </c>
      <c r="BB20" s="1497" t="n">
        <v>0</v>
      </c>
      <c r="BC20" s="1497" t="n">
        <v>0</v>
      </c>
      <c r="BD20" s="1497" t="n">
        <v>0</v>
      </c>
      <c r="BE20" s="1497" t="n">
        <v>0</v>
      </c>
      <c r="BF20" s="1497" t="n">
        <v>0</v>
      </c>
      <c r="BG20" s="1497" t="n">
        <v>0</v>
      </c>
      <c r="BH20" s="1504">
        <f>SUM(T20:AB20)+SUM(AF20:BA20)-SUM(BB20:BG20)</f>
        <v/>
      </c>
      <c r="BI20" s="1505">
        <f>S20*17.5%</f>
        <v/>
      </c>
      <c r="BJ20" s="1505">
        <f>S20*3%</f>
        <v/>
      </c>
      <c r="BK20" s="1505">
        <f>S20*1%</f>
        <v/>
      </c>
      <c r="BL20" s="1506" t="n"/>
      <c r="BM20" s="1507">
        <f>SUM(BI20:BL20)</f>
        <v/>
      </c>
      <c r="BN20" s="1505">
        <f>S20*8%</f>
        <v/>
      </c>
      <c r="BO20" s="1505">
        <f>S20*1.5%</f>
        <v/>
      </c>
      <c r="BP20" s="1505">
        <f>S20*1%</f>
        <v/>
      </c>
      <c r="BQ20" s="1506" t="n"/>
      <c r="BR20" s="1507">
        <f>SUM(BN20:BQ20)</f>
        <v/>
      </c>
      <c r="BS20" s="1505">
        <f>T20+U20+V20+W20</f>
        <v/>
      </c>
      <c r="BT20" s="1508">
        <f>BH20-BS20-AH20</f>
        <v/>
      </c>
      <c r="BU20" s="1505">
        <f>IF(E20="HĐLĐ",15500000,0)</f>
        <v/>
      </c>
      <c r="BV20" s="1509" t="n">
        <v>0</v>
      </c>
      <c r="BW20" s="1505">
        <f>BV20*6200000</f>
        <v/>
      </c>
      <c r="BX20" s="1505">
        <f>BR20</f>
        <v/>
      </c>
      <c r="BY20" s="1510">
        <f>BU20+BW20+BX20</f>
        <v/>
      </c>
      <c r="BZ20" s="1505">
        <f>IF(BT20-BY20&gt;0,BT20-BY20,0)</f>
        <v/>
      </c>
      <c r="CA20" s="1506">
        <f>IF(AND(OR($E20="HĐTV",$E20="HĐCTV"),$BZ20&lt;2000000),0,IF(OR($E20="HĐTV",$E20="HĐCTV"),$BZ20*10%,ROUND(IF($BZ20&lt;=10000000,$BZ20*5%,IF($BZ20&lt;=30000000,$BZ20*10%-500000,IF($BZ20&lt;=60000000,$BZ20*20%-3500000,IF($BZ20&lt;=100000000,$BZ20*30%-9500000,$BZ20*35%-14500000)))),0)))</f>
        <v/>
      </c>
      <c r="CB20" s="1511">
        <f>ROUND(BH20-BR20-CA20,0)</f>
        <v/>
      </c>
      <c r="CC20" s="1509" t="n"/>
      <c r="CD20" s="1512" t="n">
        <v>0</v>
      </c>
      <c r="CE20" s="1513">
        <f>CB20+CC20-CD20</f>
        <v/>
      </c>
      <c r="CF20" s="1514">
        <f>CE20-CG20</f>
        <v/>
      </c>
      <c r="CG20" s="1514">
        <f>CE20</f>
        <v/>
      </c>
      <c r="CH20" s="1515" t="n"/>
      <c r="CI20" s="1516" t="inlineStr">
        <is>
          <t>nhu.duong@medigoapp.com</t>
        </is>
      </c>
      <c r="CJ20" s="1497" t="n"/>
      <c r="CK20" s="1495" t="n">
        <v>9</v>
      </c>
      <c r="CL20" s="1497" t="n"/>
      <c r="CM20" s="1495" t="n"/>
      <c r="CN20" s="1495" t="n"/>
      <c r="CO20" s="1495" t="n"/>
      <c r="CP20" s="1517" t="n"/>
      <c r="CQ20" s="1518" t="n"/>
      <c r="CR20" s="1517" t="n"/>
      <c r="CS20" s="1519" t="n"/>
      <c r="CT20" s="1519" t="n"/>
      <c r="CU20" s="1519" t="n"/>
      <c r="CV20" s="1520" t="n"/>
      <c r="CW20" s="1520" t="n"/>
      <c r="CX20" s="1520" t="n"/>
      <c r="CY20" s="1520">
        <f>IF(CX20&gt;0,CX20,IF(CW20&gt;0,CW20,6000000))</f>
        <v/>
      </c>
      <c r="CZ20" s="1521" t="n"/>
      <c r="DA20" s="1522" t="n"/>
      <c r="DB20" s="1521" t="n"/>
      <c r="DC20" s="1521" t="n"/>
      <c r="DD20" s="1487" t="n"/>
      <c r="DE20" s="1523" t="n"/>
      <c r="DF20" s="1497" t="n"/>
      <c r="DG20" s="212" t="n"/>
    </row>
    <row r="21">
      <c r="A21" s="230" t="n">
        <v>10</v>
      </c>
      <c r="B21" s="1376" t="n">
        <v>8</v>
      </c>
      <c r="C21" s="176" t="inlineStr">
        <is>
          <t>Pham Thi Nghia Huong</t>
        </is>
      </c>
      <c r="D21" s="250" t="inlineStr">
        <is>
          <t>Phạm Thị Nghĩa Hương</t>
        </is>
      </c>
      <c r="E21" s="1492">
        <f>IF(OR(G21="CHT",G21="DSBC",G21="DSXC"),"HĐLĐ",IF(OR(G21="DSTV",G21="Q.CHT"),"HĐTV","HĐCTV"))</f>
        <v/>
      </c>
      <c r="F21" s="1493" t="inlineStr">
        <is>
          <t>Đỗ Quang Đẩu</t>
        </is>
      </c>
      <c r="G21" s="1494" t="inlineStr">
        <is>
          <t>DSBC</t>
        </is>
      </c>
      <c r="H21" s="1495" t="n">
        <v>45575</v>
      </c>
      <c r="I21" s="1496" t="inlineStr">
        <is>
          <t>0968249073</t>
        </is>
      </c>
      <c r="J21" s="1496" t="inlineStr">
        <is>
          <t>Mb bank</t>
        </is>
      </c>
      <c r="K21" s="1497" t="n">
        <v>28</v>
      </c>
      <c r="L21" s="1497" t="n">
        <v>29</v>
      </c>
      <c r="M21" s="1497" t="n">
        <v>11.02</v>
      </c>
      <c r="N21" s="1497" t="n">
        <v>230.26</v>
      </c>
      <c r="O21" s="1497" t="n">
        <v>8</v>
      </c>
      <c r="P21" s="232" t="n"/>
      <c r="Q21" s="1497" t="n"/>
      <c r="R21" s="1498" t="n"/>
      <c r="S21" s="1499">
        <f>IF(E21="HĐLĐ",5310000,0)</f>
        <v/>
      </c>
      <c r="T21" s="1500" t="n">
        <v>500000</v>
      </c>
      <c r="U21" s="1501" t="n"/>
      <c r="V21" s="232" t="n"/>
      <c r="W21" s="232" t="n"/>
      <c r="X21" s="232" t="n"/>
      <c r="Y21" s="232" t="n"/>
      <c r="Z21" s="232" t="n"/>
      <c r="AA21" s="1497" t="n">
        <v>0</v>
      </c>
      <c r="AB21" s="1497" t="n">
        <v>0</v>
      </c>
      <c r="AC21" s="1499" t="n">
        <v>6000000</v>
      </c>
      <c r="AD21" s="232" t="n"/>
      <c r="AE21" s="232" t="n"/>
      <c r="AF21" s="232" t="n"/>
      <c r="AG21" s="1502">
        <f>IF(E21="HĐTV",AE21/28/8*M21,AC21/28/8*M21)</f>
        <v/>
      </c>
      <c r="AH21" s="1499">
        <f>IF(E21="HĐTV",AE21/28/8*N21*1.5,AC21/28/8*N21*1.5)</f>
        <v/>
      </c>
      <c r="AI21" s="232" t="n">
        <v>1500000</v>
      </c>
      <c r="AJ21" s="232" t="n">
        <v>0</v>
      </c>
      <c r="AK21" s="232" t="n">
        <v>0</v>
      </c>
      <c r="AL21" s="1497" t="n">
        <v>0</v>
      </c>
      <c r="AM21" s="1497" t="n">
        <v>0</v>
      </c>
      <c r="AN21" s="1497" t="n">
        <v>0</v>
      </c>
      <c r="AO21" s="1497" t="n">
        <v>0</v>
      </c>
      <c r="AP21" s="1497" t="n">
        <v>629100</v>
      </c>
      <c r="AQ21" s="1497" t="n">
        <v>7550</v>
      </c>
      <c r="AR21" s="1497" t="n">
        <v>0</v>
      </c>
      <c r="AS21" s="1497" t="n">
        <v>0</v>
      </c>
      <c r="AT21" s="1497" t="n">
        <v>0</v>
      </c>
      <c r="AU21" s="1497" t="n">
        <v>0</v>
      </c>
      <c r="AV21" s="1497" t="n">
        <v>340044</v>
      </c>
      <c r="AW21" s="1497" t="n">
        <v>0</v>
      </c>
      <c r="AX21" s="1497" t="n">
        <v>0</v>
      </c>
      <c r="AY21" s="232" t="n">
        <v>0</v>
      </c>
      <c r="AZ21" s="1499" t="n">
        <v>0</v>
      </c>
      <c r="BA21" s="1503" t="n">
        <v>0</v>
      </c>
      <c r="BB21" s="1497" t="n">
        <v>0</v>
      </c>
      <c r="BC21" s="1497" t="n">
        <v>0</v>
      </c>
      <c r="BD21" s="1497" t="n">
        <v>100000</v>
      </c>
      <c r="BE21" s="1497" t="n">
        <v>0</v>
      </c>
      <c r="BF21" s="1497" t="n">
        <v>0</v>
      </c>
      <c r="BG21" s="1497" t="n">
        <v>0</v>
      </c>
      <c r="BH21" s="1504">
        <f>SUM(T21:AB21)+SUM(AF21:BA21)-SUM(BB21:BG21)</f>
        <v/>
      </c>
      <c r="BI21" s="1505">
        <f>S21*17.5%</f>
        <v/>
      </c>
      <c r="BJ21" s="1505">
        <f>S21*3%</f>
        <v/>
      </c>
      <c r="BK21" s="1505">
        <f>S21*1%</f>
        <v/>
      </c>
      <c r="BL21" s="1506" t="n"/>
      <c r="BM21" s="1507">
        <f>SUM(BI21:BL21)</f>
        <v/>
      </c>
      <c r="BN21" s="1505">
        <f>S21*8%</f>
        <v/>
      </c>
      <c r="BO21" s="1505">
        <f>S21*1.5%</f>
        <v/>
      </c>
      <c r="BP21" s="1505">
        <f>S21*1%</f>
        <v/>
      </c>
      <c r="BQ21" s="1506" t="n"/>
      <c r="BR21" s="1507">
        <f>SUM(BN21:BQ21)</f>
        <v/>
      </c>
      <c r="BS21" s="1505">
        <f>T21+U21+V21+W21</f>
        <v/>
      </c>
      <c r="BT21" s="1508">
        <f>BH21-BS21-AH21</f>
        <v/>
      </c>
      <c r="BU21" s="1505">
        <f>IF(E21="HĐLĐ",15500000,0)</f>
        <v/>
      </c>
      <c r="BV21" s="1509" t="n">
        <v>0</v>
      </c>
      <c r="BW21" s="1505">
        <f>BV21*6200000</f>
        <v/>
      </c>
      <c r="BX21" s="1505">
        <f>BR21</f>
        <v/>
      </c>
      <c r="BY21" s="1510">
        <f>BU21+BW21+BX21</f>
        <v/>
      </c>
      <c r="BZ21" s="1505">
        <f>IF(BT21-BY21&gt;0,BT21-BY21,0)</f>
        <v/>
      </c>
      <c r="CA21" s="1506">
        <f>IF(AND(OR($E21="HĐTV",$E21="HĐCTV"),$BZ21&lt;2000000),0,IF(OR($E21="HĐTV",$E21="HĐCTV"),$BZ21*10%,ROUND(IF($BZ21&lt;=10000000,$BZ21*5%,IF($BZ21&lt;=30000000,$BZ21*10%-500000,IF($BZ21&lt;=60000000,$BZ21*20%-3500000,IF($BZ21&lt;=100000000,$BZ21*30%-9500000,$BZ21*35%-14500000)))),0)))</f>
        <v/>
      </c>
      <c r="CB21" s="1511">
        <f>ROUND(BH21-BR21-CA21,0)</f>
        <v/>
      </c>
      <c r="CC21" s="1509" t="n"/>
      <c r="CD21" s="1512" t="n">
        <v>0</v>
      </c>
      <c r="CE21" s="1513">
        <f>CB21+CC21-CD21</f>
        <v/>
      </c>
      <c r="CF21" s="1514">
        <f>CE21-CG21</f>
        <v/>
      </c>
      <c r="CG21" s="1514">
        <f>CE21</f>
        <v/>
      </c>
      <c r="CH21" s="1515" t="n"/>
      <c r="CI21" s="1516" t="inlineStr">
        <is>
          <t>huong.pham@medigoapp.com</t>
        </is>
      </c>
      <c r="CJ21" s="1497" t="n">
        <v>0</v>
      </c>
      <c r="CK21" s="1495" t="n">
        <v>10</v>
      </c>
      <c r="CL21" s="1497" t="n">
        <v>0</v>
      </c>
      <c r="CM21" s="1495" t="n">
        <v>10</v>
      </c>
      <c r="CN21" s="1495" t="n">
        <v>10</v>
      </c>
      <c r="CO21" s="1495" t="n">
        <v>2024</v>
      </c>
      <c r="CP21" s="1517" t="n">
        <v>0</v>
      </c>
      <c r="CQ21" s="1518" t="n">
        <v>17</v>
      </c>
      <c r="CR21" s="1517">
        <f>IF(OR(CP21&gt;12,CP21=12),((CP21-(CS21*12))+((($CQ$7-2024)*12)+($CP$7-4)))+1,0)</f>
        <v/>
      </c>
      <c r="CS21" s="1519" t="n">
        <v>0</v>
      </c>
      <c r="CT21" s="1519" t="n">
        <v>1</v>
      </c>
      <c r="CU21" s="1519" t="n">
        <v>0</v>
      </c>
      <c r="CV21" s="1520" t="n">
        <v>0</v>
      </c>
      <c r="CW21" s="1520" t="n">
        <v>0</v>
      </c>
      <c r="CX21" s="1520" t="n">
        <v>0</v>
      </c>
      <c r="CY21" s="1520">
        <f>IF(CX21&gt;0,CX21,IF(CW21&gt;0,CW21,6000000))</f>
        <v/>
      </c>
      <c r="CZ21" s="1521" t="n"/>
      <c r="DA21" s="1522" t="n"/>
      <c r="DB21" s="1521" t="n"/>
      <c r="DC21" s="1521" t="n"/>
      <c r="DD21" s="1487" t="n"/>
      <c r="DE21" s="1523" t="n"/>
      <c r="DF21" s="1497" t="n"/>
      <c r="DG21" s="212" t="n"/>
    </row>
    <row r="22">
      <c r="A22" s="230" t="n">
        <v>11</v>
      </c>
      <c r="B22" s="1376" t="n">
        <v>8</v>
      </c>
      <c r="C22" s="176" t="inlineStr">
        <is>
          <t>Tran Thien Phat</t>
        </is>
      </c>
      <c r="D22" s="250" t="inlineStr">
        <is>
          <t>Trần Thiên Phát</t>
        </is>
      </c>
      <c r="E22" s="1492">
        <f>IF(OR(G22="CHT",G22="DSBC",G22="DSXC"),"HĐLĐ",IF(OR(G22="DSTV",G22="Q.CHT"),"HĐTV","HĐCTV"))</f>
        <v/>
      </c>
      <c r="F22" s="1493" t="inlineStr">
        <is>
          <t>Đỗ Quang Đẩu</t>
        </is>
      </c>
      <c r="G22" s="1494" t="inlineStr">
        <is>
          <t>DSBC</t>
        </is>
      </c>
      <c r="H22" s="1495" t="inlineStr">
        <is>
          <t>21/07/2025</t>
        </is>
      </c>
      <c r="I22" s="1496" t="inlineStr">
        <is>
          <t>0345611564</t>
        </is>
      </c>
      <c r="J22" s="1496" t="inlineStr">
        <is>
          <t>Mbbank</t>
        </is>
      </c>
      <c r="K22" s="1497" t="n">
        <v>28</v>
      </c>
      <c r="L22" s="1497" t="n">
        <v>31</v>
      </c>
      <c r="M22" s="1497" t="n">
        <v>16</v>
      </c>
      <c r="N22" s="1497" t="n">
        <v>245.44</v>
      </c>
      <c r="O22" s="1497" t="n">
        <v>16</v>
      </c>
      <c r="P22" s="232" t="n"/>
      <c r="Q22" s="1497" t="n"/>
      <c r="R22" s="1498" t="n"/>
      <c r="S22" s="1499">
        <f>IF(E22="HĐLĐ",5310000,0)</f>
        <v/>
      </c>
      <c r="T22" s="1500" t="n">
        <v>500000</v>
      </c>
      <c r="U22" s="1501" t="n"/>
      <c r="V22" s="232" t="n"/>
      <c r="W22" s="232" t="n"/>
      <c r="X22" s="232" t="n"/>
      <c r="Y22" s="232" t="n"/>
      <c r="Z22" s="232" t="n"/>
      <c r="AA22" s="1497" t="n">
        <v>0</v>
      </c>
      <c r="AB22" s="1497" t="n">
        <v>0</v>
      </c>
      <c r="AC22" s="1499" t="n">
        <v>6000000</v>
      </c>
      <c r="AD22" s="232" t="n"/>
      <c r="AE22" s="232" t="n"/>
      <c r="AF22" s="232" t="n"/>
      <c r="AG22" s="1502">
        <f>IF(E22="HĐTV",AE22/28/8*M22,AC22/28/8*M22)</f>
        <v/>
      </c>
      <c r="AH22" s="1499">
        <f>IF(E22="HĐTV",AE22/28/8*N22*1.5,AC22/28/8*N22*1.5)</f>
        <v/>
      </c>
      <c r="AI22" s="232" t="n">
        <v>1500000</v>
      </c>
      <c r="AJ22" s="232" t="n">
        <v>0</v>
      </c>
      <c r="AK22" s="232" t="n">
        <v>0</v>
      </c>
      <c r="AL22" s="1497" t="n">
        <v>0</v>
      </c>
      <c r="AM22" s="1497" t="n">
        <v>0</v>
      </c>
      <c r="AN22" s="1497" t="n">
        <v>0</v>
      </c>
      <c r="AO22" s="1497" t="n">
        <v>0</v>
      </c>
      <c r="AP22" s="1497" t="n">
        <v>867600</v>
      </c>
      <c r="AQ22" s="1497" t="n">
        <v>4035</v>
      </c>
      <c r="AR22" s="1497" t="n">
        <v>0</v>
      </c>
      <c r="AS22" s="1497" t="n">
        <v>0</v>
      </c>
      <c r="AT22" s="1497" t="n">
        <v>0</v>
      </c>
      <c r="AU22" s="1497" t="n">
        <v>0</v>
      </c>
      <c r="AV22" s="1497" t="n">
        <v>375112</v>
      </c>
      <c r="AW22" s="1497" t="n">
        <v>0</v>
      </c>
      <c r="AX22" s="1497" t="n">
        <v>0</v>
      </c>
      <c r="AY22" s="232" t="n">
        <v>0</v>
      </c>
      <c r="AZ22" s="1499" t="n">
        <v>100000</v>
      </c>
      <c r="BA22" s="1503" t="n">
        <v>100000</v>
      </c>
      <c r="BB22" s="1497" t="n">
        <v>0</v>
      </c>
      <c r="BC22" s="1497" t="n">
        <v>0</v>
      </c>
      <c r="BD22" s="1497" t="n">
        <v>0</v>
      </c>
      <c r="BE22" s="1497" t="n">
        <v>0</v>
      </c>
      <c r="BF22" s="1497" t="n">
        <v>0</v>
      </c>
      <c r="BG22" s="1497" t="n">
        <v>0</v>
      </c>
      <c r="BH22" s="1504">
        <f>SUM(T22:AB22)+SUM(AF22:BA22)-SUM(BB22:BG22)</f>
        <v/>
      </c>
      <c r="BI22" s="1505">
        <f>S22*17.5%</f>
        <v/>
      </c>
      <c r="BJ22" s="1505">
        <f>S22*3%</f>
        <v/>
      </c>
      <c r="BK22" s="1505">
        <f>S22*1%</f>
        <v/>
      </c>
      <c r="BL22" s="1506" t="n"/>
      <c r="BM22" s="1507">
        <f>SUM(BI22:BL22)</f>
        <v/>
      </c>
      <c r="BN22" s="1505">
        <f>S22*8%</f>
        <v/>
      </c>
      <c r="BO22" s="1505">
        <f>S22*1.5%</f>
        <v/>
      </c>
      <c r="BP22" s="1505">
        <f>S22*1%</f>
        <v/>
      </c>
      <c r="BQ22" s="1506" t="n"/>
      <c r="BR22" s="1507">
        <f>SUM(BN22:BQ22)</f>
        <v/>
      </c>
      <c r="BS22" s="1505">
        <f>T22+U22+V22+W22</f>
        <v/>
      </c>
      <c r="BT22" s="1508">
        <f>BH22-BS22-AH22</f>
        <v/>
      </c>
      <c r="BU22" s="1505">
        <f>IF(E22="HĐLĐ",15500000,0)</f>
        <v/>
      </c>
      <c r="BV22" s="1509" t="n">
        <v>0</v>
      </c>
      <c r="BW22" s="1505">
        <f>BV22*6200000</f>
        <v/>
      </c>
      <c r="BX22" s="1505">
        <f>BR22</f>
        <v/>
      </c>
      <c r="BY22" s="1510">
        <f>BU22+BW22+BX22</f>
        <v/>
      </c>
      <c r="BZ22" s="1505">
        <f>IF(BT22-BY22&gt;0,BT22-BY22,0)</f>
        <v/>
      </c>
      <c r="CA22" s="1506">
        <f>IF(AND(OR($E22="HĐTV",$E22="HĐCTV"),$BZ22&lt;2000000),0,IF(OR($E22="HĐTV",$E22="HĐCTV"),$BZ22*10%,ROUND(IF($BZ22&lt;=10000000,$BZ22*5%,IF($BZ22&lt;=30000000,$BZ22*10%-500000,IF($BZ22&lt;=60000000,$BZ22*20%-3500000,IF($BZ22&lt;=100000000,$BZ22*30%-9500000,$BZ22*35%-14500000)))),0)))</f>
        <v/>
      </c>
      <c r="CB22" s="1511">
        <f>ROUND(BH22-BR22-CA22,0)</f>
        <v/>
      </c>
      <c r="CC22" s="1509" t="n"/>
      <c r="CD22" s="1512" t="n">
        <v>0</v>
      </c>
      <c r="CE22" s="1513">
        <f>CB22+CC22-CD22</f>
        <v/>
      </c>
      <c r="CF22" s="1514">
        <f>CE22-CG22</f>
        <v/>
      </c>
      <c r="CG22" s="1514">
        <f>CE22</f>
        <v/>
      </c>
      <c r="CH22" s="1515" t="n"/>
      <c r="CI22" s="1516" t="inlineStr">
        <is>
          <t>phat.tran@medigoapp.com</t>
        </is>
      </c>
      <c r="CJ22" s="1497" t="n">
        <v>0</v>
      </c>
      <c r="CK22" s="1495" t="n">
        <v>8</v>
      </c>
      <c r="CL22" s="1497" t="n">
        <v>0</v>
      </c>
      <c r="CM22" s="1495" t="n">
        <v>21</v>
      </c>
      <c r="CN22" s="1495" t="n">
        <v>7</v>
      </c>
      <c r="CO22" s="1495" t="n">
        <v>2025</v>
      </c>
      <c r="CP22" s="1517">
        <f>IF((($CO$7-CO22)*12)+($CN$7-CN22)&gt;=12,((($CO$7-CO22)*12)+($CN$7-CN22))-1,0)</f>
        <v/>
      </c>
      <c r="CQ22" s="1518">
        <f>IF(CP22&lt;12,(($CQ$7-CO22)*12)+($CP$7-CN22),0)</f>
        <v/>
      </c>
      <c r="CR22" s="1517">
        <f>IF(OR(CP22&gt;12,CP22=12),((CP22-(CS22*12))+((($CQ$7-2024)*12)+($CP$7-4)))+1,0)</f>
        <v/>
      </c>
      <c r="CS22" s="1519">
        <f>IF(OR(CP22&gt;12,CP22=12),ROUNDDOWN(CP22/12,0),0)</f>
        <v/>
      </c>
      <c r="CT22" s="1519">
        <f>IF(CQ22&gt;11,ROUNDDOWN(CQ22/12,0),0)</f>
        <v/>
      </c>
      <c r="CU22" s="1519">
        <f>IF(CR22&gt;11,ROUNDDOWN(CR22/12,0),0)</f>
        <v/>
      </c>
      <c r="CV22" s="1520">
        <f>IF(CP22=0,0,6000000*1.07^CS22)</f>
        <v/>
      </c>
      <c r="CW22" s="1520">
        <f>IF(CT22&lt;2,0,6000000+(CT22-1)*500000)</f>
        <v/>
      </c>
      <c r="CX22" s="1520">
        <f>IF(CU22=0,CV22,IF(CU22&lt;1,0,CV22+CU22*500000))</f>
        <v/>
      </c>
      <c r="CY22" s="1520">
        <f>IF(CX22&gt;0,CX22,IF(CW22&gt;0,CW22,6000000))</f>
        <v/>
      </c>
      <c r="CZ22" s="1521" t="n"/>
      <c r="DA22" s="1522" t="n"/>
      <c r="DB22" s="1521" t="n"/>
      <c r="DC22" s="1521" t="n"/>
      <c r="DD22" s="1487" t="n"/>
      <c r="DE22" s="1523" t="n"/>
      <c r="DF22" s="1497" t="n"/>
      <c r="DG22" s="212" t="n"/>
    </row>
    <row r="23">
      <c r="A23" s="230" t="n">
        <v>12</v>
      </c>
      <c r="B23" s="1376" t="n">
        <v>8</v>
      </c>
      <c r="C23" s="176" t="inlineStr">
        <is>
          <t>Hoang Lam Gia Bao</t>
        </is>
      </c>
      <c r="D23" s="250" t="inlineStr">
        <is>
          <t>Hoàng Lâm Gia Bảo</t>
        </is>
      </c>
      <c r="E23" s="1492">
        <f>IF(OR(G23="CHT",G23="DSBC",G23="DSXC"),"HĐLĐ",IF(OR(G23="DSTV",G23="Q.CHT"),"HĐTV","HĐCTV"))</f>
        <v/>
      </c>
      <c r="F23" s="1493" t="inlineStr">
        <is>
          <t>Đỗ Quang Đẩu</t>
        </is>
      </c>
      <c r="G23" s="1494" t="inlineStr">
        <is>
          <t>DSBC</t>
        </is>
      </c>
      <c r="H23" s="1495" t="inlineStr">
        <is>
          <t>27/5/2026</t>
        </is>
      </c>
      <c r="I23" s="1496" t="inlineStr">
        <is>
          <t>067106916868</t>
        </is>
      </c>
      <c r="J23" s="1496" t="inlineStr">
        <is>
          <t>Sacombank</t>
        </is>
      </c>
      <c r="K23" s="1497" t="n">
        <v>28</v>
      </c>
      <c r="L23" s="1497" t="n">
        <v>4</v>
      </c>
      <c r="M23" s="1497" t="n">
        <v>44.77</v>
      </c>
      <c r="N23" s="1497" t="n">
        <v>0.5</v>
      </c>
      <c r="O23" s="1497" t="n">
        <v>16</v>
      </c>
      <c r="P23" s="232" t="n"/>
      <c r="Q23" s="1497" t="n"/>
      <c r="R23" s="1498" t="n"/>
      <c r="S23" s="1499">
        <f>IF(E23="HĐLĐ",5310000,0)</f>
        <v/>
      </c>
      <c r="T23" s="1500" t="n">
        <v>17857.14285714283</v>
      </c>
      <c r="U23" s="1501" t="n"/>
      <c r="V23" s="232" t="n"/>
      <c r="W23" s="232" t="n"/>
      <c r="X23" s="232" t="n"/>
      <c r="Y23" s="232" t="n"/>
      <c r="Z23" s="232" t="n"/>
      <c r="AA23" s="1497" t="n">
        <v>0</v>
      </c>
      <c r="AB23" s="1497" t="n">
        <v>0</v>
      </c>
      <c r="AC23" s="1499" t="n">
        <v>6000000</v>
      </c>
      <c r="AD23" s="232">
        <f>AC23</f>
        <v/>
      </c>
      <c r="AE23" s="232" t="n">
        <v>0</v>
      </c>
      <c r="AF23" s="232">
        <f>IF(E23="HĐTV",AE23/K23*L23,AD23/K23*L23)</f>
        <v/>
      </c>
      <c r="AG23" s="1502">
        <f>IF(E23="HĐTV",AE23/28/8*M23,AC23/28/8*M23)</f>
        <v/>
      </c>
      <c r="AH23" s="1499">
        <f>IF(E23="HĐTV",AE23/28/8*N23*1.5,AC23/28/8*N23*1.5)</f>
        <v/>
      </c>
      <c r="AI23" s="232" t="n">
        <v>0</v>
      </c>
      <c r="AJ23" s="232" t="n">
        <v>0</v>
      </c>
      <c r="AK23" s="232" t="n">
        <v>0</v>
      </c>
      <c r="AL23" s="1497" t="n">
        <v>0</v>
      </c>
      <c r="AM23" s="1497" t="n">
        <v>0</v>
      </c>
      <c r="AN23" s="1497" t="n">
        <v>0</v>
      </c>
      <c r="AO23" s="1497" t="n">
        <v>0</v>
      </c>
      <c r="AP23" s="1497" t="n">
        <v>0</v>
      </c>
      <c r="AQ23" s="1497" t="n">
        <v>0</v>
      </c>
      <c r="AR23" s="1497" t="n">
        <v>0</v>
      </c>
      <c r="AS23" s="1497" t="n">
        <v>0</v>
      </c>
      <c r="AT23" s="1497" t="n">
        <v>0</v>
      </c>
      <c r="AU23" s="1497" t="n">
        <v>0</v>
      </c>
      <c r="AV23" s="1497" t="n">
        <v>0</v>
      </c>
      <c r="AW23" s="1497" t="n">
        <v>0</v>
      </c>
      <c r="AX23" s="1497" t="n">
        <v>0</v>
      </c>
      <c r="AY23" s="232" t="n">
        <v>0</v>
      </c>
      <c r="AZ23" s="1499" t="n">
        <v>0</v>
      </c>
      <c r="BA23" s="1503" t="n">
        <v>0</v>
      </c>
      <c r="BB23" s="1497" t="n">
        <v>0</v>
      </c>
      <c r="BC23" s="1497" t="n">
        <v>0</v>
      </c>
      <c r="BD23" s="1497" t="n">
        <v>0</v>
      </c>
      <c r="BE23" s="1497" t="n">
        <v>0</v>
      </c>
      <c r="BF23" s="1497" t="n">
        <v>0</v>
      </c>
      <c r="BG23" s="1497" t="n">
        <v>0</v>
      </c>
      <c r="BH23" s="1504">
        <f>SUM(T23:AB23)+SUM(AF23:BA23)-SUM(BB23:BG23)</f>
        <v/>
      </c>
      <c r="BI23" s="1505">
        <f>S23*17.5%</f>
        <v/>
      </c>
      <c r="BJ23" s="1505">
        <f>S23*3%</f>
        <v/>
      </c>
      <c r="BK23" s="1505">
        <f>S23*1%</f>
        <v/>
      </c>
      <c r="BL23" s="1506" t="n"/>
      <c r="BM23" s="1507">
        <f>SUM(BI23:BL23)</f>
        <v/>
      </c>
      <c r="BN23" s="1505">
        <f>S23*8%</f>
        <v/>
      </c>
      <c r="BO23" s="1505">
        <f>S23*1.5%</f>
        <v/>
      </c>
      <c r="BP23" s="1505">
        <f>S23*1%</f>
        <v/>
      </c>
      <c r="BQ23" s="1506" t="n"/>
      <c r="BR23" s="1507">
        <f>SUM(BN23:BQ23)</f>
        <v/>
      </c>
      <c r="BS23" s="1505">
        <f>T23+U23+V23+W23</f>
        <v/>
      </c>
      <c r="BT23" s="1508">
        <f>BH23-BS23-AH23</f>
        <v/>
      </c>
      <c r="BU23" s="1505">
        <f>IF(E23="HĐLĐ",15500000,0)</f>
        <v/>
      </c>
      <c r="BV23" s="1509" t="n">
        <v>0</v>
      </c>
      <c r="BW23" s="1505">
        <f>BV23*6200000</f>
        <v/>
      </c>
      <c r="BX23" s="1505">
        <f>BR23</f>
        <v/>
      </c>
      <c r="BY23" s="1510">
        <f>BU23+BW23+BX23</f>
        <v/>
      </c>
      <c r="BZ23" s="1505">
        <f>IF(BT23-BY23&gt;0,BT23-BY23,0)</f>
        <v/>
      </c>
      <c r="CA23" s="1506">
        <f>IF(AND(OR($E23="HĐTV",$E23="HĐCTV"),$BZ23&lt;2000000),0,IF(OR($E23="HĐTV",$E23="HĐCTV"),$BZ23*10%,ROUND(IF($BZ23&lt;=10000000,$BZ23*5%,IF($BZ23&lt;=30000000,$BZ23*10%-500000,IF($BZ23&lt;=60000000,$BZ23*20%-3500000,IF($BZ23&lt;=100000000,$BZ23*30%-9500000,$BZ23*35%-14500000)))),0)))</f>
        <v/>
      </c>
      <c r="CB23" s="1511">
        <f>ROUND(BH23-BR23-CA23,0)</f>
        <v/>
      </c>
      <c r="CC23" s="1509" t="n"/>
      <c r="CD23" s="1512" t="n">
        <v>0</v>
      </c>
      <c r="CE23" s="1513">
        <f>CB23+CC23-CD23</f>
        <v/>
      </c>
      <c r="CF23" s="1514">
        <f>CE23-CG23</f>
        <v/>
      </c>
      <c r="CG23" s="1514">
        <f>CE23</f>
        <v/>
      </c>
      <c r="CH23" s="1515" t="n"/>
      <c r="CI23" s="1516" t="inlineStr">
        <is>
          <t>mailto:ha.le@medigoapp.com</t>
        </is>
      </c>
      <c r="CJ23" s="1497" t="n"/>
      <c r="CK23" s="1495" t="n">
        <v>11</v>
      </c>
      <c r="CL23" s="1497" t="n"/>
      <c r="CM23" s="1495" t="n"/>
      <c r="CN23" s="1495" t="n"/>
      <c r="CO23" s="1495" t="n"/>
      <c r="CP23" s="1517" t="n"/>
      <c r="CQ23" s="1518" t="n"/>
      <c r="CR23" s="1517" t="n"/>
      <c r="CS23" s="1519" t="n"/>
      <c r="CT23" s="1519" t="n"/>
      <c r="CU23" s="1519" t="n"/>
      <c r="CV23" s="1520" t="n"/>
      <c r="CW23" s="1520" t="n"/>
      <c r="CX23" s="1520" t="n"/>
      <c r="CY23" s="1520">
        <f>IF(CX23&gt;0,CX23,IF(CW23&gt;0,CW23,6000000))</f>
        <v/>
      </c>
      <c r="CZ23" s="1521" t="n"/>
      <c r="DA23" s="1522" t="n"/>
      <c r="DB23" s="1521" t="n"/>
      <c r="DC23" s="1521" t="n"/>
      <c r="DD23" s="1487" t="n"/>
      <c r="DE23" s="1523" t="n"/>
      <c r="DF23" s="1497" t="n"/>
      <c r="DG23" s="212" t="n"/>
    </row>
    <row r="24">
      <c r="A24" s="230" t="n">
        <v>13</v>
      </c>
      <c r="B24" s="1376" t="n">
        <v>8</v>
      </c>
      <c r="C24" s="176" t="inlineStr">
        <is>
          <t>Hoang Thanh Thuy</t>
        </is>
      </c>
      <c r="D24" s="250" t="inlineStr">
        <is>
          <t>Hoàng Thanh Thủy</t>
        </is>
      </c>
      <c r="E24" s="1492">
        <f>IF(OR(G24="CHT",G24="DSBC",G24="DSXC"),"HĐLĐ",IF(OR(G24="DSTV",G24="Q.CHT"),"HĐTV","HĐCTV"))</f>
        <v/>
      </c>
      <c r="F24" s="1493" t="inlineStr">
        <is>
          <t>Đỗ Quang Đẩu</t>
        </is>
      </c>
      <c r="G24" s="1494" t="inlineStr">
        <is>
          <t>DSBC</t>
        </is>
      </c>
      <c r="H24" s="1495" t="inlineStr">
        <is>
          <t>27/10/2025</t>
        </is>
      </c>
      <c r="I24" s="1496" t="inlineStr">
        <is>
          <t>615704060127761</t>
        </is>
      </c>
      <c r="J24" s="1496" t="inlineStr">
        <is>
          <t>VIB</t>
        </is>
      </c>
      <c r="K24" s="1497" t="n">
        <v>28</v>
      </c>
      <c r="L24" s="1497" t="n">
        <v>30</v>
      </c>
      <c r="M24" s="1497" t="n">
        <v>262.37</v>
      </c>
      <c r="N24" s="1497" t="n">
        <v>1.1</v>
      </c>
      <c r="O24" s="1497" t="n">
        <v>16</v>
      </c>
      <c r="P24" s="232" t="n"/>
      <c r="Q24" s="1497" t="n"/>
      <c r="R24" s="1498" t="n"/>
      <c r="S24" s="1499">
        <f>IF(E24="HĐLĐ",5310000,0)</f>
        <v/>
      </c>
      <c r="T24" s="1500" t="n">
        <v>500000</v>
      </c>
      <c r="U24" s="1501" t="n"/>
      <c r="V24" s="232" t="n"/>
      <c r="W24" s="232" t="n"/>
      <c r="X24" s="232" t="n"/>
      <c r="Y24" s="232" t="n"/>
      <c r="Z24" s="232" t="n"/>
      <c r="AA24" s="1497" t="n">
        <v>0</v>
      </c>
      <c r="AB24" s="1497" t="n">
        <v>0</v>
      </c>
      <c r="AC24" s="1499" t="n">
        <v>6000000</v>
      </c>
      <c r="AD24" s="232" t="n"/>
      <c r="AE24" s="232" t="n"/>
      <c r="AF24" s="232" t="n"/>
      <c r="AG24" s="1502">
        <f>IF(E24="HĐTV",AE24/28/8*M24,AC24/28/8*M24)</f>
        <v/>
      </c>
      <c r="AH24" s="1499">
        <f>IF(E24="HĐTV",AE24/28/8*N24*1.5,AC24/28/8*N24*1.5)</f>
        <v/>
      </c>
      <c r="AI24" s="232" t="n">
        <v>0</v>
      </c>
      <c r="AJ24" s="232" t="n">
        <v>0</v>
      </c>
      <c r="AK24" s="232" t="n">
        <v>0</v>
      </c>
      <c r="AL24" s="1497" t="n">
        <v>0</v>
      </c>
      <c r="AM24" s="1497" t="n">
        <v>0</v>
      </c>
      <c r="AN24" s="1497" t="n">
        <v>0</v>
      </c>
      <c r="AO24" s="1497" t="n">
        <v>0</v>
      </c>
      <c r="AP24" s="1497" t="n">
        <v>1723400</v>
      </c>
      <c r="AQ24" s="1497" t="n">
        <v>40230</v>
      </c>
      <c r="AR24" s="1497" t="n">
        <v>0</v>
      </c>
      <c r="AS24" s="1497" t="n">
        <v>0</v>
      </c>
      <c r="AT24" s="1497" t="n">
        <v>0</v>
      </c>
      <c r="AU24" s="1497" t="n">
        <v>0</v>
      </c>
      <c r="AV24" s="1497" t="n">
        <v>3697588</v>
      </c>
      <c r="AW24" s="1497" t="n">
        <v>0</v>
      </c>
      <c r="AX24" s="1497" t="n">
        <v>0</v>
      </c>
      <c r="AY24" s="232" t="n">
        <v>0</v>
      </c>
      <c r="AZ24" s="1499" t="n">
        <v>0</v>
      </c>
      <c r="BA24" s="1503" t="n">
        <v>0</v>
      </c>
      <c r="BB24" s="1497" t="n">
        <v>0</v>
      </c>
      <c r="BC24" s="1497" t="n">
        <v>0</v>
      </c>
      <c r="BD24" s="1497" t="n">
        <v>100000</v>
      </c>
      <c r="BE24" s="1497" t="n">
        <v>0</v>
      </c>
      <c r="BF24" s="1497" t="n">
        <v>0</v>
      </c>
      <c r="BG24" s="1497" t="n">
        <v>0</v>
      </c>
      <c r="BH24" s="1504">
        <f>SUM(T24:AB24)+SUM(AF24:BA24)-SUM(BB24:BG24)</f>
        <v/>
      </c>
      <c r="BI24" s="1505">
        <f>S24*17.5%</f>
        <v/>
      </c>
      <c r="BJ24" s="1505">
        <f>S24*3%</f>
        <v/>
      </c>
      <c r="BK24" s="1505">
        <f>S24*1%</f>
        <v/>
      </c>
      <c r="BL24" s="1506" t="n"/>
      <c r="BM24" s="1507">
        <f>SUM(BI24:BL24)</f>
        <v/>
      </c>
      <c r="BN24" s="1505">
        <f>S24*8%</f>
        <v/>
      </c>
      <c r="BO24" s="1505">
        <f>S24*1.5%</f>
        <v/>
      </c>
      <c r="BP24" s="1505">
        <f>S24*1%</f>
        <v/>
      </c>
      <c r="BQ24" s="1506" t="n"/>
      <c r="BR24" s="1507">
        <f>SUM(BN24:BQ24)</f>
        <v/>
      </c>
      <c r="BS24" s="1505">
        <f>T24+U24+V24+W24</f>
        <v/>
      </c>
      <c r="BT24" s="1508">
        <f>BH24-BS24-AH24</f>
        <v/>
      </c>
      <c r="BU24" s="1505">
        <f>IF(E24="HĐLĐ",15500000,0)</f>
        <v/>
      </c>
      <c r="BV24" s="1509" t="n">
        <v>0</v>
      </c>
      <c r="BW24" s="1505">
        <f>BV24*6200000</f>
        <v/>
      </c>
      <c r="BX24" s="1505">
        <f>BR24</f>
        <v/>
      </c>
      <c r="BY24" s="1510">
        <f>BU24+BW24+BX24</f>
        <v/>
      </c>
      <c r="BZ24" s="1505">
        <f>IF(BT24-BY24&gt;0,BT24-BY24,0)</f>
        <v/>
      </c>
      <c r="CA24" s="1506">
        <f>IF(AND(OR($E24="HĐTV",$E24="HĐCTV"),$BZ24&lt;2000000),0,IF(OR($E24="HĐTV",$E24="HĐCTV"),$BZ24*10%,ROUND(IF($BZ24&lt;=10000000,$BZ24*5%,IF($BZ24&lt;=30000000,$BZ24*10%-500000,IF($BZ24&lt;=60000000,$BZ24*20%-3500000,IF($BZ24&lt;=100000000,$BZ24*30%-9500000,$BZ24*35%-14500000)))),0)))</f>
        <v/>
      </c>
      <c r="CB24" s="1511">
        <f>ROUND(BH24-BR24-CA24,0)</f>
        <v/>
      </c>
      <c r="CC24" s="1509" t="n"/>
      <c r="CD24" s="1512" t="n">
        <v>0</v>
      </c>
      <c r="CE24" s="1513">
        <f>CB24+CC24-CD24</f>
        <v/>
      </c>
      <c r="CF24" s="1514">
        <f>CE24-CG24</f>
        <v/>
      </c>
      <c r="CG24" s="1514">
        <f>CE24</f>
        <v/>
      </c>
      <c r="CH24" s="1515" t="n"/>
      <c r="CI24" s="1516">
        <f>VLOOKUP($C28,[5]Sheet1!$C$5:$K$139,9,0)</f>
        <v/>
      </c>
      <c r="CJ24" s="1497" t="inlineStr">
        <is>
          <t>Sai kênh bán HD1155007 : 100.000đ</t>
        </is>
      </c>
      <c r="CK24" s="1495" t="n">
        <v>3</v>
      </c>
      <c r="CL24" s="1497" t="n">
        <v>0</v>
      </c>
      <c r="CM24" s="1495" t="n">
        <v>27</v>
      </c>
      <c r="CN24" s="1495" t="n">
        <v>10</v>
      </c>
      <c r="CO24" s="1495" t="n">
        <v>2025</v>
      </c>
      <c r="CP24" s="1517">
        <f>IF((($CO$7-CO24)*12)+($CN$7-CN24)&gt;=12,((($CO$7-CO24)*12)+($CN$7-CN24))-1,0)</f>
        <v/>
      </c>
      <c r="CQ24" s="1518">
        <f>IF(CP24&lt;12,(($CQ$7-CO24)*12)+($CP$7-CN24),0)</f>
        <v/>
      </c>
      <c r="CR24" s="1517">
        <f>IF(OR(CP24&gt;12,CP24=12),((CP24-(CS24*12))+((($CQ$7-2024)*12)+($CP$7-4)))+1,0)</f>
        <v/>
      </c>
      <c r="CS24" s="1519">
        <f>IF(OR(CP24&gt;12,CP24=12),ROUNDDOWN(CP24/12,0),0)</f>
        <v/>
      </c>
      <c r="CT24" s="1519">
        <f>IF(CQ24&gt;11,ROUNDDOWN(CQ24/12,0),0)</f>
        <v/>
      </c>
      <c r="CU24" s="1519">
        <f>IF(CR24&gt;11,ROUNDDOWN(CR24/12,0),0)</f>
        <v/>
      </c>
      <c r="CV24" s="1520">
        <f>IF(CP24=0,0,6000000*1.07^CS24)</f>
        <v/>
      </c>
      <c r="CW24" s="1520">
        <f>IF(CT24&lt;2,0,6000000+(CT24-1)*500000)</f>
        <v/>
      </c>
      <c r="CX24" s="1520">
        <f>IF(CU24=0,CV24,IF(CU24&lt;1,0,CV24+CU24*500000))</f>
        <v/>
      </c>
      <c r="CY24" s="1520">
        <f>IF(CX24&gt;0,CX24,IF(CW24&gt;0,CW24,6000000))</f>
        <v/>
      </c>
      <c r="CZ24" s="1521" t="n"/>
      <c r="DA24" s="1522" t="n"/>
      <c r="DB24" s="1521" t="n"/>
      <c r="DC24" s="1521" t="n"/>
      <c r="DD24" s="1487" t="n"/>
      <c r="DE24" s="1523" t="n"/>
      <c r="DF24" s="1497" t="n"/>
      <c r="DG24" s="212" t="n"/>
    </row>
    <row r="25">
      <c r="A25" s="230" t="n">
        <v>14</v>
      </c>
      <c r="B25" s="1376" t="n">
        <v>8</v>
      </c>
      <c r="C25" s="176" t="inlineStr">
        <is>
          <t>Le Thi Huyen Tran</t>
        </is>
      </c>
      <c r="D25" s="250" t="inlineStr">
        <is>
          <t>Lê Thị Huyền Trân</t>
        </is>
      </c>
      <c r="E25" s="1492">
        <f>IF(OR(G25="CHT",G25="DSBC",G25="DSXC"),"HĐLĐ",IF(OR(G25="DSTV",G25="Q.CHT"),"HĐTV","HĐCTV"))</f>
        <v/>
      </c>
      <c r="F25" s="1493" t="inlineStr">
        <is>
          <t>Đỗ Quang Đẩu</t>
        </is>
      </c>
      <c r="G25" s="1494" t="inlineStr">
        <is>
          <t>DSBC</t>
        </is>
      </c>
      <c r="H25" s="1495" t="n">
        <v>45510</v>
      </c>
      <c r="I25" s="1496" t="inlineStr">
        <is>
          <t>03130767201</t>
        </is>
      </c>
      <c r="J25" s="1496" t="inlineStr">
        <is>
          <t>Tiên Phong Bank</t>
        </is>
      </c>
      <c r="K25" s="1497" t="n">
        <v>28</v>
      </c>
      <c r="L25" s="1497" t="n">
        <v>30</v>
      </c>
      <c r="M25" s="1497" t="n">
        <v>252.16</v>
      </c>
      <c r="N25" s="1497" t="n">
        <v>8.08</v>
      </c>
      <c r="O25" s="1497" t="n">
        <v>16</v>
      </c>
      <c r="P25" s="232" t="n"/>
      <c r="Q25" s="1497" t="n"/>
      <c r="R25" s="1498" t="n"/>
      <c r="S25" s="1499">
        <f>IF(E25="HĐLĐ",5310000,0)</f>
        <v/>
      </c>
      <c r="T25" s="1500" t="n">
        <v>500000</v>
      </c>
      <c r="U25" s="1501" t="n"/>
      <c r="V25" s="232" t="n"/>
      <c r="W25" s="232" t="n"/>
      <c r="X25" s="232" t="n"/>
      <c r="Y25" s="232" t="n"/>
      <c r="Z25" s="232" t="n"/>
      <c r="AA25" s="1497" t="n">
        <v>0</v>
      </c>
      <c r="AB25" s="1497" t="n">
        <v>0</v>
      </c>
      <c r="AC25" s="1499" t="n">
        <v>6000000</v>
      </c>
      <c r="AD25" s="232" t="n"/>
      <c r="AE25" s="232" t="n"/>
      <c r="AF25" s="232" t="n"/>
      <c r="AG25" s="1502">
        <f>IF(E25="HĐTV",AE25/28/8*M25,AC25/28/8*M25)</f>
        <v/>
      </c>
      <c r="AH25" s="1499">
        <f>IF(E25="HĐTV",AE25/28/8*N25*1.5,AC25/28/8*N25*1.5)</f>
        <v/>
      </c>
      <c r="AI25" s="232" t="n">
        <v>0</v>
      </c>
      <c r="AJ25" s="232" t="n">
        <v>0</v>
      </c>
      <c r="AK25" s="232" t="n">
        <v>0</v>
      </c>
      <c r="AL25" s="1497" t="n">
        <v>0</v>
      </c>
      <c r="AM25" s="1497" t="n">
        <v>0</v>
      </c>
      <c r="AN25" s="1497" t="n">
        <v>0</v>
      </c>
      <c r="AO25" s="1497" t="n">
        <v>0</v>
      </c>
      <c r="AP25" s="1497" t="n">
        <v>1139700</v>
      </c>
      <c r="AQ25" s="1497" t="n">
        <v>37807</v>
      </c>
      <c r="AR25" s="1497" t="n">
        <v>160</v>
      </c>
      <c r="AS25" s="1497" t="n">
        <v>0</v>
      </c>
      <c r="AT25" s="1497" t="n">
        <v>0</v>
      </c>
      <c r="AU25" s="1497" t="n">
        <v>0</v>
      </c>
      <c r="AV25" s="1497" t="n">
        <v>2352976</v>
      </c>
      <c r="AW25" s="1497" t="n">
        <v>0</v>
      </c>
      <c r="AX25" s="1497" t="n">
        <v>0</v>
      </c>
      <c r="AY25" s="232" t="n">
        <v>0</v>
      </c>
      <c r="AZ25" s="1499" t="n">
        <v>0</v>
      </c>
      <c r="BA25" s="1503" t="n">
        <v>0</v>
      </c>
      <c r="BB25" s="1497" t="n">
        <v>0</v>
      </c>
      <c r="BC25" s="1497" t="n">
        <v>0</v>
      </c>
      <c r="BD25" s="1497" t="n">
        <v>0</v>
      </c>
      <c r="BE25" s="1497" t="n">
        <v>0</v>
      </c>
      <c r="BF25" s="1497" t="n">
        <v>0</v>
      </c>
      <c r="BG25" s="1497" t="n">
        <v>0</v>
      </c>
      <c r="BH25" s="1504">
        <f>SUM(T25:AB25)+SUM(AF25:BA25)-SUM(BB25:BG25)</f>
        <v/>
      </c>
      <c r="BI25" s="1505">
        <f>S25*17.5%</f>
        <v/>
      </c>
      <c r="BJ25" s="1505">
        <f>S25*3%</f>
        <v/>
      </c>
      <c r="BK25" s="1505">
        <f>S25*1%</f>
        <v/>
      </c>
      <c r="BL25" s="1506" t="n"/>
      <c r="BM25" s="1507">
        <f>SUM(BI25:BL25)</f>
        <v/>
      </c>
      <c r="BN25" s="1505">
        <f>S25*8%</f>
        <v/>
      </c>
      <c r="BO25" s="1505">
        <f>S25*1.5%</f>
        <v/>
      </c>
      <c r="BP25" s="1505">
        <f>S25*1%</f>
        <v/>
      </c>
      <c r="BQ25" s="1506" t="n"/>
      <c r="BR25" s="1507">
        <f>SUM(BN25:BQ25)</f>
        <v/>
      </c>
      <c r="BS25" s="1505">
        <f>T25+U25+V25+W25</f>
        <v/>
      </c>
      <c r="BT25" s="1508">
        <f>BH25-BS25-AH25</f>
        <v/>
      </c>
      <c r="BU25" s="1505">
        <f>IF(E25="HĐLĐ",15500000,0)</f>
        <v/>
      </c>
      <c r="BV25" s="1509" t="n">
        <v>0</v>
      </c>
      <c r="BW25" s="1505">
        <f>BV25*6200000</f>
        <v/>
      </c>
      <c r="BX25" s="1505">
        <f>BR25</f>
        <v/>
      </c>
      <c r="BY25" s="1510">
        <f>BU25+BW25+BX25</f>
        <v/>
      </c>
      <c r="BZ25" s="1505">
        <f>IF(BT25-BY25&gt;0,BT25-BY25,0)</f>
        <v/>
      </c>
      <c r="CA25" s="1506">
        <f>IF(AND(OR($E25="HĐTV",$E25="HĐCTV"),$BZ25&lt;2000000),0,IF(OR($E25="HĐTV",$E25="HĐCTV"),$BZ25*10%,ROUND(IF($BZ25&lt;=10000000,$BZ25*5%,IF($BZ25&lt;=30000000,$BZ25*10%-500000,IF($BZ25&lt;=60000000,$BZ25*20%-3500000,IF($BZ25&lt;=100000000,$BZ25*30%-9500000,$BZ25*35%-14500000)))),0)))</f>
        <v/>
      </c>
      <c r="CB25" s="1511">
        <f>ROUND(BH25-BR25-CA25,0)</f>
        <v/>
      </c>
      <c r="CC25" s="1509" t="n"/>
      <c r="CD25" s="1512" t="n">
        <v>0</v>
      </c>
      <c r="CE25" s="1513">
        <f>CB25+CC25-CD25</f>
        <v/>
      </c>
      <c r="CF25" s="1514">
        <f>CE25-CG25</f>
        <v/>
      </c>
      <c r="CG25" s="1514">
        <f>CE25</f>
        <v/>
      </c>
      <c r="CH25" s="1515" t="n"/>
      <c r="CI25" s="1516" t="inlineStr">
        <is>
          <t>tran.le@medigoapp.com</t>
        </is>
      </c>
      <c r="CJ25" s="1497" t="n">
        <v>0</v>
      </c>
      <c r="CK25" s="1495" t="n">
        <v>1</v>
      </c>
      <c r="CL25" s="1497" t="n">
        <v>0</v>
      </c>
      <c r="CM25" s="1495" t="n">
        <v>6</v>
      </c>
      <c r="CN25" s="1495" t="n">
        <v>8</v>
      </c>
      <c r="CO25" s="1495" t="n">
        <v>2024</v>
      </c>
      <c r="CP25" s="1517">
        <f>IF((($CO$7-CO25)*12)+($CN$7-CN25)&gt;=12,((($CO$7-CO25)*12)+($CN$7-CN25))-1,0)</f>
        <v/>
      </c>
      <c r="CQ25" s="1518">
        <f>IF(CP25&lt;12,(($CQ$7-CO25)*12)+($CP$7-CN25),0)</f>
        <v/>
      </c>
      <c r="CR25" s="1517">
        <f>IF(OR(CP25&gt;12,CP25=12),((CP25-(CS25*12))+((($CQ$7-2024)*12)+($CP$7-4)))+1,0)</f>
        <v/>
      </c>
      <c r="CS25" s="1519">
        <f>IF(OR(CP25&gt;12,CP25=12),ROUNDDOWN(CP25/12,0),0)</f>
        <v/>
      </c>
      <c r="CT25" s="1519">
        <f>IF(CQ25&gt;11,ROUNDDOWN(CQ25/12,0),0)</f>
        <v/>
      </c>
      <c r="CU25" s="1519">
        <f>IF(CR25&gt;11,ROUNDDOWN(CR25/12,0),0)</f>
        <v/>
      </c>
      <c r="CV25" s="1520">
        <f>IF(CP25=0,0,6000000*1.07^CS25)</f>
        <v/>
      </c>
      <c r="CW25" s="1520">
        <f>IF(CT25&lt;2,0,6000000+(CT25-1)*500000)</f>
        <v/>
      </c>
      <c r="CX25" s="1520">
        <f>IF(CU25=0,CV25,IF(CU25&lt;1,0,CV25+CU25*500000))</f>
        <v/>
      </c>
      <c r="CY25" s="1520">
        <f>IF(CX25&gt;0,CX25,IF(CW25&gt;0,CW25,6000000))</f>
        <v/>
      </c>
      <c r="CZ25" s="1521" t="n"/>
      <c r="DA25" s="1522" t="n"/>
      <c r="DB25" s="1521" t="n"/>
      <c r="DC25" s="1521" t="n"/>
      <c r="DD25" s="1487" t="n"/>
      <c r="DE25" s="1523" t="n"/>
      <c r="DF25" s="1497" t="n"/>
      <c r="DG25" s="212" t="n"/>
    </row>
    <row r="26">
      <c r="A26" s="1524" t="n"/>
      <c r="B26" s="1525" t="n"/>
      <c r="C26" s="1526" t="n"/>
      <c r="D26" s="1527" t="n"/>
      <c r="E26" s="1528" t="n"/>
      <c r="F26" s="1529">
        <f>SUM(F19:F25)</f>
        <v/>
      </c>
      <c r="G26" s="1530" t="n"/>
      <c r="H26" s="1531" t="n"/>
      <c r="I26" s="1532" t="n"/>
      <c r="J26" s="1532" t="n"/>
      <c r="K26" s="1533">
        <f>SUM(K19:K25)</f>
        <v/>
      </c>
      <c r="L26" s="1533">
        <f>SUM(L19:L25)</f>
        <v/>
      </c>
      <c r="M26" s="1534">
        <f>SUM(M19:M25)</f>
        <v/>
      </c>
      <c r="N26" s="1534">
        <f>SUM(N19:N25)</f>
        <v/>
      </c>
      <c r="O26" s="1533">
        <f>SUM(O19:O25)</f>
        <v/>
      </c>
      <c r="P26" s="1533">
        <f>SUM(P19:P25)</f>
        <v/>
      </c>
      <c r="Q26" s="1533">
        <f>SUM(Q19:Q25)</f>
        <v/>
      </c>
      <c r="R26" s="1533" t="n"/>
      <c r="S26" s="1533">
        <f>SUM(S19:S25)</f>
        <v/>
      </c>
      <c r="T26" s="1533">
        <f>SUM(T19:T25)</f>
        <v/>
      </c>
      <c r="U26" s="1533">
        <f>SUM(U19:U25)</f>
        <v/>
      </c>
      <c r="V26" s="1533">
        <f>SUM(V19:V25)</f>
        <v/>
      </c>
      <c r="W26" s="1533">
        <f>SUM(W19:W25)</f>
        <v/>
      </c>
      <c r="X26" s="1533">
        <f>SUM(X19:X25)</f>
        <v/>
      </c>
      <c r="Y26" s="1533">
        <f>SUM(Y19:Y25)</f>
        <v/>
      </c>
      <c r="Z26" s="1533">
        <f>SUM(Z19:Z25)</f>
        <v/>
      </c>
      <c r="AA26" s="1533">
        <f>SUM(AA19:AA25)</f>
        <v/>
      </c>
      <c r="AB26" s="1533">
        <f>SUM(AB19:AB25)</f>
        <v/>
      </c>
      <c r="AC26" s="1533">
        <f>SUM(AC19:AC25)</f>
        <v/>
      </c>
      <c r="AD26" s="1533">
        <f>SUM(AD19:AD25)</f>
        <v/>
      </c>
      <c r="AE26" s="1533">
        <f>SUM(AE19:AE25)</f>
        <v/>
      </c>
      <c r="AF26" s="1533">
        <f>SUM(AF19:AF25)</f>
        <v/>
      </c>
      <c r="AG26" s="1533">
        <f>SUM(AG19:AG25)</f>
        <v/>
      </c>
      <c r="AH26" s="1533">
        <f>SUM(AH19:AH25)</f>
        <v/>
      </c>
      <c r="AI26" s="1533">
        <f>SUM(AI19:AI25)</f>
        <v/>
      </c>
      <c r="AJ26" s="1533">
        <f>SUM(AJ19:AJ25)</f>
        <v/>
      </c>
      <c r="AK26" s="1533">
        <f>SUM(AK19:AK25)</f>
        <v/>
      </c>
      <c r="AL26" s="1533">
        <f>SUM(AL19:AL25)</f>
        <v/>
      </c>
      <c r="AM26" s="1533">
        <f>SUM(AM19:AM25)</f>
        <v/>
      </c>
      <c r="AN26" s="1533">
        <f>SUM(AN19:AN25)</f>
        <v/>
      </c>
      <c r="AO26" s="1533">
        <f>SUM(AO19:AO25)</f>
        <v/>
      </c>
      <c r="AP26" s="1533">
        <f>SUM(AP19:AP25)</f>
        <v/>
      </c>
      <c r="AQ26" s="1533">
        <f>SUM(AQ19:AQ25)</f>
        <v/>
      </c>
      <c r="AR26" s="1533">
        <f>SUM(AR19:AR25)</f>
        <v/>
      </c>
      <c r="AS26" s="1533">
        <f>SUM(AS19:AS25)</f>
        <v/>
      </c>
      <c r="AT26" s="1533">
        <f>SUM(AT19:AT25)</f>
        <v/>
      </c>
      <c r="AU26" s="1533">
        <f>SUM(AU19:AU25)</f>
        <v/>
      </c>
      <c r="AV26" s="1533">
        <f>SUM(AV19:AV25)</f>
        <v/>
      </c>
      <c r="AW26" s="1533">
        <f>SUM(AW19:AW25)</f>
        <v/>
      </c>
      <c r="AX26" s="1533">
        <f>SUM(AX19:AX25)</f>
        <v/>
      </c>
      <c r="AY26" s="1533">
        <f>SUM(AY19:AY25)</f>
        <v/>
      </c>
      <c r="AZ26" s="1533">
        <f>SUM(AZ19:AZ25)</f>
        <v/>
      </c>
      <c r="BA26" s="1533">
        <f>SUM(BA19:BA25)</f>
        <v/>
      </c>
      <c r="BB26" s="1533">
        <f>SUM(BB19:BB25)</f>
        <v/>
      </c>
      <c r="BC26" s="1533">
        <f>SUM(BC19:BC25)</f>
        <v/>
      </c>
      <c r="BD26" s="1533">
        <f>SUM(BD19:BD25)</f>
        <v/>
      </c>
      <c r="BE26" s="1533">
        <f>SUM(BE19:BE25)</f>
        <v/>
      </c>
      <c r="BF26" s="1533">
        <f>SUM(BF19:BF25)</f>
        <v/>
      </c>
      <c r="BG26" s="1533">
        <f>SUM(BG19:BG25)</f>
        <v/>
      </c>
      <c r="BH26" s="1533">
        <f>SUM(BH19:BH25)</f>
        <v/>
      </c>
      <c r="BI26" s="1533">
        <f>SUM(BI19:BI25)</f>
        <v/>
      </c>
      <c r="BJ26" s="1533">
        <f>SUM(BJ19:BJ25)</f>
        <v/>
      </c>
      <c r="BK26" s="1533">
        <f>SUM(BK19:BK25)</f>
        <v/>
      </c>
      <c r="BL26" s="1533">
        <f>SUM(BL19:BL25)</f>
        <v/>
      </c>
      <c r="BM26" s="1533">
        <f>SUM(BM19:BM25)</f>
        <v/>
      </c>
      <c r="BN26" s="1533">
        <f>SUM(BN19:BN25)</f>
        <v/>
      </c>
      <c r="BO26" s="1533">
        <f>SUM(BO19:BO25)</f>
        <v/>
      </c>
      <c r="BP26" s="1533">
        <f>SUM(BP19:BP25)</f>
        <v/>
      </c>
      <c r="BQ26" s="1533">
        <f>SUM(BQ19:BQ25)</f>
        <v/>
      </c>
      <c r="BR26" s="1533">
        <f>SUM(BR19:BR25)</f>
        <v/>
      </c>
      <c r="BS26" s="1533">
        <f>SUM(BS19:BS25)</f>
        <v/>
      </c>
      <c r="BT26" s="1533">
        <f>SUM(BT19:BT25)</f>
        <v/>
      </c>
      <c r="BU26" s="1533">
        <f>SUM(BU19:BU25)</f>
        <v/>
      </c>
      <c r="BV26" s="1533">
        <f>SUM(BV19:BV25)</f>
        <v/>
      </c>
      <c r="BW26" s="1533">
        <f>SUM(BW19:BW25)</f>
        <v/>
      </c>
      <c r="BX26" s="1533">
        <f>SUM(BX19:BX25)</f>
        <v/>
      </c>
      <c r="BY26" s="1533">
        <f>SUM(BY19:BY25)</f>
        <v/>
      </c>
      <c r="BZ26" s="1533">
        <f>SUM(BZ19:BZ25)</f>
        <v/>
      </c>
      <c r="CA26" s="1533">
        <f>SUM(CA19:CA25)</f>
        <v/>
      </c>
      <c r="CB26" s="1533">
        <f>SUM(CB19:CB25)</f>
        <v/>
      </c>
      <c r="CC26" s="1533">
        <f>SUM(CC19:CC25)</f>
        <v/>
      </c>
      <c r="CD26" s="1533">
        <f>SUM(CD19:CD25)</f>
        <v/>
      </c>
      <c r="CE26" s="1533">
        <f>SUM(CE19:CE25)</f>
        <v/>
      </c>
      <c r="CF26" s="1533">
        <f>SUM(CF19:CF25)</f>
        <v/>
      </c>
      <c r="CG26" s="1533">
        <f>SUM(CG19:CG25)</f>
        <v/>
      </c>
      <c r="CH26" s="1533" t="n"/>
      <c r="CI26" s="1533" t="n"/>
      <c r="CJ26" s="1533" t="n"/>
      <c r="CK26" s="1531" t="n"/>
      <c r="CL26" s="1533">
        <f>SUM(CL19:CL25)</f>
        <v/>
      </c>
      <c r="CM26" s="1531" t="n"/>
      <c r="CN26" s="1531" t="n"/>
      <c r="CO26" s="1531" t="n"/>
      <c r="CP26" s="1535" t="n"/>
      <c r="CQ26" s="1536" t="n"/>
      <c r="CR26" s="1535" t="n"/>
      <c r="CS26" s="1537" t="n"/>
      <c r="CT26" s="1537" t="n"/>
      <c r="CU26" s="1537" t="n"/>
      <c r="CV26" s="1538" t="n"/>
      <c r="CW26" s="1538" t="n"/>
      <c r="CX26" s="1538" t="n"/>
      <c r="CY26" s="1538" t="n"/>
      <c r="CZ26" s="1526" t="n"/>
      <c r="DA26" s="1539" t="n"/>
      <c r="DB26" s="1526" t="n"/>
      <c r="DC26" s="1526" t="n"/>
      <c r="DD26" s="1487" t="n"/>
      <c r="DE26" s="1523" t="n"/>
      <c r="DF26" s="1497" t="n"/>
      <c r="DG26" s="212" t="n"/>
    </row>
    <row r="27">
      <c r="A27" s="230" t="n">
        <v>15</v>
      </c>
      <c r="B27" s="1376" t="n">
        <v>8</v>
      </c>
      <c r="C27" s="176" t="inlineStr">
        <is>
          <t>Thai Thuy Linh</t>
        </is>
      </c>
      <c r="D27" s="250" t="inlineStr">
        <is>
          <t>Thái Thùy Linh</t>
        </is>
      </c>
      <c r="E27" s="1492">
        <f>IF(OR(G27="CHT",G27="DSBC",G27="DSXC"),"HĐLĐ",IF(OR(G27="DSTV",G27="Q.CHT"),"HĐTV","HĐCTV"))</f>
        <v/>
      </c>
      <c r="F27" s="1493" t="inlineStr">
        <is>
          <t>Minh Châu</t>
        </is>
      </c>
      <c r="G27" s="1494" t="inlineStr">
        <is>
          <t>CHT</t>
        </is>
      </c>
      <c r="H27" s="1495" t="n">
        <v>44644</v>
      </c>
      <c r="I27" s="1496" t="inlineStr">
        <is>
          <t>070077077837</t>
        </is>
      </c>
      <c r="J27" s="1496" t="inlineStr">
        <is>
          <t>Sacombank</t>
        </is>
      </c>
      <c r="K27" s="1497" t="n">
        <v>28</v>
      </c>
      <c r="L27" s="1497" t="n">
        <v>27</v>
      </c>
      <c r="M27" s="1497" t="n">
        <v>202.49</v>
      </c>
      <c r="N27" s="1497" t="n">
        <v>49.04</v>
      </c>
      <c r="O27" s="1497" t="n">
        <v>0</v>
      </c>
      <c r="P27" s="232" t="n"/>
      <c r="Q27" s="1497" t="n"/>
      <c r="R27" s="1498" t="n"/>
      <c r="S27" s="1499">
        <f>IF(E27="HĐLĐ",5310000,0)</f>
        <v/>
      </c>
      <c r="T27" s="1500" t="n">
        <v>482142.8571428572</v>
      </c>
      <c r="U27" s="1501" t="n"/>
      <c r="V27" s="232" t="n"/>
      <c r="W27" s="232" t="n"/>
      <c r="X27" s="232" t="n"/>
      <c r="Y27" s="232" t="n"/>
      <c r="Z27" s="232" t="n"/>
      <c r="AA27" s="1497" t="n">
        <v>0</v>
      </c>
      <c r="AB27" s="1497" t="n">
        <v>0</v>
      </c>
      <c r="AC27" s="1499" t="n">
        <v>7869400</v>
      </c>
      <c r="AD27" s="232" t="n"/>
      <c r="AE27" s="232" t="n"/>
      <c r="AF27" s="232" t="n"/>
      <c r="AG27" s="1502">
        <f>IF(E27="HĐTV",AE27/28/8*M27,AC27/28/8*M27)</f>
        <v/>
      </c>
      <c r="AH27" s="1499">
        <f>IF(E27="HĐTV",AE27/28/8*N27*1.5,AC27/28/8*N27*1.5)</f>
        <v/>
      </c>
      <c r="AI27" s="232" t="n">
        <v>0</v>
      </c>
      <c r="AJ27" s="232" t="n">
        <v>0</v>
      </c>
      <c r="AK27" s="232" t="n">
        <v>0</v>
      </c>
      <c r="AL27" s="1497" t="inlineStr">
        <is>
          <t>1,500,000</t>
        </is>
      </c>
      <c r="AM27" s="1497" t="n">
        <v>0</v>
      </c>
      <c r="AN27" s="1497" t="n">
        <v>0</v>
      </c>
      <c r="AO27" s="1497" t="n">
        <v>0</v>
      </c>
      <c r="AP27" s="1497" t="n">
        <v>1446150</v>
      </c>
      <c r="AQ27" s="1497" t="n">
        <v>107427</v>
      </c>
      <c r="AR27" s="1497" t="n">
        <v>0</v>
      </c>
      <c r="AS27" s="1497" t="n">
        <v>500000</v>
      </c>
      <c r="AT27" s="1497" t="n">
        <v>0</v>
      </c>
      <c r="AU27" s="1497" t="n">
        <v>300000</v>
      </c>
      <c r="AV27" s="1497" t="n">
        <v>0</v>
      </c>
      <c r="AW27" s="1497" t="n">
        <v>0</v>
      </c>
      <c r="AX27" s="1497" t="n">
        <v>0</v>
      </c>
      <c r="AY27" s="232" t="n">
        <v>0</v>
      </c>
      <c r="AZ27" s="1499" t="n">
        <v>0</v>
      </c>
      <c r="BA27" s="1503" t="n">
        <v>2017813</v>
      </c>
      <c r="BB27" s="1497" t="n">
        <v>0</v>
      </c>
      <c r="BC27" s="1497" t="n">
        <v>0</v>
      </c>
      <c r="BD27" s="1497" t="n">
        <v>0</v>
      </c>
      <c r="BE27" s="1497" t="n">
        <v>0</v>
      </c>
      <c r="BF27" s="1497" t="n">
        <v>0</v>
      </c>
      <c r="BG27" s="1497" t="n">
        <v>0</v>
      </c>
      <c r="BH27" s="1504">
        <f>SUM(T27:AB27)+SUM(AF27:BA27)-SUM(BB27:BG27)</f>
        <v/>
      </c>
      <c r="BI27" s="1505">
        <f>S27*17.5%</f>
        <v/>
      </c>
      <c r="BJ27" s="1505">
        <f>S27*3%</f>
        <v/>
      </c>
      <c r="BK27" s="1505">
        <f>S27*1%</f>
        <v/>
      </c>
      <c r="BL27" s="1506" t="n"/>
      <c r="BM27" s="1507">
        <f>SUM(BI27:BL27)</f>
        <v/>
      </c>
      <c r="BN27" s="1505">
        <f>S27*8%</f>
        <v/>
      </c>
      <c r="BO27" s="1505">
        <f>S27*1.5%</f>
        <v/>
      </c>
      <c r="BP27" s="1505">
        <f>S27*1%</f>
        <v/>
      </c>
      <c r="BQ27" s="1506" t="n"/>
      <c r="BR27" s="1507">
        <f>SUM(BN27:BQ27)</f>
        <v/>
      </c>
      <c r="BS27" s="1505">
        <f>T27+U27+V27+W27</f>
        <v/>
      </c>
      <c r="BT27" s="1508">
        <f>BH27-BS27-AH27</f>
        <v/>
      </c>
      <c r="BU27" s="1505">
        <f>IF(E27="HĐLĐ",15500000,0)</f>
        <v/>
      </c>
      <c r="BV27" s="1509" t="n">
        <v>0</v>
      </c>
      <c r="BW27" s="1505">
        <f>BV27*6200000</f>
        <v/>
      </c>
      <c r="BX27" s="1505">
        <f>BR27</f>
        <v/>
      </c>
      <c r="BY27" s="1510">
        <f>BU27+BW27+BX27</f>
        <v/>
      </c>
      <c r="BZ27" s="1505">
        <f>IF(BT27-BY27&gt;0,BT27-BY27,0)</f>
        <v/>
      </c>
      <c r="CA27" s="1506">
        <f>IF(AND(OR($E27="HĐTV",$E27="HĐCTV"),$BZ27&lt;2000000),0,IF(OR($E27="HĐTV",$E27="HĐCTV"),$BZ27*10%,ROUND(IF($BZ27&lt;=10000000,$BZ27*5%,IF($BZ27&lt;=30000000,$BZ27*10%-500000,IF($BZ27&lt;=60000000,$BZ27*20%-3500000,IF($BZ27&lt;=100000000,$BZ27*30%-9500000,$BZ27*35%-14500000)))),0)))</f>
        <v/>
      </c>
      <c r="CB27" s="1511">
        <f>ROUND(BH27-BR27-CA27,0)</f>
        <v/>
      </c>
      <c r="CC27" s="1509" t="n"/>
      <c r="CD27" s="1512" t="n">
        <v>0</v>
      </c>
      <c r="CE27" s="1513">
        <f>CB27+CC27-CD27</f>
        <v/>
      </c>
      <c r="CF27" s="1514">
        <f>CE27-CG27</f>
        <v/>
      </c>
      <c r="CG27" s="1514">
        <f>CE27</f>
        <v/>
      </c>
      <c r="CH27" s="1515" t="n"/>
      <c r="CI27" s="1516" t="inlineStr">
        <is>
          <t>linh.thai@medigoapp.com</t>
        </is>
      </c>
      <c r="CJ27" s="1497" t="n">
        <v>13993964</v>
      </c>
      <c r="CK27" s="1495" t="n">
        <v>12</v>
      </c>
      <c r="CL27" s="1497" t="n">
        <v>0</v>
      </c>
      <c r="CM27" s="1495" t="n">
        <v>24</v>
      </c>
      <c r="CN27" s="1495" t="n">
        <v>3</v>
      </c>
      <c r="CO27" s="1495" t="n">
        <v>2022</v>
      </c>
      <c r="CP27" s="1517">
        <f>IF((($CO$7-CO27)*12)+($CN$7-CN27)&gt;=12,((($CO$7-CO27)*12)+($CN$7-CN27))-1,0)</f>
        <v/>
      </c>
      <c r="CQ27" s="1518">
        <f>IF(CP27&lt;12,(($CQ$7-CO27)*12)+($CP$7-CN27),0)</f>
        <v/>
      </c>
      <c r="CR27" s="1517">
        <f>IF(OR(CP27&gt;12,CP27=12),((CP27-(CS27*12))+((($CQ$7-2024)*12)+($CP$7-4)))+1,0)</f>
        <v/>
      </c>
      <c r="CS27" s="1519">
        <f>IF(OR(CP27&gt;12,CP27=12),ROUNDDOWN(CP27/12,0),0)</f>
        <v/>
      </c>
      <c r="CT27" s="1519">
        <f>IF(CQ27&gt;11,ROUNDDOWN(CQ27/12,0),0)</f>
        <v/>
      </c>
      <c r="CU27" s="1519">
        <f>IF(CR27&gt;11,ROUNDDOWN(CR27/12,0),0)</f>
        <v/>
      </c>
      <c r="CV27" s="1520">
        <f>IF(CP27=0,0,6000000*1.07^CS27)</f>
        <v/>
      </c>
      <c r="CW27" s="1520">
        <f>IF(CT27&lt;2,0,6000000+(CT27-1)*500000)</f>
        <v/>
      </c>
      <c r="CX27" s="1520">
        <f>IF(CU27=0,CV27,IF(CU27&lt;1,0,CV27+CU27*500000))</f>
        <v/>
      </c>
      <c r="CY27" s="1520">
        <f>IF(CX27&gt;0,CX27,IF(CW27&gt;0,CW27,6000000))</f>
        <v/>
      </c>
      <c r="CZ27" s="1521" t="n"/>
      <c r="DA27" s="1522" t="n"/>
      <c r="DB27" s="1521" t="n"/>
      <c r="DC27" s="1521" t="n"/>
      <c r="DD27" s="1487" t="n"/>
      <c r="DE27" s="1523" t="n"/>
      <c r="DF27" s="1497" t="n"/>
      <c r="DG27" s="212" t="n"/>
    </row>
    <row r="28">
      <c r="A28" s="230" t="n">
        <v>16</v>
      </c>
      <c r="B28" s="1376" t="n">
        <v>8</v>
      </c>
      <c r="C28" s="176" t="inlineStr">
        <is>
          <t>Trinh Thi Phuong</t>
        </is>
      </c>
      <c r="D28" s="250" t="inlineStr">
        <is>
          <t>Trịnh Thị Phượng</t>
        </is>
      </c>
      <c r="E28" s="1492">
        <f>IF(OR(G28="CHT",G28="DSBC",G28="DSXC"),"HĐLĐ",IF(OR(G28="DSTV",G28="Q.CHT"),"HĐTV","HĐCTV"))</f>
        <v/>
      </c>
      <c r="F28" s="1493" t="inlineStr">
        <is>
          <t>Minh Châu</t>
        </is>
      </c>
      <c r="G28" s="1494" t="inlineStr">
        <is>
          <t>DSBC</t>
        </is>
      </c>
      <c r="H28" s="1495" t="n">
        <v>45096</v>
      </c>
      <c r="I28" s="1496" t="inlineStr">
        <is>
          <t>10200014211025</t>
        </is>
      </c>
      <c r="J28" s="1496" t="inlineStr">
        <is>
          <t xml:space="preserve"> Đông Nam Á (Seabank)</t>
        </is>
      </c>
      <c r="K28" s="1497" t="n">
        <v>28</v>
      </c>
      <c r="L28" s="1497" t="n">
        <v>6</v>
      </c>
      <c r="M28" s="1497" t="n">
        <v>0</v>
      </c>
      <c r="N28" s="1497" t="n">
        <v>46.45</v>
      </c>
      <c r="O28" s="1497" t="n">
        <v>0</v>
      </c>
      <c r="P28" s="232" t="n"/>
      <c r="Q28" s="1497" t="n"/>
      <c r="R28" s="1498" t="n"/>
      <c r="S28" s="1499">
        <f>IF(E28="HĐLĐ",5310000,0)</f>
        <v/>
      </c>
      <c r="T28" s="1500" t="n">
        <v>107142.8571428572</v>
      </c>
      <c r="U28" s="1501" t="n"/>
      <c r="V28" s="232" t="n"/>
      <c r="W28" s="232" t="n"/>
      <c r="X28" s="232" t="n"/>
      <c r="Y28" s="232" t="n"/>
      <c r="Z28" s="232" t="n"/>
      <c r="AA28" s="1497" t="n">
        <v>0</v>
      </c>
      <c r="AB28" s="1497" t="n">
        <v>0</v>
      </c>
      <c r="AC28" s="1499" t="n">
        <v>6500000</v>
      </c>
      <c r="AD28" s="232" t="n"/>
      <c r="AE28" s="232" t="n"/>
      <c r="AF28" s="232" t="n"/>
      <c r="AG28" s="1502">
        <f>IF(E28="HĐTV",AE28/28/8*M28,AC28/28/8*M28)</f>
        <v/>
      </c>
      <c r="AH28" s="1499">
        <f>IF(E28="HĐTV",AE28/28/8*N28*1.5,AC28/28/8*N28*1.5)</f>
        <v/>
      </c>
      <c r="AI28" s="232" t="n">
        <v>321439</v>
      </c>
      <c r="AJ28" s="232" t="n">
        <v>0</v>
      </c>
      <c r="AK28" s="232" t="n">
        <v>0</v>
      </c>
      <c r="AL28" s="1497" t="n">
        <v>0</v>
      </c>
      <c r="AM28" s="1497" t="n">
        <v>0</v>
      </c>
      <c r="AN28" s="1497" t="n">
        <v>0</v>
      </c>
      <c r="AO28" s="1497" t="n">
        <v>1301447</v>
      </c>
      <c r="AP28" s="1497" t="n">
        <v>0</v>
      </c>
      <c r="AQ28" s="1497" t="n">
        <v>11205</v>
      </c>
      <c r="AR28" s="1497" t="n">
        <v>0</v>
      </c>
      <c r="AS28" s="1497" t="n">
        <v>0</v>
      </c>
      <c r="AT28" s="1497" t="n">
        <v>0</v>
      </c>
      <c r="AU28" s="1497" t="n">
        <v>0</v>
      </c>
      <c r="AV28" s="1497" t="n">
        <v>0</v>
      </c>
      <c r="AW28" s="1497" t="n">
        <v>0</v>
      </c>
      <c r="AX28" s="1497" t="n">
        <v>0</v>
      </c>
      <c r="AY28" s="232" t="n">
        <v>0</v>
      </c>
      <c r="AZ28" s="1499" t="n">
        <v>0</v>
      </c>
      <c r="BA28" s="1503" t="n">
        <v>0</v>
      </c>
      <c r="BB28" s="1497" t="n">
        <v>0</v>
      </c>
      <c r="BC28" s="1497" t="n">
        <v>0</v>
      </c>
      <c r="BD28" s="1497" t="n">
        <v>0</v>
      </c>
      <c r="BE28" s="1497" t="n">
        <v>0</v>
      </c>
      <c r="BF28" s="1497" t="n">
        <v>0</v>
      </c>
      <c r="BG28" s="1497" t="n">
        <v>0</v>
      </c>
      <c r="BH28" s="1504">
        <f>SUM(T28:AB28)+SUM(AF28:BA28)-SUM(BB28:BG28)</f>
        <v/>
      </c>
      <c r="BI28" s="1505">
        <f>S28*17.5%</f>
        <v/>
      </c>
      <c r="BJ28" s="1505">
        <f>S28*3%</f>
        <v/>
      </c>
      <c r="BK28" s="1505">
        <f>S28*1%</f>
        <v/>
      </c>
      <c r="BL28" s="1506" t="n"/>
      <c r="BM28" s="1507">
        <f>SUM(BI28:BL28)</f>
        <v/>
      </c>
      <c r="BN28" s="1505">
        <f>S28*8%</f>
        <v/>
      </c>
      <c r="BO28" s="1505">
        <f>S28*1.5%</f>
        <v/>
      </c>
      <c r="BP28" s="1505">
        <f>S28*1%</f>
        <v/>
      </c>
      <c r="BQ28" s="1506" t="n"/>
      <c r="BR28" s="1507">
        <f>SUM(BN28:BQ28)</f>
        <v/>
      </c>
      <c r="BS28" s="1505">
        <f>T28+U28+V28+W28</f>
        <v/>
      </c>
      <c r="BT28" s="1508">
        <f>BH28-BS28-AH28</f>
        <v/>
      </c>
      <c r="BU28" s="1505">
        <f>IF(E28="HĐLĐ",15500000,0)</f>
        <v/>
      </c>
      <c r="BV28" s="1509" t="n">
        <v>1</v>
      </c>
      <c r="BW28" s="1505">
        <f>BV28*6200000</f>
        <v/>
      </c>
      <c r="BX28" s="1505">
        <f>BR28</f>
        <v/>
      </c>
      <c r="BY28" s="1510">
        <f>BU28+BW28+BX28</f>
        <v/>
      </c>
      <c r="BZ28" s="1505">
        <f>IF(BT28-BY28&gt;0,BT28-BY28,0)</f>
        <v/>
      </c>
      <c r="CA28" s="1506">
        <f>IF(AND(OR($E28="HĐTV",$E28="HĐCTV"),$BZ28&lt;2000000),0,IF(OR($E28="HĐTV",$E28="HĐCTV"),$BZ28*10%,ROUND(IF($BZ28&lt;=10000000,$BZ28*5%,IF($BZ28&lt;=30000000,$BZ28*10%-500000,IF($BZ28&lt;=60000000,$BZ28*20%-3500000,IF($BZ28&lt;=100000000,$BZ28*30%-9500000,$BZ28*35%-14500000)))),0)))</f>
        <v/>
      </c>
      <c r="CB28" s="1511">
        <f>ROUND(BH28-BR28-CA28,0)</f>
        <v/>
      </c>
      <c r="CC28" s="1509" t="n"/>
      <c r="CD28" s="1512" t="n">
        <v>0</v>
      </c>
      <c r="CE28" s="1513">
        <f>CB28+CC28-CD28</f>
        <v/>
      </c>
      <c r="CF28" s="1514">
        <f>CE28-CG28</f>
        <v/>
      </c>
      <c r="CG28" s="1514">
        <f>CE28</f>
        <v/>
      </c>
      <c r="CH28" s="1515" t="n"/>
      <c r="CI28" s="1516" t="inlineStr">
        <is>
          <t>phuong.trinh@medigoapp.com</t>
        </is>
      </c>
      <c r="CJ28" s="1497" t="n">
        <v>0</v>
      </c>
      <c r="CK28" s="1495" t="n">
        <v>4</v>
      </c>
      <c r="CL28" s="1497" t="n">
        <v>0</v>
      </c>
      <c r="CM28" s="1495" t="n">
        <v>19</v>
      </c>
      <c r="CN28" s="1495" t="n">
        <v>6</v>
      </c>
      <c r="CO28" s="1495" t="n">
        <v>2023</v>
      </c>
      <c r="CP28" s="1517">
        <f>IF((($CO$7-CO28)*12)+($CN$7-CN28)&gt;=12,((($CO$7-CO28)*12)+($CN$7-CN28))-1,0)</f>
        <v/>
      </c>
      <c r="CQ28" s="1518">
        <f>IF(CP28&lt;12,(($CQ$7-CO28)*12)+($CP$7-CN28),0)</f>
        <v/>
      </c>
      <c r="CR28" s="1517">
        <f>IF(OR(CP28&gt;12,CP28=12),((CP28-(CS28*12))+((($CQ$7-2024)*12)+($CP$7-4)))+1,0)</f>
        <v/>
      </c>
      <c r="CS28" s="1519">
        <f>IF(OR(CP28&gt;12,CP28=12),ROUNDDOWN(CP28/12,0),0)</f>
        <v/>
      </c>
      <c r="CT28" s="1519">
        <f>IF(CQ28&gt;11,ROUNDDOWN(CQ28/12,0),0)</f>
        <v/>
      </c>
      <c r="CU28" s="1519">
        <f>IF(CR28&gt;11,ROUNDDOWN(CR28/12,0),0)</f>
        <v/>
      </c>
      <c r="CV28" s="1520">
        <f>IF(CP28=0,0,6000000*1.07^CS28)</f>
        <v/>
      </c>
      <c r="CW28" s="1520">
        <f>IF(CT28&lt;2,0,6000000+(CT28-1)*500000)</f>
        <v/>
      </c>
      <c r="CX28" s="1520">
        <f>IF(CU28=0,CV28,IF(CU28&lt;1,0,CV28+CU28*500000))</f>
        <v/>
      </c>
      <c r="CY28" s="1520">
        <f>IF(CX28&gt;0,CX28,IF(CW28&gt;0,CW28,6000000))</f>
        <v/>
      </c>
      <c r="CZ28" s="1521" t="n"/>
      <c r="DA28" s="1522" t="n"/>
      <c r="DB28" s="1521" t="n"/>
      <c r="DC28" s="1521" t="n"/>
      <c r="DD28" s="1487" t="n"/>
      <c r="DE28" s="1523" t="n"/>
      <c r="DF28" s="1497" t="n"/>
      <c r="DG28" s="212" t="n"/>
    </row>
    <row r="29">
      <c r="A29" s="230" t="n">
        <v>17</v>
      </c>
      <c r="B29" s="1376" t="n">
        <v>8</v>
      </c>
      <c r="C29" s="176" t="inlineStr">
        <is>
          <t>Phan Cong Vu Tai</t>
        </is>
      </c>
      <c r="D29" s="250" t="inlineStr">
        <is>
          <t>Phan Công Vũ Tài</t>
        </is>
      </c>
      <c r="E29" s="1492">
        <f>IF(OR(G29="CHT",G29="DSBC",G29="DSXC"),"HĐLĐ",IF(OR(G29="DSTV",G29="Q.CHT"),"HĐTV","HĐCTV"))</f>
        <v/>
      </c>
      <c r="F29" s="1493" t="inlineStr">
        <is>
          <t>Minh Châu</t>
        </is>
      </c>
      <c r="G29" s="1494" t="inlineStr">
        <is>
          <t>DSBC</t>
        </is>
      </c>
      <c r="H29" s="1495" t="inlineStr">
        <is>
          <t>26/01/2026</t>
        </is>
      </c>
      <c r="I29" s="1496" t="inlineStr">
        <is>
          <t>02446989901</t>
        </is>
      </c>
      <c r="J29" s="1496" t="inlineStr">
        <is>
          <t>Tp Bank</t>
        </is>
      </c>
      <c r="K29" s="1497" t="n">
        <v>28</v>
      </c>
      <c r="L29" s="1497" t="n">
        <v>28</v>
      </c>
      <c r="M29" s="1497" t="n">
        <v>69.75</v>
      </c>
      <c r="N29" s="1497" t="n">
        <v>185.25</v>
      </c>
      <c r="O29" s="1497" t="n">
        <v>16</v>
      </c>
      <c r="P29" s="232" t="n"/>
      <c r="Q29" s="1497" t="n"/>
      <c r="R29" s="1498" t="n"/>
      <c r="S29" s="1499">
        <f>IF(E29="HĐLĐ",5310000,0)</f>
        <v/>
      </c>
      <c r="T29" s="1500" t="n">
        <v>500000.0000000001</v>
      </c>
      <c r="U29" s="1501" t="n"/>
      <c r="V29" s="232" t="n"/>
      <c r="W29" s="232" t="n"/>
      <c r="X29" s="232" t="n"/>
      <c r="Y29" s="232" t="n"/>
      <c r="Z29" s="232" t="n"/>
      <c r="AA29" s="1497" t="n">
        <v>0</v>
      </c>
      <c r="AB29" s="1497" t="n">
        <v>0</v>
      </c>
      <c r="AC29" s="1499" t="n">
        <v>6000000</v>
      </c>
      <c r="AD29" s="232" t="n"/>
      <c r="AE29" s="232" t="n"/>
      <c r="AF29" s="232" t="n"/>
      <c r="AG29" s="1502">
        <f>IF(E29="HĐTV",AE29/28/8*M29,AC29/28/8*M29)</f>
        <v/>
      </c>
      <c r="AH29" s="1499">
        <f>IF(E29="HĐTV",AE29/28/8*N29*1.5,AC29/28/8*N29*1.5)</f>
        <v/>
      </c>
      <c r="AI29" s="232" t="n">
        <v>1285714</v>
      </c>
      <c r="AJ29" s="232" t="n">
        <v>0</v>
      </c>
      <c r="AK29" s="232" t="n">
        <v>0</v>
      </c>
      <c r="AL29" s="1497" t="n">
        <v>0</v>
      </c>
      <c r="AM29" s="1497" t="n">
        <v>0</v>
      </c>
      <c r="AN29" s="1497" t="n">
        <v>4000000</v>
      </c>
      <c r="AO29" s="1497" t="n">
        <v>2145059</v>
      </c>
      <c r="AP29" s="1497" t="n">
        <v>4854450</v>
      </c>
      <c r="AQ29" s="1497" t="n">
        <v>15362</v>
      </c>
      <c r="AR29" s="1497" t="n">
        <v>0</v>
      </c>
      <c r="AS29" s="1497" t="n">
        <v>0</v>
      </c>
      <c r="AT29" s="1497" t="n">
        <v>0</v>
      </c>
      <c r="AU29" s="1497" t="n">
        <v>0</v>
      </c>
      <c r="AV29" s="1497" t="n">
        <v>0</v>
      </c>
      <c r="AW29" s="1497" t="n">
        <v>0</v>
      </c>
      <c r="AX29" s="1497" t="n">
        <v>0</v>
      </c>
      <c r="AY29" s="232" t="n">
        <v>0</v>
      </c>
      <c r="AZ29" s="1499" t="n">
        <v>0</v>
      </c>
      <c r="BA29" s="1503" t="n">
        <v>0</v>
      </c>
      <c r="BB29" s="1497" t="n">
        <v>0</v>
      </c>
      <c r="BC29" s="1497" t="n">
        <v>0</v>
      </c>
      <c r="BD29" s="1497" t="n">
        <v>100000</v>
      </c>
      <c r="BE29" s="1497" t="n">
        <v>0</v>
      </c>
      <c r="BF29" s="1497" t="n">
        <v>90000</v>
      </c>
      <c r="BG29" s="1497" t="n">
        <v>0</v>
      </c>
      <c r="BH29" s="1504">
        <f>SUM(T29:AB29)+SUM(AF29:BA29)-SUM(BB29:BG29)</f>
        <v/>
      </c>
      <c r="BI29" s="1505">
        <f>S29*17.5%</f>
        <v/>
      </c>
      <c r="BJ29" s="1505">
        <f>S29*3%</f>
        <v/>
      </c>
      <c r="BK29" s="1505">
        <f>S29*1%</f>
        <v/>
      </c>
      <c r="BL29" s="1506" t="n"/>
      <c r="BM29" s="1507">
        <f>SUM(BI29:BL29)</f>
        <v/>
      </c>
      <c r="BN29" s="1505">
        <f>S29*8%</f>
        <v/>
      </c>
      <c r="BO29" s="1505">
        <f>S29*1.5%</f>
        <v/>
      </c>
      <c r="BP29" s="1505">
        <f>S29*1%</f>
        <v/>
      </c>
      <c r="BQ29" s="1506" t="n"/>
      <c r="BR29" s="1507">
        <f>SUM(BN29:BQ29)</f>
        <v/>
      </c>
      <c r="BS29" s="1505">
        <f>T29+U29+V29+W29</f>
        <v/>
      </c>
      <c r="BT29" s="1508">
        <f>BH29-BS29-AH29</f>
        <v/>
      </c>
      <c r="BU29" s="1505">
        <f>IF(E29="HĐLĐ",15500000,0)</f>
        <v/>
      </c>
      <c r="BV29" s="1509" t="n">
        <v>0</v>
      </c>
      <c r="BW29" s="1505">
        <f>BV29*6200000</f>
        <v/>
      </c>
      <c r="BX29" s="1505">
        <f>BR29</f>
        <v/>
      </c>
      <c r="BY29" s="1510">
        <f>BU29+BW29+BX29</f>
        <v/>
      </c>
      <c r="BZ29" s="1505">
        <f>IF(BT29-BY29&gt;0,BT29-BY29,0)</f>
        <v/>
      </c>
      <c r="CA29" s="1506">
        <f>IF(AND(OR($E29="HĐTV",$E29="HĐCTV"),$BZ29&lt;2000000),0,IF(OR($E29="HĐTV",$E29="HĐCTV"),$BZ29*10%,ROUND(IF($BZ29&lt;=10000000,$BZ29*5%,IF($BZ29&lt;=30000000,$BZ29*10%-500000,IF($BZ29&lt;=60000000,$BZ29*20%-3500000,IF($BZ29&lt;=100000000,$BZ29*30%-9500000,$BZ29*35%-14500000)))),0)))</f>
        <v/>
      </c>
      <c r="CB29" s="1511">
        <f>ROUND(BH29-BR29-CA29,0)</f>
        <v/>
      </c>
      <c r="CC29" s="1509" t="n"/>
      <c r="CD29" s="1512" t="n">
        <v>6000000</v>
      </c>
      <c r="CE29" s="1513">
        <f>CB29+CC29-CD29</f>
        <v/>
      </c>
      <c r="CF29" s="1514">
        <f>CE29-CG29</f>
        <v/>
      </c>
      <c r="CG29" s="1514">
        <f>CE29</f>
        <v/>
      </c>
      <c r="CH29" s="1515" t="n"/>
      <c r="CI29" s="1516">
        <f>VLOOKUP($C33,[5]Sheet1!$C$5:$K$139,9,0)</f>
        <v/>
      </c>
      <c r="CJ29" s="1497" t="n">
        <v>15257606</v>
      </c>
      <c r="CK29" s="1495" t="n">
        <v>4</v>
      </c>
      <c r="CL29" s="1497" t="n">
        <v>0</v>
      </c>
      <c r="CM29" s="1495" t="n">
        <v>26</v>
      </c>
      <c r="CN29" s="1495" t="n">
        <v>1</v>
      </c>
      <c r="CO29" s="1495" t="n">
        <v>2026</v>
      </c>
      <c r="CP29" s="1517">
        <f>IF((($CO$7-CO29)*12)+($CN$7-CN29)&gt;=12,((($CO$7-CO29)*12)+($CN$7-CN29))-1,0)</f>
        <v/>
      </c>
      <c r="CQ29" s="1518">
        <f>IF(CP29&lt;12,(($CQ$7-CO29)*12)+($CP$7-CN29),0)</f>
        <v/>
      </c>
      <c r="CR29" s="1517">
        <f>IF(OR(CP29&gt;12,CP29=12),((CP29-(CS29*12))+((($CQ$7-2024)*12)+($CP$7-4)))+1,0)</f>
        <v/>
      </c>
      <c r="CS29" s="1519">
        <f>IF(OR(CP29&gt;12,CP29=12),ROUNDDOWN(CP29/12,0),0)</f>
        <v/>
      </c>
      <c r="CT29" s="1519">
        <f>IF(CQ29&gt;11,ROUNDDOWN(CQ29/12,0),0)</f>
        <v/>
      </c>
      <c r="CU29" s="1519">
        <f>IF(CR29&gt;11,ROUNDDOWN(CR29/12,0),0)</f>
        <v/>
      </c>
      <c r="CV29" s="1520">
        <f>IF(CP29=0,0,6000000*1.07^CS29)</f>
        <v/>
      </c>
      <c r="CW29" s="1520">
        <f>IF(CT29&lt;2,0,6000000+(CT29-1)*500000)</f>
        <v/>
      </c>
      <c r="CX29" s="1520">
        <f>IF(CU29=0,CV29,IF(CU29&lt;1,0,CV29+CU29*500000))</f>
        <v/>
      </c>
      <c r="CY29" s="1520" t="n">
        <v>6000000</v>
      </c>
      <c r="CZ29" s="1521" t="n"/>
      <c r="DA29" s="1522" t="n"/>
      <c r="DB29" s="1521" t="n"/>
      <c r="DC29" s="1521" t="n"/>
      <c r="DD29" s="1487" t="n"/>
      <c r="DE29" s="1523" t="n"/>
      <c r="DF29" s="1497" t="n"/>
      <c r="DG29" s="212" t="n"/>
    </row>
    <row r="30">
      <c r="A30" s="230" t="n">
        <v>18</v>
      </c>
      <c r="B30" s="1376" t="n">
        <v>8</v>
      </c>
      <c r="C30" s="176" t="n"/>
      <c r="D30" s="250" t="inlineStr">
        <is>
          <t>Đoàn Quốc Tâm</t>
        </is>
      </c>
      <c r="E30" s="1492">
        <f>IF(OR(G30="CHT",G30="DSBC",G30="DSXC"),"HĐLĐ",IF(OR(G30="DSTV",G30="Q.CHT"),"HĐTV","HĐCTV"))</f>
        <v/>
      </c>
      <c r="F30" s="1493" t="inlineStr">
        <is>
          <t>Minh Châu</t>
        </is>
      </c>
      <c r="G30" s="1494" t="inlineStr">
        <is>
          <t>DSBC</t>
        </is>
      </c>
      <c r="H30" s="1495" t="inlineStr">
        <is>
          <t xml:space="preserve">25/3/2024 </t>
        </is>
      </c>
      <c r="I30" s="1496" t="n">
        <v>23241857</v>
      </c>
      <c r="J30" s="1496" t="inlineStr">
        <is>
          <t>ACB</t>
        </is>
      </c>
      <c r="K30" s="1497" t="n">
        <v>28</v>
      </c>
      <c r="L30" s="1497" t="n">
        <v>30</v>
      </c>
      <c r="M30" s="1497" t="n">
        <v>283.54</v>
      </c>
      <c r="N30" s="1497" t="n">
        <v>55.74</v>
      </c>
      <c r="O30" s="1497" t="n">
        <v>16</v>
      </c>
      <c r="P30" s="232" t="n"/>
      <c r="Q30" s="1497" t="n"/>
      <c r="R30" s="1498" t="n"/>
      <c r="S30" s="1499">
        <f>IF(E30="HĐLĐ",5310000,0)</f>
        <v/>
      </c>
      <c r="T30" s="1500" t="n">
        <v>500000</v>
      </c>
      <c r="U30" s="1501" t="n"/>
      <c r="V30" s="232" t="n"/>
      <c r="W30" s="232" t="n"/>
      <c r="X30" s="232" t="n"/>
      <c r="Y30" s="232" t="n"/>
      <c r="Z30" s="232" t="n"/>
      <c r="AA30" s="1497" t="n">
        <v>0</v>
      </c>
      <c r="AB30" s="1497" t="n">
        <v>0</v>
      </c>
      <c r="AC30" s="1499" t="n">
        <v>6500000</v>
      </c>
      <c r="AD30" s="232">
        <f>AC30</f>
        <v/>
      </c>
      <c r="AE30" s="232" t="n">
        <v>0</v>
      </c>
      <c r="AF30" s="232">
        <f>IF(E30="HĐTV",AE30/K30*L30,AD30/K30*L30)</f>
        <v/>
      </c>
      <c r="AG30" s="1502">
        <f>IF(E30="HĐTV",AE30/28/8*M30,AC30/28/8*M30)</f>
        <v/>
      </c>
      <c r="AH30" s="1499">
        <f>IF(E30="HĐTV",AE30/28/8*N30*1.5,AC30/28/8*N30*1.5)</f>
        <v/>
      </c>
      <c r="AI30" s="232" t="n">
        <v>0</v>
      </c>
      <c r="AJ30" s="232" t="n">
        <v>0</v>
      </c>
      <c r="AK30" s="232" t="n">
        <v>0</v>
      </c>
      <c r="AL30" s="1497" t="n">
        <v>0</v>
      </c>
      <c r="AM30" s="1497" t="n">
        <v>0</v>
      </c>
      <c r="AN30" s="1497" t="n">
        <v>1000000</v>
      </c>
      <c r="AO30" s="1497" t="n">
        <v>0</v>
      </c>
      <c r="AP30" s="1497" t="n">
        <v>3048900</v>
      </c>
      <c r="AQ30" s="1497" t="n">
        <v>68625</v>
      </c>
      <c r="AR30" s="1497" t="n">
        <v>0</v>
      </c>
      <c r="AS30" s="1497" t="n">
        <v>0</v>
      </c>
      <c r="AT30" s="1497" t="n">
        <v>0</v>
      </c>
      <c r="AU30" s="1497" t="n">
        <v>0</v>
      </c>
      <c r="AV30" s="1497" t="n">
        <v>0</v>
      </c>
      <c r="AW30" s="1497" t="n">
        <v>0</v>
      </c>
      <c r="AX30" s="1497" t="n">
        <v>0</v>
      </c>
      <c r="AY30" s="232" t="n">
        <v>0</v>
      </c>
      <c r="AZ30" s="1499" t="n">
        <v>0</v>
      </c>
      <c r="BA30" s="1503" t="n">
        <v>0</v>
      </c>
      <c r="BB30" s="1497" t="n">
        <v>0</v>
      </c>
      <c r="BC30" s="1497" t="n">
        <v>0</v>
      </c>
      <c r="BD30" s="1497" t="n">
        <v>0</v>
      </c>
      <c r="BE30" s="1497" t="n">
        <v>0</v>
      </c>
      <c r="BF30" s="1497" t="n">
        <v>0</v>
      </c>
      <c r="BG30" s="1497" t="n">
        <v>0</v>
      </c>
      <c r="BH30" s="1504">
        <f>SUM(T30:AB30)+SUM(AF30:BA30)-SUM(BB30:BG30)</f>
        <v/>
      </c>
      <c r="BI30" s="1505">
        <f>S30*17.5%</f>
        <v/>
      </c>
      <c r="BJ30" s="1505">
        <f>S30*3%</f>
        <v/>
      </c>
      <c r="BK30" s="1505">
        <f>S30*1%</f>
        <v/>
      </c>
      <c r="BL30" s="1506" t="n"/>
      <c r="BM30" s="1507">
        <f>SUM(BI30:BL30)</f>
        <v/>
      </c>
      <c r="BN30" s="1505">
        <f>S30*8%</f>
        <v/>
      </c>
      <c r="BO30" s="1505">
        <f>S30*1.5%</f>
        <v/>
      </c>
      <c r="BP30" s="1505">
        <f>S30*1%</f>
        <v/>
      </c>
      <c r="BQ30" s="1506" t="n"/>
      <c r="BR30" s="1507">
        <f>SUM(BN30:BQ30)</f>
        <v/>
      </c>
      <c r="BS30" s="1505">
        <f>T30+U30+V30+W30</f>
        <v/>
      </c>
      <c r="BT30" s="1508">
        <f>BH30-BS30-AH30</f>
        <v/>
      </c>
      <c r="BU30" s="1505">
        <f>IF(E30="HĐLĐ",15500000,0)</f>
        <v/>
      </c>
      <c r="BV30" s="1509" t="n">
        <v>0</v>
      </c>
      <c r="BW30" s="1505">
        <f>BV30*6200000</f>
        <v/>
      </c>
      <c r="BX30" s="1505">
        <f>BR30</f>
        <v/>
      </c>
      <c r="BY30" s="1510">
        <f>BU30+BW30+BX30</f>
        <v/>
      </c>
      <c r="BZ30" s="1505">
        <f>IF(BT30-BY30&gt;0,BT30-BY30,0)</f>
        <v/>
      </c>
      <c r="CA30" s="1506">
        <f>IF(AND(OR($E30="HĐTV",$E30="HĐCTV"),$BZ30&lt;2000000),0,IF(OR($E30="HĐTV",$E30="HĐCTV"),$BZ30*10%,ROUND(IF($BZ30&lt;=10000000,$BZ30*5%,IF($BZ30&lt;=30000000,$BZ30*10%-500000,IF($BZ30&lt;=60000000,$BZ30*20%-3500000,IF($BZ30&lt;=100000000,$BZ30*30%-9500000,$BZ30*35%-14500000)))),0)))</f>
        <v/>
      </c>
      <c r="CB30" s="1511">
        <f>ROUND(BH30-BR30-CA30,0)</f>
        <v/>
      </c>
      <c r="CC30" s="1509" t="n"/>
      <c r="CD30" s="1512" t="n">
        <v>0</v>
      </c>
      <c r="CE30" s="1513">
        <f>CB30+CC30-CD30</f>
        <v/>
      </c>
      <c r="CF30" s="1514">
        <f>CE30-CG30</f>
        <v/>
      </c>
      <c r="CG30" s="1514">
        <f>CE30</f>
        <v/>
      </c>
      <c r="CH30" s="1515" t="n"/>
      <c r="CI30" s="1516" t="inlineStr">
        <is>
          <t>mailto:ha.le@medigoapp.com</t>
        </is>
      </c>
      <c r="CJ30" s="1497" t="n"/>
      <c r="CK30" s="1495" t="n"/>
      <c r="CL30" s="1497" t="n"/>
      <c r="CM30" s="1495" t="n"/>
      <c r="CN30" s="1495" t="n"/>
      <c r="CO30" s="1495" t="n"/>
      <c r="CP30" s="1517" t="n"/>
      <c r="CQ30" s="1518" t="n"/>
      <c r="CR30" s="1517" t="n"/>
      <c r="CS30" s="1519" t="n"/>
      <c r="CT30" s="1519" t="n"/>
      <c r="CU30" s="1519" t="n"/>
      <c r="CV30" s="1520" t="n"/>
      <c r="CW30" s="1520" t="n"/>
      <c r="CX30" s="1520" t="n"/>
      <c r="CY30" s="1520">
        <f>IF(CX30&gt;0,CX30,IF(CW30&gt;0,CW30,6000000))</f>
        <v/>
      </c>
      <c r="CZ30" s="1521" t="n"/>
      <c r="DA30" s="1522" t="n"/>
      <c r="DB30" s="1521" t="n"/>
      <c r="DC30" s="1521" t="n"/>
      <c r="DD30" s="1487" t="n"/>
      <c r="DE30" s="1523" t="n"/>
      <c r="DF30" s="1497" t="n"/>
      <c r="DG30" s="212" t="n"/>
    </row>
    <row r="31">
      <c r="A31" s="230" t="n">
        <v>19</v>
      </c>
      <c r="B31" s="1376" t="n">
        <v>8</v>
      </c>
      <c r="C31" s="176" t="inlineStr">
        <is>
          <t>Nguyen Ngoc Thuy</t>
        </is>
      </c>
      <c r="D31" s="250" t="inlineStr">
        <is>
          <t>Nguyễn Ngọc Thùy</t>
        </is>
      </c>
      <c r="E31" s="1492">
        <f>IF(OR(G31="CHT",G31="DSBC",G31="DSXC"),"HĐLĐ",IF(OR(G31="DSTV",G31="Q.CHT"),"HĐTV","HĐCTV"))</f>
        <v/>
      </c>
      <c r="F31" s="1493" t="inlineStr">
        <is>
          <t>Minh Châu</t>
        </is>
      </c>
      <c r="G31" s="1494" t="inlineStr">
        <is>
          <t>DSTV</t>
        </is>
      </c>
      <c r="H31" s="1495" t="inlineStr">
        <is>
          <t>14/07/2026</t>
        </is>
      </c>
      <c r="I31" s="1496" t="inlineStr">
        <is>
          <t>0798366668888</t>
        </is>
      </c>
      <c r="J31" s="1496" t="inlineStr">
        <is>
          <t>MB Bank</t>
        </is>
      </c>
      <c r="K31" s="1497" t="n">
        <v>28</v>
      </c>
      <c r="L31" s="1497" t="n">
        <v>28</v>
      </c>
      <c r="M31" s="1497" t="n">
        <v>206.43</v>
      </c>
      <c r="N31" s="1497" t="n">
        <v>32.22</v>
      </c>
      <c r="O31" s="1497" t="n">
        <v>0</v>
      </c>
      <c r="P31" s="232" t="n"/>
      <c r="Q31" s="1497" t="n"/>
      <c r="R31" s="1498" t="n"/>
      <c r="S31" s="1499">
        <f>IF(E31="HĐLĐ",5310000,0)</f>
        <v/>
      </c>
      <c r="T31" s="1500" t="n">
        <v>500000.0000000001</v>
      </c>
      <c r="U31" s="1501" t="n"/>
      <c r="V31" s="232" t="n"/>
      <c r="W31" s="232" t="n"/>
      <c r="X31" s="232" t="n"/>
      <c r="Y31" s="232" t="n"/>
      <c r="Z31" s="232" t="n"/>
      <c r="AA31" s="1497" t="n">
        <v>0</v>
      </c>
      <c r="AB31" s="1497" t="n">
        <v>0</v>
      </c>
      <c r="AC31" s="1499" t="n">
        <v>6000000</v>
      </c>
      <c r="AD31" s="232">
        <f>AC31</f>
        <v/>
      </c>
      <c r="AE31" s="232" t="n">
        <v>6000000</v>
      </c>
      <c r="AF31" s="232">
        <f>IF(E31="HĐTV",AE31/K31*L31,AD31/K31*L31)</f>
        <v/>
      </c>
      <c r="AG31" s="1502">
        <f>IF(E31="HĐTV",AE31/28/8*M31,AC31/28/8*M31)</f>
        <v/>
      </c>
      <c r="AH31" s="1499">
        <f>IF(E31="HĐTV",AE31/28/8*N31*1.5,AC31/28/8*N31*1.5)</f>
        <v/>
      </c>
      <c r="AI31" s="232" t="n">
        <v>0</v>
      </c>
      <c r="AJ31" s="232" t="n">
        <v>0</v>
      </c>
      <c r="AK31" s="232" t="n">
        <v>0</v>
      </c>
      <c r="AL31" s="1497" t="n">
        <v>0</v>
      </c>
      <c r="AM31" s="1497" t="n">
        <v>0</v>
      </c>
      <c r="AN31" s="1497" t="n">
        <v>1000000</v>
      </c>
      <c r="AO31" s="1497" t="n">
        <v>0</v>
      </c>
      <c r="AP31" s="1497" t="n">
        <v>380880</v>
      </c>
      <c r="AQ31" s="1497" t="n">
        <v>0</v>
      </c>
      <c r="AR31" s="1497" t="n">
        <v>0</v>
      </c>
      <c r="AS31" s="1497" t="n">
        <v>0</v>
      </c>
      <c r="AT31" s="1497" t="n">
        <v>0</v>
      </c>
      <c r="AU31" s="1497" t="n">
        <v>0</v>
      </c>
      <c r="AV31" s="1497" t="n">
        <v>0</v>
      </c>
      <c r="AW31" s="1497" t="n">
        <v>0</v>
      </c>
      <c r="AX31" s="1497" t="n">
        <v>0</v>
      </c>
      <c r="AY31" s="232" t="n">
        <v>0</v>
      </c>
      <c r="AZ31" s="1499" t="n">
        <v>0</v>
      </c>
      <c r="BA31" s="1503" t="n">
        <v>0</v>
      </c>
      <c r="BB31" s="1497" t="n">
        <v>0</v>
      </c>
      <c r="BC31" s="1497" t="n">
        <v>0</v>
      </c>
      <c r="BD31" s="1497" t="n">
        <v>0</v>
      </c>
      <c r="BE31" s="1497" t="n">
        <v>0</v>
      </c>
      <c r="BF31" s="1497" t="n">
        <v>500000</v>
      </c>
      <c r="BG31" s="1497" t="n">
        <v>0</v>
      </c>
      <c r="BH31" s="1504">
        <f>SUM(T31:AB31)+SUM(AF31:BA31)-SUM(BB31:BG31)</f>
        <v/>
      </c>
      <c r="BI31" s="1505">
        <f>S31*17.5%</f>
        <v/>
      </c>
      <c r="BJ31" s="1505">
        <f>S31*3%</f>
        <v/>
      </c>
      <c r="BK31" s="1505">
        <f>S31*1%</f>
        <v/>
      </c>
      <c r="BL31" s="1506" t="n"/>
      <c r="BM31" s="1507">
        <f>SUM(BI31:BL31)</f>
        <v/>
      </c>
      <c r="BN31" s="1505">
        <f>S31*8%</f>
        <v/>
      </c>
      <c r="BO31" s="1505">
        <f>S31*1.5%</f>
        <v/>
      </c>
      <c r="BP31" s="1505">
        <f>S31*1%</f>
        <v/>
      </c>
      <c r="BQ31" s="1506" t="n"/>
      <c r="BR31" s="1507">
        <f>SUM(BN31:BQ31)</f>
        <v/>
      </c>
      <c r="BS31" s="1505">
        <f>T31+U31+V31+W31</f>
        <v/>
      </c>
      <c r="BT31" s="1508">
        <f>BH31-BS31-AH31</f>
        <v/>
      </c>
      <c r="BU31" s="1505">
        <f>IF(E31="HĐLĐ",15500000,0)</f>
        <v/>
      </c>
      <c r="BV31" s="1509" t="n">
        <v>0</v>
      </c>
      <c r="BW31" s="1505">
        <f>BV31*6200000</f>
        <v/>
      </c>
      <c r="BX31" s="1505">
        <f>BR31</f>
        <v/>
      </c>
      <c r="BY31" s="1510">
        <f>BU31+BW31+BX31</f>
        <v/>
      </c>
      <c r="BZ31" s="1505">
        <f>IF(BT31-BY31&gt;0,BT31-BY31,0)</f>
        <v/>
      </c>
      <c r="CA31" s="1506">
        <f>IF(AND(OR($E31="HĐTV",$E31="HĐCTV"),$BZ31&lt;2000000),0,IF(OR($E31="HĐTV",$E31="HĐCTV"),$BZ31*10%,ROUND(IF($BZ31&lt;=10000000,$BZ31*5%,IF($BZ31&lt;=30000000,$BZ31*10%-500000,IF($BZ31&lt;=60000000,$BZ31*20%-3500000,IF($BZ31&lt;=100000000,$BZ31*30%-9500000,$BZ31*35%-14500000)))),0)))</f>
        <v/>
      </c>
      <c r="CB31" s="1511">
        <f>ROUND(BH31-BR31-CA31,0)</f>
        <v/>
      </c>
      <c r="CC31" s="1509" t="n"/>
      <c r="CD31" s="1512" t="n">
        <v>0</v>
      </c>
      <c r="CE31" s="1513">
        <f>CB31+CC31-CD31</f>
        <v/>
      </c>
      <c r="CF31" s="1514">
        <f>CE31-CG31</f>
        <v/>
      </c>
      <c r="CG31" s="1514">
        <f>CE31</f>
        <v/>
      </c>
      <c r="CH31" s="1515" t="n"/>
      <c r="CI31" s="1516" t="inlineStr">
        <is>
          <t>thuy.nguyen@medigoapp.com</t>
        </is>
      </c>
      <c r="CJ31" s="1497" t="n"/>
      <c r="CK31" s="1495" t="n">
        <v>2</v>
      </c>
      <c r="CL31" s="1497" t="n"/>
      <c r="CM31" s="1495" t="n"/>
      <c r="CN31" s="1495" t="n"/>
      <c r="CO31" s="1495" t="n"/>
      <c r="CP31" s="1517" t="n"/>
      <c r="CQ31" s="1518" t="n"/>
      <c r="CR31" s="1517" t="n"/>
      <c r="CS31" s="1519" t="n"/>
      <c r="CT31" s="1519" t="n"/>
      <c r="CU31" s="1519" t="n"/>
      <c r="CV31" s="1520" t="n"/>
      <c r="CW31" s="1520" t="n"/>
      <c r="CX31" s="1520" t="n"/>
      <c r="CY31" s="1520">
        <f>IF(CX31&gt;0,CX31,IF(CW31&gt;0,CW31,6000000))</f>
        <v/>
      </c>
      <c r="CZ31" s="1521" t="n"/>
      <c r="DA31" s="1522" t="n"/>
      <c r="DB31" s="1521" t="n"/>
      <c r="DC31" s="1521" t="n"/>
      <c r="DD31" s="1487" t="n"/>
      <c r="DE31" s="1523" t="n"/>
      <c r="DF31" s="1497" t="n"/>
      <c r="DG31" s="212" t="n"/>
    </row>
    <row r="32">
      <c r="A32" s="1524" t="n"/>
      <c r="B32" s="1525" t="n"/>
      <c r="C32" s="1526" t="n"/>
      <c r="D32" s="1527" t="n"/>
      <c r="E32" s="1528" t="n"/>
      <c r="F32" s="1529">
        <f>SUM(F27:F31)</f>
        <v/>
      </c>
      <c r="G32" s="1530" t="n"/>
      <c r="H32" s="1531" t="n"/>
      <c r="I32" s="1532" t="n"/>
      <c r="J32" s="1532" t="n"/>
      <c r="K32" s="1533">
        <f>SUM(K27:K31)</f>
        <v/>
      </c>
      <c r="L32" s="1533">
        <f>SUM(L27:L31)</f>
        <v/>
      </c>
      <c r="M32" s="1534">
        <f>SUM(M27:M31)</f>
        <v/>
      </c>
      <c r="N32" s="1534">
        <f>SUM(N27:N31)</f>
        <v/>
      </c>
      <c r="O32" s="1533">
        <f>SUM(O27:O31)</f>
        <v/>
      </c>
      <c r="P32" s="1533">
        <f>SUM(P27:P31)</f>
        <v/>
      </c>
      <c r="Q32" s="1533">
        <f>SUM(Q27:Q31)</f>
        <v/>
      </c>
      <c r="R32" s="1533" t="n"/>
      <c r="S32" s="1533">
        <f>SUM(S27:S31)</f>
        <v/>
      </c>
      <c r="T32" s="1533">
        <f>SUM(T27:T31)</f>
        <v/>
      </c>
      <c r="U32" s="1533">
        <f>SUM(U27:U31)</f>
        <v/>
      </c>
      <c r="V32" s="1533">
        <f>SUM(V27:V31)</f>
        <v/>
      </c>
      <c r="W32" s="1533">
        <f>SUM(W27:W31)</f>
        <v/>
      </c>
      <c r="X32" s="1533">
        <f>SUM(X27:X31)</f>
        <v/>
      </c>
      <c r="Y32" s="1533">
        <f>SUM(Y27:Y31)</f>
        <v/>
      </c>
      <c r="Z32" s="1533">
        <f>SUM(Z27:Z31)</f>
        <v/>
      </c>
      <c r="AA32" s="1533">
        <f>SUM(AA27:AA31)</f>
        <v/>
      </c>
      <c r="AB32" s="1533">
        <f>SUM(AB27:AB31)</f>
        <v/>
      </c>
      <c r="AC32" s="1533">
        <f>SUM(AC27:AC31)</f>
        <v/>
      </c>
      <c r="AD32" s="1533">
        <f>SUM(AD27:AD31)</f>
        <v/>
      </c>
      <c r="AE32" s="1533">
        <f>SUM(AE27:AE31)</f>
        <v/>
      </c>
      <c r="AF32" s="1533">
        <f>SUM(AF27:AF31)</f>
        <v/>
      </c>
      <c r="AG32" s="1533">
        <f>SUM(AG27:AG31)</f>
        <v/>
      </c>
      <c r="AH32" s="1533">
        <f>SUM(AH27:AH31)</f>
        <v/>
      </c>
      <c r="AI32" s="1533">
        <f>SUM(AI27:AI31)</f>
        <v/>
      </c>
      <c r="AJ32" s="1533">
        <f>SUM(AJ27:AJ31)</f>
        <v/>
      </c>
      <c r="AK32" s="1533">
        <f>SUM(AK27:AK31)</f>
        <v/>
      </c>
      <c r="AL32" s="1533">
        <f>SUM(AL27:AL31)</f>
        <v/>
      </c>
      <c r="AM32" s="1533">
        <f>SUM(AM27:AM31)</f>
        <v/>
      </c>
      <c r="AN32" s="1533">
        <f>SUM(AN27:AN31)</f>
        <v/>
      </c>
      <c r="AO32" s="1533">
        <f>SUM(AO27:AO31)</f>
        <v/>
      </c>
      <c r="AP32" s="1533">
        <f>SUM(AP27:AP31)</f>
        <v/>
      </c>
      <c r="AQ32" s="1533">
        <f>SUM(AQ27:AQ31)</f>
        <v/>
      </c>
      <c r="AR32" s="1533">
        <f>SUM(AR27:AR31)</f>
        <v/>
      </c>
      <c r="AS32" s="1533">
        <f>SUM(AS27:AS31)</f>
        <v/>
      </c>
      <c r="AT32" s="1533">
        <f>SUM(AT27:AT31)</f>
        <v/>
      </c>
      <c r="AU32" s="1533">
        <f>SUM(AU27:AU31)</f>
        <v/>
      </c>
      <c r="AV32" s="1533">
        <f>SUM(AV27:AV31)</f>
        <v/>
      </c>
      <c r="AW32" s="1533">
        <f>SUM(AW27:AW31)</f>
        <v/>
      </c>
      <c r="AX32" s="1533">
        <f>SUM(AX27:AX31)</f>
        <v/>
      </c>
      <c r="AY32" s="1533">
        <f>SUM(AY27:AY31)</f>
        <v/>
      </c>
      <c r="AZ32" s="1533">
        <f>SUM(AZ27:AZ31)</f>
        <v/>
      </c>
      <c r="BA32" s="1533">
        <f>SUM(BA27:BA31)</f>
        <v/>
      </c>
      <c r="BB32" s="1533">
        <f>SUM(BB27:BB31)</f>
        <v/>
      </c>
      <c r="BC32" s="1533">
        <f>SUM(BC27:BC31)</f>
        <v/>
      </c>
      <c r="BD32" s="1533">
        <f>SUM(BD27:BD31)</f>
        <v/>
      </c>
      <c r="BE32" s="1533">
        <f>SUM(BE27:BE31)</f>
        <v/>
      </c>
      <c r="BF32" s="1533">
        <f>SUM(BF27:BF31)</f>
        <v/>
      </c>
      <c r="BG32" s="1533">
        <f>SUM(BG27:BG31)</f>
        <v/>
      </c>
      <c r="BH32" s="1533">
        <f>SUM(BH27:BH31)</f>
        <v/>
      </c>
      <c r="BI32" s="1533">
        <f>SUM(BI27:BI31)</f>
        <v/>
      </c>
      <c r="BJ32" s="1533">
        <f>SUM(BJ27:BJ31)</f>
        <v/>
      </c>
      <c r="BK32" s="1533">
        <f>SUM(BK27:BK31)</f>
        <v/>
      </c>
      <c r="BL32" s="1533">
        <f>SUM(BL27:BL31)</f>
        <v/>
      </c>
      <c r="BM32" s="1533">
        <f>SUM(BM27:BM31)</f>
        <v/>
      </c>
      <c r="BN32" s="1533">
        <f>SUM(BN27:BN31)</f>
        <v/>
      </c>
      <c r="BO32" s="1533">
        <f>SUM(BO27:BO31)</f>
        <v/>
      </c>
      <c r="BP32" s="1533">
        <f>SUM(BP27:BP31)</f>
        <v/>
      </c>
      <c r="BQ32" s="1533">
        <f>SUM(BQ27:BQ31)</f>
        <v/>
      </c>
      <c r="BR32" s="1533">
        <f>SUM(BR27:BR31)</f>
        <v/>
      </c>
      <c r="BS32" s="1533">
        <f>SUM(BS27:BS31)</f>
        <v/>
      </c>
      <c r="BT32" s="1533">
        <f>SUM(BT27:BT31)</f>
        <v/>
      </c>
      <c r="BU32" s="1533">
        <f>SUM(BU27:BU31)</f>
        <v/>
      </c>
      <c r="BV32" s="1533">
        <f>SUM(BV27:BV31)</f>
        <v/>
      </c>
      <c r="BW32" s="1533">
        <f>SUM(BW27:BW31)</f>
        <v/>
      </c>
      <c r="BX32" s="1533">
        <f>SUM(BX27:BX31)</f>
        <v/>
      </c>
      <c r="BY32" s="1533">
        <f>SUM(BY27:BY31)</f>
        <v/>
      </c>
      <c r="BZ32" s="1533">
        <f>SUM(BZ27:BZ31)</f>
        <v/>
      </c>
      <c r="CA32" s="1533">
        <f>SUM(CA27:CA31)</f>
        <v/>
      </c>
      <c r="CB32" s="1533">
        <f>SUM(CB27:CB31)</f>
        <v/>
      </c>
      <c r="CC32" s="1533">
        <f>SUM(CC27:CC31)</f>
        <v/>
      </c>
      <c r="CD32" s="1533">
        <f>SUM(CD27:CD31)</f>
        <v/>
      </c>
      <c r="CE32" s="1533">
        <f>SUM(CE27:CE31)</f>
        <v/>
      </c>
      <c r="CF32" s="1533">
        <f>SUM(CF27:CF31)</f>
        <v/>
      </c>
      <c r="CG32" s="1533">
        <f>SUM(CG27:CG31)</f>
        <v/>
      </c>
      <c r="CH32" s="1533" t="n"/>
      <c r="CI32" s="1533" t="n"/>
      <c r="CJ32" s="1533" t="n"/>
      <c r="CK32" s="1531" t="n"/>
      <c r="CL32" s="1533">
        <f>SUM(CL27:CL31)</f>
        <v/>
      </c>
      <c r="CM32" s="1531" t="n"/>
      <c r="CN32" s="1531" t="n"/>
      <c r="CO32" s="1531" t="n"/>
      <c r="CP32" s="1535" t="n"/>
      <c r="CQ32" s="1536" t="n"/>
      <c r="CR32" s="1535" t="n"/>
      <c r="CS32" s="1537" t="n"/>
      <c r="CT32" s="1537" t="n"/>
      <c r="CU32" s="1537" t="n"/>
      <c r="CV32" s="1538" t="n"/>
      <c r="CW32" s="1538" t="n"/>
      <c r="CX32" s="1538" t="n"/>
      <c r="CY32" s="1538" t="n"/>
      <c r="CZ32" s="1526" t="n"/>
      <c r="DA32" s="1539" t="n"/>
      <c r="DB32" s="1526" t="n"/>
      <c r="DC32" s="1526" t="n"/>
      <c r="DD32" s="1487" t="n"/>
      <c r="DE32" s="1523" t="n"/>
      <c r="DF32" s="1497" t="n"/>
      <c r="DG32" s="212" t="n"/>
    </row>
    <row r="33">
      <c r="A33" s="230" t="n">
        <v>20</v>
      </c>
      <c r="B33" s="1376" t="n">
        <v>8</v>
      </c>
      <c r="C33" s="176" t="inlineStr">
        <is>
          <t>Ho Thi Minh Hoa</t>
        </is>
      </c>
      <c r="D33" s="250" t="inlineStr">
        <is>
          <t>Hồ Thị Minh Hòa</t>
        </is>
      </c>
      <c r="E33" s="1492">
        <f>IF(OR(G33="CHT",G33="DSBC",G33="DSXC"),"HĐLĐ",IF(OR(G33="DSTV",G33="Q.CHT"),"HĐTV","HĐCTV"))</f>
        <v/>
      </c>
      <c r="F33" s="1493" t="inlineStr">
        <is>
          <t>Lê Bình</t>
        </is>
      </c>
      <c r="G33" s="1494" t="inlineStr">
        <is>
          <t>CHT</t>
        </is>
      </c>
      <c r="H33" s="1495" t="n">
        <v>45352</v>
      </c>
      <c r="I33" s="1496" t="inlineStr">
        <is>
          <t>0051000542226</t>
        </is>
      </c>
      <c r="J33" s="1496" t="inlineStr">
        <is>
          <t>Vietcombank</t>
        </is>
      </c>
      <c r="K33" s="1497" t="n">
        <v>28</v>
      </c>
      <c r="L33" s="1497" t="n">
        <v>28</v>
      </c>
      <c r="M33" s="1497" t="n">
        <v>272.06</v>
      </c>
      <c r="N33" s="1497" t="n">
        <v>6.88</v>
      </c>
      <c r="O33" s="1497" t="n">
        <v>0</v>
      </c>
      <c r="P33" s="232" t="n"/>
      <c r="Q33" s="1497" t="n"/>
      <c r="R33" s="1498" t="n"/>
      <c r="S33" s="1499">
        <f>IF(E33="HĐLĐ",5310000,0)</f>
        <v/>
      </c>
      <c r="T33" s="1500" t="n">
        <v>500000.0000000001</v>
      </c>
      <c r="U33" s="1501" t="n"/>
      <c r="V33" s="232" t="n"/>
      <c r="W33" s="232" t="n"/>
      <c r="X33" s="232" t="n"/>
      <c r="Y33" s="232" t="n"/>
      <c r="Z33" s="232" t="n"/>
      <c r="AA33" s="1497" t="n">
        <v>0</v>
      </c>
      <c r="AB33" s="1497" t="n">
        <v>0</v>
      </c>
      <c r="AC33" s="1499" t="n">
        <v>6500000</v>
      </c>
      <c r="AD33" s="232" t="n"/>
      <c r="AE33" s="232" t="n"/>
      <c r="AF33" s="232" t="n"/>
      <c r="AG33" s="1502">
        <f>IF(E33="HĐTV",AE33/28/8*M33,AC33/28/8*M33)</f>
        <v/>
      </c>
      <c r="AH33" s="1499">
        <f>IF(E33="HĐTV",AE33/28/8*N33*1.5,AC33/28/8*N33*1.5)</f>
        <v/>
      </c>
      <c r="AI33" s="232" t="n">
        <v>0</v>
      </c>
      <c r="AJ33" s="232" t="n">
        <v>0</v>
      </c>
      <c r="AK33" s="232" t="n">
        <v>0</v>
      </c>
      <c r="AL33" s="1497" t="n">
        <v>1500000</v>
      </c>
      <c r="AM33" s="1497" t="n">
        <v>0</v>
      </c>
      <c r="AN33" s="1497" t="n">
        <v>0</v>
      </c>
      <c r="AO33" s="1497" t="n">
        <v>0</v>
      </c>
      <c r="AP33" s="1497" t="n">
        <v>1265850</v>
      </c>
      <c r="AQ33" s="1497" t="n">
        <v>0</v>
      </c>
      <c r="AR33" s="1497" t="n">
        <v>60</v>
      </c>
      <c r="AS33" s="1497" t="n">
        <v>0</v>
      </c>
      <c r="AT33" s="1497" t="n">
        <v>0</v>
      </c>
      <c r="AU33" s="1497" t="n">
        <v>345000</v>
      </c>
      <c r="AV33" s="1497" t="n">
        <v>0</v>
      </c>
      <c r="AW33" s="1497" t="n">
        <v>0</v>
      </c>
      <c r="AX33" s="1497" t="n">
        <v>0</v>
      </c>
      <c r="AY33" s="232" t="n">
        <v>0</v>
      </c>
      <c r="AZ33" s="1499" t="n">
        <v>0</v>
      </c>
      <c r="BA33" s="1503" t="n">
        <v>0</v>
      </c>
      <c r="BB33" s="1497" t="n">
        <v>0</v>
      </c>
      <c r="BC33" s="1497" t="n">
        <v>0</v>
      </c>
      <c r="BD33" s="1497" t="n">
        <v>0</v>
      </c>
      <c r="BE33" s="1497" t="n">
        <v>0</v>
      </c>
      <c r="BF33" s="1497" t="n">
        <v>0</v>
      </c>
      <c r="BG33" s="1497" t="n">
        <v>0</v>
      </c>
      <c r="BH33" s="1504">
        <f>SUM(T33:AB33)+SUM(AF33:BA33)-SUM(BB33:BG33)</f>
        <v/>
      </c>
      <c r="BI33" s="1505">
        <f>S33*17.5%</f>
        <v/>
      </c>
      <c r="BJ33" s="1505">
        <f>S33*3%</f>
        <v/>
      </c>
      <c r="BK33" s="1505">
        <f>S33*1%</f>
        <v/>
      </c>
      <c r="BL33" s="1506" t="n"/>
      <c r="BM33" s="1507">
        <f>SUM(BI33:BL33)</f>
        <v/>
      </c>
      <c r="BN33" s="1505">
        <f>S33*8%</f>
        <v/>
      </c>
      <c r="BO33" s="1505">
        <f>S33*1.5%</f>
        <v/>
      </c>
      <c r="BP33" s="1505">
        <f>S33*1%</f>
        <v/>
      </c>
      <c r="BQ33" s="1506" t="n"/>
      <c r="BR33" s="1507">
        <f>SUM(BN33:BQ33)</f>
        <v/>
      </c>
      <c r="BS33" s="1505">
        <f>T33+U33+V33+W33</f>
        <v/>
      </c>
      <c r="BT33" s="1508">
        <f>BH33-BS33-AH33</f>
        <v/>
      </c>
      <c r="BU33" s="1505">
        <f>IF(E33="HĐLĐ",15500000,0)</f>
        <v/>
      </c>
      <c r="BV33" s="1509" t="n">
        <v>0</v>
      </c>
      <c r="BW33" s="1505">
        <f>BV33*6200000</f>
        <v/>
      </c>
      <c r="BX33" s="1505">
        <f>BR33</f>
        <v/>
      </c>
      <c r="BY33" s="1510">
        <f>BU33+BW33+BX33</f>
        <v/>
      </c>
      <c r="BZ33" s="1505">
        <f>IF(BT33-BY33&gt;0,BT33-BY33,0)</f>
        <v/>
      </c>
      <c r="CA33" s="1506">
        <f>IF(AND(OR($E33="HĐTV",$E33="HĐCTV"),$BZ33&lt;2000000),0,IF(OR($E33="HĐTV",$E33="HĐCTV"),$BZ33*10%,ROUND(IF($BZ33&lt;=10000000,$BZ33*5%,IF($BZ33&lt;=30000000,$BZ33*10%-500000,IF($BZ33&lt;=60000000,$BZ33*20%-3500000,IF($BZ33&lt;=100000000,$BZ33*30%-9500000,$BZ33*35%-14500000)))),0)))</f>
        <v/>
      </c>
      <c r="CB33" s="1511">
        <f>ROUND(BH33-BR33-CA33,0)</f>
        <v/>
      </c>
      <c r="CC33" s="1509" t="n"/>
      <c r="CD33" s="1512" t="n">
        <v>0</v>
      </c>
      <c r="CE33" s="1513">
        <f>CB33+CC33-CD33</f>
        <v/>
      </c>
      <c r="CF33" s="1514">
        <f>CE33-CG33</f>
        <v/>
      </c>
      <c r="CG33" s="1514">
        <f>CE33</f>
        <v/>
      </c>
      <c r="CH33" s="1515" t="n"/>
      <c r="CI33" s="1516" t="inlineStr">
        <is>
          <t>hoa.ho@medigoapp.com</t>
        </is>
      </c>
      <c r="CJ33" s="1497" t="n">
        <v>0</v>
      </c>
      <c r="CK33" s="1495" t="n">
        <v>11</v>
      </c>
      <c r="CL33" s="1497" t="n">
        <v>0</v>
      </c>
      <c r="CM33" s="1495" t="n">
        <v>1</v>
      </c>
      <c r="CN33" s="1495" t="n">
        <v>3</v>
      </c>
      <c r="CO33" s="1495" t="n">
        <v>2024</v>
      </c>
      <c r="CP33" s="1517">
        <f>IF((($CO$7-CO33)*12)+($CN$7-CN33)&gt;=12,((($CO$7-CO33)*12)+($CN$7-CN33))-1,0)</f>
        <v/>
      </c>
      <c r="CQ33" s="1518">
        <f>IF(CP33&lt;12,(($CQ$7-CO33)*12)+($CP$7-CN33),0)</f>
        <v/>
      </c>
      <c r="CR33" s="1517">
        <f>IF(OR(CP33&gt;12,CP33=12),((CP33-(CS33*12))+((($CQ$7-2024)*12)+($CP$7-4)))+1,0)</f>
        <v/>
      </c>
      <c r="CS33" s="1519">
        <f>IF(OR(CP33&gt;12,CP33=12),ROUNDDOWN(CP33/12,0),0)</f>
        <v/>
      </c>
      <c r="CT33" s="1519">
        <f>IF(CQ33&gt;11,ROUNDDOWN(CQ33/12,0),0)</f>
        <v/>
      </c>
      <c r="CU33" s="1519">
        <f>IF(CR33&gt;11,ROUNDDOWN(CR33/12,0),0)</f>
        <v/>
      </c>
      <c r="CV33" s="1520">
        <f>IF(CP33=0,0,6000000*1.07^CS33)</f>
        <v/>
      </c>
      <c r="CW33" s="1520">
        <f>IF(CT33&lt;2,0,6000000+(CT33-1)*500000)</f>
        <v/>
      </c>
      <c r="CX33" s="1520">
        <f>IF(CU33=0,CV33,IF(CU33&lt;1,0,CV33+CU33*500000))</f>
        <v/>
      </c>
      <c r="CY33" s="1520">
        <f>IF(CX33&gt;0,CX33,IF(CW33&gt;0,CW33,6000000))</f>
        <v/>
      </c>
      <c r="CZ33" s="1521" t="n"/>
      <c r="DA33" s="1522" t="n"/>
      <c r="DB33" s="1521" t="n"/>
      <c r="DC33" s="1521" t="n"/>
      <c r="DD33" s="1487" t="n"/>
      <c r="DE33" s="1523" t="n"/>
      <c r="DF33" s="1497" t="n"/>
      <c r="DG33" s="212" t="n"/>
    </row>
    <row r="34">
      <c r="A34" s="230" t="n">
        <v>21</v>
      </c>
      <c r="B34" s="1376" t="n">
        <v>8</v>
      </c>
      <c r="C34" s="176" t="inlineStr">
        <is>
          <t>Nguyen Tran Ngoc Phuong</t>
        </is>
      </c>
      <c r="D34" s="250" t="inlineStr">
        <is>
          <t>Nguyễn Trần Ngọc Phương</t>
        </is>
      </c>
      <c r="E34" s="1492">
        <f>IF(OR(G34="CHT",G34="DSBC",G34="DSXC"),"HĐLĐ",IF(OR(G34="DSTV",G34="Q.CHT"),"HĐTV","HĐCTV"))</f>
        <v/>
      </c>
      <c r="F34" s="1493" t="inlineStr">
        <is>
          <t>Lê Bình</t>
        </is>
      </c>
      <c r="G34" s="1494" t="inlineStr">
        <is>
          <t>Q.CHT</t>
        </is>
      </c>
      <c r="H34" s="1495" t="n">
        <v>46196</v>
      </c>
      <c r="I34" s="1496" t="inlineStr">
        <is>
          <t>0721000550950</t>
        </is>
      </c>
      <c r="J34" s="1496" t="inlineStr">
        <is>
          <t>Vietcombank</t>
        </is>
      </c>
      <c r="K34" s="1497" t="n">
        <v>26</v>
      </c>
      <c r="L34" s="1497" t="n">
        <v>1</v>
      </c>
      <c r="M34" s="1497" t="n">
        <v>10</v>
      </c>
      <c r="N34" s="1497" t="n">
        <v>0</v>
      </c>
      <c r="O34" s="1497" t="n">
        <v>0</v>
      </c>
      <c r="P34" s="232" t="n"/>
      <c r="Q34" s="1497" t="n"/>
      <c r="R34" s="1498" t="n"/>
      <c r="S34" s="1499">
        <f>IF(E34="HĐLĐ",5310000,0)</f>
        <v/>
      </c>
      <c r="T34" s="1500" t="n">
        <v>17857.14285714286</v>
      </c>
      <c r="U34" s="1501" t="n"/>
      <c r="V34" s="232" t="n"/>
      <c r="W34" s="232" t="n"/>
      <c r="X34" s="232" t="n"/>
      <c r="Y34" s="232" t="n"/>
      <c r="Z34" s="232" t="n"/>
      <c r="AA34" s="1497" t="n">
        <v>0</v>
      </c>
      <c r="AB34" s="1497" t="n">
        <v>0</v>
      </c>
      <c r="AC34" s="1499" t="n">
        <v>6000000</v>
      </c>
      <c r="AD34" s="232">
        <f>AC34</f>
        <v/>
      </c>
      <c r="AE34" s="232" t="n">
        <v>6000000</v>
      </c>
      <c r="AF34" s="232">
        <f>IF(E34="HĐTV",AE34/K34*L34,AD34/K34*L34)</f>
        <v/>
      </c>
      <c r="AG34" s="1502">
        <f>IF(E34="HĐTV",AE34/28/8*M34,AC34/28/8*M34)</f>
        <v/>
      </c>
      <c r="AH34" s="1499">
        <f>IF(E34="HĐTV",AE34/28/8*N34*1.5,AC34/28/8*N34*1.5)</f>
        <v/>
      </c>
      <c r="AI34" s="232" t="n">
        <v>0</v>
      </c>
      <c r="AJ34" s="232" t="n">
        <v>0</v>
      </c>
      <c r="AK34" s="232" t="n">
        <v>0</v>
      </c>
      <c r="AL34" s="1497" t="n">
        <v>0</v>
      </c>
      <c r="AM34" s="1497" t="n">
        <v>0</v>
      </c>
      <c r="AN34" s="1497" t="n">
        <v>0</v>
      </c>
      <c r="AO34" s="1497" t="n">
        <v>0</v>
      </c>
      <c r="AP34" s="1497" t="n">
        <v>0</v>
      </c>
      <c r="AQ34" s="1497" t="n">
        <v>6601</v>
      </c>
      <c r="AR34" s="1497" t="n">
        <v>0</v>
      </c>
      <c r="AS34" s="1497" t="n">
        <v>0</v>
      </c>
      <c r="AT34" s="1497" t="n">
        <v>0</v>
      </c>
      <c r="AU34" s="1497" t="n">
        <v>0</v>
      </c>
      <c r="AV34" s="1497" t="n">
        <v>0</v>
      </c>
      <c r="AW34" s="1497" t="n">
        <v>0</v>
      </c>
      <c r="AX34" s="1497" t="n">
        <v>0</v>
      </c>
      <c r="AY34" s="232" t="n">
        <v>0</v>
      </c>
      <c r="AZ34" s="1499" t="n">
        <v>0</v>
      </c>
      <c r="BA34" s="1503" t="n">
        <v>0</v>
      </c>
      <c r="BB34" s="1497" t="n">
        <v>0</v>
      </c>
      <c r="BC34" s="1497" t="n">
        <v>0</v>
      </c>
      <c r="BD34" s="1497" t="n">
        <v>0</v>
      </c>
      <c r="BE34" s="1497" t="n">
        <v>0</v>
      </c>
      <c r="BF34" s="1497" t="n">
        <v>0</v>
      </c>
      <c r="BG34" s="1497" t="n">
        <v>0</v>
      </c>
      <c r="BH34" s="1504">
        <f>SUM(T34:AB34)+SUM(AF34:BA34)-SUM(BB34:BG34)</f>
        <v/>
      </c>
      <c r="BI34" s="1505">
        <f>S34*17.5%</f>
        <v/>
      </c>
      <c r="BJ34" s="1505">
        <f>S34*3%</f>
        <v/>
      </c>
      <c r="BK34" s="1505">
        <f>S34*1%</f>
        <v/>
      </c>
      <c r="BL34" s="1506" t="n"/>
      <c r="BM34" s="1507">
        <f>SUM(BI34:BL34)</f>
        <v/>
      </c>
      <c r="BN34" s="1505">
        <f>S34*8%</f>
        <v/>
      </c>
      <c r="BO34" s="1505">
        <f>S34*1.5%</f>
        <v/>
      </c>
      <c r="BP34" s="1505">
        <f>S34*1%</f>
        <v/>
      </c>
      <c r="BQ34" s="1506" t="n"/>
      <c r="BR34" s="1507">
        <f>SUM(BN34:BQ34)</f>
        <v/>
      </c>
      <c r="BS34" s="1505">
        <f>T34+U34+V34+W34</f>
        <v/>
      </c>
      <c r="BT34" s="1508">
        <f>BH34-BS34-AH34</f>
        <v/>
      </c>
      <c r="BU34" s="1505">
        <f>IF(E34="HĐLĐ",15500000,0)</f>
        <v/>
      </c>
      <c r="BV34" s="1509" t="n">
        <v>0</v>
      </c>
      <c r="BW34" s="1505">
        <f>BV34*6200000</f>
        <v/>
      </c>
      <c r="BX34" s="1505">
        <f>BR34</f>
        <v/>
      </c>
      <c r="BY34" s="1510">
        <f>BU34+BW34+BX34</f>
        <v/>
      </c>
      <c r="BZ34" s="1505">
        <f>IF(BT34-BY34&gt;0,BT34-BY34,0)</f>
        <v/>
      </c>
      <c r="CA34" s="1506">
        <f>IF(AND(OR($E34="HĐTV",$E34="HĐCTV"),$BZ34&lt;2000000),0,IF(OR($E34="HĐTV",$E34="HĐCTV"),$BZ34*10%,ROUND(IF($BZ34&lt;=10000000,$BZ34*5%,IF($BZ34&lt;=30000000,$BZ34*10%-500000,IF($BZ34&lt;=60000000,$BZ34*20%-3500000,IF($BZ34&lt;=100000000,$BZ34*30%-9500000,$BZ34*35%-14500000)))),0)))</f>
        <v/>
      </c>
      <c r="CB34" s="1511">
        <f>ROUND(BH34-BR34-CA34,0)</f>
        <v/>
      </c>
      <c r="CC34" s="1509" t="n"/>
      <c r="CD34" s="1512" t="n">
        <v>0</v>
      </c>
      <c r="CE34" s="1513">
        <f>CB34+CC34-CD34</f>
        <v/>
      </c>
      <c r="CF34" s="1514">
        <f>CE34-CG34</f>
        <v/>
      </c>
      <c r="CG34" s="1514">
        <f>CE34</f>
        <v/>
      </c>
      <c r="CH34" s="1515" t="n"/>
      <c r="CI34" s="1516" t="inlineStr">
        <is>
          <t>mailto:ha.le@medigoapp.com</t>
        </is>
      </c>
      <c r="CJ34" s="1497" t="n"/>
      <c r="CK34" s="1495" t="n">
        <v>4</v>
      </c>
      <c r="CL34" s="1497" t="n"/>
      <c r="CM34" s="1495" t="n"/>
      <c r="CN34" s="1495" t="n"/>
      <c r="CO34" s="1495" t="n"/>
      <c r="CP34" s="1517" t="n"/>
      <c r="CQ34" s="1518" t="n"/>
      <c r="CR34" s="1517" t="n"/>
      <c r="CS34" s="1519" t="n"/>
      <c r="CT34" s="1519" t="n"/>
      <c r="CU34" s="1519" t="n"/>
      <c r="CV34" s="1520" t="n"/>
      <c r="CW34" s="1520" t="n"/>
      <c r="CX34" s="1520" t="n"/>
      <c r="CY34" s="1520">
        <f>IF(CX34&gt;0,CX34,IF(CW34&gt;0,CW34,6000000))</f>
        <v/>
      </c>
      <c r="CZ34" s="1521" t="n"/>
      <c r="DA34" s="1522" t="n"/>
      <c r="DB34" s="1521" t="n"/>
      <c r="DC34" s="1521" t="n"/>
      <c r="DD34" s="1487" t="n"/>
      <c r="DE34" s="1523" t="n"/>
      <c r="DF34" s="1497" t="n"/>
      <c r="DG34" s="212" t="n"/>
    </row>
    <row r="35">
      <c r="A35" s="230" t="n">
        <v>22</v>
      </c>
      <c r="B35" s="1376" t="n">
        <v>8</v>
      </c>
      <c r="C35" s="176" t="inlineStr">
        <is>
          <t>Le Thi Xuyen</t>
        </is>
      </c>
      <c r="D35" s="250" t="inlineStr">
        <is>
          <t>Lê Thị Xuyến</t>
        </is>
      </c>
      <c r="E35" s="1492">
        <f>IF(OR(G35="CHT",G35="DSBC",G35="DSXC"),"HĐLĐ",IF(OR(G35="DSTV",G35="Q.CHT"),"HĐTV","HĐCTV"))</f>
        <v/>
      </c>
      <c r="F35" s="1493" t="inlineStr">
        <is>
          <t>Lê Bình</t>
        </is>
      </c>
      <c r="G35" s="1494" t="inlineStr">
        <is>
          <t>DSTV</t>
        </is>
      </c>
      <c r="H35" s="1495" t="inlineStr">
        <is>
          <t>17/07/2026</t>
        </is>
      </c>
      <c r="I35" s="1496" t="inlineStr">
        <is>
          <t>7755599939</t>
        </is>
      </c>
      <c r="J35" s="1496" t="inlineStr">
        <is>
          <t>Techcombank</t>
        </is>
      </c>
      <c r="K35" s="1497" t="n">
        <v>28</v>
      </c>
      <c r="L35" s="1497" t="n">
        <v>30</v>
      </c>
      <c r="M35" s="1497" t="n">
        <v>32.39</v>
      </c>
      <c r="N35" s="1497" t="n">
        <v>243.48</v>
      </c>
      <c r="O35" s="1497" t="n">
        <v>16</v>
      </c>
      <c r="P35" s="232" t="n"/>
      <c r="Q35" s="1497" t="n"/>
      <c r="R35" s="1498" t="n"/>
      <c r="S35" s="1499">
        <f>IF(E35="HĐLĐ",5310000,0)</f>
        <v/>
      </c>
      <c r="T35" s="1500" t="n">
        <v>500000</v>
      </c>
      <c r="U35" s="1501" t="n"/>
      <c r="V35" s="232" t="n"/>
      <c r="W35" s="232" t="n"/>
      <c r="X35" s="232" t="n"/>
      <c r="Y35" s="232" t="n"/>
      <c r="Z35" s="232" t="n"/>
      <c r="AA35" s="1497" t="n">
        <v>0</v>
      </c>
      <c r="AB35" s="1497" t="n">
        <v>0</v>
      </c>
      <c r="AC35" s="1499" t="n">
        <v>6000000</v>
      </c>
      <c r="AD35" s="232">
        <f>AC35</f>
        <v/>
      </c>
      <c r="AE35" s="232" t="n">
        <v>6000000</v>
      </c>
      <c r="AF35" s="232">
        <f>IF(E35="HĐTV",AE35/K35*L35,AD35/K35*L35)</f>
        <v/>
      </c>
      <c r="AG35" s="1502">
        <f>IF(E35="HĐTV",AE35/28/8*M35,AC35/28/8*M35)</f>
        <v/>
      </c>
      <c r="AH35" s="1499">
        <f>IF(E35="HĐTV",AE35/28/8*N35*1.5,AC35/28/8*N35*1.5)</f>
        <v/>
      </c>
      <c r="AI35" s="232" t="n">
        <v>1500000</v>
      </c>
      <c r="AJ35" s="232" t="n">
        <v>0</v>
      </c>
      <c r="AK35" s="232" t="n">
        <v>0</v>
      </c>
      <c r="AL35" s="1497" t="n">
        <v>0</v>
      </c>
      <c r="AM35" s="1497" t="n">
        <v>0</v>
      </c>
      <c r="AN35" s="1497" t="n">
        <v>1400000</v>
      </c>
      <c r="AO35" s="1497" t="n">
        <v>0</v>
      </c>
      <c r="AP35" s="1497" t="n">
        <v>846900</v>
      </c>
      <c r="AQ35" s="1497" t="n">
        <v>955</v>
      </c>
      <c r="AR35" s="1497" t="n">
        <v>0</v>
      </c>
      <c r="AS35" s="1497" t="n">
        <v>0</v>
      </c>
      <c r="AT35" s="1497" t="n">
        <v>0</v>
      </c>
      <c r="AU35" s="1497" t="n">
        <v>0</v>
      </c>
      <c r="AV35" s="1497" t="n">
        <v>0</v>
      </c>
      <c r="AW35" s="1497" t="n">
        <v>0</v>
      </c>
      <c r="AX35" s="1497" t="n">
        <v>0</v>
      </c>
      <c r="AY35" s="232" t="n">
        <v>0</v>
      </c>
      <c r="AZ35" s="1499" t="n">
        <v>0</v>
      </c>
      <c r="BA35" s="1503" t="n">
        <v>0</v>
      </c>
      <c r="BB35" s="1497" t="n">
        <v>0</v>
      </c>
      <c r="BC35" s="1497" t="n">
        <v>0</v>
      </c>
      <c r="BD35" s="1497" t="n">
        <v>0</v>
      </c>
      <c r="BE35" s="1497" t="n">
        <v>0</v>
      </c>
      <c r="BF35" s="1497" t="n">
        <v>500000</v>
      </c>
      <c r="BG35" s="1497" t="n">
        <v>0</v>
      </c>
      <c r="BH35" s="1504">
        <f>SUM(T35:AB35)+SUM(AF35:BA35)-SUM(BB35:BG35)</f>
        <v/>
      </c>
      <c r="BI35" s="1505">
        <f>S35*17.5%</f>
        <v/>
      </c>
      <c r="BJ35" s="1505">
        <f>S35*3%</f>
        <v/>
      </c>
      <c r="BK35" s="1505">
        <f>S35*1%</f>
        <v/>
      </c>
      <c r="BL35" s="1506" t="n"/>
      <c r="BM35" s="1507">
        <f>SUM(BI35:BL35)</f>
        <v/>
      </c>
      <c r="BN35" s="1505">
        <f>S35*8%</f>
        <v/>
      </c>
      <c r="BO35" s="1505">
        <f>S35*1.5%</f>
        <v/>
      </c>
      <c r="BP35" s="1505">
        <f>S35*1%</f>
        <v/>
      </c>
      <c r="BQ35" s="1506" t="n"/>
      <c r="BR35" s="1507">
        <f>SUM(BN35:BQ35)</f>
        <v/>
      </c>
      <c r="BS35" s="1505">
        <f>T35+U35+V35+W35</f>
        <v/>
      </c>
      <c r="BT35" s="1508">
        <f>BH35-BS35-AH35</f>
        <v/>
      </c>
      <c r="BU35" s="1505">
        <f>IF(E35="HĐLĐ",15500000,0)</f>
        <v/>
      </c>
      <c r="BV35" s="1509" t="n">
        <v>0</v>
      </c>
      <c r="BW35" s="1505">
        <f>BV35*6200000</f>
        <v/>
      </c>
      <c r="BX35" s="1505">
        <f>BR35</f>
        <v/>
      </c>
      <c r="BY35" s="1510">
        <f>BU35+BW35+BX35</f>
        <v/>
      </c>
      <c r="BZ35" s="1505">
        <f>IF(BT35-BY35&gt;0,BT35-BY35,0)</f>
        <v/>
      </c>
      <c r="CA35" s="1506">
        <f>IF(AND(OR($E35="HĐTV",$E35="HĐCTV"),$BZ35&lt;2000000),0,IF(OR($E35="HĐTV",$E35="HĐCTV"),$BZ35*10%,ROUND(IF($BZ35&lt;=10000000,$BZ35*5%,IF($BZ35&lt;=30000000,$BZ35*10%-500000,IF($BZ35&lt;=60000000,$BZ35*20%-3500000,IF($BZ35&lt;=100000000,$BZ35*30%-9500000,$BZ35*35%-14500000)))),0)))</f>
        <v/>
      </c>
      <c r="CB35" s="1511">
        <f>ROUND(BH35-BR35-CA35,0)</f>
        <v/>
      </c>
      <c r="CC35" s="1509" t="n"/>
      <c r="CD35" s="1512" t="n">
        <v>0</v>
      </c>
      <c r="CE35" s="1513">
        <f>CB35+CC35-CD35</f>
        <v/>
      </c>
      <c r="CF35" s="1514">
        <f>CE35-CG35</f>
        <v/>
      </c>
      <c r="CG35" s="1514">
        <f>CE35</f>
        <v/>
      </c>
      <c r="CH35" s="1515" t="n"/>
      <c r="CI35" s="1516" t="inlineStr">
        <is>
          <t>xuyen.le@medigoapp.com</t>
        </is>
      </c>
      <c r="CJ35" s="1497" t="n"/>
      <c r="CK35" s="1495" t="n">
        <v>5</v>
      </c>
      <c r="CL35" s="1497" t="n"/>
      <c r="CM35" s="1495" t="n"/>
      <c r="CN35" s="1495" t="n"/>
      <c r="CO35" s="1495" t="n"/>
      <c r="CP35" s="1517" t="n"/>
      <c r="CQ35" s="1518" t="n"/>
      <c r="CR35" s="1517" t="n"/>
      <c r="CS35" s="1519" t="n"/>
      <c r="CT35" s="1519" t="n"/>
      <c r="CU35" s="1519" t="n"/>
      <c r="CV35" s="1520" t="n"/>
      <c r="CW35" s="1520" t="n"/>
      <c r="CX35" s="1520" t="n"/>
      <c r="CY35" s="1520">
        <f>IF(CX35&gt;0,CX35,IF(CW35&gt;0,CW35,6000000))</f>
        <v/>
      </c>
      <c r="CZ35" s="1521" t="n"/>
      <c r="DA35" s="1522" t="n"/>
      <c r="DB35" s="1521" t="n"/>
      <c r="DC35" s="1521" t="n"/>
      <c r="DD35" s="1487" t="n"/>
      <c r="DE35" s="1523" t="n"/>
      <c r="DF35" s="1497" t="n"/>
      <c r="DG35" s="212" t="n"/>
    </row>
    <row r="36">
      <c r="A36" s="230" t="n">
        <v>23</v>
      </c>
      <c r="B36" s="1376" t="n">
        <v>8</v>
      </c>
      <c r="C36" s="176" t="inlineStr">
        <is>
          <t>Dinh Hoai Bao</t>
        </is>
      </c>
      <c r="D36" s="250" t="inlineStr">
        <is>
          <t>Đinh Hoài Bảo</t>
        </is>
      </c>
      <c r="E36" s="1492">
        <f>IF(OR(G36="CHT",G36="DSBC",G36="DSXC"),"HĐLĐ",IF(OR(G36="DSTV",G36="Q.CHT"),"HĐTV","HĐCTV"))</f>
        <v/>
      </c>
      <c r="F36" s="1493" t="inlineStr">
        <is>
          <t>Lê Bình</t>
        </is>
      </c>
      <c r="G36" s="1494" t="inlineStr">
        <is>
          <t>DSTV</t>
        </is>
      </c>
      <c r="H36" s="1495" t="inlineStr">
        <is>
          <t>03/07/2026</t>
        </is>
      </c>
      <c r="I36" s="1496" t="inlineStr">
        <is>
          <t>5620709358</t>
        </is>
      </c>
      <c r="J36" s="1496" t="inlineStr">
        <is>
          <t>BIDV</t>
        </is>
      </c>
      <c r="K36" s="1497" t="n">
        <v>28</v>
      </c>
      <c r="L36" s="1497" t="n">
        <v>27</v>
      </c>
      <c r="M36" s="1497" t="n">
        <v>4.17</v>
      </c>
      <c r="N36" s="1497" t="n">
        <v>217.89</v>
      </c>
      <c r="O36" s="1497" t="n">
        <v>0</v>
      </c>
      <c r="P36" s="232" t="n"/>
      <c r="Q36" s="1497" t="n"/>
      <c r="R36" s="1498" t="n"/>
      <c r="S36" s="1499">
        <f>IF(E36="HĐLĐ",5310000,0)</f>
        <v/>
      </c>
      <c r="T36" s="1500" t="n">
        <v>482142.8571428572</v>
      </c>
      <c r="U36" s="1501" t="n"/>
      <c r="V36" s="232" t="n"/>
      <c r="W36" s="232" t="n"/>
      <c r="X36" s="232" t="n"/>
      <c r="Y36" s="232" t="n"/>
      <c r="Z36" s="232" t="n"/>
      <c r="AA36" s="1497" t="n">
        <v>0</v>
      </c>
      <c r="AB36" s="1497" t="n">
        <v>0</v>
      </c>
      <c r="AC36" s="1499" t="n">
        <v>6000000</v>
      </c>
      <c r="AD36" s="232">
        <f>AC36</f>
        <v/>
      </c>
      <c r="AE36" s="232" t="n">
        <v>6000000</v>
      </c>
      <c r="AF36" s="232">
        <f>IF(E36="HĐTV",AE36/K36*L36,AD36/K36*L36)</f>
        <v/>
      </c>
      <c r="AG36" s="1502">
        <f>IF(E36="HĐTV",AE36/28/8*M36,AC36/28/8*M36)</f>
        <v/>
      </c>
      <c r="AH36" s="1499">
        <f>IF(E36="HĐTV",AE36/28/8*N36*1.5,AC36/28/8*N36*1.5)</f>
        <v/>
      </c>
      <c r="AI36" s="232" t="n">
        <v>1446429</v>
      </c>
      <c r="AJ36" s="232" t="n">
        <v>0</v>
      </c>
      <c r="AK36" s="232" t="n">
        <v>0</v>
      </c>
      <c r="AL36" s="1497" t="n">
        <v>0</v>
      </c>
      <c r="AM36" s="1497" t="n">
        <v>0</v>
      </c>
      <c r="AN36" s="1497" t="n">
        <v>2000000</v>
      </c>
      <c r="AO36" s="1497" t="n">
        <v>0</v>
      </c>
      <c r="AP36" s="1497" t="n">
        <v>1106640</v>
      </c>
      <c r="AQ36" s="1497" t="n">
        <v>0</v>
      </c>
      <c r="AR36" s="1497" t="n">
        <v>20</v>
      </c>
      <c r="AS36" s="1497" t="n">
        <v>0</v>
      </c>
      <c r="AT36" s="1497" t="n">
        <v>0</v>
      </c>
      <c r="AU36" s="1497" t="n">
        <v>0</v>
      </c>
      <c r="AV36" s="1497" t="n">
        <v>0</v>
      </c>
      <c r="AW36" s="1497" t="n">
        <v>0</v>
      </c>
      <c r="AX36" s="1497" t="n">
        <v>0</v>
      </c>
      <c r="AY36" s="232" t="n">
        <v>0</v>
      </c>
      <c r="AZ36" s="1499" t="n">
        <v>0</v>
      </c>
      <c r="BA36" s="1503" t="n">
        <v>0</v>
      </c>
      <c r="BB36" s="1497" t="n">
        <v>0</v>
      </c>
      <c r="BC36" s="1497" t="n">
        <v>0</v>
      </c>
      <c r="BD36" s="1497" t="n">
        <v>100000</v>
      </c>
      <c r="BE36" s="1497" t="n">
        <v>0</v>
      </c>
      <c r="BF36" s="1497" t="n">
        <v>0</v>
      </c>
      <c r="BG36" s="1497" t="n">
        <v>0</v>
      </c>
      <c r="BH36" s="1504">
        <f>SUM(T36:AB36)+SUM(AF36:BA36)-SUM(BB36:BG36)</f>
        <v/>
      </c>
      <c r="BI36" s="1505">
        <f>S36*17.5%</f>
        <v/>
      </c>
      <c r="BJ36" s="1505">
        <f>S36*3%</f>
        <v/>
      </c>
      <c r="BK36" s="1505">
        <f>S36*1%</f>
        <v/>
      </c>
      <c r="BL36" s="1506" t="n"/>
      <c r="BM36" s="1507">
        <f>SUM(BI36:BL36)</f>
        <v/>
      </c>
      <c r="BN36" s="1505">
        <f>S36*8%</f>
        <v/>
      </c>
      <c r="BO36" s="1505">
        <f>S36*1.5%</f>
        <v/>
      </c>
      <c r="BP36" s="1505">
        <f>S36*1%</f>
        <v/>
      </c>
      <c r="BQ36" s="1506" t="n"/>
      <c r="BR36" s="1507">
        <f>SUM(BN36:BQ36)</f>
        <v/>
      </c>
      <c r="BS36" s="1505">
        <f>T36+U36+V36+W36</f>
        <v/>
      </c>
      <c r="BT36" s="1508">
        <f>BH36-BS36-AH36</f>
        <v/>
      </c>
      <c r="BU36" s="1505">
        <f>IF(E36="HĐLĐ",15500000,0)</f>
        <v/>
      </c>
      <c r="BV36" s="1509" t="n">
        <v>0</v>
      </c>
      <c r="BW36" s="1505">
        <f>BV36*6200000</f>
        <v/>
      </c>
      <c r="BX36" s="1505">
        <f>BR36</f>
        <v/>
      </c>
      <c r="BY36" s="1510">
        <f>BU36+BW36+BX36</f>
        <v/>
      </c>
      <c r="BZ36" s="1505">
        <f>IF(BT36-BY36&gt;0,BT36-BY36,0)</f>
        <v/>
      </c>
      <c r="CA36" s="1506">
        <f>IF(AND(OR($E36="HĐTV",$E36="HĐCTV"),$BZ36&lt;2000000),0,IF(OR($E36="HĐTV",$E36="HĐCTV"),$BZ36*10%,ROUND(IF($BZ36&lt;=10000000,$BZ36*5%,IF($BZ36&lt;=30000000,$BZ36*10%-500000,IF($BZ36&lt;=60000000,$BZ36*20%-3500000,IF($BZ36&lt;=100000000,$BZ36*30%-9500000,$BZ36*35%-14500000)))),0)))</f>
        <v/>
      </c>
      <c r="CB36" s="1511">
        <f>ROUND(BH36-BR36-CA36,0)</f>
        <v/>
      </c>
      <c r="CC36" s="1509" t="n">
        <v>696428</v>
      </c>
      <c r="CD36" s="1512" t="n">
        <v>0</v>
      </c>
      <c r="CE36" s="1513">
        <f>CB36+CC36-CD36</f>
        <v/>
      </c>
      <c r="CF36" s="1514">
        <f>CE36-CG36</f>
        <v/>
      </c>
      <c r="CG36" s="1514">
        <f>CE36</f>
        <v/>
      </c>
      <c r="CH36" s="1515" t="n"/>
      <c r="CI36" s="1516" t="inlineStr">
        <is>
          <t>bao.dinh@medigoapp.com</t>
        </is>
      </c>
      <c r="CJ36" s="1497" t="n"/>
      <c r="CK36" s="1495" t="n">
        <v>3</v>
      </c>
      <c r="CL36" s="1497" t="n"/>
      <c r="CM36" s="1495" t="n"/>
      <c r="CN36" s="1495" t="n"/>
      <c r="CO36" s="1495" t="n"/>
      <c r="CP36" s="1517" t="n"/>
      <c r="CQ36" s="1518" t="n"/>
      <c r="CR36" s="1517" t="n"/>
      <c r="CS36" s="1519" t="n"/>
      <c r="CT36" s="1519" t="n"/>
      <c r="CU36" s="1519" t="n"/>
      <c r="CV36" s="1520" t="n"/>
      <c r="CW36" s="1520" t="n"/>
      <c r="CX36" s="1520" t="n"/>
      <c r="CY36" s="1520">
        <f>IF(CX36&gt;0,CX36,IF(CW36&gt;0,CW36,6000000))</f>
        <v/>
      </c>
      <c r="CZ36" s="1521" t="n"/>
      <c r="DA36" s="1522" t="n"/>
      <c r="DB36" s="1521" t="n"/>
      <c r="DC36" s="1521" t="n"/>
      <c r="DD36" s="1487" t="n"/>
      <c r="DE36" s="1523" t="n"/>
      <c r="DF36" s="1497" t="n"/>
      <c r="DG36" s="212" t="n"/>
    </row>
    <row r="37">
      <c r="A37" s="230" t="n">
        <v>24</v>
      </c>
      <c r="B37" s="1376" t="n">
        <v>8</v>
      </c>
      <c r="C37" s="176" t="inlineStr">
        <is>
          <t>Hoang Lam Gia Bao</t>
        </is>
      </c>
      <c r="D37" s="250" t="inlineStr">
        <is>
          <t>Hoàng Lâm Gia Bảo</t>
        </is>
      </c>
      <c r="E37" s="1492">
        <f>IF(OR(G37="CHT",G37="DSBC",G37="DSXC"),"HĐLĐ",IF(OR(G37="DSTV",G37="Q.CHT"),"HĐTV","HĐCTV"))</f>
        <v/>
      </c>
      <c r="F37" s="1493" t="inlineStr">
        <is>
          <t>Lê Bình</t>
        </is>
      </c>
      <c r="G37" s="1494" t="inlineStr">
        <is>
          <t>DSBC</t>
        </is>
      </c>
      <c r="H37" s="1495" t="inlineStr">
        <is>
          <t>27/5/2026</t>
        </is>
      </c>
      <c r="I37" s="1496" t="inlineStr">
        <is>
          <t>067106916868</t>
        </is>
      </c>
      <c r="J37" s="1496" t="inlineStr">
        <is>
          <t>Sacombank</t>
        </is>
      </c>
      <c r="K37" s="1497" t="n">
        <v>28</v>
      </c>
      <c r="L37" s="1497" t="n">
        <v>20</v>
      </c>
      <c r="M37" s="1497" t="n">
        <v>179.62</v>
      </c>
      <c r="N37" s="1497" t="n">
        <v>1.35</v>
      </c>
      <c r="O37" s="1497" t="n">
        <v>0</v>
      </c>
      <c r="P37" s="232" t="n"/>
      <c r="Q37" s="1497" t="n"/>
      <c r="R37" s="1498" t="n"/>
      <c r="S37" s="1499">
        <f>IF(E37="HĐLĐ",5310000,0)</f>
        <v/>
      </c>
      <c r="T37" s="1500" t="n">
        <v>357142.8571428572</v>
      </c>
      <c r="U37" s="1501" t="n"/>
      <c r="V37" s="232" t="n"/>
      <c r="W37" s="232" t="n"/>
      <c r="X37" s="232" t="n"/>
      <c r="Y37" s="232" t="n"/>
      <c r="Z37" s="232" t="n"/>
      <c r="AA37" s="1497" t="n">
        <v>0</v>
      </c>
      <c r="AB37" s="1497" t="n">
        <v>0</v>
      </c>
      <c r="AC37" s="1499" t="n">
        <v>6000000</v>
      </c>
      <c r="AD37" s="232">
        <f>AC37</f>
        <v/>
      </c>
      <c r="AE37" s="232" t="n">
        <v>0</v>
      </c>
      <c r="AF37" s="232">
        <f>IF(E37="HĐTV",AE37/K37*L37,AD37/K37*L37)</f>
        <v/>
      </c>
      <c r="AG37" s="1502">
        <f>IF(E37="HĐTV",AE37/28/8*M37,AC37/28/8*M37)</f>
        <v/>
      </c>
      <c r="AH37" s="1499">
        <f>IF(E37="HĐTV",AE37/28/8*N37*1.5,AC37/28/8*N37*1.5)</f>
        <v/>
      </c>
      <c r="AI37" s="232" t="n">
        <v>0</v>
      </c>
      <c r="AJ37" s="232" t="n">
        <v>0</v>
      </c>
      <c r="AK37" s="232" t="n">
        <v>0</v>
      </c>
      <c r="AL37" s="1497" t="n">
        <v>0</v>
      </c>
      <c r="AM37" s="1497" t="n">
        <v>0</v>
      </c>
      <c r="AN37" s="1497" t="n">
        <v>0</v>
      </c>
      <c r="AO37" s="1497" t="n">
        <v>955682</v>
      </c>
      <c r="AP37" s="1497" t="n">
        <v>1187050</v>
      </c>
      <c r="AQ37" s="1497" t="n">
        <v>0</v>
      </c>
      <c r="AR37" s="1497" t="n">
        <v>40</v>
      </c>
      <c r="AS37" s="1497" t="n">
        <v>0</v>
      </c>
      <c r="AT37" s="1497" t="n">
        <v>0</v>
      </c>
      <c r="AU37" s="1497" t="n">
        <v>0</v>
      </c>
      <c r="AV37" s="1497" t="n">
        <v>0</v>
      </c>
      <c r="AW37" s="1497" t="n">
        <v>0</v>
      </c>
      <c r="AX37" s="1497" t="n">
        <v>0</v>
      </c>
      <c r="AY37" s="232" t="n">
        <v>0</v>
      </c>
      <c r="AZ37" s="1499" t="n">
        <v>0</v>
      </c>
      <c r="BA37" s="1503" t="n">
        <v>0</v>
      </c>
      <c r="BB37" s="1497" t="n">
        <v>0</v>
      </c>
      <c r="BC37" s="1497" t="n">
        <v>0</v>
      </c>
      <c r="BD37" s="1497" t="n">
        <v>100000</v>
      </c>
      <c r="BE37" s="1497" t="n">
        <v>0</v>
      </c>
      <c r="BF37" s="1497" t="n">
        <v>23000</v>
      </c>
      <c r="BG37" s="1497" t="n">
        <v>0</v>
      </c>
      <c r="BH37" s="1504">
        <f>SUM(T37:AB37)+SUM(AF37:BA37)-SUM(BB37:BG37)</f>
        <v/>
      </c>
      <c r="BI37" s="1505">
        <f>S37*17.5%</f>
        <v/>
      </c>
      <c r="BJ37" s="1505">
        <f>S37*3%</f>
        <v/>
      </c>
      <c r="BK37" s="1505">
        <f>S37*1%</f>
        <v/>
      </c>
      <c r="BL37" s="1506" t="n"/>
      <c r="BM37" s="1507">
        <f>SUM(BI37:BL37)</f>
        <v/>
      </c>
      <c r="BN37" s="1505">
        <f>S37*8%</f>
        <v/>
      </c>
      <c r="BO37" s="1505">
        <f>S37*1.5%</f>
        <v/>
      </c>
      <c r="BP37" s="1505">
        <f>S37*1%</f>
        <v/>
      </c>
      <c r="BQ37" s="1506" t="n"/>
      <c r="BR37" s="1507">
        <f>SUM(BN37:BQ37)</f>
        <v/>
      </c>
      <c r="BS37" s="1505">
        <f>T37+U37+V37+W37</f>
        <v/>
      </c>
      <c r="BT37" s="1508">
        <f>BH37-BS37-AH37</f>
        <v/>
      </c>
      <c r="BU37" s="1505">
        <f>IF(E37="HĐLĐ",15500000,0)</f>
        <v/>
      </c>
      <c r="BV37" s="1509" t="n">
        <v>0</v>
      </c>
      <c r="BW37" s="1505">
        <f>BV37*6200000</f>
        <v/>
      </c>
      <c r="BX37" s="1505">
        <f>BR37</f>
        <v/>
      </c>
      <c r="BY37" s="1510">
        <f>BU37+BW37+BX37</f>
        <v/>
      </c>
      <c r="BZ37" s="1505">
        <f>IF(BT37-BY37&gt;0,BT37-BY37,0)</f>
        <v/>
      </c>
      <c r="CA37" s="1506">
        <f>IF(AND(OR($E37="HĐTV",$E37="HĐCTV"),$BZ37&lt;2000000),0,IF(OR($E37="HĐTV",$E37="HĐCTV"),$BZ37*10%,ROUND(IF($BZ37&lt;=10000000,$BZ37*5%,IF($BZ37&lt;=30000000,$BZ37*10%-500000,IF($BZ37&lt;=60000000,$BZ37*20%-3500000,IF($BZ37&lt;=100000000,$BZ37*30%-9500000,$BZ37*35%-14500000)))),0)))</f>
        <v/>
      </c>
      <c r="CB37" s="1511">
        <f>ROUND(BH37-BR37-CA37,0)</f>
        <v/>
      </c>
      <c r="CC37" s="1509" t="n"/>
      <c r="CD37" s="1512" t="n">
        <v>5000000</v>
      </c>
      <c r="CE37" s="1513">
        <f>CB37+CC37-CD37</f>
        <v/>
      </c>
      <c r="CF37" s="1514">
        <f>CE37-CG37</f>
        <v/>
      </c>
      <c r="CG37" s="1514">
        <f>CE37</f>
        <v/>
      </c>
      <c r="CH37" s="1515" t="n"/>
      <c r="CI37" s="1516" t="inlineStr">
        <is>
          <t>bao.hoang@medigoapp.com</t>
        </is>
      </c>
      <c r="CJ37" s="1497" t="n"/>
      <c r="CK37" s="1495" t="n">
        <v>11</v>
      </c>
      <c r="CL37" s="1497" t="n">
        <v>0</v>
      </c>
      <c r="CM37" s="1495" t="n">
        <v>27</v>
      </c>
      <c r="CN37" s="1495" t="n">
        <v>5</v>
      </c>
      <c r="CO37" s="1495" t="n">
        <v>2026</v>
      </c>
      <c r="CP37" s="1517">
        <f>IF((($CO$7-CO37)*12)+($CN$7-CN37)&gt;=12,((($CO$7-CO37)*12)+($CN$7-CN37))-1,0)</f>
        <v/>
      </c>
      <c r="CQ37" s="1518">
        <f>IF(CP37&lt;12,(($CQ$7-CO37)*12)+($CP$7-CN37),0)</f>
        <v/>
      </c>
      <c r="CR37" s="1517">
        <f>IF(OR(CP37&gt;12,CP37=12),((CP37-(CS37*12))+((($CQ$7-2024)*12)+($CP$7-4)))+1,0)</f>
        <v/>
      </c>
      <c r="CS37" s="1519">
        <f>IF(OR(CP37&gt;12,CP37=12),ROUNDDOWN(CP37/12,0),0)</f>
        <v/>
      </c>
      <c r="CT37" s="1519">
        <f>IF(CQ37&gt;11,ROUNDDOWN(CQ37/12,0),0)</f>
        <v/>
      </c>
      <c r="CU37" s="1519">
        <f>IF(CR37&gt;11,ROUNDDOWN(CR37/12,0),0)</f>
        <v/>
      </c>
      <c r="CV37" s="1520">
        <f>IF(CP37=0,0,6000000*1.07^CS37)</f>
        <v/>
      </c>
      <c r="CW37" s="1520">
        <f>IF(CT37&lt;2,0,6000000+(CT37-1)*500000)</f>
        <v/>
      </c>
      <c r="CX37" s="1520">
        <f>IF(CU37=0,CV37,IF(CU37&lt;1,0,CV37+CU37*500000))</f>
        <v/>
      </c>
      <c r="CY37" s="1520" t="n">
        <v>5100000</v>
      </c>
      <c r="CZ37" s="1521" t="n"/>
      <c r="DA37" s="1522" t="n"/>
      <c r="DB37" s="1521" t="n"/>
      <c r="DC37" s="1521" t="n"/>
      <c r="DD37" s="1487" t="n"/>
      <c r="DE37" s="1523" t="n"/>
      <c r="DF37" s="1497" t="n"/>
      <c r="DG37" s="212" t="n"/>
    </row>
    <row r="38">
      <c r="A38" s="230" t="n">
        <v>25</v>
      </c>
      <c r="B38" s="1376" t="n">
        <v>8</v>
      </c>
      <c r="C38" s="176" t="inlineStr">
        <is>
          <t>Nguyen Thi Huyen Trang</t>
        </is>
      </c>
      <c r="D38" s="250" t="inlineStr">
        <is>
          <t>Nguyễn Thị Huyền Trang</t>
        </is>
      </c>
      <c r="E38" s="1492">
        <f>IF(OR(G38="CHT",G38="DSBC",G38="DSXC"),"HĐLĐ",IF(OR(G38="DSTV",G38="Q.CHT"),"HĐTV","HĐCTV"))</f>
        <v/>
      </c>
      <c r="F38" s="1493" t="inlineStr">
        <is>
          <t>Lê Bình</t>
        </is>
      </c>
      <c r="G38" s="1494" t="inlineStr">
        <is>
          <t>DSTV</t>
        </is>
      </c>
      <c r="H38" s="1495" t="inlineStr">
        <is>
          <t>30/06/2026</t>
        </is>
      </c>
      <c r="I38" s="1496" t="inlineStr">
        <is>
          <t>1033345427</t>
        </is>
      </c>
      <c r="J38" s="1496" t="inlineStr">
        <is>
          <t>Vietcombank</t>
        </is>
      </c>
      <c r="K38" s="1497" t="n">
        <v>28</v>
      </c>
      <c r="L38" s="1497" t="n">
        <v>1</v>
      </c>
      <c r="M38" s="1497" t="n">
        <v>11.25</v>
      </c>
      <c r="N38" s="1497" t="n">
        <v>0</v>
      </c>
      <c r="O38" s="1497" t="n">
        <v>0</v>
      </c>
      <c r="P38" s="232" t="n"/>
      <c r="Q38" s="1497" t="n"/>
      <c r="R38" s="1498" t="n"/>
      <c r="S38" s="1499">
        <f>IF(E38="HĐLĐ",5310000,0)</f>
        <v/>
      </c>
      <c r="T38" s="1500" t="n">
        <v>17857.14285714286</v>
      </c>
      <c r="U38" s="1501" t="n"/>
      <c r="V38" s="232" t="n"/>
      <c r="W38" s="232" t="n"/>
      <c r="X38" s="232" t="n"/>
      <c r="Y38" s="232" t="n"/>
      <c r="Z38" s="232" t="n"/>
      <c r="AA38" s="1497" t="n">
        <v>0</v>
      </c>
      <c r="AB38" s="1497" t="n">
        <v>0</v>
      </c>
      <c r="AC38" s="1499" t="n">
        <v>6000000</v>
      </c>
      <c r="AD38" s="232">
        <f>AC38</f>
        <v/>
      </c>
      <c r="AE38" s="232" t="n">
        <v>6000000</v>
      </c>
      <c r="AF38" s="232">
        <f>IF(E38="HĐTV",AE38/K38*L38,AD38/K38*L38)</f>
        <v/>
      </c>
      <c r="AG38" s="1502">
        <f>IF(E38="HĐTV",AE38/28/8*M38,AC38/28/8*M38)</f>
        <v/>
      </c>
      <c r="AH38" s="1499">
        <f>IF(E38="HĐTV",AE38/28/8*N38*1.5,AC38/28/8*N38*1.5)</f>
        <v/>
      </c>
      <c r="AI38" s="232" t="n">
        <v>0</v>
      </c>
      <c r="AJ38" s="232" t="n">
        <v>0</v>
      </c>
      <c r="AK38" s="232" t="n">
        <v>0</v>
      </c>
      <c r="AL38" s="1497" t="n">
        <v>0</v>
      </c>
      <c r="AM38" s="1497" t="n">
        <v>0</v>
      </c>
      <c r="AN38" s="1497" t="n">
        <v>0</v>
      </c>
      <c r="AO38" s="1497" t="n">
        <v>0</v>
      </c>
      <c r="AP38" s="1497" t="n">
        <v>0</v>
      </c>
      <c r="AQ38" s="1497" t="n">
        <v>35008</v>
      </c>
      <c r="AR38" s="1497" t="n">
        <v>0</v>
      </c>
      <c r="AS38" s="1497" t="n">
        <v>0</v>
      </c>
      <c r="AT38" s="1497" t="n">
        <v>0</v>
      </c>
      <c r="AU38" s="1497" t="n">
        <v>0</v>
      </c>
      <c r="AV38" s="1497" t="n">
        <v>0</v>
      </c>
      <c r="AW38" s="1497" t="n">
        <v>0</v>
      </c>
      <c r="AX38" s="1497" t="n">
        <v>0</v>
      </c>
      <c r="AY38" s="232" t="n">
        <v>0</v>
      </c>
      <c r="AZ38" s="1499" t="n">
        <v>0</v>
      </c>
      <c r="BA38" s="1503" t="n">
        <v>0</v>
      </c>
      <c r="BB38" s="1497" t="n">
        <v>0</v>
      </c>
      <c r="BC38" s="1497" t="n">
        <v>0</v>
      </c>
      <c r="BD38" s="1497" t="n">
        <v>0</v>
      </c>
      <c r="BE38" s="1497" t="n">
        <v>0</v>
      </c>
      <c r="BF38" s="1497" t="n">
        <v>0</v>
      </c>
      <c r="BG38" s="1497" t="n">
        <v>0</v>
      </c>
      <c r="BH38" s="1504">
        <f>SUM(T38:AB38)+SUM(AF38:BA38)-SUM(BB38:BG38)</f>
        <v/>
      </c>
      <c r="BI38" s="1505">
        <f>S38*17.5%</f>
        <v/>
      </c>
      <c r="BJ38" s="1505">
        <f>S38*3%</f>
        <v/>
      </c>
      <c r="BK38" s="1505">
        <f>S38*1%</f>
        <v/>
      </c>
      <c r="BL38" s="1506" t="n"/>
      <c r="BM38" s="1507">
        <f>SUM(BI38:BL38)</f>
        <v/>
      </c>
      <c r="BN38" s="1505">
        <f>S38*8%</f>
        <v/>
      </c>
      <c r="BO38" s="1505">
        <f>S38*1.5%</f>
        <v/>
      </c>
      <c r="BP38" s="1505">
        <f>S38*1%</f>
        <v/>
      </c>
      <c r="BQ38" s="1506" t="n"/>
      <c r="BR38" s="1507">
        <f>SUM(BN38:BQ38)</f>
        <v/>
      </c>
      <c r="BS38" s="1505">
        <f>T38+U38+V38+W38</f>
        <v/>
      </c>
      <c r="BT38" s="1508">
        <f>BH38-BS38-AH38</f>
        <v/>
      </c>
      <c r="BU38" s="1505">
        <f>IF(E38="HĐLĐ",15500000,0)</f>
        <v/>
      </c>
      <c r="BV38" s="1509" t="n">
        <v>0</v>
      </c>
      <c r="BW38" s="1505">
        <f>BV38*6200000</f>
        <v/>
      </c>
      <c r="BX38" s="1505">
        <f>BR38</f>
        <v/>
      </c>
      <c r="BY38" s="1510">
        <f>BU38+BW38+BX38</f>
        <v/>
      </c>
      <c r="BZ38" s="1505">
        <f>IF(BT38-BY38&gt;0,BT38-BY38,0)</f>
        <v/>
      </c>
      <c r="CA38" s="1506">
        <f>IF(AND(OR($E38="HĐTV",$E38="HĐCTV"),$BZ38&lt;2000000),0,IF(OR($E38="HĐTV",$E38="HĐCTV"),$BZ38*10%,ROUND(IF($BZ38&lt;=10000000,$BZ38*5%,IF($BZ38&lt;=30000000,$BZ38*10%-500000,IF($BZ38&lt;=60000000,$BZ38*20%-3500000,IF($BZ38&lt;=100000000,$BZ38*30%-9500000,$BZ38*35%-14500000)))),0)))</f>
        <v/>
      </c>
      <c r="CB38" s="1511">
        <f>ROUND(BH38-BR38-CA38,0)</f>
        <v/>
      </c>
      <c r="CC38" s="1509" t="n"/>
      <c r="CD38" s="1512" t="n">
        <v>0</v>
      </c>
      <c r="CE38" s="1513">
        <f>CB38+CC38-CD38</f>
        <v/>
      </c>
      <c r="CF38" s="1514">
        <f>CE38-CG38</f>
        <v/>
      </c>
      <c r="CG38" s="1514">
        <f>CE38</f>
        <v/>
      </c>
      <c r="CH38" s="1515" t="n"/>
      <c r="CI38" s="1516" t="inlineStr">
        <is>
          <t>mailto:ha.le@medigoapp.com</t>
        </is>
      </c>
      <c r="CJ38" s="1497" t="n"/>
      <c r="CK38" s="1495" t="n"/>
      <c r="CL38" s="1497" t="n"/>
      <c r="CM38" s="1495" t="n"/>
      <c r="CN38" s="1495" t="n"/>
      <c r="CO38" s="1495" t="n"/>
      <c r="CP38" s="1517" t="n"/>
      <c r="CQ38" s="1518" t="n"/>
      <c r="CR38" s="1517" t="n"/>
      <c r="CS38" s="1519" t="n"/>
      <c r="CT38" s="1519" t="n"/>
      <c r="CU38" s="1519" t="n"/>
      <c r="CV38" s="1520" t="n"/>
      <c r="CW38" s="1520" t="n"/>
      <c r="CX38" s="1520" t="n"/>
      <c r="CY38" s="1520">
        <f>IF(CX38&gt;0,CX38,IF(CW38&gt;0,CW38,6000000))</f>
        <v/>
      </c>
      <c r="CZ38" s="1521" t="n"/>
      <c r="DA38" s="1522" t="n"/>
      <c r="DB38" s="1521" t="n"/>
      <c r="DC38" s="1521" t="n"/>
      <c r="DD38" s="1487" t="n"/>
      <c r="DE38" s="1523" t="n"/>
      <c r="DF38" s="1497" t="n"/>
      <c r="DG38" s="212" t="n"/>
    </row>
    <row r="39">
      <c r="A39" s="230" t="n">
        <v>26</v>
      </c>
      <c r="B39" s="1376" t="n">
        <v>8</v>
      </c>
      <c r="C39" s="176" t="inlineStr">
        <is>
          <t>Pham Nguyen Ngoc Quy</t>
        </is>
      </c>
      <c r="D39" s="250" t="inlineStr">
        <is>
          <t>Phạm Nguyễn Ngọc Quý</t>
        </is>
      </c>
      <c r="E39" s="1492">
        <f>IF(OR(G39="CHT",G39="DSBC",G39="DSXC"),"HĐLĐ",IF(OR(G39="DSTV",G39="Q.CHT"),"HĐTV","HĐCTV"))</f>
        <v/>
      </c>
      <c r="F39" s="1493" t="inlineStr">
        <is>
          <t>Lê Bình</t>
        </is>
      </c>
      <c r="G39" s="1494" t="inlineStr">
        <is>
          <t>DSBC</t>
        </is>
      </c>
      <c r="H39" s="1495" t="inlineStr">
        <is>
          <t>01/11/2024</t>
        </is>
      </c>
      <c r="I39" s="1496" t="inlineStr">
        <is>
          <t>1026764251</t>
        </is>
      </c>
      <c r="J39" s="1496" t="inlineStr">
        <is>
          <t>Vietcombank</t>
        </is>
      </c>
      <c r="K39" s="1497" t="n">
        <v>28</v>
      </c>
      <c r="L39" s="1497" t="n">
        <v>1</v>
      </c>
      <c r="M39" s="1497" t="n">
        <v>8.619999999999999</v>
      </c>
      <c r="N39" s="1497" t="n">
        <v>0</v>
      </c>
      <c r="O39" s="1497" t="n">
        <v>0</v>
      </c>
      <c r="P39" s="232" t="n"/>
      <c r="Q39" s="1497" t="n"/>
      <c r="R39" s="1498" t="n"/>
      <c r="S39" s="1499">
        <f>IF(E39="HĐLĐ",5310000,0)</f>
        <v/>
      </c>
      <c r="T39" s="1500" t="n">
        <v>17857.14285714286</v>
      </c>
      <c r="U39" s="1501" t="n"/>
      <c r="V39" s="232" t="n"/>
      <c r="W39" s="232" t="n"/>
      <c r="X39" s="232" t="n"/>
      <c r="Y39" s="232" t="n"/>
      <c r="Z39" s="232" t="n"/>
      <c r="AA39" s="1497" t="n">
        <v>0</v>
      </c>
      <c r="AB39" s="1497" t="n">
        <v>0</v>
      </c>
      <c r="AC39" s="1499" t="n">
        <v>6000000</v>
      </c>
      <c r="AD39" s="232">
        <f>AC39</f>
        <v/>
      </c>
      <c r="AE39" s="232" t="n">
        <v>0</v>
      </c>
      <c r="AF39" s="232">
        <f>IF(E39="HĐTV",AE39/K39*L39,AD39/K39*L39)</f>
        <v/>
      </c>
      <c r="AG39" s="1502">
        <f>IF(E39="HĐTV",AE39/28/8*M39,AC39/28/8*M39)</f>
        <v/>
      </c>
      <c r="AH39" s="1499">
        <f>IF(E39="HĐTV",AE39/28/8*N39*1.5,AC39/28/8*N39*1.5)</f>
        <v/>
      </c>
      <c r="AI39" s="232" t="n">
        <v>0</v>
      </c>
      <c r="AJ39" s="232" t="n">
        <v>0</v>
      </c>
      <c r="AK39" s="232" t="n">
        <v>0</v>
      </c>
      <c r="AL39" s="1497" t="n">
        <v>0</v>
      </c>
      <c r="AM39" s="1497" t="n">
        <v>0</v>
      </c>
      <c r="AN39" s="1497" t="n">
        <v>0</v>
      </c>
      <c r="AO39" s="1497" t="n">
        <v>0</v>
      </c>
      <c r="AP39" s="1497" t="n">
        <v>0</v>
      </c>
      <c r="AQ39" s="1497" t="n">
        <v>18300</v>
      </c>
      <c r="AR39" s="1497" t="n">
        <v>0</v>
      </c>
      <c r="AS39" s="1497" t="n">
        <v>0</v>
      </c>
      <c r="AT39" s="1497" t="n">
        <v>0</v>
      </c>
      <c r="AU39" s="1497" t="n">
        <v>0</v>
      </c>
      <c r="AV39" s="1497" t="n">
        <v>0</v>
      </c>
      <c r="AW39" s="1497" t="n">
        <v>0</v>
      </c>
      <c r="AX39" s="1497" t="n">
        <v>0</v>
      </c>
      <c r="AY39" s="232" t="n">
        <v>0</v>
      </c>
      <c r="AZ39" s="1499" t="n">
        <v>0</v>
      </c>
      <c r="BA39" s="1503" t="n">
        <v>0</v>
      </c>
      <c r="BB39" s="1497" t="n">
        <v>0</v>
      </c>
      <c r="BC39" s="1497" t="n">
        <v>0</v>
      </c>
      <c r="BD39" s="1497" t="n">
        <v>0</v>
      </c>
      <c r="BE39" s="1497" t="n">
        <v>0</v>
      </c>
      <c r="BF39" s="1497" t="n">
        <v>0</v>
      </c>
      <c r="BG39" s="1497" t="n">
        <v>0</v>
      </c>
      <c r="BH39" s="1504">
        <f>SUM(T39:AB39)+SUM(AF39:BA39)-SUM(BB39:BG39)</f>
        <v/>
      </c>
      <c r="BI39" s="1505">
        <f>S39*17.5%</f>
        <v/>
      </c>
      <c r="BJ39" s="1505">
        <f>S39*3%</f>
        <v/>
      </c>
      <c r="BK39" s="1505">
        <f>S39*1%</f>
        <v/>
      </c>
      <c r="BL39" s="1506" t="n"/>
      <c r="BM39" s="1507">
        <f>SUM(BI39:BL39)</f>
        <v/>
      </c>
      <c r="BN39" s="1505">
        <f>S39*8%</f>
        <v/>
      </c>
      <c r="BO39" s="1505">
        <f>S39*1.5%</f>
        <v/>
      </c>
      <c r="BP39" s="1505">
        <f>S39*1%</f>
        <v/>
      </c>
      <c r="BQ39" s="1506" t="n"/>
      <c r="BR39" s="1507">
        <f>SUM(BN39:BQ39)</f>
        <v/>
      </c>
      <c r="BS39" s="1505">
        <f>T39+U39+V39+W39</f>
        <v/>
      </c>
      <c r="BT39" s="1508">
        <f>BH39-BS39-AH39</f>
        <v/>
      </c>
      <c r="BU39" s="1505">
        <f>IF(E39="HĐLĐ",15500000,0)</f>
        <v/>
      </c>
      <c r="BV39" s="1509" t="n">
        <v>0</v>
      </c>
      <c r="BW39" s="1505">
        <f>BV39*6200000</f>
        <v/>
      </c>
      <c r="BX39" s="1505">
        <f>BR39</f>
        <v/>
      </c>
      <c r="BY39" s="1510">
        <f>BU39+BW39+BX39</f>
        <v/>
      </c>
      <c r="BZ39" s="1505">
        <f>IF(BT39-BY39&gt;0,BT39-BY39,0)</f>
        <v/>
      </c>
      <c r="CA39" s="1506">
        <f>IF(AND(OR($E39="HĐTV",$E39="HĐCTV"),$BZ39&lt;2000000),0,IF(OR($E39="HĐTV",$E39="HĐCTV"),$BZ39*10%,ROUND(IF($BZ39&lt;=10000000,$BZ39*5%,IF($BZ39&lt;=30000000,$BZ39*10%-500000,IF($BZ39&lt;=60000000,$BZ39*20%-3500000,IF($BZ39&lt;=100000000,$BZ39*30%-9500000,$BZ39*35%-14500000)))),0)))</f>
        <v/>
      </c>
      <c r="CB39" s="1511">
        <f>ROUND(BH39-BR39-CA39,0)</f>
        <v/>
      </c>
      <c r="CC39" s="1509" t="n"/>
      <c r="CD39" s="1512" t="n">
        <v>0</v>
      </c>
      <c r="CE39" s="1513">
        <f>CB39+CC39-CD39</f>
        <v/>
      </c>
      <c r="CF39" s="1514">
        <f>CE39-CG39</f>
        <v/>
      </c>
      <c r="CG39" s="1514">
        <f>CE39</f>
        <v/>
      </c>
      <c r="CH39" s="1515" t="n"/>
      <c r="CI39" s="1516" t="inlineStr">
        <is>
          <t>mailto:ha.le@medigoapp.com</t>
        </is>
      </c>
      <c r="CJ39" s="1497" t="n"/>
      <c r="CK39" s="1495" t="n">
        <v>6</v>
      </c>
      <c r="CL39" s="1497" t="n"/>
      <c r="CM39" s="1495" t="n"/>
      <c r="CN39" s="1495" t="n"/>
      <c r="CO39" s="1495" t="n"/>
      <c r="CP39" s="1517" t="n"/>
      <c r="CQ39" s="1518" t="n"/>
      <c r="CR39" s="1517" t="n"/>
      <c r="CS39" s="1519" t="n"/>
      <c r="CT39" s="1519" t="n"/>
      <c r="CU39" s="1519" t="n"/>
      <c r="CV39" s="1520" t="n"/>
      <c r="CW39" s="1520" t="n"/>
      <c r="CX39" s="1520" t="n"/>
      <c r="CY39" s="1520">
        <f>IF(CX39&gt;0,CX39,IF(CW39&gt;0,CW39,6000000))</f>
        <v/>
      </c>
      <c r="CZ39" s="1521" t="n"/>
      <c r="DA39" s="1522" t="n"/>
      <c r="DB39" s="1521" t="n"/>
      <c r="DC39" s="1521" t="n"/>
      <c r="DD39" s="1487" t="n"/>
      <c r="DE39" s="1523" t="n"/>
      <c r="DF39" s="1497" t="n"/>
      <c r="DG39" s="212" t="n"/>
    </row>
    <row r="40">
      <c r="A40" s="230" t="n">
        <v>27</v>
      </c>
      <c r="B40" s="1376" t="n">
        <v>8</v>
      </c>
      <c r="C40" s="176" t="inlineStr">
        <is>
          <t>Tran Thi Phuong Thuy</t>
        </is>
      </c>
      <c r="D40" s="250" t="inlineStr">
        <is>
          <t>Trần Thị Phương Thùy</t>
        </is>
      </c>
      <c r="E40" s="1492">
        <f>IF(OR(G40="CHT",G40="DSBC",G40="DSXC"),"HĐLĐ",IF(OR(G40="DSTV",G40="Q.CHT"),"HĐTV","HĐCTV"))</f>
        <v/>
      </c>
      <c r="F40" s="1493" t="inlineStr">
        <is>
          <t>Lê Bình</t>
        </is>
      </c>
      <c r="G40" s="1494" t="inlineStr">
        <is>
          <t>DSHV</t>
        </is>
      </c>
      <c r="H40" s="1495" t="inlineStr">
        <is>
          <t>14/07/2026</t>
        </is>
      </c>
      <c r="I40" s="1496" t="inlineStr">
        <is>
          <t>07560774501</t>
        </is>
      </c>
      <c r="J40" s="1496" t="inlineStr">
        <is>
          <t xml:space="preserve"> TP bank</t>
        </is>
      </c>
      <c r="K40" s="1497" t="n">
        <v>28</v>
      </c>
      <c r="L40" s="1497" t="n">
        <v>29</v>
      </c>
      <c r="M40" s="1497" t="n">
        <v>231.6</v>
      </c>
      <c r="N40" s="1497" t="n">
        <v>16.95</v>
      </c>
      <c r="O40" s="1497" t="n">
        <v>8</v>
      </c>
      <c r="P40" s="232" t="n"/>
      <c r="Q40" s="1497" t="n"/>
      <c r="R40" s="1498" t="n"/>
      <c r="S40" s="1499">
        <f>IF(E40="HĐLĐ",5310000,0)</f>
        <v/>
      </c>
      <c r="T40" s="1500" t="n">
        <v>500000</v>
      </c>
      <c r="U40" s="1501" t="n"/>
      <c r="V40" s="232" t="n"/>
      <c r="W40" s="232" t="n"/>
      <c r="X40" s="232" t="n"/>
      <c r="Y40" s="232" t="n"/>
      <c r="Z40" s="232" t="n"/>
      <c r="AA40" s="1497" t="n">
        <v>0</v>
      </c>
      <c r="AB40" s="1497" t="n">
        <v>0</v>
      </c>
      <c r="AC40" s="1499" t="n">
        <v>3000000</v>
      </c>
      <c r="AD40" s="232" t="n"/>
      <c r="AE40" s="232" t="n"/>
      <c r="AF40" s="232" t="n"/>
      <c r="AG40" s="1502">
        <f>IF(E40="HĐTV",AE40/28/8*M40,AC40/28/8*M40)</f>
        <v/>
      </c>
      <c r="AH40" s="1499">
        <f>IF(E40="HĐTV",AE40/28/8*N40*1.5,AC40/28/8*N40*1.5)</f>
        <v/>
      </c>
      <c r="AI40" s="232" t="n">
        <v>0</v>
      </c>
      <c r="AJ40" s="232" t="n">
        <v>0</v>
      </c>
      <c r="AK40" s="232" t="n">
        <v>0</v>
      </c>
      <c r="AL40" s="1497" t="n">
        <v>0</v>
      </c>
      <c r="AM40" s="1497" t="n">
        <v>0</v>
      </c>
      <c r="AN40" s="1497" t="n">
        <v>0</v>
      </c>
      <c r="AO40" s="1497" t="n">
        <v>0</v>
      </c>
      <c r="AP40" s="1497" t="n">
        <v>0</v>
      </c>
      <c r="AQ40" s="1497" t="n">
        <v>0</v>
      </c>
      <c r="AR40" s="1497" t="n">
        <v>0</v>
      </c>
      <c r="AS40" s="1497" t="n">
        <v>0</v>
      </c>
      <c r="AT40" s="1497" t="n">
        <v>0</v>
      </c>
      <c r="AU40" s="1497" t="n">
        <v>0</v>
      </c>
      <c r="AV40" s="1497" t="n">
        <v>0</v>
      </c>
      <c r="AW40" s="1497" t="n">
        <v>0</v>
      </c>
      <c r="AX40" s="1497" t="n">
        <v>0</v>
      </c>
      <c r="AY40" s="232" t="n">
        <v>0</v>
      </c>
      <c r="AZ40" s="1499" t="n">
        <v>0</v>
      </c>
      <c r="BA40" s="1503" t="n">
        <v>0</v>
      </c>
      <c r="BB40" s="1497" t="n">
        <v>0</v>
      </c>
      <c r="BC40" s="1497" t="n">
        <v>0</v>
      </c>
      <c r="BD40" s="1497" t="n">
        <v>0</v>
      </c>
      <c r="BE40" s="1497" t="n">
        <v>0</v>
      </c>
      <c r="BF40" s="1497" t="n">
        <v>0</v>
      </c>
      <c r="BG40" s="1497" t="n">
        <v>0</v>
      </c>
      <c r="BH40" s="1504">
        <f>SUM(T40:AB40)+SUM(AF40:BA40)-SUM(BB40:BG40)</f>
        <v/>
      </c>
      <c r="BI40" s="1505">
        <f>S40*17.5%</f>
        <v/>
      </c>
      <c r="BJ40" s="1505">
        <f>S40*3%</f>
        <v/>
      </c>
      <c r="BK40" s="1505">
        <f>S40*1%</f>
        <v/>
      </c>
      <c r="BL40" s="1506" t="n"/>
      <c r="BM40" s="1507">
        <f>SUM(BI40:BL40)</f>
        <v/>
      </c>
      <c r="BN40" s="1505">
        <f>S40*8%</f>
        <v/>
      </c>
      <c r="BO40" s="1505">
        <f>S40*1.5%</f>
        <v/>
      </c>
      <c r="BP40" s="1505">
        <f>S40*1%</f>
        <v/>
      </c>
      <c r="BQ40" s="1506" t="n"/>
      <c r="BR40" s="1507">
        <f>SUM(BN40:BQ40)</f>
        <v/>
      </c>
      <c r="BS40" s="1505">
        <f>T40+U40+V40+W40</f>
        <v/>
      </c>
      <c r="BT40" s="1508">
        <f>BH40-BS40-AH40</f>
        <v/>
      </c>
      <c r="BU40" s="1505">
        <f>IF(E40="HĐLĐ",15500000,0)</f>
        <v/>
      </c>
      <c r="BV40" s="1509" t="n">
        <v>0</v>
      </c>
      <c r="BW40" s="1505">
        <f>BV40*6200000</f>
        <v/>
      </c>
      <c r="BX40" s="1505">
        <f>BR40</f>
        <v/>
      </c>
      <c r="BY40" s="1510">
        <f>BU40+BW40+BX40</f>
        <v/>
      </c>
      <c r="BZ40" s="1505">
        <f>IF(BT40-BY40&gt;0,BT40-BY40,0)</f>
        <v/>
      </c>
      <c r="CA40" s="1506">
        <f>IF(AND(OR($E40="HĐTV",$E40="HĐCTV"),$BZ40&lt;2000000),0,IF(OR($E40="HĐTV",$E40="HĐCTV"),$BZ40*10%,ROUND(IF($BZ40&lt;=10000000,$BZ40*5%,IF($BZ40&lt;=30000000,$BZ40*10%-500000,IF($BZ40&lt;=60000000,$BZ40*20%-3500000,IF($BZ40&lt;=100000000,$BZ40*30%-9500000,$BZ40*35%-14500000)))),0)))</f>
        <v/>
      </c>
      <c r="CB40" s="1511">
        <f>ROUND(BH40-BR40-CA40,0)</f>
        <v/>
      </c>
      <c r="CC40" s="1509" t="n"/>
      <c r="CD40" s="1512" t="n">
        <v>0</v>
      </c>
      <c r="CE40" s="1513">
        <f>CB40+CC40-CD40</f>
        <v/>
      </c>
      <c r="CF40" s="1514">
        <f>CE40-CG40</f>
        <v/>
      </c>
      <c r="CG40" s="1514">
        <f>CE40</f>
        <v/>
      </c>
      <c r="CH40" s="1515" t="n"/>
      <c r="CI40" s="1516" t="inlineStr">
        <is>
          <t>thuy.tran@medigoapp.com</t>
        </is>
      </c>
      <c r="CJ40" s="1497" t="n">
        <v>0</v>
      </c>
      <c r="CK40" s="1495" t="n">
        <v>10</v>
      </c>
      <c r="CL40" s="1497" t="n"/>
      <c r="CM40" s="1495" t="n"/>
      <c r="CN40" s="1495" t="n"/>
      <c r="CO40" s="1495" t="n"/>
      <c r="CP40" s="1517" t="n"/>
      <c r="CQ40" s="1518" t="n"/>
      <c r="CR40" s="1517" t="n"/>
      <c r="CS40" s="1519" t="n"/>
      <c r="CT40" s="1519" t="n"/>
      <c r="CU40" s="1519" t="n"/>
      <c r="CV40" s="1520" t="n"/>
      <c r="CW40" s="1520" t="n"/>
      <c r="CX40" s="1520" t="n"/>
      <c r="CY40" s="1520" t="n">
        <v>3000000</v>
      </c>
      <c r="CZ40" s="1521" t="n"/>
      <c r="DA40" s="1522" t="n"/>
      <c r="DB40" s="1521" t="n"/>
      <c r="DC40" s="1521" t="n"/>
      <c r="DD40" s="1487" t="n"/>
      <c r="DE40" s="1523" t="n"/>
      <c r="DF40" s="1497" t="n"/>
      <c r="DG40" s="212" t="n"/>
    </row>
    <row r="41">
      <c r="A41" s="1524" t="n"/>
      <c r="B41" s="1525" t="n"/>
      <c r="C41" s="1526" t="n"/>
      <c r="D41" s="1527" t="n"/>
      <c r="E41" s="1528" t="n"/>
      <c r="F41" s="1529">
        <f>SUM(F33:F40)</f>
        <v/>
      </c>
      <c r="G41" s="1530" t="n"/>
      <c r="H41" s="1531" t="n"/>
      <c r="I41" s="1532" t="n"/>
      <c r="J41" s="1532" t="n"/>
      <c r="K41" s="1533">
        <f>SUM(K33:K40)</f>
        <v/>
      </c>
      <c r="L41" s="1533">
        <f>SUM(L33:L40)</f>
        <v/>
      </c>
      <c r="M41" s="1534">
        <f>SUM(M33:M40)</f>
        <v/>
      </c>
      <c r="N41" s="1534">
        <f>SUM(N33:N40)</f>
        <v/>
      </c>
      <c r="O41" s="1533">
        <f>SUM(O33:O40)</f>
        <v/>
      </c>
      <c r="P41" s="1533">
        <f>SUM(P33:P40)</f>
        <v/>
      </c>
      <c r="Q41" s="1533">
        <f>SUM(Q33:Q40)</f>
        <v/>
      </c>
      <c r="R41" s="1533" t="n"/>
      <c r="S41" s="1533">
        <f>SUM(S33:S40)</f>
        <v/>
      </c>
      <c r="T41" s="1533">
        <f>SUM(T33:T40)</f>
        <v/>
      </c>
      <c r="U41" s="1533">
        <f>SUM(U33:U40)</f>
        <v/>
      </c>
      <c r="V41" s="1533">
        <f>SUM(V33:V40)</f>
        <v/>
      </c>
      <c r="W41" s="1533">
        <f>SUM(W33:W40)</f>
        <v/>
      </c>
      <c r="X41" s="1533">
        <f>SUM(X33:X40)</f>
        <v/>
      </c>
      <c r="Y41" s="1533">
        <f>SUM(Y33:Y40)</f>
        <v/>
      </c>
      <c r="Z41" s="1533">
        <f>SUM(Z33:Z40)</f>
        <v/>
      </c>
      <c r="AA41" s="1533">
        <f>SUM(AA33:AA40)</f>
        <v/>
      </c>
      <c r="AB41" s="1533">
        <f>SUM(AB33:AB40)</f>
        <v/>
      </c>
      <c r="AC41" s="1533">
        <f>SUM(AC33:AC40)</f>
        <v/>
      </c>
      <c r="AD41" s="1533">
        <f>SUM(AD33:AD40)</f>
        <v/>
      </c>
      <c r="AE41" s="1533">
        <f>SUM(AE33:AE40)</f>
        <v/>
      </c>
      <c r="AF41" s="1533">
        <f>SUM(AF33:AF40)</f>
        <v/>
      </c>
      <c r="AG41" s="1533">
        <f>SUM(AG33:AG40)</f>
        <v/>
      </c>
      <c r="AH41" s="1533">
        <f>SUM(AH33:AH40)</f>
        <v/>
      </c>
      <c r="AI41" s="1533">
        <f>SUM(AI33:AI40)</f>
        <v/>
      </c>
      <c r="AJ41" s="1533">
        <f>SUM(AJ33:AJ40)</f>
        <v/>
      </c>
      <c r="AK41" s="1533">
        <f>SUM(AK33:AK40)</f>
        <v/>
      </c>
      <c r="AL41" s="1533">
        <f>SUM(AL33:AL40)</f>
        <v/>
      </c>
      <c r="AM41" s="1533">
        <f>SUM(AM33:AM40)</f>
        <v/>
      </c>
      <c r="AN41" s="1533">
        <f>SUM(AN33:AN40)</f>
        <v/>
      </c>
      <c r="AO41" s="1533">
        <f>SUM(AO33:AO40)</f>
        <v/>
      </c>
      <c r="AP41" s="1533">
        <f>SUM(AP33:AP40)</f>
        <v/>
      </c>
      <c r="AQ41" s="1533">
        <f>SUM(AQ33:AQ40)</f>
        <v/>
      </c>
      <c r="AR41" s="1533">
        <f>SUM(AR33:AR40)</f>
        <v/>
      </c>
      <c r="AS41" s="1533">
        <f>SUM(AS33:AS40)</f>
        <v/>
      </c>
      <c r="AT41" s="1533">
        <f>SUM(AT33:AT40)</f>
        <v/>
      </c>
      <c r="AU41" s="1533">
        <f>SUM(AU33:AU40)</f>
        <v/>
      </c>
      <c r="AV41" s="1533">
        <f>SUM(AV33:AV40)</f>
        <v/>
      </c>
      <c r="AW41" s="1533">
        <f>SUM(AW33:AW40)</f>
        <v/>
      </c>
      <c r="AX41" s="1533">
        <f>SUM(AX33:AX40)</f>
        <v/>
      </c>
      <c r="AY41" s="1533">
        <f>SUM(AY33:AY40)</f>
        <v/>
      </c>
      <c r="AZ41" s="1533">
        <f>SUM(AZ33:AZ40)</f>
        <v/>
      </c>
      <c r="BA41" s="1533">
        <f>SUM(BA33:BA40)</f>
        <v/>
      </c>
      <c r="BB41" s="1533">
        <f>SUM(BB33:BB40)</f>
        <v/>
      </c>
      <c r="BC41" s="1533">
        <f>SUM(BC33:BC40)</f>
        <v/>
      </c>
      <c r="BD41" s="1533">
        <f>SUM(BD33:BD40)</f>
        <v/>
      </c>
      <c r="BE41" s="1533">
        <f>SUM(BE33:BE40)</f>
        <v/>
      </c>
      <c r="BF41" s="1533">
        <f>SUM(BF33:BF40)</f>
        <v/>
      </c>
      <c r="BG41" s="1533">
        <f>SUM(BG33:BG40)</f>
        <v/>
      </c>
      <c r="BH41" s="1533">
        <f>SUM(BH33:BH40)</f>
        <v/>
      </c>
      <c r="BI41" s="1533">
        <f>SUM(BI33:BI40)</f>
        <v/>
      </c>
      <c r="BJ41" s="1533">
        <f>SUM(BJ33:BJ40)</f>
        <v/>
      </c>
      <c r="BK41" s="1533">
        <f>SUM(BK33:BK40)</f>
        <v/>
      </c>
      <c r="BL41" s="1533">
        <f>SUM(BL33:BL40)</f>
        <v/>
      </c>
      <c r="BM41" s="1533">
        <f>SUM(BM33:BM40)</f>
        <v/>
      </c>
      <c r="BN41" s="1533">
        <f>SUM(BN33:BN40)</f>
        <v/>
      </c>
      <c r="BO41" s="1533">
        <f>SUM(BO33:BO40)</f>
        <v/>
      </c>
      <c r="BP41" s="1533">
        <f>SUM(BP33:BP40)</f>
        <v/>
      </c>
      <c r="BQ41" s="1533">
        <f>SUM(BQ33:BQ40)</f>
        <v/>
      </c>
      <c r="BR41" s="1533">
        <f>SUM(BR33:BR40)</f>
        <v/>
      </c>
      <c r="BS41" s="1533">
        <f>SUM(BS33:BS40)</f>
        <v/>
      </c>
      <c r="BT41" s="1533">
        <f>SUM(BT33:BT40)</f>
        <v/>
      </c>
      <c r="BU41" s="1533">
        <f>SUM(BU33:BU40)</f>
        <v/>
      </c>
      <c r="BV41" s="1533">
        <f>SUM(BV33:BV40)</f>
        <v/>
      </c>
      <c r="BW41" s="1533">
        <f>SUM(BW33:BW40)</f>
        <v/>
      </c>
      <c r="BX41" s="1533">
        <f>SUM(BX33:BX40)</f>
        <v/>
      </c>
      <c r="BY41" s="1533">
        <f>SUM(BY33:BY40)</f>
        <v/>
      </c>
      <c r="BZ41" s="1533">
        <f>SUM(BZ33:BZ40)</f>
        <v/>
      </c>
      <c r="CA41" s="1533">
        <f>SUM(CA33:CA40)</f>
        <v/>
      </c>
      <c r="CB41" s="1533">
        <f>SUM(CB33:CB40)</f>
        <v/>
      </c>
      <c r="CC41" s="1533">
        <f>SUM(CC33:CC40)</f>
        <v/>
      </c>
      <c r="CD41" s="1533">
        <f>SUM(CD33:CD40)</f>
        <v/>
      </c>
      <c r="CE41" s="1533">
        <f>SUM(CE33:CE40)</f>
        <v/>
      </c>
      <c r="CF41" s="1533">
        <f>SUM(CF33:CF40)</f>
        <v/>
      </c>
      <c r="CG41" s="1533">
        <f>SUM(CG33:CG40)</f>
        <v/>
      </c>
      <c r="CH41" s="1533" t="n"/>
      <c r="CI41" s="1533" t="n"/>
      <c r="CJ41" s="1533" t="n"/>
      <c r="CK41" s="1531" t="n"/>
      <c r="CL41" s="1533">
        <f>SUM(CL33:CL40)</f>
        <v/>
      </c>
      <c r="CM41" s="1531" t="n"/>
      <c r="CN41" s="1531" t="n"/>
      <c r="CO41" s="1531" t="n"/>
      <c r="CP41" s="1535" t="n"/>
      <c r="CQ41" s="1536" t="n"/>
      <c r="CR41" s="1535" t="n"/>
      <c r="CS41" s="1537" t="n"/>
      <c r="CT41" s="1537" t="n"/>
      <c r="CU41" s="1537" t="n"/>
      <c r="CV41" s="1538" t="n"/>
      <c r="CW41" s="1538" t="n"/>
      <c r="CX41" s="1538" t="n"/>
      <c r="CY41" s="1538" t="n"/>
      <c r="CZ41" s="1526" t="n"/>
      <c r="DA41" s="1539" t="n"/>
      <c r="DB41" s="1526" t="n"/>
      <c r="DC41" s="1526" t="n"/>
      <c r="DD41" s="1487" t="n"/>
      <c r="DE41" s="1523" t="n"/>
      <c r="DF41" s="1497" t="n"/>
      <c r="DG41" s="212" t="n"/>
    </row>
    <row r="42">
      <c r="A42" s="230" t="n">
        <v>28</v>
      </c>
      <c r="B42" s="1376" t="n">
        <v>8</v>
      </c>
      <c r="C42" s="176" t="inlineStr">
        <is>
          <t>Duong Thi Huynh Nhu</t>
        </is>
      </c>
      <c r="D42" s="250" t="inlineStr">
        <is>
          <t>Dương Thị Huỳnh Như</t>
        </is>
      </c>
      <c r="E42" s="1492">
        <f>IF(OR(G42="CHT",G42="DSBC",G42="DSXC"),"HĐLĐ",IF(OR(G42="DSTV",G42="Q.CHT"),"HĐTV","HĐCTV"))</f>
        <v/>
      </c>
      <c r="F42" s="1493" t="inlineStr">
        <is>
          <t>Nam Hòa</t>
        </is>
      </c>
      <c r="G42" s="1494" t="inlineStr">
        <is>
          <t>DSTV</t>
        </is>
      </c>
      <c r="H42" s="1495" t="inlineStr">
        <is>
          <t>28/07/2026</t>
        </is>
      </c>
      <c r="I42" s="1496" t="inlineStr">
        <is>
          <t>023704070008223</t>
        </is>
      </c>
      <c r="J42" s="1496" t="inlineStr">
        <is>
          <t>HD Bank</t>
        </is>
      </c>
      <c r="K42" s="1497" t="n">
        <v>28</v>
      </c>
      <c r="L42" s="1497" t="n">
        <v>24</v>
      </c>
      <c r="M42" s="1497" t="n">
        <v>0.92</v>
      </c>
      <c r="N42" s="1497" t="n">
        <v>193.57</v>
      </c>
      <c r="O42" s="1497" t="n">
        <v>0</v>
      </c>
      <c r="P42" s="232" t="n"/>
      <c r="Q42" s="1497" t="n"/>
      <c r="R42" s="1498" t="n"/>
      <c r="S42" s="1499">
        <f>IF(E42="HĐLĐ",5310000,0)</f>
        <v/>
      </c>
      <c r="T42" s="1500" t="n">
        <v>428571.4285714286</v>
      </c>
      <c r="U42" s="1501" t="n"/>
      <c r="V42" s="232" t="n"/>
      <c r="W42" s="232" t="n"/>
      <c r="X42" s="232" t="n"/>
      <c r="Y42" s="232" t="n"/>
      <c r="Z42" s="232" t="n"/>
      <c r="AA42" s="1497" t="n">
        <v>0</v>
      </c>
      <c r="AB42" s="1497" t="n">
        <v>0</v>
      </c>
      <c r="AC42" s="1499" t="n">
        <v>6000000</v>
      </c>
      <c r="AD42" s="232">
        <f>AC42</f>
        <v/>
      </c>
      <c r="AE42" s="232" t="n">
        <v>6000000</v>
      </c>
      <c r="AF42" s="232">
        <f>IF(E42="HĐTV",AE42/K42*L42,AD42/K42*L42)</f>
        <v/>
      </c>
      <c r="AG42" s="1502">
        <f>IF(E42="HĐTV",AE42/28/8*M42,AC42/28/8*M42)</f>
        <v/>
      </c>
      <c r="AH42" s="1499">
        <f>IF(E42="HĐTV",AE42/28/8*N42*1.5,AC42/28/8*N42*1.5)</f>
        <v/>
      </c>
      <c r="AI42" s="232" t="n">
        <v>1285714</v>
      </c>
      <c r="AJ42" s="232" t="n">
        <v>0</v>
      </c>
      <c r="AK42" s="232" t="n">
        <v>0</v>
      </c>
      <c r="AL42" s="1497" t="n">
        <v>0</v>
      </c>
      <c r="AM42" s="1497" t="n">
        <v>0</v>
      </c>
      <c r="AN42" s="1497" t="n">
        <v>466667</v>
      </c>
      <c r="AO42" s="1497" t="n">
        <v>0</v>
      </c>
      <c r="AP42" s="1497" t="n">
        <v>221850</v>
      </c>
      <c r="AQ42" s="1497" t="n">
        <v>0</v>
      </c>
      <c r="AR42" s="1497" t="n">
        <v>20</v>
      </c>
      <c r="AS42" s="1497" t="n">
        <v>0</v>
      </c>
      <c r="AT42" s="1497" t="n">
        <v>0</v>
      </c>
      <c r="AU42" s="1497" t="n">
        <v>0</v>
      </c>
      <c r="AV42" s="1497" t="n">
        <v>0</v>
      </c>
      <c r="AW42" s="1497" t="n">
        <v>0</v>
      </c>
      <c r="AX42" s="1497" t="n">
        <v>0</v>
      </c>
      <c r="AY42" s="232" t="n">
        <v>0</v>
      </c>
      <c r="AZ42" s="1499" t="n">
        <v>0</v>
      </c>
      <c r="BA42" s="1503" t="n">
        <v>0</v>
      </c>
      <c r="BB42" s="1497" t="n">
        <v>0</v>
      </c>
      <c r="BC42" s="1497" t="n">
        <v>0</v>
      </c>
      <c r="BD42" s="1497" t="n">
        <v>0</v>
      </c>
      <c r="BE42" s="1497" t="n">
        <v>0</v>
      </c>
      <c r="BF42" s="1497" t="n">
        <v>0</v>
      </c>
      <c r="BG42" s="1497" t="n">
        <v>0</v>
      </c>
      <c r="BH42" s="1504">
        <f>SUM(T42:AB42)+SUM(AF42:BA42)-SUM(BB42:BG42)</f>
        <v/>
      </c>
      <c r="BI42" s="1505">
        <f>S42*17.5%</f>
        <v/>
      </c>
      <c r="BJ42" s="1505">
        <f>S42*3%</f>
        <v/>
      </c>
      <c r="BK42" s="1505">
        <f>S42*1%</f>
        <v/>
      </c>
      <c r="BL42" s="1506" t="n"/>
      <c r="BM42" s="1507">
        <f>SUM(BI42:BL42)</f>
        <v/>
      </c>
      <c r="BN42" s="1505">
        <f>S42*8%</f>
        <v/>
      </c>
      <c r="BO42" s="1505">
        <f>S42*1.5%</f>
        <v/>
      </c>
      <c r="BP42" s="1505">
        <f>S42*1%</f>
        <v/>
      </c>
      <c r="BQ42" s="1506" t="n"/>
      <c r="BR42" s="1507">
        <f>SUM(BN42:BQ42)</f>
        <v/>
      </c>
      <c r="BS42" s="1505">
        <f>T42+U42+V42+W42</f>
        <v/>
      </c>
      <c r="BT42" s="1508">
        <f>BH42-BS42-AH42</f>
        <v/>
      </c>
      <c r="BU42" s="1505">
        <f>IF(E42="HĐLĐ",15500000,0)</f>
        <v/>
      </c>
      <c r="BV42" s="1509" t="n">
        <v>0</v>
      </c>
      <c r="BW42" s="1505">
        <f>BV42*6200000</f>
        <v/>
      </c>
      <c r="BX42" s="1505">
        <f>BR42</f>
        <v/>
      </c>
      <c r="BY42" s="1510">
        <f>BU42+BW42+BX42</f>
        <v/>
      </c>
      <c r="BZ42" s="1505">
        <f>IF(BT42-BY42&gt;0,BT42-BY42,0)</f>
        <v/>
      </c>
      <c r="CA42" s="1506">
        <f>IF(AND(OR($E42="HĐTV",$E42="HĐCTV"),$BZ42&lt;2000000),0,IF(OR($E42="HĐTV",$E42="HĐCTV"),$BZ42*10%,ROUND(IF($BZ42&lt;=10000000,$BZ42*5%,IF($BZ42&lt;=30000000,$BZ42*10%-500000,IF($BZ42&lt;=60000000,$BZ42*20%-3500000,IF($BZ42&lt;=100000000,$BZ42*30%-9500000,$BZ42*35%-14500000)))),0)))</f>
        <v/>
      </c>
      <c r="CB42" s="1511">
        <f>ROUND(BH42-BR42-CA42,0)</f>
        <v/>
      </c>
      <c r="CC42" s="1509" t="n"/>
      <c r="CD42" s="1512" t="n">
        <v>0</v>
      </c>
      <c r="CE42" s="1513">
        <f>CB42+CC42-CD42</f>
        <v/>
      </c>
      <c r="CF42" s="1514">
        <f>CE42-CG42</f>
        <v/>
      </c>
      <c r="CG42" s="1514">
        <f>CE42</f>
        <v/>
      </c>
      <c r="CH42" s="1515" t="n"/>
      <c r="CI42" s="1516" t="inlineStr">
        <is>
          <t>mailto:ha.le@medigoapp.com</t>
        </is>
      </c>
      <c r="CJ42" s="1497" t="n"/>
      <c r="CK42" s="1495" t="n">
        <v>9</v>
      </c>
      <c r="CL42" s="1497" t="n"/>
      <c r="CM42" s="1495" t="n"/>
      <c r="CN42" s="1495" t="n"/>
      <c r="CO42" s="1495" t="n"/>
      <c r="CP42" s="1517" t="n"/>
      <c r="CQ42" s="1518" t="n"/>
      <c r="CR42" s="1517" t="n"/>
      <c r="CS42" s="1519" t="n"/>
      <c r="CT42" s="1519" t="n"/>
      <c r="CU42" s="1519" t="n"/>
      <c r="CV42" s="1520" t="n"/>
      <c r="CW42" s="1520" t="n"/>
      <c r="CX42" s="1520" t="n"/>
      <c r="CY42" s="1520">
        <f>IF(CX42&gt;0,CX42,IF(CW42&gt;0,CW42,6000000))</f>
        <v/>
      </c>
      <c r="CZ42" s="1521" t="n"/>
      <c r="DA42" s="1522" t="n"/>
      <c r="DB42" s="1521" t="n"/>
      <c r="DC42" s="1521" t="n"/>
      <c r="DD42" s="1487" t="n"/>
      <c r="DE42" s="1523" t="n"/>
      <c r="DF42" s="1497" t="n"/>
      <c r="DG42" s="212" t="n"/>
    </row>
    <row r="43">
      <c r="A43" s="230" t="n">
        <v>29</v>
      </c>
      <c r="B43" s="1376" t="n">
        <v>8</v>
      </c>
      <c r="C43" s="176" t="inlineStr">
        <is>
          <t>Tran Thi Anh Nguyet</t>
        </is>
      </c>
      <c r="D43" s="250" t="inlineStr">
        <is>
          <t>Trần Thị Ánh Nguyệt</t>
        </is>
      </c>
      <c r="E43" s="1492">
        <f>IF(OR(G43="CHT",G43="DSBC",G43="DSXC"),"HĐLĐ",IF(OR(G43="DSTV",G43="Q.CHT"),"HĐTV","HĐCTV"))</f>
        <v/>
      </c>
      <c r="F43" s="1493" t="inlineStr">
        <is>
          <t>Nam Hòa</t>
        </is>
      </c>
      <c r="G43" s="1494" t="inlineStr">
        <is>
          <t>DSBC</t>
        </is>
      </c>
      <c r="H43" s="1495" t="inlineStr">
        <is>
          <t>13/3/2026</t>
        </is>
      </c>
      <c r="I43" s="1496" t="inlineStr">
        <is>
          <t>19035042801010</t>
        </is>
      </c>
      <c r="J43" s="1496" t="inlineStr">
        <is>
          <t>techcombank - chi nhánh Bình Đăng</t>
        </is>
      </c>
      <c r="K43" s="1497" t="n">
        <v>28</v>
      </c>
      <c r="L43" s="1497" t="n">
        <v>29</v>
      </c>
      <c r="M43" s="1497" t="n">
        <v>18.21</v>
      </c>
      <c r="N43" s="1497" t="n">
        <v>234.97</v>
      </c>
      <c r="O43" s="1497" t="n">
        <v>8</v>
      </c>
      <c r="P43" s="232" t="n"/>
      <c r="Q43" s="1497" t="n"/>
      <c r="R43" s="1498" t="n"/>
      <c r="S43" s="1499">
        <f>IF(E43="HĐLĐ",5310000,0)</f>
        <v/>
      </c>
      <c r="T43" s="1500" t="n">
        <v>500000</v>
      </c>
      <c r="U43" s="1501" t="n"/>
      <c r="V43" s="232" t="n"/>
      <c r="W43" s="232" t="n"/>
      <c r="X43" s="232" t="n"/>
      <c r="Y43" s="232" t="n"/>
      <c r="Z43" s="232" t="n"/>
      <c r="AA43" s="1497" t="n">
        <v>0</v>
      </c>
      <c r="AB43" s="1497" t="n">
        <v>0</v>
      </c>
      <c r="AC43" s="1499" t="n">
        <v>6000000</v>
      </c>
      <c r="AD43" s="232">
        <f>AC43</f>
        <v/>
      </c>
      <c r="AE43" s="232" t="n">
        <v>0</v>
      </c>
      <c r="AF43" s="232">
        <f>IF(E43="HĐTV",AE43/K43*L43,AD43/K43*L43)</f>
        <v/>
      </c>
      <c r="AG43" s="1502">
        <f>IF(E43="HĐTV",AE43/28/8*M43,AC43/28/8*M43)</f>
        <v/>
      </c>
      <c r="AH43" s="1499">
        <f>IF(E43="HĐTV",AE43/28/8*N43*1.5,AC43/28/8*N43*1.5)</f>
        <v/>
      </c>
      <c r="AI43" s="232" t="n">
        <v>1500000</v>
      </c>
      <c r="AJ43" s="232" t="n">
        <v>0</v>
      </c>
      <c r="AK43" s="232" t="n">
        <v>0</v>
      </c>
      <c r="AL43" s="1497" t="n">
        <v>0</v>
      </c>
      <c r="AM43" s="1497" t="n">
        <v>0</v>
      </c>
      <c r="AN43" s="1497" t="n">
        <v>1600000</v>
      </c>
      <c r="AO43" s="1497" t="n">
        <v>0</v>
      </c>
      <c r="AP43" s="1497" t="n">
        <v>2444050</v>
      </c>
      <c r="AQ43" s="1497" t="n">
        <v>28709</v>
      </c>
      <c r="AR43" s="1497" t="n">
        <v>0</v>
      </c>
      <c r="AS43" s="1497" t="n">
        <v>1080000</v>
      </c>
      <c r="AT43" s="1497" t="n">
        <v>0</v>
      </c>
      <c r="AU43" s="1497" t="n">
        <v>0</v>
      </c>
      <c r="AV43" s="1497" t="n">
        <v>0</v>
      </c>
      <c r="AW43" s="1497" t="n">
        <v>0</v>
      </c>
      <c r="AX43" s="1497" t="n">
        <v>0</v>
      </c>
      <c r="AY43" s="232" t="n">
        <v>0</v>
      </c>
      <c r="AZ43" s="1499" t="n">
        <v>0</v>
      </c>
      <c r="BA43" s="1503" t="n">
        <v>0</v>
      </c>
      <c r="BB43" s="1497" t="n">
        <v>0</v>
      </c>
      <c r="BC43" s="1497" t="n">
        <v>0</v>
      </c>
      <c r="BD43" s="1497" t="n">
        <v>0</v>
      </c>
      <c r="BE43" s="1497" t="n">
        <v>0</v>
      </c>
      <c r="BF43" s="1497" t="n">
        <v>0</v>
      </c>
      <c r="BG43" s="1497" t="n">
        <v>0</v>
      </c>
      <c r="BH43" s="1504">
        <f>SUM(T43:AB43)+SUM(AF43:BA43)-SUM(BB43:BG43)</f>
        <v/>
      </c>
      <c r="BI43" s="1505">
        <f>S43*17.5%</f>
        <v/>
      </c>
      <c r="BJ43" s="1505">
        <f>S43*3%</f>
        <v/>
      </c>
      <c r="BK43" s="1505">
        <f>S43*1%</f>
        <v/>
      </c>
      <c r="BL43" s="1506" t="n"/>
      <c r="BM43" s="1507">
        <f>SUM(BI43:BL43)</f>
        <v/>
      </c>
      <c r="BN43" s="1505">
        <f>S43*8%</f>
        <v/>
      </c>
      <c r="BO43" s="1505">
        <f>S43*1.5%</f>
        <v/>
      </c>
      <c r="BP43" s="1505">
        <f>S43*1%</f>
        <v/>
      </c>
      <c r="BQ43" s="1506" t="n"/>
      <c r="BR43" s="1507">
        <f>SUM(BN43:BQ43)</f>
        <v/>
      </c>
      <c r="BS43" s="1505">
        <f>T43+U43+V43+W43</f>
        <v/>
      </c>
      <c r="BT43" s="1508">
        <f>BH43-BS43-AH43</f>
        <v/>
      </c>
      <c r="BU43" s="1505">
        <f>IF(E43="HĐLĐ",15500000,0)</f>
        <v/>
      </c>
      <c r="BV43" s="1509" t="n">
        <v>0</v>
      </c>
      <c r="BW43" s="1505">
        <f>BV43*6200000</f>
        <v/>
      </c>
      <c r="BX43" s="1505">
        <f>BR43</f>
        <v/>
      </c>
      <c r="BY43" s="1510">
        <f>BU43+BW43+BX43</f>
        <v/>
      </c>
      <c r="BZ43" s="1505">
        <f>IF(BT43-BY43&gt;0,BT43-BY43,0)</f>
        <v/>
      </c>
      <c r="CA43" s="1506">
        <f>IF(AND(OR($E43="HĐTV",$E43="HĐCTV"),$BZ43&lt;2000000),0,IF(OR($E43="HĐTV",$E43="HĐCTV"),$BZ43*10%,ROUND(IF($BZ43&lt;=10000000,$BZ43*5%,IF($BZ43&lt;=30000000,$BZ43*10%-500000,IF($BZ43&lt;=60000000,$BZ43*20%-3500000,IF($BZ43&lt;=100000000,$BZ43*30%-9500000,$BZ43*35%-14500000)))),0)))</f>
        <v/>
      </c>
      <c r="CB43" s="1511">
        <f>ROUND(BH43-BR43-CA43,0)</f>
        <v/>
      </c>
      <c r="CC43" s="1509" t="n"/>
      <c r="CD43" s="1512" t="n">
        <v>0</v>
      </c>
      <c r="CE43" s="1513">
        <f>CB43+CC43-CD43</f>
        <v/>
      </c>
      <c r="CF43" s="1514">
        <f>CE43-CG43</f>
        <v/>
      </c>
      <c r="CG43" s="1514">
        <f>CE43</f>
        <v/>
      </c>
      <c r="CH43" s="1515" t="n"/>
      <c r="CI43" s="1516">
        <f>VLOOKUP($C47,[5]Sheet1!$C$5:$K$139,9,0)</f>
        <v/>
      </c>
      <c r="CJ43" s="1497" t="n">
        <v>0</v>
      </c>
      <c r="CK43" s="1495" t="n">
        <v>2</v>
      </c>
      <c r="CL43" s="1497" t="n"/>
      <c r="CM43" s="1495" t="n">
        <v>13</v>
      </c>
      <c r="CN43" s="1495" t="n">
        <v>3</v>
      </c>
      <c r="CO43" s="1495" t="n">
        <v>2026</v>
      </c>
      <c r="CP43" s="1517">
        <f>IF((($CO$7-CO43)*12)+($CN$7-CN43)&gt;=12,((($CO$7-CO43)*12)+($CN$7-CN43))-1,0)</f>
        <v/>
      </c>
      <c r="CQ43" s="1518">
        <f>IF(CP43&lt;12,(($CQ$7-CO43)*12)+($CP$7-CN43),0)</f>
        <v/>
      </c>
      <c r="CR43" s="1517">
        <f>IF(OR(CP43&gt;12,CP43=12),((CP43-(CS43*12))+((($CQ$7-2024)*12)+($CP$7-4)))+1,0)</f>
        <v/>
      </c>
      <c r="CS43" s="1519">
        <f>IF(OR(CP43&gt;12,CP43=12),ROUNDDOWN(CP43/12,0),0)</f>
        <v/>
      </c>
      <c r="CT43" s="1519">
        <f>IF(CQ43&gt;11,ROUNDDOWN(CQ43/12,0),0)</f>
        <v/>
      </c>
      <c r="CU43" s="1519">
        <f>IF(CR43&gt;11,ROUNDDOWN(CR43/12,0),0)</f>
        <v/>
      </c>
      <c r="CV43" s="1520">
        <f>IF(CP43=0,0,6000000*1.07^CS43)</f>
        <v/>
      </c>
      <c r="CW43" s="1520">
        <f>IF(CT43&lt;2,0,6000000+(CT43-1)*500000)</f>
        <v/>
      </c>
      <c r="CX43" s="1520">
        <f>IF(CU43=0,CV43,IF(CU43&lt;1,0,CV43+CU43*500000))</f>
        <v/>
      </c>
      <c r="CY43" s="1520" t="n">
        <v>6000000</v>
      </c>
      <c r="CZ43" s="1521" t="n"/>
      <c r="DA43" s="1522" t="n"/>
      <c r="DB43" s="1521" t="n"/>
      <c r="DC43" s="1521" t="n"/>
      <c r="DD43" s="1487" t="n"/>
      <c r="DE43" s="1523" t="n"/>
      <c r="DF43" s="1497" t="n"/>
      <c r="DG43" s="212" t="n"/>
    </row>
    <row r="44">
      <c r="A44" s="230" t="n">
        <v>30</v>
      </c>
      <c r="B44" s="1376" t="n">
        <v>8</v>
      </c>
      <c r="C44" s="176" t="inlineStr">
        <is>
          <t>Do Thi Kim Tien</t>
        </is>
      </c>
      <c r="D44" s="250" t="inlineStr">
        <is>
          <t>Đỗ Thị Kim Tiến</t>
        </is>
      </c>
      <c r="E44" s="1492">
        <f>IF(OR(G44="CHT",G44="DSBC",G44="DSXC"),"HĐLĐ",IF(OR(G44="DSTV",G44="Q.CHT"),"HĐTV","HĐCTV"))</f>
        <v/>
      </c>
      <c r="F44" s="1493" t="inlineStr">
        <is>
          <t>Nam Hòa</t>
        </is>
      </c>
      <c r="G44" s="1494" t="inlineStr">
        <is>
          <t>DSTV</t>
        </is>
      </c>
      <c r="H44" s="1495" t="inlineStr">
        <is>
          <t>07/07/2026</t>
        </is>
      </c>
      <c r="I44" s="1496" t="inlineStr">
        <is>
          <t>19039887406019</t>
        </is>
      </c>
      <c r="J44" s="1496" t="inlineStr">
        <is>
          <t>Techcombank</t>
        </is>
      </c>
      <c r="K44" s="1497" t="n">
        <v>28</v>
      </c>
      <c r="L44" s="1497" t="n">
        <v>5</v>
      </c>
      <c r="M44" s="1497" t="n">
        <v>20.11</v>
      </c>
      <c r="N44" s="1497" t="n">
        <v>40.07</v>
      </c>
      <c r="O44" s="1497" t="n">
        <v>0</v>
      </c>
      <c r="P44" s="232" t="n"/>
      <c r="Q44" s="1497" t="n"/>
      <c r="R44" s="1498" t="n"/>
      <c r="S44" s="1499">
        <f>IF(E44="HĐLĐ",5310000,0)</f>
        <v/>
      </c>
      <c r="T44" s="1500" t="n">
        <v>89285.71428571429</v>
      </c>
      <c r="U44" s="1501" t="n"/>
      <c r="V44" s="232" t="n"/>
      <c r="W44" s="232" t="n"/>
      <c r="X44" s="232" t="n"/>
      <c r="Y44" s="232" t="n"/>
      <c r="Z44" s="232" t="n"/>
      <c r="AA44" s="1497" t="n">
        <v>0</v>
      </c>
      <c r="AB44" s="1497" t="n">
        <v>0</v>
      </c>
      <c r="AC44" s="1499" t="n">
        <v>6000000</v>
      </c>
      <c r="AD44" s="232">
        <f>AC44</f>
        <v/>
      </c>
      <c r="AE44" s="232" t="n">
        <v>6000000</v>
      </c>
      <c r="AF44" s="232">
        <f>IF(E44="HĐTV",AE44/K44*L44,AD44/K44*L44)</f>
        <v/>
      </c>
      <c r="AG44" s="1502">
        <f>IF(E44="HĐTV",AE44/28/8*M44,AC44/28/8*M44)</f>
        <v/>
      </c>
      <c r="AH44" s="1499">
        <f>IF(E44="HĐTV",AE44/28/8*N44*1.5,AC44/28/8*N44*1.5)</f>
        <v/>
      </c>
      <c r="AI44" s="232" t="n">
        <v>267857</v>
      </c>
      <c r="AJ44" s="232" t="n">
        <v>0</v>
      </c>
      <c r="AK44" s="232" t="n">
        <v>0</v>
      </c>
      <c r="AL44" s="1497" t="n">
        <v>0</v>
      </c>
      <c r="AM44" s="1497" t="n">
        <v>0</v>
      </c>
      <c r="AN44" s="1497" t="n">
        <v>533333</v>
      </c>
      <c r="AO44" s="1497" t="n">
        <v>0</v>
      </c>
      <c r="AP44" s="1497" t="n">
        <v>354690</v>
      </c>
      <c r="AQ44" s="1497" t="n">
        <v>1690</v>
      </c>
      <c r="AR44" s="1497" t="n">
        <v>0</v>
      </c>
      <c r="AS44" s="1497" t="n">
        <v>0</v>
      </c>
      <c r="AT44" s="1497" t="n">
        <v>0</v>
      </c>
      <c r="AU44" s="1497" t="n">
        <v>0</v>
      </c>
      <c r="AV44" s="1497" t="n">
        <v>0</v>
      </c>
      <c r="AW44" s="1497" t="n">
        <v>0</v>
      </c>
      <c r="AX44" s="1497" t="n">
        <v>0</v>
      </c>
      <c r="AY44" s="232" t="n">
        <v>0</v>
      </c>
      <c r="AZ44" s="1499" t="n">
        <v>0</v>
      </c>
      <c r="BA44" s="1503" t="n">
        <v>0</v>
      </c>
      <c r="BB44" s="1497" t="n">
        <v>0</v>
      </c>
      <c r="BC44" s="1497" t="n">
        <v>0</v>
      </c>
      <c r="BD44" s="1497" t="n">
        <v>100000</v>
      </c>
      <c r="BE44" s="1497" t="n">
        <v>0</v>
      </c>
      <c r="BF44" s="1497" t="n">
        <v>0</v>
      </c>
      <c r="BG44" s="1497" t="n">
        <v>0</v>
      </c>
      <c r="BH44" s="1504">
        <f>SUM(T44:AB44)+SUM(AF44:BA44)-SUM(BB44:BG44)</f>
        <v/>
      </c>
      <c r="BI44" s="1505">
        <f>S44*17.5%</f>
        <v/>
      </c>
      <c r="BJ44" s="1505">
        <f>S44*3%</f>
        <v/>
      </c>
      <c r="BK44" s="1505">
        <f>S44*1%</f>
        <v/>
      </c>
      <c r="BL44" s="1506" t="n"/>
      <c r="BM44" s="1507">
        <f>SUM(BI44:BL44)</f>
        <v/>
      </c>
      <c r="BN44" s="1505">
        <f>S44*8%</f>
        <v/>
      </c>
      <c r="BO44" s="1505">
        <f>S44*1.5%</f>
        <v/>
      </c>
      <c r="BP44" s="1505">
        <f>S44*1%</f>
        <v/>
      </c>
      <c r="BQ44" s="1506" t="n"/>
      <c r="BR44" s="1507">
        <f>SUM(BN44:BQ44)</f>
        <v/>
      </c>
      <c r="BS44" s="1505">
        <f>T44+U44+V44+W44</f>
        <v/>
      </c>
      <c r="BT44" s="1508">
        <f>BH44-BS44-AH44</f>
        <v/>
      </c>
      <c r="BU44" s="1505">
        <f>IF(E44="HĐLĐ",15500000,0)</f>
        <v/>
      </c>
      <c r="BV44" s="1509" t="n">
        <v>0</v>
      </c>
      <c r="BW44" s="1505">
        <f>BV44*6200000</f>
        <v/>
      </c>
      <c r="BX44" s="1505">
        <f>BR44</f>
        <v/>
      </c>
      <c r="BY44" s="1510">
        <f>BU44+BW44+BX44</f>
        <v/>
      </c>
      <c r="BZ44" s="1505">
        <f>IF(BT44-BY44&gt;0,BT44-BY44,0)</f>
        <v/>
      </c>
      <c r="CA44" s="1506">
        <f>IF(AND(OR($E44="HĐTV",$E44="HĐCTV"),$BZ44&lt;2000000),0,IF(OR($E44="HĐTV",$E44="HĐCTV"),$BZ44*10%,ROUND(IF($BZ44&lt;=10000000,$BZ44*5%,IF($BZ44&lt;=30000000,$BZ44*10%-500000,IF($BZ44&lt;=60000000,$BZ44*20%-3500000,IF($BZ44&lt;=100000000,$BZ44*30%-9500000,$BZ44*35%-14500000)))),0)))</f>
        <v/>
      </c>
      <c r="CB44" s="1511">
        <f>ROUND(BH44-BR44-CA44,0)</f>
        <v/>
      </c>
      <c r="CC44" s="1509" t="n"/>
      <c r="CD44" s="1512" t="n">
        <v>0</v>
      </c>
      <c r="CE44" s="1513">
        <f>CB44+CC44-CD44</f>
        <v/>
      </c>
      <c r="CF44" s="1514">
        <f>CE44-CG44</f>
        <v/>
      </c>
      <c r="CG44" s="1514">
        <f>CE44</f>
        <v/>
      </c>
      <c r="CH44" s="1515" t="n"/>
      <c r="CI44" s="1516" t="inlineStr">
        <is>
          <t>tien.do@medigoapp.com</t>
        </is>
      </c>
      <c r="CJ44" s="1497" t="n"/>
      <c r="CK44" s="1495" t="n">
        <v>11</v>
      </c>
      <c r="CL44" s="1497" t="n"/>
      <c r="CM44" s="1495" t="n"/>
      <c r="CN44" s="1495" t="n"/>
      <c r="CO44" s="1495" t="n"/>
      <c r="CP44" s="1517" t="n"/>
      <c r="CQ44" s="1518" t="n"/>
      <c r="CR44" s="1517" t="n"/>
      <c r="CS44" s="1519" t="n"/>
      <c r="CT44" s="1519" t="n"/>
      <c r="CU44" s="1519" t="n"/>
      <c r="CV44" s="1520" t="n"/>
      <c r="CW44" s="1520" t="n"/>
      <c r="CX44" s="1520" t="n"/>
      <c r="CY44" s="1520">
        <f>IF(CX44&gt;0,CX44,IF(CW44&gt;0,CW44,6000000))</f>
        <v/>
      </c>
      <c r="CZ44" s="1521" t="n"/>
      <c r="DA44" s="1522" t="n"/>
      <c r="DB44" s="1521" t="n"/>
      <c r="DC44" s="1521" t="n"/>
      <c r="DD44" s="1487" t="n"/>
      <c r="DE44" s="1523" t="n"/>
      <c r="DF44" s="1497" t="n"/>
      <c r="DG44" s="212" t="n"/>
    </row>
    <row r="45">
      <c r="A45" s="230" t="n">
        <v>31</v>
      </c>
      <c r="B45" s="1376" t="n">
        <v>8</v>
      </c>
      <c r="C45" s="176" t="inlineStr">
        <is>
          <t>Bui Thi Thanh Thuy</t>
        </is>
      </c>
      <c r="D45" s="250" t="inlineStr">
        <is>
          <t>Bùi Thị Thanh Thủy</t>
        </is>
      </c>
      <c r="E45" s="1492">
        <f>IF(OR(G45="CHT",G45="DSBC",G45="DSXC"),"HĐLĐ",IF(OR(G45="DSTV",G45="Q.CHT"),"HĐTV","HĐCTV"))</f>
        <v/>
      </c>
      <c r="F45" s="1493" t="inlineStr">
        <is>
          <t>Nam Hòa</t>
        </is>
      </c>
      <c r="G45" s="1494" t="inlineStr">
        <is>
          <t>DSTV</t>
        </is>
      </c>
      <c r="H45" s="1495" t="inlineStr">
        <is>
          <t>30/06/2026</t>
        </is>
      </c>
      <c r="I45" s="1496" t="inlineStr">
        <is>
          <t>1014584596</t>
        </is>
      </c>
      <c r="J45" s="1496" t="inlineStr">
        <is>
          <t>Vietcombank</t>
        </is>
      </c>
      <c r="K45" s="1497" t="n">
        <v>28</v>
      </c>
      <c r="L45" s="1497" t="n">
        <v>30</v>
      </c>
      <c r="M45" s="1497" t="n">
        <v>306.98</v>
      </c>
      <c r="N45" s="1497" t="n">
        <v>0</v>
      </c>
      <c r="O45" s="1497" t="n">
        <v>16</v>
      </c>
      <c r="P45" s="232" t="n"/>
      <c r="Q45" s="1497" t="n"/>
      <c r="R45" s="1498" t="n"/>
      <c r="S45" s="1499">
        <f>IF(E45="HĐLĐ",5310000,0)</f>
        <v/>
      </c>
      <c r="T45" s="1500" t="n">
        <v>500000</v>
      </c>
      <c r="U45" s="1501" t="n"/>
      <c r="V45" s="232" t="n"/>
      <c r="W45" s="232" t="n"/>
      <c r="X45" s="232" t="n"/>
      <c r="Y45" s="232" t="n"/>
      <c r="Z45" s="232" t="n"/>
      <c r="AA45" s="1497" t="n">
        <v>0</v>
      </c>
      <c r="AB45" s="1497" t="n">
        <v>0</v>
      </c>
      <c r="AC45" s="1499" t="n">
        <v>6000000</v>
      </c>
      <c r="AD45" s="232">
        <f>AC45</f>
        <v/>
      </c>
      <c r="AE45" s="232" t="n">
        <v>6000000</v>
      </c>
      <c r="AF45" s="232">
        <f>IF(E45="HĐTV",AE45/K45*L45,AD45/K45*L45)</f>
        <v/>
      </c>
      <c r="AG45" s="1502">
        <f>IF(E45="HĐTV",AE45/28/8*M45,AC45/28/8*M45)</f>
        <v/>
      </c>
      <c r="AH45" s="1499">
        <f>IF(E45="HĐTV",AE45/28/8*N45*1.5,AC45/28/8*N45*1.5)</f>
        <v/>
      </c>
      <c r="AI45" s="232" t="n">
        <v>0</v>
      </c>
      <c r="AJ45" s="232" t="n">
        <v>0</v>
      </c>
      <c r="AK45" s="232" t="n">
        <v>0</v>
      </c>
      <c r="AL45" s="1497" t="n">
        <v>0</v>
      </c>
      <c r="AM45" s="1497" t="n">
        <v>0</v>
      </c>
      <c r="AN45" s="1497" t="n">
        <v>1000000</v>
      </c>
      <c r="AO45" s="1497" t="n">
        <v>0</v>
      </c>
      <c r="AP45" s="1497" t="n">
        <v>857800</v>
      </c>
      <c r="AQ45" s="1497" t="n">
        <v>46354</v>
      </c>
      <c r="AR45" s="1497" t="n">
        <v>0</v>
      </c>
      <c r="AS45" s="1497" t="n">
        <v>115000</v>
      </c>
      <c r="AT45" s="1497" t="n">
        <v>0</v>
      </c>
      <c r="AU45" s="1497" t="n">
        <v>0</v>
      </c>
      <c r="AV45" s="1497" t="n">
        <v>0</v>
      </c>
      <c r="AW45" s="1497" t="n">
        <v>0</v>
      </c>
      <c r="AX45" s="1497" t="n">
        <v>0</v>
      </c>
      <c r="AY45" s="232" t="n">
        <v>0</v>
      </c>
      <c r="AZ45" s="1499" t="n">
        <v>0</v>
      </c>
      <c r="BA45" s="1503" t="n">
        <v>0</v>
      </c>
      <c r="BB45" s="1497" t="n">
        <v>0</v>
      </c>
      <c r="BC45" s="1497" t="n">
        <v>0</v>
      </c>
      <c r="BD45" s="1497" t="n">
        <v>0</v>
      </c>
      <c r="BE45" s="1497" t="n">
        <v>0</v>
      </c>
      <c r="BF45" s="1497" t="n">
        <v>255000</v>
      </c>
      <c r="BG45" s="1497" t="n">
        <v>0</v>
      </c>
      <c r="BH45" s="1504">
        <f>SUM(T45:AB45)+SUM(AF45:BA45)-SUM(BB45:BG45)</f>
        <v/>
      </c>
      <c r="BI45" s="1505">
        <f>S45*17.5%</f>
        <v/>
      </c>
      <c r="BJ45" s="1505">
        <f>S45*3%</f>
        <v/>
      </c>
      <c r="BK45" s="1505">
        <f>S45*1%</f>
        <v/>
      </c>
      <c r="BL45" s="1506" t="n"/>
      <c r="BM45" s="1507">
        <f>SUM(BI45:BL45)</f>
        <v/>
      </c>
      <c r="BN45" s="1505">
        <f>S45*8%</f>
        <v/>
      </c>
      <c r="BO45" s="1505">
        <f>S45*1.5%</f>
        <v/>
      </c>
      <c r="BP45" s="1505">
        <f>S45*1%</f>
        <v/>
      </c>
      <c r="BQ45" s="1506" t="n"/>
      <c r="BR45" s="1507">
        <f>SUM(BN45:BQ45)</f>
        <v/>
      </c>
      <c r="BS45" s="1505">
        <f>T45+U45+V45+W45</f>
        <v/>
      </c>
      <c r="BT45" s="1508">
        <f>BH45-BS45-AH45</f>
        <v/>
      </c>
      <c r="BU45" s="1505">
        <f>IF(E45="HĐLĐ",15500000,0)</f>
        <v/>
      </c>
      <c r="BV45" s="1509" t="n">
        <v>0</v>
      </c>
      <c r="BW45" s="1505">
        <f>BV45*6200000</f>
        <v/>
      </c>
      <c r="BX45" s="1505">
        <f>BR45</f>
        <v/>
      </c>
      <c r="BY45" s="1510">
        <f>BU45+BW45+BX45</f>
        <v/>
      </c>
      <c r="BZ45" s="1505">
        <f>IF(BT45-BY45&gt;0,BT45-BY45,0)</f>
        <v/>
      </c>
      <c r="CA45" s="1506">
        <f>IF(AND(OR($E45="HĐTV",$E45="HĐCTV"),$BZ45&lt;2000000),0,IF(OR($E45="HĐTV",$E45="HĐCTV"),$BZ45*10%,ROUND(IF($BZ45&lt;=10000000,$BZ45*5%,IF($BZ45&lt;=30000000,$BZ45*10%-500000,IF($BZ45&lt;=60000000,$BZ45*20%-3500000,IF($BZ45&lt;=100000000,$BZ45*30%-9500000,$BZ45*35%-14500000)))),0)))</f>
        <v/>
      </c>
      <c r="CB45" s="1511">
        <f>ROUND(BH45-BR45-CA45,0)</f>
        <v/>
      </c>
      <c r="CC45" s="1509" t="n"/>
      <c r="CD45" s="1512" t="n">
        <v>0</v>
      </c>
      <c r="CE45" s="1513">
        <f>CB45+CC45-CD45</f>
        <v/>
      </c>
      <c r="CF45" s="1514">
        <f>CE45-CG45</f>
        <v/>
      </c>
      <c r="CG45" s="1514">
        <f>CE45</f>
        <v/>
      </c>
      <c r="CH45" s="1515" t="n"/>
      <c r="CI45" s="1516" t="inlineStr">
        <is>
          <t>thuy.bui@medigoapp.com</t>
        </is>
      </c>
      <c r="CJ45" s="1497" t="n"/>
      <c r="CK45" s="1495" t="n">
        <v>1</v>
      </c>
      <c r="CL45" s="1497" t="n"/>
      <c r="CM45" s="1495" t="n"/>
      <c r="CN45" s="1495" t="n"/>
      <c r="CO45" s="1495" t="n"/>
      <c r="CP45" s="1517" t="n"/>
      <c r="CQ45" s="1518" t="n"/>
      <c r="CR45" s="1517" t="n"/>
      <c r="CS45" s="1519" t="n"/>
      <c r="CT45" s="1519" t="n"/>
      <c r="CU45" s="1519" t="n"/>
      <c r="CV45" s="1520" t="n"/>
      <c r="CW45" s="1520" t="n"/>
      <c r="CX45" s="1520" t="n"/>
      <c r="CY45" s="1520">
        <f>IF(CX45&gt;0,CX45,IF(CW45&gt;0,CW45,6000000))</f>
        <v/>
      </c>
      <c r="CZ45" s="1521" t="n"/>
      <c r="DA45" s="1522" t="n"/>
      <c r="DB45" s="1521" t="n"/>
      <c r="DC45" s="1521" t="n"/>
      <c r="DD45" s="1487" t="n"/>
      <c r="DE45" s="1523" t="n"/>
      <c r="DF45" s="1497" t="n"/>
      <c r="DG45" s="212" t="n"/>
    </row>
    <row r="46">
      <c r="A46" s="230" t="n">
        <v>32</v>
      </c>
      <c r="B46" s="1376" t="n">
        <v>8</v>
      </c>
      <c r="C46" s="176" t="inlineStr">
        <is>
          <t>Nguyen Thi Huyen Trang</t>
        </is>
      </c>
      <c r="D46" s="250" t="inlineStr">
        <is>
          <t>Nguyễn Thị Huyền Trang</t>
        </is>
      </c>
      <c r="E46" s="1492">
        <f>IF(OR(G46="CHT",G46="DSBC",G46="DSXC"),"HĐLĐ",IF(OR(G46="DSTV",G46="Q.CHT"),"HĐTV","HĐCTV"))</f>
        <v/>
      </c>
      <c r="F46" s="1493" t="inlineStr">
        <is>
          <t>Nam Hòa</t>
        </is>
      </c>
      <c r="G46" s="1494" t="inlineStr">
        <is>
          <t>DSTV</t>
        </is>
      </c>
      <c r="H46" s="1495" t="inlineStr">
        <is>
          <t>30/06/2026</t>
        </is>
      </c>
      <c r="I46" s="1496" t="inlineStr">
        <is>
          <t>1033345427</t>
        </is>
      </c>
      <c r="J46" s="1496" t="inlineStr">
        <is>
          <t>Vietcombank</t>
        </is>
      </c>
      <c r="K46" s="1497" t="n">
        <v>28</v>
      </c>
      <c r="L46" s="1497" t="n">
        <v>30</v>
      </c>
      <c r="M46" s="1497" t="n">
        <v>295.1</v>
      </c>
      <c r="N46" s="1497" t="n">
        <v>7.75</v>
      </c>
      <c r="O46" s="1497" t="n">
        <v>16</v>
      </c>
      <c r="P46" s="232" t="n"/>
      <c r="Q46" s="1497" t="n"/>
      <c r="R46" s="1498" t="n"/>
      <c r="S46" s="1499">
        <f>IF(E46="HĐLĐ",5310000,0)</f>
        <v/>
      </c>
      <c r="T46" s="1500" t="n">
        <v>500000</v>
      </c>
      <c r="U46" s="1501" t="n"/>
      <c r="V46" s="232" t="n"/>
      <c r="W46" s="232" t="n"/>
      <c r="X46" s="232" t="n"/>
      <c r="Y46" s="232" t="n"/>
      <c r="Z46" s="232" t="n"/>
      <c r="AA46" s="1497" t="n">
        <v>0</v>
      </c>
      <c r="AB46" s="1497" t="n">
        <v>0</v>
      </c>
      <c r="AC46" s="1499" t="n">
        <v>6000000</v>
      </c>
      <c r="AD46" s="232">
        <f>AC46</f>
        <v/>
      </c>
      <c r="AE46" s="232" t="n">
        <v>6000000</v>
      </c>
      <c r="AF46" s="232">
        <f>IF(E46="HĐTV",AE46/K46*L46,AD46/K46*L46)</f>
        <v/>
      </c>
      <c r="AG46" s="1502">
        <f>IF(E46="HĐTV",AE46/28/8*M46,AC46/28/8*M46)</f>
        <v/>
      </c>
      <c r="AH46" s="1499">
        <f>IF(E46="HĐTV",AE46/28/8*N46*1.5,AC46/28/8*N46*1.5)</f>
        <v/>
      </c>
      <c r="AI46" s="232" t="n">
        <v>0</v>
      </c>
      <c r="AJ46" s="232" t="n">
        <v>0</v>
      </c>
      <c r="AK46" s="232" t="n">
        <v>0</v>
      </c>
      <c r="AL46" s="1497" t="n">
        <v>0</v>
      </c>
      <c r="AM46" s="1497" t="n">
        <v>0</v>
      </c>
      <c r="AN46" s="1497" t="n">
        <v>1000000</v>
      </c>
      <c r="AO46" s="1497" t="n">
        <v>0</v>
      </c>
      <c r="AP46" s="1497" t="n">
        <v>751700</v>
      </c>
      <c r="AQ46" s="1497" t="n">
        <v>35008</v>
      </c>
      <c r="AR46" s="1497" t="n">
        <v>0</v>
      </c>
      <c r="AS46" s="1497" t="n">
        <v>0</v>
      </c>
      <c r="AT46" s="1497" t="n">
        <v>0</v>
      </c>
      <c r="AU46" s="1497" t="n">
        <v>0</v>
      </c>
      <c r="AV46" s="1497" t="n">
        <v>0</v>
      </c>
      <c r="AW46" s="1497" t="n">
        <v>0</v>
      </c>
      <c r="AX46" s="1497" t="n">
        <v>0</v>
      </c>
      <c r="AY46" s="232" t="n">
        <v>0</v>
      </c>
      <c r="AZ46" s="1499" t="n">
        <v>100000</v>
      </c>
      <c r="BA46" s="1503" t="n">
        <v>0</v>
      </c>
      <c r="BB46" s="1497" t="n">
        <v>0</v>
      </c>
      <c r="BC46" s="1497" t="n">
        <v>0</v>
      </c>
      <c r="BD46" s="1497" t="n">
        <v>0</v>
      </c>
      <c r="BE46" s="1497" t="n">
        <v>0</v>
      </c>
      <c r="BF46" s="1497" t="n">
        <v>89000</v>
      </c>
      <c r="BG46" s="1497" t="n">
        <v>0</v>
      </c>
      <c r="BH46" s="1504">
        <f>SUM(T46:AB46)+SUM(AF46:BA46)-SUM(BB46:BG46)</f>
        <v/>
      </c>
      <c r="BI46" s="1505">
        <f>S46*17.5%</f>
        <v/>
      </c>
      <c r="BJ46" s="1505">
        <f>S46*3%</f>
        <v/>
      </c>
      <c r="BK46" s="1505">
        <f>S46*1%</f>
        <v/>
      </c>
      <c r="BL46" s="1506" t="n"/>
      <c r="BM46" s="1507">
        <f>SUM(BI46:BL46)</f>
        <v/>
      </c>
      <c r="BN46" s="1505">
        <f>S46*8%</f>
        <v/>
      </c>
      <c r="BO46" s="1505">
        <f>S46*1.5%</f>
        <v/>
      </c>
      <c r="BP46" s="1505">
        <f>S46*1%</f>
        <v/>
      </c>
      <c r="BQ46" s="1506" t="n"/>
      <c r="BR46" s="1507">
        <f>SUM(BN46:BQ46)</f>
        <v/>
      </c>
      <c r="BS46" s="1505">
        <f>T46+U46+V46+W46</f>
        <v/>
      </c>
      <c r="BT46" s="1508">
        <f>BH46-BS46-AH46</f>
        <v/>
      </c>
      <c r="BU46" s="1505">
        <f>IF(E46="HĐLĐ",15500000,0)</f>
        <v/>
      </c>
      <c r="BV46" s="1509" t="n">
        <v>0</v>
      </c>
      <c r="BW46" s="1505">
        <f>BV46*6200000</f>
        <v/>
      </c>
      <c r="BX46" s="1505">
        <f>BR46</f>
        <v/>
      </c>
      <c r="BY46" s="1510">
        <f>BU46+BW46+BX46</f>
        <v/>
      </c>
      <c r="BZ46" s="1505">
        <f>IF(BT46-BY46&gt;0,BT46-BY46,0)</f>
        <v/>
      </c>
      <c r="CA46" s="1506">
        <f>IF(AND(OR($E46="HĐTV",$E46="HĐCTV"),$BZ46&lt;2000000),0,IF(OR($E46="HĐTV",$E46="HĐCTV"),$BZ46*10%,ROUND(IF($BZ46&lt;=10000000,$BZ46*5%,IF($BZ46&lt;=30000000,$BZ46*10%-500000,IF($BZ46&lt;=60000000,$BZ46*20%-3500000,IF($BZ46&lt;=100000000,$BZ46*30%-9500000,$BZ46*35%-14500000)))),0)))</f>
        <v/>
      </c>
      <c r="CB46" s="1511">
        <f>ROUND(BH46-BR46-CA46,0)</f>
        <v/>
      </c>
      <c r="CC46" s="1509" t="n"/>
      <c r="CD46" s="1512" t="n">
        <v>0</v>
      </c>
      <c r="CE46" s="1513">
        <f>CB46+CC46-CD46</f>
        <v/>
      </c>
      <c r="CF46" s="1514">
        <f>CE46-CG46</f>
        <v/>
      </c>
      <c r="CG46" s="1514">
        <f>CE46</f>
        <v/>
      </c>
      <c r="CH46" s="1515" t="n"/>
      <c r="CI46" s="1516" t="inlineStr">
        <is>
          <t>trang.nguyen@medigoapp.com</t>
        </is>
      </c>
      <c r="CJ46" s="1497" t="n"/>
      <c r="CK46" s="1495" t="n">
        <v>8</v>
      </c>
      <c r="CL46" s="1497" t="n"/>
      <c r="CM46" s="1495" t="n"/>
      <c r="CN46" s="1495" t="n"/>
      <c r="CO46" s="1495" t="n"/>
      <c r="CP46" s="1517" t="n"/>
      <c r="CQ46" s="1518" t="n"/>
      <c r="CR46" s="1517" t="n"/>
      <c r="CS46" s="1519" t="n"/>
      <c r="CT46" s="1519" t="n"/>
      <c r="CU46" s="1519" t="n"/>
      <c r="CV46" s="1520" t="n"/>
      <c r="CW46" s="1520" t="n"/>
      <c r="CX46" s="1520" t="n"/>
      <c r="CY46" s="1520">
        <f>IF(CX46&gt;0,CX46,IF(CW46&gt;0,CW46,6000000))</f>
        <v/>
      </c>
      <c r="CZ46" s="1521" t="n"/>
      <c r="DA46" s="1522" t="n"/>
      <c r="DB46" s="1521" t="n"/>
      <c r="DC46" s="1521" t="n"/>
      <c r="DD46" s="1487" t="n"/>
      <c r="DE46" s="1523" t="n"/>
      <c r="DF46" s="1497" t="n"/>
      <c r="DG46" s="212" t="n"/>
    </row>
    <row r="47">
      <c r="A47" s="230" t="n">
        <v>33</v>
      </c>
      <c r="B47" s="1376" t="n">
        <v>8</v>
      </c>
      <c r="C47" s="176" t="inlineStr">
        <is>
          <t>Phan Cong Vu Tai</t>
        </is>
      </c>
      <c r="D47" s="250" t="inlineStr">
        <is>
          <t>Phan Công Vũ Tài</t>
        </is>
      </c>
      <c r="E47" s="1492">
        <f>IF(OR(G47="CHT",G47="DSBC",G47="DSXC"),"HĐLĐ",IF(OR(G47="DSTV",G47="Q.CHT"),"HĐTV","HĐCTV"))</f>
        <v/>
      </c>
      <c r="F47" s="1493" t="inlineStr">
        <is>
          <t>Nam Hòa</t>
        </is>
      </c>
      <c r="G47" s="1494" t="inlineStr">
        <is>
          <t>DSBC</t>
        </is>
      </c>
      <c r="H47" s="1495" t="inlineStr">
        <is>
          <t>26/01/2026</t>
        </is>
      </c>
      <c r="I47" s="1496" t="inlineStr">
        <is>
          <t>02446989901</t>
        </is>
      </c>
      <c r="J47" s="1496" t="inlineStr">
        <is>
          <t>Tp Bank</t>
        </is>
      </c>
      <c r="K47" s="1497" t="n">
        <v>28</v>
      </c>
      <c r="L47" s="1497" t="n">
        <v>16</v>
      </c>
      <c r="M47" s="1497" t="n">
        <v>108.24</v>
      </c>
      <c r="N47" s="1497" t="n">
        <v>7.08</v>
      </c>
      <c r="O47" s="1497" t="n">
        <v>0</v>
      </c>
      <c r="P47" s="232" t="n"/>
      <c r="Q47" s="1497" t="n"/>
      <c r="R47" s="1498" t="n"/>
      <c r="S47" s="1499">
        <f>IF(E47="HĐLĐ",5310000,0)</f>
        <v/>
      </c>
      <c r="T47" s="1500" t="n"/>
      <c r="U47" s="1501" t="n"/>
      <c r="V47" s="232" t="n"/>
      <c r="W47" s="232" t="n"/>
      <c r="X47" s="232" t="n"/>
      <c r="Y47" s="232" t="n"/>
      <c r="Z47" s="232" t="n"/>
      <c r="AA47" s="1497" t="n">
        <v>1500000</v>
      </c>
      <c r="AB47" s="1497" t="n">
        <v>2000000</v>
      </c>
      <c r="AC47" s="1499" t="n">
        <v>6000000</v>
      </c>
      <c r="AD47" s="232">
        <f>AC47</f>
        <v/>
      </c>
      <c r="AE47" s="232" t="n">
        <v>0</v>
      </c>
      <c r="AF47" s="232">
        <f>IF(E47="HĐTV",AE47/K47*L47,AD47/K47*L47)</f>
        <v/>
      </c>
      <c r="AG47" s="1502">
        <f>IF(E47="HĐTV",AE47/28/8*M47,AC47/28/8*M47)</f>
        <v/>
      </c>
      <c r="AH47" s="1499">
        <f>IF(E47="HĐTV",AE47/28/8*N47*1.5,AC47/28/8*N47*1.5)</f>
        <v/>
      </c>
      <c r="AI47" s="232" t="n">
        <v>0</v>
      </c>
      <c r="AJ47" s="232" t="n">
        <v>0</v>
      </c>
      <c r="AK47" s="232" t="n">
        <v>0</v>
      </c>
      <c r="AL47" s="1497" t="n">
        <v>0</v>
      </c>
      <c r="AM47" s="1497" t="n">
        <v>0</v>
      </c>
      <c r="AN47" s="1497" t="n">
        <v>0</v>
      </c>
      <c r="AO47" s="1497" t="n">
        <v>0</v>
      </c>
      <c r="AP47" s="1497" t="n">
        <v>0</v>
      </c>
      <c r="AQ47" s="1497" t="n">
        <v>15362</v>
      </c>
      <c r="AR47" s="1497" t="n">
        <v>0</v>
      </c>
      <c r="AS47" s="1497" t="n">
        <v>0</v>
      </c>
      <c r="AT47" s="1497" t="n">
        <v>0</v>
      </c>
      <c r="AU47" s="1497" t="n">
        <v>0</v>
      </c>
      <c r="AV47" s="1497" t="n">
        <v>0</v>
      </c>
      <c r="AW47" s="1497" t="n">
        <v>0</v>
      </c>
      <c r="AX47" s="1497" t="n">
        <v>0</v>
      </c>
      <c r="AY47" s="232" t="n">
        <v>0</v>
      </c>
      <c r="AZ47" s="1499" t="n">
        <v>0</v>
      </c>
      <c r="BA47" s="1503" t="n">
        <v>0</v>
      </c>
      <c r="BB47" s="1497" t="n">
        <v>0</v>
      </c>
      <c r="BC47" s="1497" t="n">
        <v>0</v>
      </c>
      <c r="BD47" s="1497" t="n">
        <v>0</v>
      </c>
      <c r="BE47" s="1497" t="n">
        <v>0</v>
      </c>
      <c r="BF47" s="1497" t="n">
        <v>0</v>
      </c>
      <c r="BG47" s="1497" t="n">
        <v>0</v>
      </c>
      <c r="BH47" s="1504">
        <f>SUM(T47:AB47)+SUM(AF47:BA47)-SUM(BB47:BG47)</f>
        <v/>
      </c>
      <c r="BI47" s="1505">
        <f>S47*17.5%</f>
        <v/>
      </c>
      <c r="BJ47" s="1505">
        <f>S47*3%</f>
        <v/>
      </c>
      <c r="BK47" s="1505">
        <f>S47*1%</f>
        <v/>
      </c>
      <c r="BL47" s="1506" t="n"/>
      <c r="BM47" s="1507">
        <f>SUM(BI47:BL47)</f>
        <v/>
      </c>
      <c r="BN47" s="1505">
        <f>S47*8%</f>
        <v/>
      </c>
      <c r="BO47" s="1505">
        <f>S47*1.5%</f>
        <v/>
      </c>
      <c r="BP47" s="1505">
        <f>S47*1%</f>
        <v/>
      </c>
      <c r="BQ47" s="1506" t="n"/>
      <c r="BR47" s="1507">
        <f>SUM(BN47:BQ47)</f>
        <v/>
      </c>
      <c r="BS47" s="1505">
        <f>T47+U47+V47+W47</f>
        <v/>
      </c>
      <c r="BT47" s="1508">
        <f>BH47-BS47-AH47</f>
        <v/>
      </c>
      <c r="BU47" s="1505">
        <f>IF(E47="HĐLĐ",15500000,0)</f>
        <v/>
      </c>
      <c r="BV47" s="1509" t="n">
        <v>0</v>
      </c>
      <c r="BW47" s="1505">
        <f>BV47*6200000</f>
        <v/>
      </c>
      <c r="BX47" s="1505">
        <f>BR47</f>
        <v/>
      </c>
      <c r="BY47" s="1510">
        <f>BU47+BW47+BX47</f>
        <v/>
      </c>
      <c r="BZ47" s="1505">
        <f>IF(BT47-BY47&gt;0,BT47-BY47,0)</f>
        <v/>
      </c>
      <c r="CA47" s="1506">
        <f>IF(AND(OR($E47="HĐTV",$E47="HĐCTV"),$BZ47&lt;2000000),0,IF(OR($E47="HĐTV",$E47="HĐCTV"),$BZ47*10%,ROUND(IF($BZ47&lt;=10000000,$BZ47*5%,IF($BZ47&lt;=30000000,$BZ47*10%-500000,IF($BZ47&lt;=60000000,$BZ47*20%-3500000,IF($BZ47&lt;=100000000,$BZ47*30%-9500000,$BZ47*35%-14500000)))),0)))</f>
        <v/>
      </c>
      <c r="CB47" s="1511">
        <f>ROUND(BH47-BR47-CA47,0)</f>
        <v/>
      </c>
      <c r="CC47" s="1509" t="n"/>
      <c r="CD47" s="1512" t="n">
        <v>0</v>
      </c>
      <c r="CE47" s="1513">
        <f>CB47+CC47-CD47</f>
        <v/>
      </c>
      <c r="CF47" s="1514">
        <f>CE47-CG47</f>
        <v/>
      </c>
      <c r="CG47" s="1514">
        <f>CE47</f>
        <v/>
      </c>
      <c r="CH47" s="1515" t="n"/>
      <c r="CI47" s="1516">
        <f>VLOOKUP($C51,[5]Sheet1!$C$5:$K$139,9,0)</f>
        <v/>
      </c>
      <c r="CJ47" s="1497" t="n">
        <v>0</v>
      </c>
      <c r="CK47" s="1495" t="n">
        <v>4</v>
      </c>
      <c r="CL47" s="1497" t="n">
        <v>0</v>
      </c>
      <c r="CM47" s="1495" t="n">
        <v>26</v>
      </c>
      <c r="CN47" s="1495" t="n">
        <v>1</v>
      </c>
      <c r="CO47" s="1495" t="n">
        <v>2026</v>
      </c>
      <c r="CP47" s="1517">
        <f>IF((($CO$7-CO47)*12)+($CN$7-CN47)&gt;=12,((($CO$7-CO47)*12)+($CN$7-CN47))-1,0)</f>
        <v/>
      </c>
      <c r="CQ47" s="1518">
        <f>IF(CP47&lt;12,(($CQ$7-CO47)*12)+($CP$7-CN47),0)</f>
        <v/>
      </c>
      <c r="CR47" s="1517">
        <f>IF(OR(CP47&gt;12,CP47=12),((CP47-(CS47*12))+((($CQ$7-2024)*12)+($CP$7-4)))+1,0)</f>
        <v/>
      </c>
      <c r="CS47" s="1519">
        <f>IF(OR(CP47&gt;12,CP47=12),ROUNDDOWN(CP47/12,0),0)</f>
        <v/>
      </c>
      <c r="CT47" s="1519">
        <f>IF(CQ47&gt;11,ROUNDDOWN(CQ47/12,0),0)</f>
        <v/>
      </c>
      <c r="CU47" s="1519">
        <f>IF(CR47&gt;11,ROUNDDOWN(CR47/12,0),0)</f>
        <v/>
      </c>
      <c r="CV47" s="1520">
        <f>IF(CP47=0,0,6000000*1.07^CS47)</f>
        <v/>
      </c>
      <c r="CW47" s="1520">
        <f>IF(CT47&lt;2,0,6000000+(CT47-1)*500000)</f>
        <v/>
      </c>
      <c r="CX47" s="1520">
        <f>IF(CU47=0,CV47,IF(CU47&lt;1,0,CV47+CU47*500000))</f>
        <v/>
      </c>
      <c r="CY47" s="1520" t="n">
        <v>6000000</v>
      </c>
      <c r="CZ47" s="1521" t="n"/>
      <c r="DA47" s="1522" t="n"/>
      <c r="DB47" s="1521" t="n"/>
      <c r="DC47" s="1521" t="n"/>
      <c r="DD47" s="1487" t="n"/>
      <c r="DE47" s="1523" t="n"/>
      <c r="DF47" s="1497" t="n"/>
      <c r="DG47" s="212" t="n"/>
    </row>
    <row r="48">
      <c r="A48" s="230" t="n">
        <v>34</v>
      </c>
      <c r="B48" s="1376" t="n">
        <v>8</v>
      </c>
      <c r="C48" s="176" t="inlineStr">
        <is>
          <t>Tran Linh Khai</t>
        </is>
      </c>
      <c r="D48" s="250" t="inlineStr">
        <is>
          <t>Trần Linh Khải</t>
        </is>
      </c>
      <c r="E48" s="1492">
        <f>IF(OR(G48="CHT",G48="DSBC",G48="DSXC"),"HĐLĐ",IF(OR(G48="DSTV",G48="Q.CHT"),"HĐTV","HĐCTV"))</f>
        <v/>
      </c>
      <c r="F48" s="1493" t="inlineStr">
        <is>
          <t>Nam Hòa</t>
        </is>
      </c>
      <c r="G48" s="1494" t="inlineStr">
        <is>
          <t xml:space="preserve">DSHV </t>
        </is>
      </c>
      <c r="H48" s="1495" t="inlineStr">
        <is>
          <t>18/08/2026</t>
        </is>
      </c>
      <c r="I48" s="1496" t="inlineStr">
        <is>
          <t>100006151096</t>
        </is>
      </c>
      <c r="J48" s="1496" t="inlineStr">
        <is>
          <t>Vietinbank</t>
        </is>
      </c>
      <c r="K48" s="1497" t="n">
        <v>28</v>
      </c>
      <c r="L48" s="1497" t="n">
        <v>1</v>
      </c>
      <c r="M48" s="1497" t="n">
        <v>8.25</v>
      </c>
      <c r="N48" s="1497" t="n">
        <v>0</v>
      </c>
      <c r="O48" s="1497" t="n">
        <v>0</v>
      </c>
      <c r="P48" s="232" t="n"/>
      <c r="Q48" s="1497" t="n"/>
      <c r="R48" s="1498" t="n"/>
      <c r="S48" s="1499">
        <f>IF(E48="HĐLĐ",5310000,0)</f>
        <v/>
      </c>
      <c r="T48" s="1500" t="n">
        <v>17857.14285714286</v>
      </c>
      <c r="U48" s="1501" t="n"/>
      <c r="V48" s="232" t="n"/>
      <c r="W48" s="232" t="n"/>
      <c r="X48" s="232" t="n"/>
      <c r="Y48" s="232" t="n"/>
      <c r="Z48" s="232" t="n"/>
      <c r="AA48" s="1497" t="n">
        <v>0</v>
      </c>
      <c r="AB48" s="1497" t="n">
        <v>0</v>
      </c>
      <c r="AC48" s="1499" t="n">
        <v>3000000</v>
      </c>
      <c r="AD48" s="232">
        <f>AC48</f>
        <v/>
      </c>
      <c r="AE48" s="232" t="n">
        <v>0</v>
      </c>
      <c r="AF48" s="232">
        <f>IF(E48="HĐTV",AE48/K48*L48,AD48/K48*L48)</f>
        <v/>
      </c>
      <c r="AG48" s="1502">
        <f>IF(E48="HĐTV",AE48/28/8*M48,AC48/28/8*M48)</f>
        <v/>
      </c>
      <c r="AH48" s="1499">
        <f>IF(E48="HĐTV",AE48/28/8*N48*1.5,AC48/28/8*N48*1.5)</f>
        <v/>
      </c>
      <c r="AI48" s="232" t="n">
        <v>0</v>
      </c>
      <c r="AJ48" s="232" t="n">
        <v>0</v>
      </c>
      <c r="AK48" s="232" t="n">
        <v>0</v>
      </c>
      <c r="AL48" s="1497" t="n">
        <v>0</v>
      </c>
      <c r="AM48" s="1497" t="n">
        <v>0</v>
      </c>
      <c r="AN48" s="1497" t="n">
        <v>0</v>
      </c>
      <c r="AO48" s="1497" t="n">
        <v>0</v>
      </c>
      <c r="AP48" s="1497" t="n">
        <v>0</v>
      </c>
      <c r="AQ48" s="1497" t="n">
        <v>0</v>
      </c>
      <c r="AR48" s="1497" t="n">
        <v>0</v>
      </c>
      <c r="AS48" s="1497" t="n">
        <v>0</v>
      </c>
      <c r="AT48" s="1497" t="n">
        <v>0</v>
      </c>
      <c r="AU48" s="1497" t="n">
        <v>0</v>
      </c>
      <c r="AV48" s="1497" t="n">
        <v>0</v>
      </c>
      <c r="AW48" s="1497" t="n">
        <v>0</v>
      </c>
      <c r="AX48" s="1497" t="n">
        <v>0</v>
      </c>
      <c r="AY48" s="232" t="n">
        <v>0</v>
      </c>
      <c r="AZ48" s="1499" t="n">
        <v>100000</v>
      </c>
      <c r="BA48" s="1503" t="n">
        <v>0</v>
      </c>
      <c r="BB48" s="1497" t="n">
        <v>0</v>
      </c>
      <c r="BC48" s="1497" t="n">
        <v>0</v>
      </c>
      <c r="BD48" s="1497" t="n">
        <v>0</v>
      </c>
      <c r="BE48" s="1497" t="n">
        <v>0</v>
      </c>
      <c r="BF48" s="1497" t="n">
        <v>0</v>
      </c>
      <c r="BG48" s="1497" t="n">
        <v>0</v>
      </c>
      <c r="BH48" s="1504">
        <f>SUM(T48:AB48)+SUM(AF48:BA48)-SUM(BB48:BG48)</f>
        <v/>
      </c>
      <c r="BI48" s="1505">
        <f>S48*17.5%</f>
        <v/>
      </c>
      <c r="BJ48" s="1505">
        <f>S48*3%</f>
        <v/>
      </c>
      <c r="BK48" s="1505">
        <f>S48*1%</f>
        <v/>
      </c>
      <c r="BL48" s="1506" t="n"/>
      <c r="BM48" s="1507">
        <f>SUM(BI48:BL48)</f>
        <v/>
      </c>
      <c r="BN48" s="1505">
        <f>S48*8%</f>
        <v/>
      </c>
      <c r="BO48" s="1505">
        <f>S48*1.5%</f>
        <v/>
      </c>
      <c r="BP48" s="1505">
        <f>S48*1%</f>
        <v/>
      </c>
      <c r="BQ48" s="1506" t="n"/>
      <c r="BR48" s="1507">
        <f>SUM(BN48:BQ48)</f>
        <v/>
      </c>
      <c r="BS48" s="1505">
        <f>T48+U48+V48+W48</f>
        <v/>
      </c>
      <c r="BT48" s="1508">
        <f>BH48-BS48-AH48</f>
        <v/>
      </c>
      <c r="BU48" s="1505">
        <f>IF(E48="HĐLĐ",15500000,0)</f>
        <v/>
      </c>
      <c r="BV48" s="1509" t="n">
        <v>0</v>
      </c>
      <c r="BW48" s="1505">
        <f>BV48*6200000</f>
        <v/>
      </c>
      <c r="BX48" s="1505">
        <f>BR48</f>
        <v/>
      </c>
      <c r="BY48" s="1510">
        <f>BU48+BW48+BX48</f>
        <v/>
      </c>
      <c r="BZ48" s="1505">
        <f>IF(BT48-BY48&gt;0,BT48-BY48,0)</f>
        <v/>
      </c>
      <c r="CA48" s="1506">
        <f>IF(AND(OR($E48="HĐTV",$E48="HĐCTV"),$BZ48&lt;2000000),0,IF(OR($E48="HĐTV",$E48="HĐCTV"),$BZ48*10%,ROUND(IF($BZ48&lt;=10000000,$BZ48*5%,IF($BZ48&lt;=30000000,$BZ48*10%-500000,IF($BZ48&lt;=60000000,$BZ48*20%-3500000,IF($BZ48&lt;=100000000,$BZ48*30%-9500000,$BZ48*35%-14500000)))),0)))</f>
        <v/>
      </c>
      <c r="CB48" s="1511">
        <f>ROUND(BH48-BR48-CA48,0)</f>
        <v/>
      </c>
      <c r="CC48" s="1509" t="n"/>
      <c r="CD48" s="1512" t="n">
        <v>0</v>
      </c>
      <c r="CE48" s="1513">
        <f>CB48+CC48-CD48</f>
        <v/>
      </c>
      <c r="CF48" s="1514">
        <f>CE48-CG48</f>
        <v/>
      </c>
      <c r="CG48" s="1514">
        <f>CE48</f>
        <v/>
      </c>
      <c r="CH48" s="1515" t="n"/>
      <c r="CI48" s="1516" t="inlineStr">
        <is>
          <t>mailto:ha.le@medigoapp.com</t>
        </is>
      </c>
      <c r="CJ48" s="1497" t="n"/>
      <c r="CK48" s="1495" t="n">
        <v>8</v>
      </c>
      <c r="CL48" s="1497" t="n"/>
      <c r="CM48" s="1495" t="n"/>
      <c r="CN48" s="1495" t="n"/>
      <c r="CO48" s="1495" t="n"/>
      <c r="CP48" s="1517" t="n"/>
      <c r="CQ48" s="1518" t="n"/>
      <c r="CR48" s="1517" t="n"/>
      <c r="CS48" s="1519" t="n"/>
      <c r="CT48" s="1519" t="n"/>
      <c r="CU48" s="1519" t="n"/>
      <c r="CV48" s="1520" t="n"/>
      <c r="CW48" s="1520" t="n"/>
      <c r="CX48" s="1520" t="n"/>
      <c r="CY48" s="1520">
        <f>IF(CX48&gt;0,CX48,IF(CW48&gt;0,CW48,6000000))</f>
        <v/>
      </c>
      <c r="CZ48" s="1521" t="n"/>
      <c r="DA48" s="1522" t="n"/>
      <c r="DB48" s="1521" t="n"/>
      <c r="DC48" s="1521" t="n"/>
      <c r="DD48" s="1487" t="n"/>
      <c r="DE48" s="1523" t="n"/>
      <c r="DF48" s="1497" t="n"/>
      <c r="DG48" s="212" t="n"/>
    </row>
    <row r="49">
      <c r="A49" s="1524" t="n"/>
      <c r="B49" s="1525" t="n"/>
      <c r="C49" s="1526" t="n"/>
      <c r="D49" s="1527" t="n"/>
      <c r="E49" s="1528" t="n"/>
      <c r="F49" s="1529">
        <f>SUM(F42:F48)</f>
        <v/>
      </c>
      <c r="G49" s="1530" t="n"/>
      <c r="H49" s="1531" t="n"/>
      <c r="I49" s="1532" t="n"/>
      <c r="J49" s="1532" t="n"/>
      <c r="K49" s="1533">
        <f>SUM(K42:K48)</f>
        <v/>
      </c>
      <c r="L49" s="1533">
        <f>SUM(L42:L48)</f>
        <v/>
      </c>
      <c r="M49" s="1534">
        <f>SUM(M42:M48)</f>
        <v/>
      </c>
      <c r="N49" s="1534">
        <f>SUM(N42:N48)</f>
        <v/>
      </c>
      <c r="O49" s="1533">
        <f>SUM(O42:O48)</f>
        <v/>
      </c>
      <c r="P49" s="1533">
        <f>SUM(P42:P48)</f>
        <v/>
      </c>
      <c r="Q49" s="1533">
        <f>SUM(Q42:Q48)</f>
        <v/>
      </c>
      <c r="R49" s="1533" t="n"/>
      <c r="S49" s="1533">
        <f>SUM(S42:S48)</f>
        <v/>
      </c>
      <c r="T49" s="1533">
        <f>SUM(T42:T48)</f>
        <v/>
      </c>
      <c r="U49" s="1533">
        <f>SUM(U42:U48)</f>
        <v/>
      </c>
      <c r="V49" s="1533">
        <f>SUM(V42:V48)</f>
        <v/>
      </c>
      <c r="W49" s="1533">
        <f>SUM(W42:W48)</f>
        <v/>
      </c>
      <c r="X49" s="1533">
        <f>SUM(X42:X48)</f>
        <v/>
      </c>
      <c r="Y49" s="1533">
        <f>SUM(Y42:Y48)</f>
        <v/>
      </c>
      <c r="Z49" s="1533">
        <f>SUM(Z42:Z48)</f>
        <v/>
      </c>
      <c r="AA49" s="1533">
        <f>SUM(AA42:AA48)</f>
        <v/>
      </c>
      <c r="AB49" s="1533">
        <f>SUM(AB42:AB48)</f>
        <v/>
      </c>
      <c r="AC49" s="1533">
        <f>SUM(AC42:AC48)</f>
        <v/>
      </c>
      <c r="AD49" s="1533">
        <f>SUM(AD42:AD48)</f>
        <v/>
      </c>
      <c r="AE49" s="1533">
        <f>SUM(AE42:AE48)</f>
        <v/>
      </c>
      <c r="AF49" s="1533">
        <f>SUM(AF42:AF48)</f>
        <v/>
      </c>
      <c r="AG49" s="1533">
        <f>SUM(AG42:AG48)</f>
        <v/>
      </c>
      <c r="AH49" s="1533">
        <f>SUM(AH42:AH48)</f>
        <v/>
      </c>
      <c r="AI49" s="1533">
        <f>SUM(AI42:AI48)</f>
        <v/>
      </c>
      <c r="AJ49" s="1533">
        <f>SUM(AJ42:AJ48)</f>
        <v/>
      </c>
      <c r="AK49" s="1533">
        <f>SUM(AK42:AK48)</f>
        <v/>
      </c>
      <c r="AL49" s="1533">
        <f>SUM(AL42:AL48)</f>
        <v/>
      </c>
      <c r="AM49" s="1533">
        <f>SUM(AM42:AM48)</f>
        <v/>
      </c>
      <c r="AN49" s="1533">
        <f>SUM(AN42:AN48)</f>
        <v/>
      </c>
      <c r="AO49" s="1533">
        <f>SUM(AO42:AO48)</f>
        <v/>
      </c>
      <c r="AP49" s="1533">
        <f>SUM(AP42:AP48)</f>
        <v/>
      </c>
      <c r="AQ49" s="1533">
        <f>SUM(AQ42:AQ48)</f>
        <v/>
      </c>
      <c r="AR49" s="1533">
        <f>SUM(AR42:AR48)</f>
        <v/>
      </c>
      <c r="AS49" s="1533">
        <f>SUM(AS42:AS48)</f>
        <v/>
      </c>
      <c r="AT49" s="1533">
        <f>SUM(AT42:AT48)</f>
        <v/>
      </c>
      <c r="AU49" s="1533">
        <f>SUM(AU42:AU48)</f>
        <v/>
      </c>
      <c r="AV49" s="1533">
        <f>SUM(AV42:AV48)</f>
        <v/>
      </c>
      <c r="AW49" s="1533">
        <f>SUM(AW42:AW48)</f>
        <v/>
      </c>
      <c r="AX49" s="1533">
        <f>SUM(AX42:AX48)</f>
        <v/>
      </c>
      <c r="AY49" s="1533">
        <f>SUM(AY42:AY48)</f>
        <v/>
      </c>
      <c r="AZ49" s="1533">
        <f>SUM(AZ42:AZ48)</f>
        <v/>
      </c>
      <c r="BA49" s="1533">
        <f>SUM(BA42:BA48)</f>
        <v/>
      </c>
      <c r="BB49" s="1533">
        <f>SUM(BB42:BB48)</f>
        <v/>
      </c>
      <c r="BC49" s="1533">
        <f>SUM(BC42:BC48)</f>
        <v/>
      </c>
      <c r="BD49" s="1533">
        <f>SUM(BD42:BD48)</f>
        <v/>
      </c>
      <c r="BE49" s="1533">
        <f>SUM(BE42:BE48)</f>
        <v/>
      </c>
      <c r="BF49" s="1533">
        <f>SUM(BF42:BF48)</f>
        <v/>
      </c>
      <c r="BG49" s="1533">
        <f>SUM(BG42:BG48)</f>
        <v/>
      </c>
      <c r="BH49" s="1533">
        <f>SUM(BH42:BH48)</f>
        <v/>
      </c>
      <c r="BI49" s="1533">
        <f>SUM(BI42:BI48)</f>
        <v/>
      </c>
      <c r="BJ49" s="1533">
        <f>SUM(BJ42:BJ48)</f>
        <v/>
      </c>
      <c r="BK49" s="1533">
        <f>SUM(BK42:BK48)</f>
        <v/>
      </c>
      <c r="BL49" s="1533">
        <f>SUM(BL42:BL48)</f>
        <v/>
      </c>
      <c r="BM49" s="1533">
        <f>SUM(BM42:BM48)</f>
        <v/>
      </c>
      <c r="BN49" s="1533">
        <f>SUM(BN42:BN48)</f>
        <v/>
      </c>
      <c r="BO49" s="1533">
        <f>SUM(BO42:BO48)</f>
        <v/>
      </c>
      <c r="BP49" s="1533">
        <f>SUM(BP42:BP48)</f>
        <v/>
      </c>
      <c r="BQ49" s="1533">
        <f>SUM(BQ42:BQ48)</f>
        <v/>
      </c>
      <c r="BR49" s="1533">
        <f>SUM(BR42:BR48)</f>
        <v/>
      </c>
      <c r="BS49" s="1533">
        <f>SUM(BS42:BS48)</f>
        <v/>
      </c>
      <c r="BT49" s="1533">
        <f>SUM(BT42:BT48)</f>
        <v/>
      </c>
      <c r="BU49" s="1533">
        <f>SUM(BU42:BU48)</f>
        <v/>
      </c>
      <c r="BV49" s="1533">
        <f>SUM(BV42:BV48)</f>
        <v/>
      </c>
      <c r="BW49" s="1533">
        <f>SUM(BW42:BW48)</f>
        <v/>
      </c>
      <c r="BX49" s="1533">
        <f>SUM(BX42:BX48)</f>
        <v/>
      </c>
      <c r="BY49" s="1533">
        <f>SUM(BY42:BY48)</f>
        <v/>
      </c>
      <c r="BZ49" s="1533">
        <f>SUM(BZ42:BZ48)</f>
        <v/>
      </c>
      <c r="CA49" s="1533">
        <f>SUM(CA42:CA48)</f>
        <v/>
      </c>
      <c r="CB49" s="1533">
        <f>SUM(CB42:CB48)</f>
        <v/>
      </c>
      <c r="CC49" s="1533">
        <f>SUM(CC42:CC48)</f>
        <v/>
      </c>
      <c r="CD49" s="1533">
        <f>SUM(CD42:CD48)</f>
        <v/>
      </c>
      <c r="CE49" s="1533">
        <f>SUM(CE42:CE48)</f>
        <v/>
      </c>
      <c r="CF49" s="1533">
        <f>SUM(CF42:CF48)</f>
        <v/>
      </c>
      <c r="CG49" s="1533">
        <f>SUM(CG42:CG48)</f>
        <v/>
      </c>
      <c r="CH49" s="1533" t="n"/>
      <c r="CI49" s="1533" t="n"/>
      <c r="CJ49" s="1533" t="n"/>
      <c r="CK49" s="1531" t="n"/>
      <c r="CL49" s="1533">
        <f>SUM(CL42:CL48)</f>
        <v/>
      </c>
      <c r="CM49" s="1531" t="n"/>
      <c r="CN49" s="1531" t="n"/>
      <c r="CO49" s="1531" t="n"/>
      <c r="CP49" s="1535" t="n"/>
      <c r="CQ49" s="1536" t="n"/>
      <c r="CR49" s="1535" t="n"/>
      <c r="CS49" s="1537" t="n"/>
      <c r="CT49" s="1537" t="n"/>
      <c r="CU49" s="1537" t="n"/>
      <c r="CV49" s="1538" t="n"/>
      <c r="CW49" s="1538" t="n"/>
      <c r="CX49" s="1538" t="n"/>
      <c r="CY49" s="1538" t="n"/>
      <c r="CZ49" s="1526" t="n"/>
      <c r="DA49" s="1539" t="n"/>
      <c r="DB49" s="1526" t="n"/>
      <c r="DC49" s="1526" t="n"/>
      <c r="DD49" s="1487" t="n"/>
      <c r="DE49" s="1523" t="n"/>
      <c r="DF49" s="1497" t="n"/>
      <c r="DG49" s="212" t="n"/>
    </row>
    <row r="50">
      <c r="A50" s="230" t="n">
        <v>35</v>
      </c>
      <c r="B50" s="1376" t="n">
        <v>8</v>
      </c>
      <c r="C50" s="176" t="inlineStr">
        <is>
          <t>Le Thi Quynh Tram</t>
        </is>
      </c>
      <c r="D50" s="250" t="inlineStr">
        <is>
          <t>Lê Thị Quỳnh Trâm</t>
        </is>
      </c>
      <c r="E50" s="1492">
        <f>IF(OR(G50="CHT",G50="DSBC",G50="DSXC"),"HĐLĐ",IF(OR(G50="DSTV",G50="Q.CHT"),"HĐTV","HĐCTV"))</f>
        <v/>
      </c>
      <c r="F50" s="1493" t="inlineStr">
        <is>
          <t>Nguyễn Chí Thanh</t>
        </is>
      </c>
      <c r="G50" s="1494" t="inlineStr">
        <is>
          <t>CHT</t>
        </is>
      </c>
      <c r="H50" s="1495" t="inlineStr">
        <is>
          <t>18/08/2025</t>
        </is>
      </c>
      <c r="I50" s="1496" t="inlineStr">
        <is>
          <t>6321205302943</t>
        </is>
      </c>
      <c r="J50" s="1496" t="inlineStr">
        <is>
          <t>AGRIBANK</t>
        </is>
      </c>
      <c r="K50" s="1497" t="n">
        <v>28</v>
      </c>
      <c r="L50" s="1497" t="n">
        <v>28</v>
      </c>
      <c r="M50" s="1497" t="n">
        <v>242.4</v>
      </c>
      <c r="N50" s="1497" t="n">
        <v>0</v>
      </c>
      <c r="O50" s="1497" t="n">
        <v>0</v>
      </c>
      <c r="P50" s="232" t="n"/>
      <c r="Q50" s="1497" t="n"/>
      <c r="R50" s="1498" t="n"/>
      <c r="S50" s="1499">
        <f>IF(E50="HĐLĐ",5310000,0)</f>
        <v/>
      </c>
      <c r="T50" s="1500" t="n">
        <v>500000.0000000001</v>
      </c>
      <c r="U50" s="1501" t="n"/>
      <c r="V50" s="232" t="n"/>
      <c r="W50" s="232" t="n"/>
      <c r="X50" s="232" t="n"/>
      <c r="Y50" s="232" t="n"/>
      <c r="Z50" s="232" t="n"/>
      <c r="AA50" s="1497" t="n">
        <v>0</v>
      </c>
      <c r="AB50" s="1497" t="n">
        <v>0</v>
      </c>
      <c r="AC50" s="1499" t="n">
        <v>6000000</v>
      </c>
      <c r="AD50" s="232" t="n"/>
      <c r="AE50" s="232" t="n"/>
      <c r="AF50" s="232" t="n"/>
      <c r="AG50" s="1502">
        <f>IF(E50="HĐTV",AE50/28/8*M50,AC50/28/8*M50)</f>
        <v/>
      </c>
      <c r="AH50" s="1499">
        <f>IF(E50="HĐTV",AE50/28/8*N50*1.5,AC50/28/8*N50*1.5)</f>
        <v/>
      </c>
      <c r="AI50" s="232" t="n">
        <v>0</v>
      </c>
      <c r="AJ50" s="232" t="n">
        <v>0</v>
      </c>
      <c r="AK50" s="232" t="n">
        <v>0</v>
      </c>
      <c r="AL50" s="1497" t="n">
        <v>500000</v>
      </c>
      <c r="AM50" s="1497" t="n">
        <v>0</v>
      </c>
      <c r="AN50" s="1497" t="n">
        <v>0</v>
      </c>
      <c r="AO50" s="1497" t="n">
        <v>0</v>
      </c>
      <c r="AP50" s="1497" t="n">
        <v>629300</v>
      </c>
      <c r="AQ50" s="1497" t="n">
        <v>12626</v>
      </c>
      <c r="AR50" s="1497" t="n">
        <v>0</v>
      </c>
      <c r="AS50" s="1497" t="n">
        <v>0</v>
      </c>
      <c r="AT50" s="1497" t="n">
        <v>0</v>
      </c>
      <c r="AU50" s="1497" t="n">
        <v>0</v>
      </c>
      <c r="AV50" s="1497" t="n">
        <v>0</v>
      </c>
      <c r="AW50" s="1497" t="n">
        <v>0</v>
      </c>
      <c r="AX50" s="1497" t="n">
        <v>0</v>
      </c>
      <c r="AY50" s="232" t="n">
        <v>0</v>
      </c>
      <c r="AZ50" s="1499" t="n">
        <v>0</v>
      </c>
      <c r="BA50" s="1503" t="n">
        <v>0</v>
      </c>
      <c r="BB50" s="1497" t="n">
        <v>0</v>
      </c>
      <c r="BC50" s="1497" t="n">
        <v>0</v>
      </c>
      <c r="BD50" s="1497" t="n">
        <v>0</v>
      </c>
      <c r="BE50" s="1497" t="n">
        <v>0</v>
      </c>
      <c r="BF50" s="1497" t="n">
        <v>0</v>
      </c>
      <c r="BG50" s="1497" t="n">
        <v>0</v>
      </c>
      <c r="BH50" s="1504">
        <f>SUM(T50:AB50)+SUM(AF50:BA50)-SUM(BB50:BG50)</f>
        <v/>
      </c>
      <c r="BI50" s="1505">
        <f>S50*17.5%</f>
        <v/>
      </c>
      <c r="BJ50" s="1505">
        <f>S50*3%</f>
        <v/>
      </c>
      <c r="BK50" s="1505">
        <f>S50*1%</f>
        <v/>
      </c>
      <c r="BL50" s="1506" t="n"/>
      <c r="BM50" s="1507">
        <f>SUM(BI50:BL50)</f>
        <v/>
      </c>
      <c r="BN50" s="1505">
        <f>S50*8%</f>
        <v/>
      </c>
      <c r="BO50" s="1505">
        <f>S50*1.5%</f>
        <v/>
      </c>
      <c r="BP50" s="1505">
        <f>S50*1%</f>
        <v/>
      </c>
      <c r="BQ50" s="1506" t="n"/>
      <c r="BR50" s="1507">
        <f>SUM(BN50:BQ50)</f>
        <v/>
      </c>
      <c r="BS50" s="1505">
        <f>T50+U50+V50+W50</f>
        <v/>
      </c>
      <c r="BT50" s="1508">
        <f>BH50-BS50-AH50</f>
        <v/>
      </c>
      <c r="BU50" s="1505">
        <f>IF(E50="HĐLĐ",15500000,0)</f>
        <v/>
      </c>
      <c r="BV50" s="1509" t="n">
        <v>0</v>
      </c>
      <c r="BW50" s="1505">
        <f>BV50*6200000</f>
        <v/>
      </c>
      <c r="BX50" s="1505">
        <f>BR50</f>
        <v/>
      </c>
      <c r="BY50" s="1510">
        <f>BU50+BW50+BX50</f>
        <v/>
      </c>
      <c r="BZ50" s="1505">
        <f>IF(BT50-BY50&gt;0,BT50-BY50,0)</f>
        <v/>
      </c>
      <c r="CA50" s="1506">
        <f>IF(AND(OR($E50="HĐTV",$E50="HĐCTV"),$BZ50&lt;2000000),0,IF(OR($E50="HĐTV",$E50="HĐCTV"),$BZ50*10%,ROUND(IF($BZ50&lt;=10000000,$BZ50*5%,IF($BZ50&lt;=30000000,$BZ50*10%-500000,IF($BZ50&lt;=60000000,$BZ50*20%-3500000,IF($BZ50&lt;=100000000,$BZ50*30%-9500000,$BZ50*35%-14500000)))),0)))</f>
        <v/>
      </c>
      <c r="CB50" s="1511">
        <f>ROUND(BH50-BR50-CA50,0)</f>
        <v/>
      </c>
      <c r="CC50" s="1509" t="n"/>
      <c r="CD50" s="1512" t="n">
        <v>0</v>
      </c>
      <c r="CE50" s="1513">
        <f>CB50+CC50-CD50</f>
        <v/>
      </c>
      <c r="CF50" s="1514">
        <f>CE50-CG50</f>
        <v/>
      </c>
      <c r="CG50" s="1514">
        <f>CE50</f>
        <v/>
      </c>
      <c r="CH50" s="1515" t="n"/>
      <c r="CI50" s="1516">
        <f>VLOOKUP($C54,[5]Sheet1!$C$5:$K$139,9,0)</f>
        <v/>
      </c>
      <c r="CJ50" s="1497" t="n">
        <v>0</v>
      </c>
      <c r="CK50" s="1495" t="n">
        <v>11</v>
      </c>
      <c r="CL50" s="1497" t="n"/>
      <c r="CM50" s="1495" t="n">
        <v>18</v>
      </c>
      <c r="CN50" s="1495" t="n">
        <v>8</v>
      </c>
      <c r="CO50" s="1495" t="n">
        <v>2025</v>
      </c>
      <c r="CP50" s="1517">
        <f>IF((($CO$7-CO50)*12)+($CN$7-CN50)&gt;=12,((($CO$7-CO50)*12)+($CN$7-CN50))-1,0)</f>
        <v/>
      </c>
      <c r="CQ50" s="1518">
        <f>IF(CP50&lt;12,(($CQ$7-CO50)*12)+($CP$7-CN50),0)</f>
        <v/>
      </c>
      <c r="CR50" s="1517">
        <f>IF(OR(CP50&gt;12,CP50=12),((CP50-(CS50*12))+((($CQ$7-2024)*12)+($CP$7-4)))+1,0)</f>
        <v/>
      </c>
      <c r="CS50" s="1519">
        <f>IF(OR(CP50&gt;12,CP50=12),ROUNDDOWN(CP50/12,0),0)</f>
        <v/>
      </c>
      <c r="CT50" s="1519">
        <f>IF(CQ50&gt;11,ROUNDDOWN(CQ50/12,0),0)</f>
        <v/>
      </c>
      <c r="CU50" s="1519">
        <f>IF(CR50&gt;11,ROUNDDOWN(CR50/12,0),0)</f>
        <v/>
      </c>
      <c r="CV50" s="1520">
        <f>IF(CP50=0,0,6000000*1.07^CS50)</f>
        <v/>
      </c>
      <c r="CW50" s="1520">
        <f>IF(CT50&lt;2,0,6000000+(CT50-1)*500000)</f>
        <v/>
      </c>
      <c r="CX50" s="1520">
        <f>IF(CU50=0,CV50,IF(CU50&lt;1,0,CV50+CU50*500000))</f>
        <v/>
      </c>
      <c r="CY50" s="1520">
        <f>IF(CX50&gt;0,CX50,IF(CW50&gt;0,CW50,6000000))</f>
        <v/>
      </c>
      <c r="CZ50" s="1521" t="n"/>
      <c r="DA50" s="1522" t="n"/>
      <c r="DB50" s="1521" t="n"/>
      <c r="DC50" s="1521" t="n"/>
      <c r="DD50" s="1487" t="n"/>
      <c r="DE50" s="1523" t="n"/>
      <c r="DF50" s="1497" t="n"/>
      <c r="DG50" s="212" t="n"/>
    </row>
    <row r="51">
      <c r="A51" s="230" t="n">
        <v>36</v>
      </c>
      <c r="B51" s="1376" t="n">
        <v>8</v>
      </c>
      <c r="C51" s="176" t="inlineStr">
        <is>
          <t>Nguyen Thi Hong Hanh</t>
        </is>
      </c>
      <c r="D51" s="250" t="inlineStr">
        <is>
          <t>Nguyễn Thị Hồng Hạnh</t>
        </is>
      </c>
      <c r="E51" s="1492">
        <f>IF(OR(G51="CHT",G51="DSBC",G51="DSXC"),"HĐLĐ",IF(OR(G51="DSTV",G51="Q.CHT"),"HĐTV","HĐCTV"))</f>
        <v/>
      </c>
      <c r="F51" s="1493" t="inlineStr">
        <is>
          <t>Nguyễn Chí Thanh</t>
        </is>
      </c>
      <c r="G51" s="1494" t="inlineStr">
        <is>
          <t>DSBC</t>
        </is>
      </c>
      <c r="H51" s="1495" t="n">
        <v>45502</v>
      </c>
      <c r="I51" s="1496" t="inlineStr">
        <is>
          <t>19036469088011</t>
        </is>
      </c>
      <c r="J51" s="1496" t="inlineStr">
        <is>
          <t>Techcombank</t>
        </is>
      </c>
      <c r="K51" s="1497" t="n">
        <v>28</v>
      </c>
      <c r="L51" s="1497" t="n">
        <v>28</v>
      </c>
      <c r="M51" s="1497" t="n">
        <v>0</v>
      </c>
      <c r="N51" s="1497" t="n">
        <v>219.36</v>
      </c>
      <c r="O51" s="1497" t="n">
        <v>0</v>
      </c>
      <c r="P51" s="232" t="n"/>
      <c r="Q51" s="1497" t="n"/>
      <c r="R51" s="1498" t="n"/>
      <c r="S51" s="1499">
        <f>IF(E51="HĐLĐ",5310000,0)</f>
        <v/>
      </c>
      <c r="T51" s="1500" t="n">
        <v>500000.0000000001</v>
      </c>
      <c r="U51" s="1501" t="n"/>
      <c r="V51" s="232" t="n"/>
      <c r="W51" s="232" t="n"/>
      <c r="X51" s="232" t="n"/>
      <c r="Y51" s="232" t="n"/>
      <c r="Z51" s="232" t="n"/>
      <c r="AA51" s="1497" t="n">
        <v>0</v>
      </c>
      <c r="AB51" s="1497" t="n">
        <v>0</v>
      </c>
      <c r="AC51" s="1499" t="n">
        <v>6000000</v>
      </c>
      <c r="AD51" s="232" t="n"/>
      <c r="AE51" s="232" t="n"/>
      <c r="AF51" s="232" t="n"/>
      <c r="AG51" s="1502">
        <f>IF(E51="HĐTV",AE51/28/8*M51,AC51/28/8*M51)</f>
        <v/>
      </c>
      <c r="AH51" s="1499">
        <f>IF(E51="HĐTV",AE51/28/8*N51*1.5,AC51/28/8*N51*1.5)</f>
        <v/>
      </c>
      <c r="AI51" s="232" t="n">
        <v>1500000</v>
      </c>
      <c r="AJ51" s="232" t="n">
        <v>0</v>
      </c>
      <c r="AK51" s="232" t="n">
        <v>0</v>
      </c>
      <c r="AL51" s="1497" t="n">
        <v>0</v>
      </c>
      <c r="AM51" s="1497" t="n">
        <v>0</v>
      </c>
      <c r="AN51" s="1497" t="n">
        <v>0</v>
      </c>
      <c r="AO51" s="1497" t="n">
        <v>0</v>
      </c>
      <c r="AP51" s="1497" t="n">
        <v>1651900</v>
      </c>
      <c r="AQ51" s="1497" t="n">
        <v>9105</v>
      </c>
      <c r="AR51" s="1497" t="n">
        <v>0</v>
      </c>
      <c r="AS51" s="1497" t="n">
        <v>0</v>
      </c>
      <c r="AT51" s="1497" t="n">
        <v>0</v>
      </c>
      <c r="AU51" s="1497" t="n">
        <v>0</v>
      </c>
      <c r="AV51" s="1497" t="n">
        <v>0</v>
      </c>
      <c r="AW51" s="1497" t="n">
        <v>0</v>
      </c>
      <c r="AX51" s="1497" t="n">
        <v>0</v>
      </c>
      <c r="AY51" s="232" t="n">
        <v>0</v>
      </c>
      <c r="AZ51" s="1499" t="n">
        <v>0</v>
      </c>
      <c r="BA51" s="1503" t="n">
        <v>0</v>
      </c>
      <c r="BB51" s="1497" t="n">
        <v>0</v>
      </c>
      <c r="BC51" s="1497" t="n">
        <v>0</v>
      </c>
      <c r="BD51" s="1497" t="n">
        <v>0</v>
      </c>
      <c r="BE51" s="1497" t="n">
        <v>0</v>
      </c>
      <c r="BF51" s="1497" t="n">
        <v>0</v>
      </c>
      <c r="BG51" s="1497" t="n">
        <v>0</v>
      </c>
      <c r="BH51" s="1504">
        <f>SUM(T51:AB51)+SUM(AF51:BA51)-SUM(BB51:BG51)</f>
        <v/>
      </c>
      <c r="BI51" s="1505">
        <f>S51*17.5%</f>
        <v/>
      </c>
      <c r="BJ51" s="1505">
        <f>S51*3%</f>
        <v/>
      </c>
      <c r="BK51" s="1505">
        <f>S51*1%</f>
        <v/>
      </c>
      <c r="BL51" s="1506" t="n"/>
      <c r="BM51" s="1507">
        <f>SUM(BI51:BL51)</f>
        <v/>
      </c>
      <c r="BN51" s="1505">
        <f>S51*8%</f>
        <v/>
      </c>
      <c r="BO51" s="1505">
        <f>S51*1.5%</f>
        <v/>
      </c>
      <c r="BP51" s="1505">
        <f>S51*1%</f>
        <v/>
      </c>
      <c r="BQ51" s="1506" t="n"/>
      <c r="BR51" s="1507">
        <f>SUM(BN51:BQ51)</f>
        <v/>
      </c>
      <c r="BS51" s="1505">
        <f>T51+U51+V51+W51</f>
        <v/>
      </c>
      <c r="BT51" s="1508">
        <f>BH51-BS51-AH51</f>
        <v/>
      </c>
      <c r="BU51" s="1505">
        <f>IF(E51="HĐLĐ",15500000,0)</f>
        <v/>
      </c>
      <c r="BV51" s="1509" t="n">
        <v>0</v>
      </c>
      <c r="BW51" s="1505">
        <f>BV51*6200000</f>
        <v/>
      </c>
      <c r="BX51" s="1505">
        <f>BR51</f>
        <v/>
      </c>
      <c r="BY51" s="1510">
        <f>BU51+BW51+BX51</f>
        <v/>
      </c>
      <c r="BZ51" s="1505">
        <f>IF(BT51-BY51&gt;0,BT51-BY51,0)</f>
        <v/>
      </c>
      <c r="CA51" s="1506">
        <f>IF(AND(OR($E51="HĐTV",$E51="HĐCTV"),$BZ51&lt;2000000),0,IF(OR($E51="HĐTV",$E51="HĐCTV"),$BZ51*10%,ROUND(IF($BZ51&lt;=10000000,$BZ51*5%,IF($BZ51&lt;=30000000,$BZ51*10%-500000,IF($BZ51&lt;=60000000,$BZ51*20%-3500000,IF($BZ51&lt;=100000000,$BZ51*30%-9500000,$BZ51*35%-14500000)))),0)))</f>
        <v/>
      </c>
      <c r="CB51" s="1511">
        <f>ROUND(BH51-BR51-CA51,0)</f>
        <v/>
      </c>
      <c r="CC51" s="1509" t="n"/>
      <c r="CD51" s="1512" t="n">
        <v>0</v>
      </c>
      <c r="CE51" s="1513">
        <f>CB51+CC51-CD51</f>
        <v/>
      </c>
      <c r="CF51" s="1514">
        <f>CE51-CG51</f>
        <v/>
      </c>
      <c r="CG51" s="1514">
        <f>CE51</f>
        <v/>
      </c>
      <c r="CH51" s="1515" t="n"/>
      <c r="CI51" s="1516" t="inlineStr">
        <is>
          <t>hanh.nguyen@medigoapp.com</t>
        </is>
      </c>
      <c r="CJ51" s="1497" t="n">
        <v>0</v>
      </c>
      <c r="CK51" s="1495" t="n">
        <v>2</v>
      </c>
      <c r="CL51" s="1497" t="n"/>
      <c r="CM51" s="1495" t="n">
        <v>29</v>
      </c>
      <c r="CN51" s="1495" t="n">
        <v>7</v>
      </c>
      <c r="CO51" s="1495" t="n">
        <v>2024</v>
      </c>
      <c r="CP51" s="1517">
        <f>IF((($CO$7-CO51)*12)+($CN$7-CN51)&gt;=12,((($CO$7-CO51)*12)+($CN$7-CN51))-1,0)</f>
        <v/>
      </c>
      <c r="CQ51" s="1518">
        <f>IF(CP51&lt;12,(($CQ$7-CO51)*12)+($CP$7-CN51),0)</f>
        <v/>
      </c>
      <c r="CR51" s="1517">
        <f>IF(OR(CP51&gt;12,CP51=12),((CP51-(CS51*12))+((($CQ$7-2024)*12)+($CP$7-4)))+1,0)</f>
        <v/>
      </c>
      <c r="CS51" s="1519">
        <f>IF(OR(CP51&gt;12,CP51=12),ROUNDDOWN(CP51/12,0),0)</f>
        <v/>
      </c>
      <c r="CT51" s="1519">
        <f>IF(CQ51&gt;11,ROUNDDOWN(CQ51/12,0),0)</f>
        <v/>
      </c>
      <c r="CU51" s="1519">
        <f>IF(CR51&gt;11,ROUNDDOWN(CR51/12,0),0)</f>
        <v/>
      </c>
      <c r="CV51" s="1520">
        <f>IF(CP51=0,0,6000000*1.07^CS51)</f>
        <v/>
      </c>
      <c r="CW51" s="1520">
        <f>IF(CT51&lt;2,0,6000000+(CT51-1)*500000)</f>
        <v/>
      </c>
      <c r="CX51" s="1520">
        <f>IF(CU51=0,CV51,IF(CU51&lt;1,0,CV51+CU51*500000))</f>
        <v/>
      </c>
      <c r="CY51" s="1520">
        <f>IF(CX51&gt;0,CX51,IF(CW51&gt;0,CW51,6000000))</f>
        <v/>
      </c>
      <c r="CZ51" s="1521" t="n"/>
      <c r="DA51" s="1522" t="n"/>
      <c r="DB51" s="1521" t="n"/>
      <c r="DC51" s="1521" t="n"/>
      <c r="DD51" s="1487" t="n"/>
      <c r="DE51" s="1523" t="n"/>
      <c r="DF51" s="1497" t="n"/>
      <c r="DG51" s="212" t="n"/>
    </row>
    <row r="52">
      <c r="A52" s="230" t="n">
        <v>37</v>
      </c>
      <c r="B52" s="1376" t="n">
        <v>8</v>
      </c>
      <c r="C52" s="176" t="inlineStr">
        <is>
          <t>Tran Hoang Khanh</t>
        </is>
      </c>
      <c r="D52" s="250" t="inlineStr">
        <is>
          <t>Trần Hoàng Khánh</t>
        </is>
      </c>
      <c r="E52" s="1492">
        <f>IF(OR(G52="CHT",G52="DSBC",G52="DSXC"),"HĐLĐ",IF(OR(G52="DSTV",G52="Q.CHT"),"HĐTV","HĐCTV"))</f>
        <v/>
      </c>
      <c r="F52" s="1493" t="inlineStr">
        <is>
          <t>Nguyễn Chí Thanh</t>
        </is>
      </c>
      <c r="G52" s="1494" t="inlineStr">
        <is>
          <t>DSBC</t>
        </is>
      </c>
      <c r="H52" s="1495" t="inlineStr">
        <is>
          <t>02/06/2025</t>
        </is>
      </c>
      <c r="I52" s="1496" t="inlineStr">
        <is>
          <t>0985967065</t>
        </is>
      </c>
      <c r="J52" s="1496" t="inlineStr">
        <is>
          <t>Tp Bank</t>
        </is>
      </c>
      <c r="K52" s="1497" t="n">
        <v>28</v>
      </c>
      <c r="L52" s="1497" t="n">
        <v>30</v>
      </c>
      <c r="M52" s="1497" t="n">
        <v>23.83</v>
      </c>
      <c r="N52" s="1497" t="n">
        <v>235.5</v>
      </c>
      <c r="O52" s="1497" t="n">
        <v>16</v>
      </c>
      <c r="P52" s="232" t="n"/>
      <c r="Q52" s="1497" t="n"/>
      <c r="R52" s="1498" t="n"/>
      <c r="S52" s="1499">
        <f>IF(E52="HĐLĐ",5310000,0)</f>
        <v/>
      </c>
      <c r="T52" s="1500" t="n">
        <v>500000</v>
      </c>
      <c r="U52" s="1501" t="n"/>
      <c r="V52" s="232" t="n"/>
      <c r="W52" s="232" t="n"/>
      <c r="X52" s="232" t="n"/>
      <c r="Y52" s="232" t="n"/>
      <c r="Z52" s="232" t="n"/>
      <c r="AA52" s="1497" t="n">
        <v>0</v>
      </c>
      <c r="AB52" s="1497" t="n">
        <v>0</v>
      </c>
      <c r="AC52" s="1499" t="n">
        <v>6000000</v>
      </c>
      <c r="AD52" s="232" t="n"/>
      <c r="AE52" s="232" t="n"/>
      <c r="AF52" s="232" t="n"/>
      <c r="AG52" s="1502">
        <f>IF(E52="HĐTV",AE52/28/8*M52,AC52/28/8*M52)</f>
        <v/>
      </c>
      <c r="AH52" s="1499">
        <f>IF(E52="HĐTV",AE52/28/8*N52*1.5,AC52/28/8*N52*1.5)</f>
        <v/>
      </c>
      <c r="AI52" s="232" t="n">
        <v>1500000</v>
      </c>
      <c r="AJ52" s="232" t="n">
        <v>0</v>
      </c>
      <c r="AK52" s="232" t="n">
        <v>0</v>
      </c>
      <c r="AL52" s="1497" t="n">
        <v>0</v>
      </c>
      <c r="AM52" s="1497" t="n">
        <v>0</v>
      </c>
      <c r="AN52" s="1497" t="n">
        <v>500000</v>
      </c>
      <c r="AO52" s="1497" t="n">
        <v>0</v>
      </c>
      <c r="AP52" s="1497" t="n">
        <v>2122400</v>
      </c>
      <c r="AQ52" s="1497" t="n">
        <v>2500</v>
      </c>
      <c r="AR52" s="1497" t="n">
        <v>0</v>
      </c>
      <c r="AS52" s="1497" t="n">
        <v>0</v>
      </c>
      <c r="AT52" s="1497" t="n">
        <v>0</v>
      </c>
      <c r="AU52" s="1497" t="n">
        <v>0</v>
      </c>
      <c r="AV52" s="1497" t="n">
        <v>0</v>
      </c>
      <c r="AW52" s="1497" t="n">
        <v>0</v>
      </c>
      <c r="AX52" s="1497" t="n">
        <v>0</v>
      </c>
      <c r="AY52" s="232" t="n">
        <v>0</v>
      </c>
      <c r="AZ52" s="1499" t="n">
        <v>0</v>
      </c>
      <c r="BA52" s="1503" t="n">
        <v>0</v>
      </c>
      <c r="BB52" s="1497" t="n">
        <v>0</v>
      </c>
      <c r="BC52" s="1497" t="n">
        <v>0</v>
      </c>
      <c r="BD52" s="1497" t="n">
        <v>0</v>
      </c>
      <c r="BE52" s="1497" t="n">
        <v>0</v>
      </c>
      <c r="BF52" s="1497" t="n">
        <v>38000</v>
      </c>
      <c r="BG52" s="1497" t="n">
        <v>0</v>
      </c>
      <c r="BH52" s="1504">
        <f>SUM(T52:AB52)+SUM(AF52:BA52)-SUM(BB52:BG52)</f>
        <v/>
      </c>
      <c r="BI52" s="1505">
        <f>S52*17.5%</f>
        <v/>
      </c>
      <c r="BJ52" s="1505">
        <f>S52*3%</f>
        <v/>
      </c>
      <c r="BK52" s="1505">
        <f>S52*1%</f>
        <v/>
      </c>
      <c r="BL52" s="1506" t="n"/>
      <c r="BM52" s="1507">
        <f>SUM(BI52:BL52)</f>
        <v/>
      </c>
      <c r="BN52" s="1505">
        <f>S52*8%</f>
        <v/>
      </c>
      <c r="BO52" s="1505">
        <f>S52*1.5%</f>
        <v/>
      </c>
      <c r="BP52" s="1505">
        <f>S52*1%</f>
        <v/>
      </c>
      <c r="BQ52" s="1506" t="n"/>
      <c r="BR52" s="1507">
        <f>SUM(BN52:BQ52)</f>
        <v/>
      </c>
      <c r="BS52" s="1505">
        <f>T52+U52+V52+W52</f>
        <v/>
      </c>
      <c r="BT52" s="1508">
        <f>BH52-BS52-AH52</f>
        <v/>
      </c>
      <c r="BU52" s="1505">
        <f>IF(E52="HĐLĐ",15500000,0)</f>
        <v/>
      </c>
      <c r="BV52" s="1509" t="n">
        <v>0</v>
      </c>
      <c r="BW52" s="1505">
        <f>BV52*6200000</f>
        <v/>
      </c>
      <c r="BX52" s="1505">
        <f>BR52</f>
        <v/>
      </c>
      <c r="BY52" s="1510">
        <f>BU52+BW52+BX52</f>
        <v/>
      </c>
      <c r="BZ52" s="1505">
        <f>IF(BT52-BY52&gt;0,BT52-BY52,0)</f>
        <v/>
      </c>
      <c r="CA52" s="1506">
        <f>IF(AND(OR($E52="HĐTV",$E52="HĐCTV"),$BZ52&lt;2000000),0,IF(OR($E52="HĐTV",$E52="HĐCTV"),$BZ52*10%,ROUND(IF($BZ52&lt;=10000000,$BZ52*5%,IF($BZ52&lt;=30000000,$BZ52*10%-500000,IF($BZ52&lt;=60000000,$BZ52*20%-3500000,IF($BZ52&lt;=100000000,$BZ52*30%-9500000,$BZ52*35%-14500000)))),0)))</f>
        <v/>
      </c>
      <c r="CB52" s="1511">
        <f>ROUND(BH52-BR52-CA52,0)</f>
        <v/>
      </c>
      <c r="CC52" s="1509" t="n"/>
      <c r="CD52" s="1512" t="n">
        <v>0</v>
      </c>
      <c r="CE52" s="1513">
        <f>CB52+CC52-CD52</f>
        <v/>
      </c>
      <c r="CF52" s="1514">
        <f>CE52-CG52</f>
        <v/>
      </c>
      <c r="CG52" s="1514">
        <f>CE52</f>
        <v/>
      </c>
      <c r="CH52" s="1515" t="n"/>
      <c r="CI52" s="1516" t="inlineStr">
        <is>
          <t>khanh.tran@medigoapp.com</t>
        </is>
      </c>
      <c r="CJ52" s="1497" t="n">
        <v>0</v>
      </c>
      <c r="CK52" s="1495" t="n">
        <v>9</v>
      </c>
      <c r="CL52" s="1497" t="n"/>
      <c r="CM52" s="1495" t="n">
        <v>2</v>
      </c>
      <c r="CN52" s="1495" t="n">
        <v>6</v>
      </c>
      <c r="CO52" s="1495" t="n">
        <v>2025</v>
      </c>
      <c r="CP52" s="1517" t="n">
        <v>0</v>
      </c>
      <c r="CQ52" s="1518">
        <f>IF(CP52&lt;12,(($CQ$7-CO52)*12)+($CP$7-CN52),0)</f>
        <v/>
      </c>
      <c r="CR52" s="1517">
        <f>IF(OR(CP52&gt;12,CP52=12),((CP52-(CS52*12))+((($CQ$7-2024)*12)+($CP$7-4)))+1,0)</f>
        <v/>
      </c>
      <c r="CS52" s="1519" t="n">
        <v>0</v>
      </c>
      <c r="CT52" s="1519">
        <f>IF(CQ52&gt;11,ROUNDDOWN(CQ52/12,0),0)</f>
        <v/>
      </c>
      <c r="CU52" s="1519" t="n">
        <v>0</v>
      </c>
      <c r="CV52" s="1520" t="n">
        <v>0</v>
      </c>
      <c r="CW52" s="1520" t="n">
        <v>0</v>
      </c>
      <c r="CX52" s="1520" t="n">
        <v>0</v>
      </c>
      <c r="CY52" s="1520" t="n">
        <v>6000000</v>
      </c>
      <c r="CZ52" s="1521" t="n"/>
      <c r="DA52" s="1522" t="n"/>
      <c r="DB52" s="1521" t="n"/>
      <c r="DC52" s="1521" t="n"/>
      <c r="DD52" s="1487" t="n"/>
      <c r="DE52" s="1523" t="n"/>
      <c r="DF52" s="1497" t="n"/>
      <c r="DG52" s="212" t="n"/>
    </row>
    <row r="53">
      <c r="A53" s="230" t="n">
        <v>38</v>
      </c>
      <c r="B53" s="1376" t="n">
        <v>8</v>
      </c>
      <c r="C53" s="176" t="inlineStr">
        <is>
          <t>Ly Thuc Mi</t>
        </is>
      </c>
      <c r="D53" s="250" t="inlineStr">
        <is>
          <t>Lý Thục Mi</t>
        </is>
      </c>
      <c r="E53" s="1492">
        <f>IF(OR(G53="CHT",G53="DSBC",G53="DSXC"),"HĐLĐ",IF(OR(G53="DSTV",G53="Q.CHT"),"HĐTV","HĐCTV"))</f>
        <v/>
      </c>
      <c r="F53" s="1493" t="inlineStr">
        <is>
          <t>Nguyễn Chí Thanh</t>
        </is>
      </c>
      <c r="G53" s="1494" t="inlineStr">
        <is>
          <t>DSTV</t>
        </is>
      </c>
      <c r="H53" s="1495" t="inlineStr">
        <is>
          <t>01/08/2026</t>
        </is>
      </c>
      <c r="I53" s="1496" t="inlineStr">
        <is>
          <t>01805590901</t>
        </is>
      </c>
      <c r="J53" s="1496" t="inlineStr">
        <is>
          <t>Tiên Phong bank</t>
        </is>
      </c>
      <c r="K53" s="1497" t="n">
        <v>28</v>
      </c>
      <c r="L53" s="1497" t="n">
        <v>30</v>
      </c>
      <c r="M53" s="1497" t="n">
        <v>264.12</v>
      </c>
      <c r="N53" s="1497" t="n">
        <v>0</v>
      </c>
      <c r="O53" s="1497" t="n">
        <v>16</v>
      </c>
      <c r="P53" s="232" t="n"/>
      <c r="Q53" s="1497" t="n"/>
      <c r="R53" s="1498" t="n"/>
      <c r="S53" s="1499">
        <f>IF(E53="HĐLĐ",5310000,0)</f>
        <v/>
      </c>
      <c r="T53" s="1500" t="n">
        <v>500000</v>
      </c>
      <c r="U53" s="1501" t="n"/>
      <c r="V53" s="232" t="n"/>
      <c r="W53" s="232" t="n"/>
      <c r="X53" s="232" t="n"/>
      <c r="Y53" s="232" t="n"/>
      <c r="Z53" s="232" t="n"/>
      <c r="AA53" s="1497" t="n">
        <v>0</v>
      </c>
      <c r="AB53" s="1497" t="n">
        <v>0</v>
      </c>
      <c r="AC53" s="1499" t="n">
        <v>6000000</v>
      </c>
      <c r="AD53" s="232">
        <f>AC53</f>
        <v/>
      </c>
      <c r="AE53" s="232" t="n">
        <v>6000000</v>
      </c>
      <c r="AF53" s="232">
        <f>IF(E53="HĐTV",AE53/K53*L53,AD53/K53*L53)</f>
        <v/>
      </c>
      <c r="AG53" s="1502">
        <f>IF(E53="HĐTV",AE53/28/8*M53,AC53/28/8*M53)</f>
        <v/>
      </c>
      <c r="AH53" s="1499">
        <f>IF(E53="HĐTV",AE53/28/8*N53*1.5,AC53/28/8*N53*1.5)</f>
        <v/>
      </c>
      <c r="AI53" s="232" t="n">
        <v>0</v>
      </c>
      <c r="AJ53" s="232" t="n">
        <v>0</v>
      </c>
      <c r="AK53" s="232" t="n">
        <v>0</v>
      </c>
      <c r="AL53" s="1497" t="n">
        <v>0</v>
      </c>
      <c r="AM53" s="1497" t="n">
        <v>0</v>
      </c>
      <c r="AN53" s="1497" t="n">
        <v>0</v>
      </c>
      <c r="AO53" s="1497" t="n">
        <v>0</v>
      </c>
      <c r="AP53" s="1497" t="n">
        <v>0</v>
      </c>
      <c r="AQ53" s="1497" t="n">
        <v>0</v>
      </c>
      <c r="AR53" s="1497" t="n">
        <v>0</v>
      </c>
      <c r="AS53" s="1497" t="n">
        <v>0</v>
      </c>
      <c r="AT53" s="1497" t="n">
        <v>0</v>
      </c>
      <c r="AU53" s="1497" t="n">
        <v>0</v>
      </c>
      <c r="AV53" s="1497" t="n">
        <v>0</v>
      </c>
      <c r="AW53" s="1497" t="n">
        <v>0</v>
      </c>
      <c r="AX53" s="1497" t="n">
        <v>0</v>
      </c>
      <c r="AY53" s="232" t="n">
        <v>0</v>
      </c>
      <c r="AZ53" s="1499" t="n">
        <v>0</v>
      </c>
      <c r="BA53" s="1503" t="n">
        <v>0</v>
      </c>
      <c r="BB53" s="1497" t="n">
        <v>0</v>
      </c>
      <c r="BC53" s="1497" t="n">
        <v>0</v>
      </c>
      <c r="BD53" s="1497" t="n">
        <v>0</v>
      </c>
      <c r="BE53" s="1497" t="n">
        <v>0</v>
      </c>
      <c r="BF53" s="1497" t="n">
        <v>0</v>
      </c>
      <c r="BG53" s="1497" t="n">
        <v>0</v>
      </c>
      <c r="BH53" s="1504">
        <f>SUM(T53:AB53)+SUM(AF53:BA53)-SUM(BB53:BG53)</f>
        <v/>
      </c>
      <c r="BI53" s="1505">
        <f>S53*17.5%</f>
        <v/>
      </c>
      <c r="BJ53" s="1505">
        <f>S53*3%</f>
        <v/>
      </c>
      <c r="BK53" s="1505">
        <f>S53*1%</f>
        <v/>
      </c>
      <c r="BL53" s="1506" t="n"/>
      <c r="BM53" s="1507">
        <f>SUM(BI53:BL53)</f>
        <v/>
      </c>
      <c r="BN53" s="1505">
        <f>S53*8%</f>
        <v/>
      </c>
      <c r="BO53" s="1505">
        <f>S53*1.5%</f>
        <v/>
      </c>
      <c r="BP53" s="1505">
        <f>S53*1%</f>
        <v/>
      </c>
      <c r="BQ53" s="1506" t="n"/>
      <c r="BR53" s="1507">
        <f>SUM(BN53:BQ53)</f>
        <v/>
      </c>
      <c r="BS53" s="1505">
        <f>T53+U53+V53+W53</f>
        <v/>
      </c>
      <c r="BT53" s="1508">
        <f>BH53-BS53-AH53</f>
        <v/>
      </c>
      <c r="BU53" s="1505">
        <f>IF(E53="HĐLĐ",15500000,0)</f>
        <v/>
      </c>
      <c r="BV53" s="1509" t="n">
        <v>0</v>
      </c>
      <c r="BW53" s="1505">
        <f>BV53*6200000</f>
        <v/>
      </c>
      <c r="BX53" s="1505">
        <f>BR53</f>
        <v/>
      </c>
      <c r="BY53" s="1510">
        <f>BU53+BW53+BX53</f>
        <v/>
      </c>
      <c r="BZ53" s="1505">
        <f>IF(BT53-BY53&gt;0,BT53-BY53,0)</f>
        <v/>
      </c>
      <c r="CA53" s="1506">
        <f>IF(AND(OR($E53="HĐTV",$E53="HĐCTV"),$BZ53&lt;2000000),0,IF(OR($E53="HĐTV",$E53="HĐCTV"),$BZ53*10%,ROUND(IF($BZ53&lt;=10000000,$BZ53*5%,IF($BZ53&lt;=30000000,$BZ53*10%-500000,IF($BZ53&lt;=60000000,$BZ53*20%-3500000,IF($BZ53&lt;=100000000,$BZ53*30%-9500000,$BZ53*35%-14500000)))),0)))</f>
        <v/>
      </c>
      <c r="CB53" s="1511">
        <f>ROUND(BH53-BR53-CA53,0)</f>
        <v/>
      </c>
      <c r="CC53" s="1509" t="n"/>
      <c r="CD53" s="1512" t="n">
        <v>0</v>
      </c>
      <c r="CE53" s="1513">
        <f>CB53+CC53-CD53</f>
        <v/>
      </c>
      <c r="CF53" s="1514">
        <f>CE53-CG53</f>
        <v/>
      </c>
      <c r="CG53" s="1514">
        <f>CE53</f>
        <v/>
      </c>
      <c r="CH53" s="1515" t="n"/>
      <c r="CI53" s="1516" t="inlineStr">
        <is>
          <t>mailto:ha.le@medigoapp.com</t>
        </is>
      </c>
      <c r="CJ53" s="1497" t="n"/>
      <c r="CK53" s="1495" t="n">
        <v>4</v>
      </c>
      <c r="CL53" s="1497" t="n"/>
      <c r="CM53" s="1495" t="n"/>
      <c r="CN53" s="1495" t="n"/>
      <c r="CO53" s="1495" t="n"/>
      <c r="CP53" s="1517" t="n"/>
      <c r="CQ53" s="1518" t="n"/>
      <c r="CR53" s="1517" t="n"/>
      <c r="CS53" s="1519" t="n"/>
      <c r="CT53" s="1519" t="n"/>
      <c r="CU53" s="1519" t="n"/>
      <c r="CV53" s="1520" t="n"/>
      <c r="CW53" s="1520" t="n"/>
      <c r="CX53" s="1520" t="n"/>
      <c r="CY53" s="1520">
        <f>IF(CX53&gt;0,CX53,IF(CW53&gt;0,CW53,6000000))</f>
        <v/>
      </c>
      <c r="CZ53" s="1521" t="n"/>
      <c r="DA53" s="1522" t="n"/>
      <c r="DB53" s="1521" t="n"/>
      <c r="DC53" s="1521" t="n"/>
      <c r="DD53" s="1487" t="n"/>
      <c r="DE53" s="1523" t="n"/>
      <c r="DF53" s="1497" t="n"/>
      <c r="DG53" s="212" t="n"/>
    </row>
    <row r="54">
      <c r="A54" s="230" t="n">
        <v>39</v>
      </c>
      <c r="B54" s="1376" t="n">
        <v>8</v>
      </c>
      <c r="C54" s="176" t="inlineStr">
        <is>
          <t>Ngo Thi Ngoc Thuy</t>
        </is>
      </c>
      <c r="D54" s="250" t="inlineStr">
        <is>
          <t>Ngô Thị Ngọc Thủy</t>
        </is>
      </c>
      <c r="E54" s="1492">
        <f>IF(OR(G54="CHT",G54="DSBC",G54="DSXC"),"HĐLĐ",IF(OR(G54="DSTV",G54="Q.CHT"),"HĐTV","HĐCTV"))</f>
        <v/>
      </c>
      <c r="F54" s="1493" t="inlineStr">
        <is>
          <t>Nguyễn Chí Thanh</t>
        </is>
      </c>
      <c r="G54" s="1494" t="inlineStr">
        <is>
          <t>DSTV</t>
        </is>
      </c>
      <c r="H54" s="1495" t="n">
        <v>46190</v>
      </c>
      <c r="I54" s="1496" t="inlineStr">
        <is>
          <t>02031125202</t>
        </is>
      </c>
      <c r="J54" s="1496" t="inlineStr">
        <is>
          <t>TP Bank</t>
        </is>
      </c>
      <c r="K54" s="1497" t="n">
        <v>28</v>
      </c>
      <c r="L54" s="1497" t="n">
        <v>1</v>
      </c>
      <c r="M54" s="1497" t="n">
        <v>8</v>
      </c>
      <c r="N54" s="1497" t="n">
        <v>0</v>
      </c>
      <c r="O54" s="1497" t="n">
        <v>0</v>
      </c>
      <c r="P54" s="232" t="n"/>
      <c r="Q54" s="1497" t="n"/>
      <c r="R54" s="1498" t="n"/>
      <c r="S54" s="1499">
        <f>IF(E54="HĐLĐ",5310000,0)</f>
        <v/>
      </c>
      <c r="T54" s="1500" t="n">
        <v>17857.14285714286</v>
      </c>
      <c r="U54" s="1501" t="n"/>
      <c r="V54" s="232" t="n"/>
      <c r="W54" s="232" t="n"/>
      <c r="X54" s="232" t="n"/>
      <c r="Y54" s="232" t="n"/>
      <c r="Z54" s="232" t="n"/>
      <c r="AA54" s="1497" t="n">
        <v>0</v>
      </c>
      <c r="AB54" s="1497" t="n">
        <v>0</v>
      </c>
      <c r="AC54" s="1499" t="n">
        <v>6000000</v>
      </c>
      <c r="AD54" s="232">
        <f>AC54</f>
        <v/>
      </c>
      <c r="AE54" s="232" t="n">
        <v>6000000</v>
      </c>
      <c r="AF54" s="232">
        <f>IF(E54="HĐTV",AE54/K54*L54,AD54/K54*L54)</f>
        <v/>
      </c>
      <c r="AG54" s="1502">
        <f>IF(E54="HĐTV",AE54/28/8*M54,AC54/28/8*M54)</f>
        <v/>
      </c>
      <c r="AH54" s="1499">
        <f>IF(E54="HĐTV",AE54/28/8*N54*1.5,AC54/28/8*N54*1.5)</f>
        <v/>
      </c>
      <c r="AI54" s="232" t="n">
        <v>0</v>
      </c>
      <c r="AJ54" s="232" t="n">
        <v>0</v>
      </c>
      <c r="AK54" s="232" t="n">
        <v>0</v>
      </c>
      <c r="AL54" s="1497" t="n">
        <v>0</v>
      </c>
      <c r="AM54" s="1497" t="n">
        <v>0</v>
      </c>
      <c r="AN54" s="1497" t="n">
        <v>0</v>
      </c>
      <c r="AO54" s="1497" t="n">
        <v>0</v>
      </c>
      <c r="AP54" s="1497" t="n">
        <v>0</v>
      </c>
      <c r="AQ54" s="1497" t="n">
        <v>0</v>
      </c>
      <c r="AR54" s="1497" t="n">
        <v>0</v>
      </c>
      <c r="AS54" s="1497" t="n">
        <v>0</v>
      </c>
      <c r="AT54" s="1497" t="n">
        <v>0</v>
      </c>
      <c r="AU54" s="1497" t="n">
        <v>0</v>
      </c>
      <c r="AV54" s="1497" t="n">
        <v>0</v>
      </c>
      <c r="AW54" s="1497" t="n">
        <v>0</v>
      </c>
      <c r="AX54" s="1497" t="n">
        <v>0</v>
      </c>
      <c r="AY54" s="232" t="n">
        <v>0</v>
      </c>
      <c r="AZ54" s="1499" t="n">
        <v>0</v>
      </c>
      <c r="BA54" s="1503" t="n">
        <v>0</v>
      </c>
      <c r="BB54" s="1497" t="n">
        <v>0</v>
      </c>
      <c r="BC54" s="1497" t="n">
        <v>0</v>
      </c>
      <c r="BD54" s="1497" t="n">
        <v>0</v>
      </c>
      <c r="BE54" s="1497" t="n">
        <v>0</v>
      </c>
      <c r="BF54" s="1497" t="n">
        <v>0</v>
      </c>
      <c r="BG54" s="1497" t="n">
        <v>0</v>
      </c>
      <c r="BH54" s="1504">
        <f>SUM(T54:AB54)+SUM(AF54:BA54)-SUM(BB54:BG54)</f>
        <v/>
      </c>
      <c r="BI54" s="1505">
        <f>S54*17.5%</f>
        <v/>
      </c>
      <c r="BJ54" s="1505">
        <f>S54*3%</f>
        <v/>
      </c>
      <c r="BK54" s="1505">
        <f>S54*1%</f>
        <v/>
      </c>
      <c r="BL54" s="1506" t="n"/>
      <c r="BM54" s="1507">
        <f>SUM(BI54:BL54)</f>
        <v/>
      </c>
      <c r="BN54" s="1505">
        <f>S54*8%</f>
        <v/>
      </c>
      <c r="BO54" s="1505">
        <f>S54*1.5%</f>
        <v/>
      </c>
      <c r="BP54" s="1505">
        <f>S54*1%</f>
        <v/>
      </c>
      <c r="BQ54" s="1506" t="n"/>
      <c r="BR54" s="1507">
        <f>SUM(BN54:BQ54)</f>
        <v/>
      </c>
      <c r="BS54" s="1505">
        <f>T54+U54+V54+W54</f>
        <v/>
      </c>
      <c r="BT54" s="1508">
        <f>BH54-BS54-AH54</f>
        <v/>
      </c>
      <c r="BU54" s="1505">
        <f>IF(E54="HĐLĐ",15500000,0)</f>
        <v/>
      </c>
      <c r="BV54" s="1509" t="n">
        <v>0</v>
      </c>
      <c r="BW54" s="1505">
        <f>BV54*6200000</f>
        <v/>
      </c>
      <c r="BX54" s="1505">
        <f>BR54</f>
        <v/>
      </c>
      <c r="BY54" s="1510">
        <f>BU54+BW54+BX54</f>
        <v/>
      </c>
      <c r="BZ54" s="1505">
        <f>IF(BT54-BY54&gt;0,BT54-BY54,0)</f>
        <v/>
      </c>
      <c r="CA54" s="1506">
        <f>IF(AND(OR($E54="HĐTV",$E54="HĐCTV"),$BZ54&lt;2000000),0,IF(OR($E54="HĐTV",$E54="HĐCTV"),$BZ54*10%,ROUND(IF($BZ54&lt;=10000000,$BZ54*5%,IF($BZ54&lt;=30000000,$BZ54*10%-500000,IF($BZ54&lt;=60000000,$BZ54*20%-3500000,IF($BZ54&lt;=100000000,$BZ54*30%-9500000,$BZ54*35%-14500000)))),0)))</f>
        <v/>
      </c>
      <c r="CB54" s="1511">
        <f>ROUND(BH54-BR54-CA54,0)</f>
        <v/>
      </c>
      <c r="CC54" s="1509" t="n"/>
      <c r="CD54" s="1512" t="n">
        <v>0</v>
      </c>
      <c r="CE54" s="1513">
        <f>CB54+CC54-CD54</f>
        <v/>
      </c>
      <c r="CF54" s="1514">
        <f>CE54-CG54</f>
        <v/>
      </c>
      <c r="CG54" s="1514">
        <f>CE54</f>
        <v/>
      </c>
      <c r="CH54" s="1515" t="n"/>
      <c r="CI54" s="1516" t="inlineStr">
        <is>
          <t>mailto:ha.le@medigoapp.com</t>
        </is>
      </c>
      <c r="CJ54" s="1497" t="n"/>
      <c r="CK54" s="1495" t="n">
        <v>1</v>
      </c>
      <c r="CL54" s="1497" t="n"/>
      <c r="CM54" s="1495" t="n"/>
      <c r="CN54" s="1495" t="n"/>
      <c r="CO54" s="1495" t="n"/>
      <c r="CP54" s="1517" t="n"/>
      <c r="CQ54" s="1518" t="n"/>
      <c r="CR54" s="1517" t="n"/>
      <c r="CS54" s="1519" t="n"/>
      <c r="CT54" s="1519" t="n"/>
      <c r="CU54" s="1519" t="n"/>
      <c r="CV54" s="1520" t="n"/>
      <c r="CW54" s="1520" t="n"/>
      <c r="CX54" s="1520" t="n"/>
      <c r="CY54" s="1520">
        <f>IF(CX54&gt;0,CX54,IF(CW54&gt;0,CW54,6000000))</f>
        <v/>
      </c>
      <c r="CZ54" s="1521" t="n"/>
      <c r="DA54" s="1522" t="n"/>
      <c r="DB54" s="1521" t="n"/>
      <c r="DC54" s="1521" t="n"/>
      <c r="DD54" s="1487" t="n"/>
      <c r="DE54" s="1523" t="n"/>
      <c r="DF54" s="1497" t="n"/>
      <c r="DG54" s="212" t="n"/>
    </row>
    <row r="55">
      <c r="A55" s="230" t="n">
        <v>40</v>
      </c>
      <c r="B55" s="1376" t="n">
        <v>8</v>
      </c>
      <c r="C55" s="176" t="inlineStr">
        <is>
          <t>Do Thi Phuong Thao</t>
        </is>
      </c>
      <c r="D55" s="250" t="inlineStr">
        <is>
          <t>Đỗ Thị Phương Thảo</t>
        </is>
      </c>
      <c r="E55" s="1492">
        <f>IF(OR(G55="CHT",G55="DSBC",G55="DSXC"),"HĐLĐ",IF(OR(G55="DSTV",G55="Q.CHT"),"HĐTV","HĐCTV"))</f>
        <v/>
      </c>
      <c r="F55" s="1493" t="inlineStr">
        <is>
          <t>Nguyễn Chí Thanh</t>
        </is>
      </c>
      <c r="G55" s="1494" t="inlineStr">
        <is>
          <t>DSXC</t>
        </is>
      </c>
      <c r="H55" s="1495" t="inlineStr">
        <is>
          <t>19/04/2025</t>
        </is>
      </c>
      <c r="I55" s="1496" t="inlineStr">
        <is>
          <t>0561000503731</t>
        </is>
      </c>
      <c r="J55" s="1496" t="inlineStr">
        <is>
          <t>Vietcombank</t>
        </is>
      </c>
      <c r="K55" s="1497" t="n">
        <v>28</v>
      </c>
      <c r="L55" s="1497" t="n">
        <v>31</v>
      </c>
      <c r="M55" s="1497" t="n">
        <v>265.36</v>
      </c>
      <c r="N55" s="1497" t="n">
        <v>8.58</v>
      </c>
      <c r="O55" s="1497" t="n">
        <v>16</v>
      </c>
      <c r="P55" s="232" t="n"/>
      <c r="Q55" s="1497" t="n"/>
      <c r="R55" s="1498" t="n"/>
      <c r="S55" s="1499">
        <f>IF(E55="HĐLĐ",5310000,0)</f>
        <v/>
      </c>
      <c r="T55" s="1500" t="n">
        <v>500000</v>
      </c>
      <c r="U55" s="1501" t="n"/>
      <c r="V55" s="232" t="n"/>
      <c r="W55" s="232" t="n"/>
      <c r="X55" s="232" t="n"/>
      <c r="Y55" s="232" t="n"/>
      <c r="Z55" s="232" t="n"/>
      <c r="AA55" s="1497" t="n">
        <v>0</v>
      </c>
      <c r="AB55" s="1497" t="n">
        <v>0</v>
      </c>
      <c r="AC55" s="1499" t="n">
        <v>6000000</v>
      </c>
      <c r="AD55" s="232" t="n"/>
      <c r="AE55" s="232" t="n"/>
      <c r="AF55" s="232" t="n"/>
      <c r="AG55" s="1502">
        <f>IF(E55="HĐTV",AE55/28/8*M55,AC55/28/8*M55)</f>
        <v/>
      </c>
      <c r="AH55" s="1499">
        <f>IF(E55="HĐTV",AE55/28/8*N55*1.5,AC55/28/8*N55*1.5)</f>
        <v/>
      </c>
      <c r="AI55" s="232" t="n">
        <v>0</v>
      </c>
      <c r="AJ55" s="232" t="n">
        <v>0</v>
      </c>
      <c r="AK55" s="232" t="n">
        <v>0</v>
      </c>
      <c r="AL55" s="1497" t="n">
        <v>0</v>
      </c>
      <c r="AM55" s="1497" t="n">
        <v>0</v>
      </c>
      <c r="AN55" s="1497" t="n">
        <v>0</v>
      </c>
      <c r="AO55" s="1497" t="n">
        <v>0</v>
      </c>
      <c r="AP55" s="1497" t="n">
        <v>1511400</v>
      </c>
      <c r="AQ55" s="1497" t="n">
        <v>150484</v>
      </c>
      <c r="AR55" s="1497" t="n">
        <v>0</v>
      </c>
      <c r="AS55" s="1497" t="n">
        <v>0</v>
      </c>
      <c r="AT55" s="1497" t="n">
        <v>0</v>
      </c>
      <c r="AU55" s="1497" t="n">
        <v>0</v>
      </c>
      <c r="AV55" s="1497" t="n">
        <v>0</v>
      </c>
      <c r="AW55" s="1497" t="n">
        <v>0</v>
      </c>
      <c r="AX55" s="1497" t="n">
        <v>0</v>
      </c>
      <c r="AY55" s="232" t="n">
        <v>0</v>
      </c>
      <c r="AZ55" s="1499" t="n">
        <v>100000</v>
      </c>
      <c r="BA55" s="1503" t="n">
        <v>100000</v>
      </c>
      <c r="BB55" s="1497" t="n">
        <v>0</v>
      </c>
      <c r="BC55" s="1497" t="n">
        <v>0</v>
      </c>
      <c r="BD55" s="1497" t="n">
        <v>0</v>
      </c>
      <c r="BE55" s="1497" t="n">
        <v>0</v>
      </c>
      <c r="BF55" s="1497" t="n">
        <v>0</v>
      </c>
      <c r="BG55" s="1497" t="n">
        <v>0</v>
      </c>
      <c r="BH55" s="1504">
        <f>SUM(T55:AB55)+SUM(AF55:BA55)-SUM(BB55:BG55)</f>
        <v/>
      </c>
      <c r="BI55" s="1505">
        <f>S55*17.5%</f>
        <v/>
      </c>
      <c r="BJ55" s="1505">
        <f>S55*3%</f>
        <v/>
      </c>
      <c r="BK55" s="1505">
        <f>S55*1%</f>
        <v/>
      </c>
      <c r="BL55" s="1506" t="n"/>
      <c r="BM55" s="1507">
        <f>SUM(BI55:BL55)</f>
        <v/>
      </c>
      <c r="BN55" s="1505">
        <f>S55*8%</f>
        <v/>
      </c>
      <c r="BO55" s="1505">
        <f>S55*1.5%</f>
        <v/>
      </c>
      <c r="BP55" s="1505">
        <f>S55*1%</f>
        <v/>
      </c>
      <c r="BQ55" s="1506" t="n"/>
      <c r="BR55" s="1507">
        <f>SUM(BN55:BQ55)</f>
        <v/>
      </c>
      <c r="BS55" s="1505">
        <f>T55+U55+V55+W55</f>
        <v/>
      </c>
      <c r="BT55" s="1508">
        <f>BH55-BS55-AH55</f>
        <v/>
      </c>
      <c r="BU55" s="1505">
        <f>IF(E55="HĐLĐ",15500000,0)</f>
        <v/>
      </c>
      <c r="BV55" s="1509" t="n">
        <v>0</v>
      </c>
      <c r="BW55" s="1505">
        <f>BV55*6200000</f>
        <v/>
      </c>
      <c r="BX55" s="1505">
        <f>BR55</f>
        <v/>
      </c>
      <c r="BY55" s="1510">
        <f>BU55+BW55+BX55</f>
        <v/>
      </c>
      <c r="BZ55" s="1505">
        <f>IF(BT55-BY55&gt;0,BT55-BY55,0)</f>
        <v/>
      </c>
      <c r="CA55" s="1506">
        <f>IF(AND(OR($E55="HĐTV",$E55="HĐCTV"),$BZ55&lt;2000000),0,IF(OR($E55="HĐTV",$E55="HĐCTV"),$BZ55*10%,ROUND(IF($BZ55&lt;=10000000,$BZ55*5%,IF($BZ55&lt;=30000000,$BZ55*10%-500000,IF($BZ55&lt;=60000000,$BZ55*20%-3500000,IF($BZ55&lt;=100000000,$BZ55*30%-9500000,$BZ55*35%-14500000)))),0)))</f>
        <v/>
      </c>
      <c r="CB55" s="1511">
        <f>ROUND(BH55-BR55-CA55,0)</f>
        <v/>
      </c>
      <c r="CC55" s="1509" t="n"/>
      <c r="CD55" s="1512" t="n">
        <v>0</v>
      </c>
      <c r="CE55" s="1513">
        <f>CB55+CC55-CD55</f>
        <v/>
      </c>
      <c r="CF55" s="1514">
        <f>CE55-CG55</f>
        <v/>
      </c>
      <c r="CG55" s="1514">
        <f>CE55</f>
        <v/>
      </c>
      <c r="CH55" s="1515" t="n"/>
      <c r="CI55" s="1516" t="inlineStr">
        <is>
          <t>thao.do@medigoapp.com</t>
        </is>
      </c>
      <c r="CJ55" s="1497" t="n">
        <v>0</v>
      </c>
      <c r="CK55" s="1495" t="n">
        <v>8</v>
      </c>
      <c r="CL55" s="1497" t="n"/>
      <c r="CM55" s="1495" t="n">
        <v>19</v>
      </c>
      <c r="CN55" s="1495" t="n">
        <v>4</v>
      </c>
      <c r="CO55" s="1495" t="n">
        <v>2025</v>
      </c>
      <c r="CP55" s="1517">
        <f>IF((($CO$7-CO55)*12)+($CN$7-CN55)&gt;=12,((($CO$7-CO55)*12)+($CN$7-CN55))-1,0)</f>
        <v/>
      </c>
      <c r="CQ55" s="1518">
        <f>IF(CP55&lt;12,(($CQ$7-CO55)*12)+($CP$7-CN55),0)</f>
        <v/>
      </c>
      <c r="CR55" s="1517">
        <f>IF(OR(CP55&gt;12,CP55=12),((CP55-(CS55*12))+((($CQ$7-2024)*12)+($CP$7-4)))+1,0)</f>
        <v/>
      </c>
      <c r="CS55" s="1519">
        <f>IF(OR(CP55&gt;12,CP55=12),ROUNDDOWN(CP55/12,0),0)</f>
        <v/>
      </c>
      <c r="CT55" s="1519">
        <f>IF(CQ55&gt;11,ROUNDDOWN(CQ55/12,0),0)</f>
        <v/>
      </c>
      <c r="CU55" s="1519">
        <f>IF(CR55&gt;11,ROUNDDOWN(CR55/12,0),0)</f>
        <v/>
      </c>
      <c r="CV55" s="1520">
        <f>IF(CP55=0,0,6000000*1.07^CS55)</f>
        <v/>
      </c>
      <c r="CW55" s="1520">
        <f>IF(CT55&lt;2,0,6000000+(CT55-1)*500000)</f>
        <v/>
      </c>
      <c r="CX55" s="1520">
        <f>IF(CU55=0,CV55,IF(CU55&lt;1,0,CV55+CU55*500000))</f>
        <v/>
      </c>
      <c r="CY55" s="1520">
        <f>IF(CX55&gt;0,CX55,IF(CW55&gt;0,CW55,6000000))</f>
        <v/>
      </c>
      <c r="CZ55" s="1521" t="n"/>
      <c r="DA55" s="1522" t="n"/>
      <c r="DB55" s="1521" t="n"/>
      <c r="DC55" s="1521" t="n"/>
      <c r="DD55" s="1487" t="n"/>
      <c r="DE55" s="1523" t="n"/>
      <c r="DF55" s="1497" t="n"/>
      <c r="DG55" s="212" t="n"/>
    </row>
    <row r="56">
      <c r="A56" s="1524" t="n"/>
      <c r="B56" s="1525" t="n"/>
      <c r="C56" s="1526" t="n"/>
      <c r="D56" s="1527" t="n"/>
      <c r="E56" s="1528" t="n"/>
      <c r="F56" s="1529">
        <f>SUM(F50:F55)</f>
        <v/>
      </c>
      <c r="G56" s="1530" t="n"/>
      <c r="H56" s="1531" t="n"/>
      <c r="I56" s="1532" t="n"/>
      <c r="J56" s="1532" t="n"/>
      <c r="K56" s="1533">
        <f>SUM(K50:K55)</f>
        <v/>
      </c>
      <c r="L56" s="1533">
        <f>SUM(L50:L55)</f>
        <v/>
      </c>
      <c r="M56" s="1534">
        <f>SUM(M50:M55)</f>
        <v/>
      </c>
      <c r="N56" s="1534">
        <f>SUM(N50:N55)</f>
        <v/>
      </c>
      <c r="O56" s="1533">
        <f>SUM(O50:O55)</f>
        <v/>
      </c>
      <c r="P56" s="1533">
        <f>SUM(P50:P55)</f>
        <v/>
      </c>
      <c r="Q56" s="1533">
        <f>SUM(Q50:Q55)</f>
        <v/>
      </c>
      <c r="R56" s="1533" t="n"/>
      <c r="S56" s="1533">
        <f>SUM(S50:S55)</f>
        <v/>
      </c>
      <c r="T56" s="1533">
        <f>SUM(T50:T55)</f>
        <v/>
      </c>
      <c r="U56" s="1533">
        <f>SUM(U50:U55)</f>
        <v/>
      </c>
      <c r="V56" s="1533">
        <f>SUM(V50:V55)</f>
        <v/>
      </c>
      <c r="W56" s="1533">
        <f>SUM(W50:W55)</f>
        <v/>
      </c>
      <c r="X56" s="1533">
        <f>SUM(X50:X55)</f>
        <v/>
      </c>
      <c r="Y56" s="1533">
        <f>SUM(Y50:Y55)</f>
        <v/>
      </c>
      <c r="Z56" s="1533">
        <f>SUM(Z50:Z55)</f>
        <v/>
      </c>
      <c r="AA56" s="1533">
        <f>SUM(AA50:AA55)</f>
        <v/>
      </c>
      <c r="AB56" s="1533">
        <f>SUM(AB50:AB55)</f>
        <v/>
      </c>
      <c r="AC56" s="1533">
        <f>SUM(AC50:AC55)</f>
        <v/>
      </c>
      <c r="AD56" s="1533">
        <f>SUM(AD50:AD55)</f>
        <v/>
      </c>
      <c r="AE56" s="1533">
        <f>SUM(AE50:AE55)</f>
        <v/>
      </c>
      <c r="AF56" s="1533">
        <f>SUM(AF50:AF55)</f>
        <v/>
      </c>
      <c r="AG56" s="1533">
        <f>SUM(AG50:AG55)</f>
        <v/>
      </c>
      <c r="AH56" s="1533">
        <f>SUM(AH50:AH55)</f>
        <v/>
      </c>
      <c r="AI56" s="1533">
        <f>SUM(AI50:AI55)</f>
        <v/>
      </c>
      <c r="AJ56" s="1533">
        <f>SUM(AJ50:AJ55)</f>
        <v/>
      </c>
      <c r="AK56" s="1533">
        <f>SUM(AK50:AK55)</f>
        <v/>
      </c>
      <c r="AL56" s="1533">
        <f>SUM(AL50:AL55)</f>
        <v/>
      </c>
      <c r="AM56" s="1533">
        <f>SUM(AM50:AM55)</f>
        <v/>
      </c>
      <c r="AN56" s="1533">
        <f>SUM(AN50:AN55)</f>
        <v/>
      </c>
      <c r="AO56" s="1533">
        <f>SUM(AO50:AO55)</f>
        <v/>
      </c>
      <c r="AP56" s="1533">
        <f>SUM(AP50:AP55)</f>
        <v/>
      </c>
      <c r="AQ56" s="1533">
        <f>SUM(AQ50:AQ55)</f>
        <v/>
      </c>
      <c r="AR56" s="1533">
        <f>SUM(AR50:AR55)</f>
        <v/>
      </c>
      <c r="AS56" s="1533">
        <f>SUM(AS50:AS55)</f>
        <v/>
      </c>
      <c r="AT56" s="1533">
        <f>SUM(AT50:AT55)</f>
        <v/>
      </c>
      <c r="AU56" s="1533">
        <f>SUM(AU50:AU55)</f>
        <v/>
      </c>
      <c r="AV56" s="1533">
        <f>SUM(AV50:AV55)</f>
        <v/>
      </c>
      <c r="AW56" s="1533">
        <f>SUM(AW50:AW55)</f>
        <v/>
      </c>
      <c r="AX56" s="1533">
        <f>SUM(AX50:AX55)</f>
        <v/>
      </c>
      <c r="AY56" s="1533">
        <f>SUM(AY50:AY55)</f>
        <v/>
      </c>
      <c r="AZ56" s="1533">
        <f>SUM(AZ50:AZ55)</f>
        <v/>
      </c>
      <c r="BA56" s="1533">
        <f>SUM(BA50:BA55)</f>
        <v/>
      </c>
      <c r="BB56" s="1533">
        <f>SUM(BB50:BB55)</f>
        <v/>
      </c>
      <c r="BC56" s="1533">
        <f>SUM(BC50:BC55)</f>
        <v/>
      </c>
      <c r="BD56" s="1533">
        <f>SUM(BD50:BD55)</f>
        <v/>
      </c>
      <c r="BE56" s="1533">
        <f>SUM(BE50:BE55)</f>
        <v/>
      </c>
      <c r="BF56" s="1533">
        <f>SUM(BF50:BF55)</f>
        <v/>
      </c>
      <c r="BG56" s="1533">
        <f>SUM(BG50:BG55)</f>
        <v/>
      </c>
      <c r="BH56" s="1533">
        <f>SUM(BH50:BH55)</f>
        <v/>
      </c>
      <c r="BI56" s="1533">
        <f>SUM(BI50:BI55)</f>
        <v/>
      </c>
      <c r="BJ56" s="1533">
        <f>SUM(BJ50:BJ55)</f>
        <v/>
      </c>
      <c r="BK56" s="1533">
        <f>SUM(BK50:BK55)</f>
        <v/>
      </c>
      <c r="BL56" s="1533">
        <f>SUM(BL50:BL55)</f>
        <v/>
      </c>
      <c r="BM56" s="1533">
        <f>SUM(BM50:BM55)</f>
        <v/>
      </c>
      <c r="BN56" s="1533">
        <f>SUM(BN50:BN55)</f>
        <v/>
      </c>
      <c r="BO56" s="1533">
        <f>SUM(BO50:BO55)</f>
        <v/>
      </c>
      <c r="BP56" s="1533">
        <f>SUM(BP50:BP55)</f>
        <v/>
      </c>
      <c r="BQ56" s="1533">
        <f>SUM(BQ50:BQ55)</f>
        <v/>
      </c>
      <c r="BR56" s="1533">
        <f>SUM(BR50:BR55)</f>
        <v/>
      </c>
      <c r="BS56" s="1533">
        <f>SUM(BS50:BS55)</f>
        <v/>
      </c>
      <c r="BT56" s="1533">
        <f>SUM(BT50:BT55)</f>
        <v/>
      </c>
      <c r="BU56" s="1533">
        <f>SUM(BU50:BU55)</f>
        <v/>
      </c>
      <c r="BV56" s="1533">
        <f>SUM(BV50:BV55)</f>
        <v/>
      </c>
      <c r="BW56" s="1533">
        <f>SUM(BW50:BW55)</f>
        <v/>
      </c>
      <c r="BX56" s="1533">
        <f>SUM(BX50:BX55)</f>
        <v/>
      </c>
      <c r="BY56" s="1533">
        <f>SUM(BY50:BY55)</f>
        <v/>
      </c>
      <c r="BZ56" s="1533">
        <f>SUM(BZ50:BZ55)</f>
        <v/>
      </c>
      <c r="CA56" s="1533">
        <f>SUM(CA50:CA55)</f>
        <v/>
      </c>
      <c r="CB56" s="1533">
        <f>SUM(CB50:CB55)</f>
        <v/>
      </c>
      <c r="CC56" s="1533">
        <f>SUM(CC50:CC55)</f>
        <v/>
      </c>
      <c r="CD56" s="1533">
        <f>SUM(CD50:CD55)</f>
        <v/>
      </c>
      <c r="CE56" s="1533">
        <f>SUM(CE50:CE55)</f>
        <v/>
      </c>
      <c r="CF56" s="1533">
        <f>SUM(CF50:CF55)</f>
        <v/>
      </c>
      <c r="CG56" s="1533">
        <f>SUM(CG50:CG55)</f>
        <v/>
      </c>
      <c r="CH56" s="1533" t="n"/>
      <c r="CI56" s="1533" t="n"/>
      <c r="CJ56" s="1533" t="n"/>
      <c r="CK56" s="1531" t="n"/>
      <c r="CL56" s="1533">
        <f>SUM(CL50:CL55)</f>
        <v/>
      </c>
      <c r="CM56" s="1531" t="n"/>
      <c r="CN56" s="1531" t="n"/>
      <c r="CO56" s="1531" t="n"/>
      <c r="CP56" s="1535" t="n"/>
      <c r="CQ56" s="1536" t="n"/>
      <c r="CR56" s="1535" t="n"/>
      <c r="CS56" s="1537" t="n"/>
      <c r="CT56" s="1537" t="n"/>
      <c r="CU56" s="1537" t="n"/>
      <c r="CV56" s="1538" t="n"/>
      <c r="CW56" s="1538" t="n"/>
      <c r="CX56" s="1538" t="n"/>
      <c r="CY56" s="1538" t="n"/>
      <c r="CZ56" s="1526" t="n"/>
      <c r="DA56" s="1539" t="n"/>
      <c r="DB56" s="1526" t="n"/>
      <c r="DC56" s="1526" t="n"/>
      <c r="DD56" s="1487" t="n"/>
      <c r="DE56" s="1523" t="n"/>
      <c r="DF56" s="1497" t="n"/>
      <c r="DG56" s="212" t="n"/>
    </row>
    <row r="57">
      <c r="A57" s="230" t="n">
        <v>41</v>
      </c>
      <c r="B57" s="1376" t="n">
        <v>8</v>
      </c>
      <c r="C57" s="176" t="inlineStr">
        <is>
          <t>Cu Thi Tuong Vy</t>
        </is>
      </c>
      <c r="D57" s="250" t="inlineStr">
        <is>
          <t>Cù Thị Tường Vy</t>
        </is>
      </c>
      <c r="E57" s="1492">
        <f>IF(OR(G57="CHT",G57="DSBC",G57="DSXC"),"HĐLĐ",IF(OR(G57="DSTV",G57="Q.CHT"),"HĐTV","HĐCTV"))</f>
        <v/>
      </c>
      <c r="F57" s="1493" t="inlineStr">
        <is>
          <t>Nguyễn Thị Thập</t>
        </is>
      </c>
      <c r="G57" s="1494" t="inlineStr">
        <is>
          <t>CHT</t>
        </is>
      </c>
      <c r="H57" s="1495" t="inlineStr">
        <is>
          <t>16/3/2026</t>
        </is>
      </c>
      <c r="I57" s="1496" t="inlineStr">
        <is>
          <t>0071000937911</t>
        </is>
      </c>
      <c r="J57" s="1496" t="inlineStr">
        <is>
          <t>Vietcombank</t>
        </is>
      </c>
      <c r="K57" s="1497" t="n">
        <v>28</v>
      </c>
      <c r="L57" s="1497" t="n">
        <v>1</v>
      </c>
      <c r="M57" s="1497" t="n">
        <v>15.68</v>
      </c>
      <c r="N57" s="1497" t="n">
        <v>0</v>
      </c>
      <c r="O57" s="1497" t="n">
        <v>0</v>
      </c>
      <c r="P57" s="232" t="n"/>
      <c r="Q57" s="1497" t="n"/>
      <c r="R57" s="1498" t="n"/>
      <c r="S57" s="1499">
        <f>IF(E57="HĐLĐ",5310000,0)</f>
        <v/>
      </c>
      <c r="T57" s="1500" t="n">
        <v>17857.14285714286</v>
      </c>
      <c r="U57" s="1501" t="n"/>
      <c r="V57" s="232" t="n"/>
      <c r="W57" s="232" t="n"/>
      <c r="X57" s="232" t="n"/>
      <c r="Y57" s="232" t="n"/>
      <c r="Z57" s="232" t="n"/>
      <c r="AA57" s="1497" t="n">
        <v>0</v>
      </c>
      <c r="AB57" s="1497" t="n">
        <v>0</v>
      </c>
      <c r="AC57" s="1499" t="n">
        <v>6000000</v>
      </c>
      <c r="AD57" s="232">
        <f>AC57</f>
        <v/>
      </c>
      <c r="AE57" s="232" t="n">
        <v>0</v>
      </c>
      <c r="AF57" s="232">
        <f>IF(E57="HĐTV",AE57/K57*L57,AD57/K57*L57)</f>
        <v/>
      </c>
      <c r="AG57" s="1502">
        <f>IF(E57="HĐTV",AE57/28/8*M57,AC57/28/8*M57)</f>
        <v/>
      </c>
      <c r="AH57" s="1499">
        <f>IF(E57="HĐTV",AE57/28/8*N57*1.5,AC57/28/8*N57*1.5)</f>
        <v/>
      </c>
      <c r="AI57" s="232" t="n">
        <v>0</v>
      </c>
      <c r="AJ57" s="232" t="n">
        <v>0</v>
      </c>
      <c r="AK57" s="232" t="n">
        <v>0</v>
      </c>
      <c r="AL57" s="1497" t="n">
        <v>0</v>
      </c>
      <c r="AM57" s="1497" t="n">
        <v>0</v>
      </c>
      <c r="AN57" s="1497" t="n">
        <v>0</v>
      </c>
      <c r="AO57" s="1497" t="n">
        <v>0</v>
      </c>
      <c r="AP57" s="1497" t="n">
        <v>0</v>
      </c>
      <c r="AQ57" s="1497" t="n">
        <v>0</v>
      </c>
      <c r="AR57" s="1497" t="n">
        <v>0</v>
      </c>
      <c r="AS57" s="1497" t="n">
        <v>500000</v>
      </c>
      <c r="AT57" s="1497" t="n">
        <v>0</v>
      </c>
      <c r="AU57" s="1497" t="n">
        <v>0</v>
      </c>
      <c r="AV57" s="1497" t="n">
        <v>0</v>
      </c>
      <c r="AW57" s="1497" t="n">
        <v>0</v>
      </c>
      <c r="AX57" s="1497" t="n">
        <v>0</v>
      </c>
      <c r="AY57" s="232" t="n">
        <v>0</v>
      </c>
      <c r="AZ57" s="1499" t="n">
        <v>0</v>
      </c>
      <c r="BA57" s="1503" t="n">
        <v>0</v>
      </c>
      <c r="BB57" s="1497" t="n">
        <v>0</v>
      </c>
      <c r="BC57" s="1497" t="n">
        <v>0</v>
      </c>
      <c r="BD57" s="1497" t="n">
        <v>0</v>
      </c>
      <c r="BE57" s="1497" t="n">
        <v>0</v>
      </c>
      <c r="BF57" s="1497" t="n">
        <v>0</v>
      </c>
      <c r="BG57" s="1497" t="n">
        <v>0</v>
      </c>
      <c r="BH57" s="1504">
        <f>SUM(T57:AB57)+SUM(AF57:BA57)-SUM(BB57:BG57)</f>
        <v/>
      </c>
      <c r="BI57" s="1505">
        <f>S57*17.5%</f>
        <v/>
      </c>
      <c r="BJ57" s="1505">
        <f>S57*3%</f>
        <v/>
      </c>
      <c r="BK57" s="1505">
        <f>S57*1%</f>
        <v/>
      </c>
      <c r="BL57" s="1506" t="n"/>
      <c r="BM57" s="1507">
        <f>SUM(BI57:BL57)</f>
        <v/>
      </c>
      <c r="BN57" s="1505">
        <f>S57*8%</f>
        <v/>
      </c>
      <c r="BO57" s="1505">
        <f>S57*1.5%</f>
        <v/>
      </c>
      <c r="BP57" s="1505">
        <f>S57*1%</f>
        <v/>
      </c>
      <c r="BQ57" s="1506" t="n"/>
      <c r="BR57" s="1507">
        <f>SUM(BN57:BQ57)</f>
        <v/>
      </c>
      <c r="BS57" s="1505">
        <f>T57+U57+V57+W57</f>
        <v/>
      </c>
      <c r="BT57" s="1508">
        <f>BH57-BS57-AH57</f>
        <v/>
      </c>
      <c r="BU57" s="1505">
        <f>IF(E57="HĐLĐ",15500000,0)</f>
        <v/>
      </c>
      <c r="BV57" s="1509" t="n">
        <v>0</v>
      </c>
      <c r="BW57" s="1505">
        <f>BV57*6200000</f>
        <v/>
      </c>
      <c r="BX57" s="1505">
        <f>BR57</f>
        <v/>
      </c>
      <c r="BY57" s="1510">
        <f>BU57+BW57+BX57</f>
        <v/>
      </c>
      <c r="BZ57" s="1505">
        <f>IF(BT57-BY57&gt;0,BT57-BY57,0)</f>
        <v/>
      </c>
      <c r="CA57" s="1506">
        <f>IF(AND(OR($E57="HĐTV",$E57="HĐCTV"),$BZ57&lt;2000000),0,IF(OR($E57="HĐTV",$E57="HĐCTV"),$BZ57*10%,ROUND(IF($BZ57&lt;=10000000,$BZ57*5%,IF($BZ57&lt;=30000000,$BZ57*10%-500000,IF($BZ57&lt;=60000000,$BZ57*20%-3500000,IF($BZ57&lt;=100000000,$BZ57*30%-9500000,$BZ57*35%-14500000)))),0)))</f>
        <v/>
      </c>
      <c r="CB57" s="1511">
        <f>ROUND(BH57-BR57-CA57,0)</f>
        <v/>
      </c>
      <c r="CC57" s="1509" t="n"/>
      <c r="CD57" s="1512" t="n">
        <v>0</v>
      </c>
      <c r="CE57" s="1513">
        <f>CB57+CC57-CD57</f>
        <v/>
      </c>
      <c r="CF57" s="1514">
        <f>CE57-CG57</f>
        <v/>
      </c>
      <c r="CG57" s="1514">
        <f>CE57</f>
        <v/>
      </c>
      <c r="CH57" s="1515" t="n"/>
      <c r="CI57" s="1516">
        <f>VLOOKUP($C61,[5]Sheet1!$C$5:$K$139,9,0)</f>
        <v/>
      </c>
      <c r="CJ57" s="1497" t="n"/>
      <c r="CK57" s="1495" t="n">
        <v>10</v>
      </c>
      <c r="CL57" s="1497" t="n"/>
      <c r="CM57" s="1495" t="n">
        <v>4</v>
      </c>
      <c r="CN57" s="1495" t="n">
        <v>9</v>
      </c>
      <c r="CO57" s="1495" t="n">
        <v>2024</v>
      </c>
      <c r="CP57" s="1517">
        <f>IF((($CO$7-CO57)*12)+($CN$7-CN57)&gt;=12,((($CO$7-CO57)*12)+($CN$7-CN57))-1,0)</f>
        <v/>
      </c>
      <c r="CQ57" s="1518">
        <f>IF(CP57&lt;12,(($CQ$7-CO57)*12)+($CP$7-CN57),0)</f>
        <v/>
      </c>
      <c r="CR57" s="1517">
        <f>IF(OR(CP57&gt;12,CP57=12),((CP57-(CS57*12))+((($CQ$7-2024)*12)+($CP$7-4)))+1,0)</f>
        <v/>
      </c>
      <c r="CS57" s="1519">
        <f>IF(OR(CP57&gt;12,CP57=12),ROUNDDOWN(CP57/12,0),0)</f>
        <v/>
      </c>
      <c r="CT57" s="1519">
        <f>IF(CQ57&gt;11,ROUNDDOWN(CQ57/12,0),0)</f>
        <v/>
      </c>
      <c r="CU57" s="1519">
        <f>IF(CR57&gt;11,ROUNDDOWN(CR57/12,0),0)</f>
        <v/>
      </c>
      <c r="CV57" s="1520">
        <f>IF(CP57=0,0,6000000*1.07^CS57)</f>
        <v/>
      </c>
      <c r="CW57" s="1520">
        <f>IF(CT57&lt;2,0,6000000+(CT57-1)*500000)</f>
        <v/>
      </c>
      <c r="CX57" s="1520">
        <f>IF(CU57=0,CV57,IF(CU57&lt;1,0,CV57+CU57*500000))</f>
        <v/>
      </c>
      <c r="CY57" s="1520">
        <f>IF(CX57&gt;0,CX57,IF(CW57&gt;0,CW57,6000000))</f>
        <v/>
      </c>
      <c r="CZ57" s="1521" t="n"/>
      <c r="DA57" s="1522" t="n"/>
      <c r="DB57" s="1521" t="n"/>
      <c r="DC57" s="1521" t="n"/>
      <c r="DD57" s="1487" t="n"/>
      <c r="DE57" s="1523" t="n"/>
      <c r="DF57" s="1497" t="n"/>
      <c r="DG57" s="212" t="n"/>
    </row>
    <row r="58">
      <c r="A58" s="230" t="n">
        <v>42</v>
      </c>
      <c r="B58" s="1376" t="n">
        <v>8</v>
      </c>
      <c r="C58" s="176" t="inlineStr">
        <is>
          <t>Trieu Thi Ngoc Ly</t>
        </is>
      </c>
      <c r="D58" s="250" t="inlineStr">
        <is>
          <t>Triệu Thị Ngọc Lý</t>
        </is>
      </c>
      <c r="E58" s="1492">
        <f>IF(OR(G58="CHT",G58="DSBC",G58="DSXC"),"HĐLĐ",IF(OR(G58="DSTV",G58="Q.CHT"),"HĐTV","HĐCTV"))</f>
        <v/>
      </c>
      <c r="F58" s="1493" t="inlineStr">
        <is>
          <t>Nguyễn Thị Thập</t>
        </is>
      </c>
      <c r="G58" s="1494" t="inlineStr">
        <is>
          <t>CHT</t>
        </is>
      </c>
      <c r="H58" s="1495" t="n">
        <v>45194</v>
      </c>
      <c r="I58" s="1496" t="inlineStr">
        <is>
          <t>0989442883</t>
        </is>
      </c>
      <c r="J58" s="1496" t="inlineStr">
        <is>
          <t>MB BANK</t>
        </is>
      </c>
      <c r="K58" s="1497" t="n">
        <v>28</v>
      </c>
      <c r="L58" s="1497" t="n">
        <v>31</v>
      </c>
      <c r="M58" s="1497" t="n">
        <v>355.66</v>
      </c>
      <c r="N58" s="1497" t="n">
        <v>42.22</v>
      </c>
      <c r="O58" s="1497" t="n">
        <v>16</v>
      </c>
      <c r="P58" s="232" t="n"/>
      <c r="Q58" s="1497" t="n"/>
      <c r="R58" s="1498" t="n"/>
      <c r="S58" s="1499">
        <f>IF(E58="HĐLĐ",5310000,0)</f>
        <v/>
      </c>
      <c r="T58" s="1500" t="n">
        <v>500000</v>
      </c>
      <c r="U58" s="1501" t="n"/>
      <c r="V58" s="232" t="n"/>
      <c r="W58" s="232" t="n"/>
      <c r="X58" s="232" t="n"/>
      <c r="Y58" s="232" t="n"/>
      <c r="Z58" s="232" t="n"/>
      <c r="AA58" s="1497" t="n">
        <v>0</v>
      </c>
      <c r="AB58" s="1497" t="n">
        <v>0</v>
      </c>
      <c r="AC58" s="1499" t="n">
        <v>6500000</v>
      </c>
      <c r="AD58" s="232" t="n"/>
      <c r="AE58" s="232" t="n"/>
      <c r="AF58" s="232" t="n"/>
      <c r="AG58" s="1502">
        <f>IF(E58="HĐTV",AE58/28/8*M58,AC58/28/8*M58)</f>
        <v/>
      </c>
      <c r="AH58" s="1499">
        <f>IF(E58="HĐTV",AE58/28/8*N58*1.5,AC58/28/8*N58*1.5)</f>
        <v/>
      </c>
      <c r="AI58" s="232" t="n">
        <v>0</v>
      </c>
      <c r="AJ58" s="232" t="n">
        <v>0</v>
      </c>
      <c r="AK58" s="232" t="n">
        <v>0</v>
      </c>
      <c r="AL58" s="1497" t="n">
        <v>1500000</v>
      </c>
      <c r="AM58" s="1497" t="n">
        <v>0</v>
      </c>
      <c r="AN58" s="1497" t="n">
        <v>0</v>
      </c>
      <c r="AO58" s="1497" t="n">
        <v>0</v>
      </c>
      <c r="AP58" s="1497" t="n">
        <v>1574500</v>
      </c>
      <c r="AQ58" s="1497" t="n">
        <v>31259</v>
      </c>
      <c r="AR58" s="1497" t="n">
        <v>0</v>
      </c>
      <c r="AS58" s="1497" t="n">
        <v>0</v>
      </c>
      <c r="AT58" s="1497" t="n">
        <v>0</v>
      </c>
      <c r="AU58" s="1497" t="n">
        <v>470000</v>
      </c>
      <c r="AV58" s="1497" t="n">
        <v>0</v>
      </c>
      <c r="AW58" s="1497" t="n">
        <v>0</v>
      </c>
      <c r="AX58" s="1497" t="n">
        <v>0</v>
      </c>
      <c r="AY58" s="232" t="n">
        <v>0</v>
      </c>
      <c r="AZ58" s="1499" t="n">
        <v>0</v>
      </c>
      <c r="BA58" s="1503" t="n">
        <v>0</v>
      </c>
      <c r="BB58" s="1497" t="inlineStr">
        <is>
          <t>32.,750</t>
        </is>
      </c>
      <c r="BC58" s="1497" t="n">
        <v>0</v>
      </c>
      <c r="BD58" s="1497" t="n">
        <v>0</v>
      </c>
      <c r="BE58" s="1497" t="n">
        <v>0</v>
      </c>
      <c r="BF58" s="1497" t="n">
        <v>31000</v>
      </c>
      <c r="BG58" s="1497" t="n">
        <v>0</v>
      </c>
      <c r="BH58" s="1504">
        <f>SUM(T58:AB58)+SUM(AF58:BA58)-SUM(BB58:BG58)</f>
        <v/>
      </c>
      <c r="BI58" s="1505">
        <f>S58*17.5%</f>
        <v/>
      </c>
      <c r="BJ58" s="1505">
        <f>S58*3%</f>
        <v/>
      </c>
      <c r="BK58" s="1505">
        <f>S58*1%</f>
        <v/>
      </c>
      <c r="BL58" s="1506" t="n"/>
      <c r="BM58" s="1507">
        <f>SUM(BI58:BL58)</f>
        <v/>
      </c>
      <c r="BN58" s="1505">
        <f>S58*8%</f>
        <v/>
      </c>
      <c r="BO58" s="1505">
        <f>S58*1.5%</f>
        <v/>
      </c>
      <c r="BP58" s="1505">
        <f>S58*1%</f>
        <v/>
      </c>
      <c r="BQ58" s="1506" t="n"/>
      <c r="BR58" s="1507">
        <f>SUM(BN58:BQ58)</f>
        <v/>
      </c>
      <c r="BS58" s="1505">
        <f>T58+U58+V58+W58</f>
        <v/>
      </c>
      <c r="BT58" s="1508">
        <f>BH58-BS58-AH58</f>
        <v/>
      </c>
      <c r="BU58" s="1505">
        <f>IF(E58="HĐLĐ",15500000,0)</f>
        <v/>
      </c>
      <c r="BV58" s="1509" t="n">
        <v>0</v>
      </c>
      <c r="BW58" s="1505">
        <f>BV58*6200000</f>
        <v/>
      </c>
      <c r="BX58" s="1505">
        <f>BR58</f>
        <v/>
      </c>
      <c r="BY58" s="1510">
        <f>BU58+BW58+BX58</f>
        <v/>
      </c>
      <c r="BZ58" s="1505">
        <f>IF(BT58-BY58&gt;0,BT58-BY58,0)</f>
        <v/>
      </c>
      <c r="CA58" s="1506">
        <f>IF(AND(OR($E58="HĐTV",$E58="HĐCTV"),$BZ58&lt;2000000),0,IF(OR($E58="HĐTV",$E58="HĐCTV"),$BZ58*10%,ROUND(IF($BZ58&lt;=10000000,$BZ58*5%,IF($BZ58&lt;=30000000,$BZ58*10%-500000,IF($BZ58&lt;=60000000,$BZ58*20%-3500000,IF($BZ58&lt;=100000000,$BZ58*30%-9500000,$BZ58*35%-14500000)))),0)))</f>
        <v/>
      </c>
      <c r="CB58" s="1511">
        <f>ROUND(BH58-BR58-CA58,0)</f>
        <v/>
      </c>
      <c r="CC58" s="1509" t="n"/>
      <c r="CD58" s="1512" t="n">
        <v>0</v>
      </c>
      <c r="CE58" s="1513">
        <f>CB58+CC58-CD58</f>
        <v/>
      </c>
      <c r="CF58" s="1514">
        <f>CE58-CG58</f>
        <v/>
      </c>
      <c r="CG58" s="1514">
        <f>CE58</f>
        <v/>
      </c>
      <c r="CH58" s="1515" t="n"/>
      <c r="CI58" s="1516" t="inlineStr">
        <is>
          <t>ly.trieu@medigoapp.com</t>
        </is>
      </c>
      <c r="CJ58" s="1497" t="n">
        <v>0</v>
      </c>
      <c r="CK58" s="1495" t="n">
        <v>5</v>
      </c>
      <c r="CL58" s="1497" t="n"/>
      <c r="CM58" s="1495" t="n">
        <v>25</v>
      </c>
      <c r="CN58" s="1495" t="n">
        <v>9</v>
      </c>
      <c r="CO58" s="1495" t="n">
        <v>2023</v>
      </c>
      <c r="CP58" s="1517">
        <f>IF((($CO$7-CO58)*12)+($CN$7-CN58)&gt;=12,((($CO$7-CO58)*12)+($CN$7-CN58))-1,0)</f>
        <v/>
      </c>
      <c r="CQ58" s="1518">
        <f>IF(CP58&lt;12,(($CQ$7-CO58)*12)+($CP$7-CN58),0)</f>
        <v/>
      </c>
      <c r="CR58" s="1517">
        <f>IF(OR(CP58&gt;12,CP58=12),((CP58-(CS58*12))+((($CQ$7-2024)*12)+($CP$7-4)))+1,0)</f>
        <v/>
      </c>
      <c r="CS58" s="1519">
        <f>IF(OR(CP58&gt;12,CP58=12),ROUNDDOWN(CP58/12,0),0)</f>
        <v/>
      </c>
      <c r="CT58" s="1519">
        <f>IF(CQ58&gt;11,ROUNDDOWN(CQ58/12,0),0)</f>
        <v/>
      </c>
      <c r="CU58" s="1519">
        <f>IF(CR58&gt;11,ROUNDDOWN(CR58/12,0),0)</f>
        <v/>
      </c>
      <c r="CV58" s="1520">
        <f>IF(CP58=0,0,6000000*1.07^CS58)</f>
        <v/>
      </c>
      <c r="CW58" s="1520">
        <f>IF(CT58&lt;2,0,6000000+(CT58-1)*500000)</f>
        <v/>
      </c>
      <c r="CX58" s="1520">
        <f>IF(CU58=0,CV58,IF(CU58&lt;1,0,CV58+CU58*500000))</f>
        <v/>
      </c>
      <c r="CY58" s="1520">
        <f>IF(CX58&gt;0,CX58,IF(CW58&gt;0,CW58,6000000))</f>
        <v/>
      </c>
      <c r="CZ58" s="1521" t="n"/>
      <c r="DA58" s="1522" t="n"/>
      <c r="DB58" s="1521" t="n"/>
      <c r="DC58" s="1521" t="n"/>
      <c r="DD58" s="1487" t="n"/>
      <c r="DE58" s="1523" t="n"/>
      <c r="DF58" s="1497" t="n"/>
      <c r="DG58" s="212" t="n"/>
    </row>
    <row r="59">
      <c r="A59" s="230" t="n">
        <v>43</v>
      </c>
      <c r="B59" s="1376" t="n">
        <v>8</v>
      </c>
      <c r="C59" s="176" t="inlineStr">
        <is>
          <t>Cao Trong Nhan</t>
        </is>
      </c>
      <c r="D59" s="250" t="inlineStr">
        <is>
          <t>Cao Trọng Nhân</t>
        </is>
      </c>
      <c r="E59" s="1492">
        <f>IF(OR(G59="CHT",G59="DSBC",G59="DSXC"),"HĐLĐ",IF(OR(G59="DSTV",G59="Q.CHT"),"HĐTV","HĐCTV"))</f>
        <v/>
      </c>
      <c r="F59" s="1493" t="inlineStr">
        <is>
          <t>Nguyễn Thị Thập</t>
        </is>
      </c>
      <c r="G59" s="1494" t="inlineStr">
        <is>
          <t>DSBC</t>
        </is>
      </c>
      <c r="H59" s="1495" t="inlineStr">
        <is>
          <t>18/12/2025</t>
        </is>
      </c>
      <c r="I59" s="1496" t="inlineStr">
        <is>
          <t>109868265987</t>
        </is>
      </c>
      <c r="J59" s="1496" t="inlineStr">
        <is>
          <t>Vietinbank</t>
        </is>
      </c>
      <c r="K59" s="1497" t="n">
        <v>28</v>
      </c>
      <c r="L59" s="1497" t="n">
        <v>28</v>
      </c>
      <c r="M59" s="1497" t="n">
        <v>40.73</v>
      </c>
      <c r="N59" s="1497" t="n">
        <v>228.5</v>
      </c>
      <c r="O59" s="1497" t="n">
        <v>0</v>
      </c>
      <c r="P59" s="232" t="n"/>
      <c r="Q59" s="1497" t="n"/>
      <c r="R59" s="1498" t="n"/>
      <c r="S59" s="1499">
        <f>IF(E59="HĐLĐ",5310000,0)</f>
        <v/>
      </c>
      <c r="T59" s="1500" t="n">
        <v>500000.0000000001</v>
      </c>
      <c r="U59" s="1501" t="n"/>
      <c r="V59" s="232" t="n"/>
      <c r="W59" s="232" t="n"/>
      <c r="X59" s="232" t="n"/>
      <c r="Y59" s="232" t="n"/>
      <c r="Z59" s="232" t="n"/>
      <c r="AA59" s="1497" t="n">
        <v>0</v>
      </c>
      <c r="AB59" s="1497" t="n">
        <v>0</v>
      </c>
      <c r="AC59" s="1499" t="n">
        <v>6000000</v>
      </c>
      <c r="AD59" s="232" t="n"/>
      <c r="AE59" s="232" t="n"/>
      <c r="AF59" s="232" t="n"/>
      <c r="AG59" s="1502">
        <f>IF(E59="HĐTV",AE59/28/8*M59,AC59/28/8*M59)</f>
        <v/>
      </c>
      <c r="AH59" s="1499">
        <f>IF(E59="HĐTV",AE59/28/8*N59*1.5,AC59/28/8*N59*1.5)</f>
        <v/>
      </c>
      <c r="AI59" s="232" t="n">
        <v>1500000</v>
      </c>
      <c r="AJ59" s="232" t="n">
        <v>0</v>
      </c>
      <c r="AK59" s="232" t="n">
        <v>0</v>
      </c>
      <c r="AL59" s="1497" t="n">
        <v>0</v>
      </c>
      <c r="AM59" s="1497" t="n">
        <v>0</v>
      </c>
      <c r="AN59" s="1497" t="n">
        <v>500000</v>
      </c>
      <c r="AO59" s="1497" t="n">
        <v>1347392</v>
      </c>
      <c r="AP59" s="1497" t="n">
        <v>2214100</v>
      </c>
      <c r="AQ59" s="1497" t="n">
        <v>130696</v>
      </c>
      <c r="AR59" s="1497" t="n">
        <v>0</v>
      </c>
      <c r="AS59" s="1497" t="n">
        <v>0</v>
      </c>
      <c r="AT59" s="1497" t="n">
        <v>0</v>
      </c>
      <c r="AU59" s="1497" t="n">
        <v>0</v>
      </c>
      <c r="AV59" s="1497" t="n">
        <v>0</v>
      </c>
      <c r="AW59" s="1497" t="n">
        <v>0</v>
      </c>
      <c r="AX59" s="1497" t="n">
        <v>0</v>
      </c>
      <c r="AY59" s="232" t="n">
        <v>0</v>
      </c>
      <c r="AZ59" s="1499" t="n">
        <v>100000</v>
      </c>
      <c r="BA59" s="1503" t="n">
        <v>100000</v>
      </c>
      <c r="BB59" s="1497" t="inlineStr">
        <is>
          <t>32.,750</t>
        </is>
      </c>
      <c r="BC59" s="1497" t="n">
        <v>0</v>
      </c>
      <c r="BD59" s="1497" t="n">
        <v>0</v>
      </c>
      <c r="BE59" s="1497" t="n">
        <v>0</v>
      </c>
      <c r="BF59" s="1497" t="n">
        <v>0</v>
      </c>
      <c r="BG59" s="1497" t="n">
        <v>0</v>
      </c>
      <c r="BH59" s="1504">
        <f>SUM(T59:AB59)+SUM(AF59:BA59)-SUM(BB59:BG59)</f>
        <v/>
      </c>
      <c r="BI59" s="1505">
        <f>S59*17.5%</f>
        <v/>
      </c>
      <c r="BJ59" s="1505">
        <f>S59*3%</f>
        <v/>
      </c>
      <c r="BK59" s="1505">
        <f>S59*1%</f>
        <v/>
      </c>
      <c r="BL59" s="1506" t="n"/>
      <c r="BM59" s="1507">
        <f>SUM(BI59:BL59)</f>
        <v/>
      </c>
      <c r="BN59" s="1505">
        <f>S59*8%</f>
        <v/>
      </c>
      <c r="BO59" s="1505">
        <f>S59*1.5%</f>
        <v/>
      </c>
      <c r="BP59" s="1505">
        <f>S59*1%</f>
        <v/>
      </c>
      <c r="BQ59" s="1506" t="n"/>
      <c r="BR59" s="1507">
        <f>SUM(BN59:BQ59)</f>
        <v/>
      </c>
      <c r="BS59" s="1505">
        <f>T59+U59+V59+W59</f>
        <v/>
      </c>
      <c r="BT59" s="1508">
        <f>BH59-BS59-AH59</f>
        <v/>
      </c>
      <c r="BU59" s="1505">
        <f>IF(E59="HĐLĐ",15500000,0)</f>
        <v/>
      </c>
      <c r="BV59" s="1509" t="n">
        <v>0</v>
      </c>
      <c r="BW59" s="1505">
        <f>BV59*6200000</f>
        <v/>
      </c>
      <c r="BX59" s="1505">
        <f>BR59</f>
        <v/>
      </c>
      <c r="BY59" s="1510">
        <f>BU59+BW59+BX59</f>
        <v/>
      </c>
      <c r="BZ59" s="1505">
        <f>IF(BT59-BY59&gt;0,BT59-BY59,0)</f>
        <v/>
      </c>
      <c r="CA59" s="1506">
        <f>IF(AND(OR($E59="HĐTV",$E59="HĐCTV"),$BZ59&lt;2000000),0,IF(OR($E59="HĐTV",$E59="HĐCTV"),$BZ59*10%,ROUND(IF($BZ59&lt;=10000000,$BZ59*5%,IF($BZ59&lt;=30000000,$BZ59*10%-500000,IF($BZ59&lt;=60000000,$BZ59*20%-3500000,IF($BZ59&lt;=100000000,$BZ59*30%-9500000,$BZ59*35%-14500000)))),0)))</f>
        <v/>
      </c>
      <c r="CB59" s="1511">
        <f>ROUND(BH59-BR59-CA59,0)</f>
        <v/>
      </c>
      <c r="CC59" s="1509" t="n"/>
      <c r="CD59" s="1512" t="n">
        <v>0</v>
      </c>
      <c r="CE59" s="1513">
        <f>CB59+CC59-CD59</f>
        <v/>
      </c>
      <c r="CF59" s="1514">
        <f>CE59-CG59</f>
        <v/>
      </c>
      <c r="CG59" s="1514">
        <f>CE59</f>
        <v/>
      </c>
      <c r="CH59" s="1515" t="n"/>
      <c r="CI59" s="1516">
        <f>VLOOKUP($C63,[5]Sheet1!$C$5:$K$139,9,0)</f>
        <v/>
      </c>
      <c r="CJ59" s="1497" t="n">
        <v>0</v>
      </c>
      <c r="CK59" s="1495" t="n">
        <v>8</v>
      </c>
      <c r="CL59" s="1497" t="n"/>
      <c r="CM59" s="1495" t="n">
        <v>18</v>
      </c>
      <c r="CN59" s="1495" t="n">
        <v>12</v>
      </c>
      <c r="CO59" s="1495" t="n">
        <v>2025</v>
      </c>
      <c r="CP59" s="1517">
        <f>IF((($CO$7-CO59)*12)+($CN$7-CN59)&gt;=12,((($CO$7-CO59)*12)+($CN$7-CN59))-1,0)</f>
        <v/>
      </c>
      <c r="CQ59" s="1518">
        <f>IF(CP59&lt;12,(($CQ$7-CO59)*12)+($CP$7-CN59),0)</f>
        <v/>
      </c>
      <c r="CR59" s="1517">
        <f>IF(OR(CP59&gt;12,CP59=12),((CP59-(CS59*12))+((($CQ$7-2024)*12)+($CP$7-4)))+1,0)</f>
        <v/>
      </c>
      <c r="CS59" s="1519">
        <f>IF(OR(CP59&gt;12,CP59=12),ROUNDDOWN(CP59/12,0),0)</f>
        <v/>
      </c>
      <c r="CT59" s="1519">
        <f>IF(CQ59&gt;11,ROUNDDOWN(CQ59/12,0),0)</f>
        <v/>
      </c>
      <c r="CU59" s="1519">
        <f>IF(CR59&gt;11,ROUNDDOWN(CR59/12,0),0)</f>
        <v/>
      </c>
      <c r="CV59" s="1520">
        <f>IF(CP59=0,0,6000000*1.07^CS59)</f>
        <v/>
      </c>
      <c r="CW59" s="1520">
        <f>IF(CT59&lt;2,0,6000000+(CT59-1)*500000)</f>
        <v/>
      </c>
      <c r="CX59" s="1520">
        <f>IF(CU59=0,CV59,IF(CU59&lt;1,0,CV59+CU59*500000))</f>
        <v/>
      </c>
      <c r="CY59" s="1520" t="n">
        <v>6000000</v>
      </c>
      <c r="CZ59" s="1521" t="n"/>
      <c r="DA59" s="1522" t="n"/>
      <c r="DB59" s="1521" t="n"/>
      <c r="DC59" s="1521" t="n"/>
      <c r="DD59" s="1487" t="n"/>
      <c r="DE59" s="1523" t="n"/>
      <c r="DF59" s="1497" t="n"/>
      <c r="DG59" s="212" t="n"/>
    </row>
    <row r="60">
      <c r="A60" s="230" t="n">
        <v>44</v>
      </c>
      <c r="B60" s="1376" t="n">
        <v>8</v>
      </c>
      <c r="C60" s="176" t="inlineStr">
        <is>
          <t>Tran Thanh Dat</t>
        </is>
      </c>
      <c r="D60" s="250" t="inlineStr">
        <is>
          <t>Trần Thành Đạt</t>
        </is>
      </c>
      <c r="E60" s="1492">
        <f>IF(OR(G60="CHT",G60="DSBC",G60="DSXC"),"HĐLĐ",IF(OR(G60="DSTV",G60="Q.CHT"),"HĐTV","HĐCTV"))</f>
        <v/>
      </c>
      <c r="F60" s="1493" t="inlineStr">
        <is>
          <t>Nguyễn Thị Thập</t>
        </is>
      </c>
      <c r="G60" s="1494" t="inlineStr">
        <is>
          <t>DSBC</t>
        </is>
      </c>
      <c r="H60" s="1495" t="inlineStr">
        <is>
          <t>21/07/2025</t>
        </is>
      </c>
      <c r="I60" s="1496" t="inlineStr">
        <is>
          <t>0621000445313</t>
        </is>
      </c>
      <c r="J60" s="1496" t="inlineStr">
        <is>
          <t>Vietcombank</t>
        </is>
      </c>
      <c r="K60" s="1497" t="n">
        <v>28</v>
      </c>
      <c r="L60" s="1497" t="n">
        <v>28</v>
      </c>
      <c r="M60" s="1497" t="n">
        <v>12.59</v>
      </c>
      <c r="N60" s="1497" t="n">
        <v>258.7</v>
      </c>
      <c r="O60" s="1497" t="n">
        <v>0</v>
      </c>
      <c r="P60" s="232" t="n"/>
      <c r="Q60" s="1497" t="n"/>
      <c r="R60" s="1498" t="n"/>
      <c r="S60" s="1499">
        <f>IF(E60="HĐLĐ",5310000,0)</f>
        <v/>
      </c>
      <c r="T60" s="1500" t="n">
        <v>500000.0000000001</v>
      </c>
      <c r="U60" s="1501" t="n"/>
      <c r="V60" s="232" t="n"/>
      <c r="W60" s="232" t="n"/>
      <c r="X60" s="232" t="n"/>
      <c r="Y60" s="232" t="n"/>
      <c r="Z60" s="232" t="n"/>
      <c r="AA60" s="1497" t="n">
        <v>0</v>
      </c>
      <c r="AB60" s="1497" t="n">
        <v>0</v>
      </c>
      <c r="AC60" s="1499" t="n">
        <v>6000000</v>
      </c>
      <c r="AD60" s="232" t="n"/>
      <c r="AE60" s="232" t="n"/>
      <c r="AF60" s="232" t="n"/>
      <c r="AG60" s="1502">
        <f>IF(E60="HĐTV",AE60/28/8*M60,AC60/28/8*M60)</f>
        <v/>
      </c>
      <c r="AH60" s="1499">
        <f>IF(E60="HĐTV",AE60/28/8*N60*1.5,AC60/28/8*N60*1.5)</f>
        <v/>
      </c>
      <c r="AI60" s="232" t="n">
        <v>1500000</v>
      </c>
      <c r="AJ60" s="232" t="n">
        <v>0</v>
      </c>
      <c r="AK60" s="232" t="n">
        <v>0</v>
      </c>
      <c r="AL60" s="1497" t="n">
        <v>0</v>
      </c>
      <c r="AM60" s="1497" t="n">
        <v>0</v>
      </c>
      <c r="AN60" s="1497" t="n">
        <v>0</v>
      </c>
      <c r="AO60" s="1497" t="n">
        <v>0</v>
      </c>
      <c r="AP60" s="1497" t="n">
        <v>1922350</v>
      </c>
      <c r="AQ60" s="1497" t="n">
        <v>29087</v>
      </c>
      <c r="AR60" s="1497" t="n">
        <v>0</v>
      </c>
      <c r="AS60" s="1497" t="n">
        <v>0</v>
      </c>
      <c r="AT60" s="1497" t="n">
        <v>0</v>
      </c>
      <c r="AU60" s="1497" t="n">
        <v>0</v>
      </c>
      <c r="AV60" s="1497" t="n">
        <v>0</v>
      </c>
      <c r="AW60" s="1497" t="n">
        <v>0</v>
      </c>
      <c r="AX60" s="1497" t="n">
        <v>0</v>
      </c>
      <c r="AY60" s="232" t="n">
        <v>0</v>
      </c>
      <c r="AZ60" s="1499" t="n">
        <v>0</v>
      </c>
      <c r="BA60" s="1503" t="n">
        <v>2500000</v>
      </c>
      <c r="BB60" s="1497" t="inlineStr">
        <is>
          <t>32.,750</t>
        </is>
      </c>
      <c r="BC60" s="1497" t="n">
        <v>0</v>
      </c>
      <c r="BD60" s="1497" t="n">
        <v>0</v>
      </c>
      <c r="BE60" s="1497" t="n">
        <v>0</v>
      </c>
      <c r="BF60" s="1497" t="n">
        <v>0</v>
      </c>
      <c r="BG60" s="1497" t="n">
        <v>0</v>
      </c>
      <c r="BH60" s="1504">
        <f>SUM(T60:AB60)+SUM(AF60:BA60)-SUM(BB60:BG60)</f>
        <v/>
      </c>
      <c r="BI60" s="1505">
        <f>S60*17.5%</f>
        <v/>
      </c>
      <c r="BJ60" s="1505">
        <f>S60*3%</f>
        <v/>
      </c>
      <c r="BK60" s="1505">
        <f>S60*1%</f>
        <v/>
      </c>
      <c r="BL60" s="1506" t="n"/>
      <c r="BM60" s="1507">
        <f>SUM(BI60:BL60)</f>
        <v/>
      </c>
      <c r="BN60" s="1505">
        <f>S60*8%</f>
        <v/>
      </c>
      <c r="BO60" s="1505">
        <f>S60*1.5%</f>
        <v/>
      </c>
      <c r="BP60" s="1505">
        <f>S60*1%</f>
        <v/>
      </c>
      <c r="BQ60" s="1506" t="n"/>
      <c r="BR60" s="1507">
        <f>SUM(BN60:BQ60)</f>
        <v/>
      </c>
      <c r="BS60" s="1505">
        <f>T60+U60+V60+W60</f>
        <v/>
      </c>
      <c r="BT60" s="1508">
        <f>BH60-BS60-AH60</f>
        <v/>
      </c>
      <c r="BU60" s="1505">
        <f>IF(E60="HĐLĐ",15500000,0)</f>
        <v/>
      </c>
      <c r="BV60" s="1509" t="n">
        <v>0</v>
      </c>
      <c r="BW60" s="1505">
        <f>BV60*6200000</f>
        <v/>
      </c>
      <c r="BX60" s="1505">
        <f>BR60</f>
        <v/>
      </c>
      <c r="BY60" s="1510">
        <f>BU60+BW60+BX60</f>
        <v/>
      </c>
      <c r="BZ60" s="1505">
        <f>IF(BT60-BY60&gt;0,BT60-BY60,0)</f>
        <v/>
      </c>
      <c r="CA60" s="1506">
        <f>IF(AND(OR($E60="HĐTV",$E60="HĐCTV"),$BZ60&lt;2000000),0,IF(OR($E60="HĐTV",$E60="HĐCTV"),$BZ60*10%,ROUND(IF($BZ60&lt;=10000000,$BZ60*5%,IF($BZ60&lt;=30000000,$BZ60*10%-500000,IF($BZ60&lt;=60000000,$BZ60*20%-3500000,IF($BZ60&lt;=100000000,$BZ60*30%-9500000,$BZ60*35%-14500000)))),0)))</f>
        <v/>
      </c>
      <c r="CB60" s="1511">
        <f>ROUND(BH60-BR60-CA60,0)</f>
        <v/>
      </c>
      <c r="CC60" s="1509" t="n"/>
      <c r="CD60" s="1512" t="n">
        <v>0</v>
      </c>
      <c r="CE60" s="1513">
        <f>CB60+CC60-CD60</f>
        <v/>
      </c>
      <c r="CF60" s="1514">
        <f>CE60-CG60</f>
        <v/>
      </c>
      <c r="CG60" s="1514">
        <f>CE60</f>
        <v/>
      </c>
      <c r="CH60" s="1515" t="n"/>
      <c r="CI60" s="1516" t="inlineStr">
        <is>
          <t>dat.tran@medigoapp.com</t>
        </is>
      </c>
      <c r="CJ60" s="1497" t="n">
        <v>0</v>
      </c>
      <c r="CK60" s="1495" t="n">
        <v>9</v>
      </c>
      <c r="CL60" s="1497" t="n"/>
      <c r="CM60" s="1495" t="n">
        <v>21</v>
      </c>
      <c r="CN60" s="1495" t="n">
        <v>7</v>
      </c>
      <c r="CO60" s="1495" t="n">
        <v>2025</v>
      </c>
      <c r="CP60" s="1517">
        <f>IF((($CO$7-CO60)*12)+($CN$7-CN60)&gt;=12,((($CO$7-CO60)*12)+($CN$7-CN60))-1,0)</f>
        <v/>
      </c>
      <c r="CQ60" s="1518">
        <f>IF(CP60&lt;12,(($CQ$7-CO60)*12)+($CP$7-CN60),0)</f>
        <v/>
      </c>
      <c r="CR60" s="1517">
        <f>IF(OR(CP60&gt;12,CP60=12),((CP60-(CS60*12))+((($CQ$7-2024)*12)+($CP$7-4)))+1,0)</f>
        <v/>
      </c>
      <c r="CS60" s="1519">
        <f>IF(OR(CP60&gt;12,CP60=12),ROUNDDOWN(CP60/12,0),0)</f>
        <v/>
      </c>
      <c r="CT60" s="1519">
        <f>IF(CQ60&gt;11,ROUNDDOWN(CQ60/12,0),0)</f>
        <v/>
      </c>
      <c r="CU60" s="1519">
        <f>IF(CR60&gt;11,ROUNDDOWN(CR60/12,0),0)</f>
        <v/>
      </c>
      <c r="CV60" s="1520">
        <f>IF(CP60=0,0,6000000*1.07^CS60)</f>
        <v/>
      </c>
      <c r="CW60" s="1520">
        <f>IF(CT60&lt;2,0,6000000+(CT60-1)*500000)</f>
        <v/>
      </c>
      <c r="CX60" s="1520">
        <f>IF(CU60=0,CV60,IF(CU60&lt;1,0,CV60+CU60*500000))</f>
        <v/>
      </c>
      <c r="CY60" s="1520">
        <f>IF(CX60&gt;0,CX60,IF(CW60&gt;0,CW60,6000000))</f>
        <v/>
      </c>
      <c r="CZ60" s="1521" t="n"/>
      <c r="DA60" s="1522" t="n"/>
      <c r="DB60" s="1521" t="n"/>
      <c r="DC60" s="1521" t="n"/>
      <c r="DD60" s="1487" t="n"/>
      <c r="DE60" s="1523" t="n"/>
      <c r="DF60" s="1497" t="n"/>
      <c r="DG60" s="212" t="n"/>
    </row>
    <row r="61">
      <c r="A61" s="230" t="n">
        <v>45</v>
      </c>
      <c r="B61" s="1376" t="n">
        <v>8</v>
      </c>
      <c r="C61" s="176" t="inlineStr">
        <is>
          <t>Hoang Lam Gia Bao</t>
        </is>
      </c>
      <c r="D61" s="250" t="inlineStr">
        <is>
          <t>Hoàng Lâm Gia Bảo</t>
        </is>
      </c>
      <c r="E61" s="1492">
        <f>IF(OR(G61="CHT",G61="DSBC",G61="DSXC"),"HĐLĐ",IF(OR(G61="DSTV",G61="Q.CHT"),"HĐTV","HĐCTV"))</f>
        <v/>
      </c>
      <c r="F61" s="1493" t="inlineStr">
        <is>
          <t>Nguyễn Thị Thập</t>
        </is>
      </c>
      <c r="G61" s="1494" t="inlineStr">
        <is>
          <t>DSBC</t>
        </is>
      </c>
      <c r="H61" s="1495" t="inlineStr">
        <is>
          <t>27/5/2026</t>
        </is>
      </c>
      <c r="I61" s="1496" t="inlineStr">
        <is>
          <t>067106916868</t>
        </is>
      </c>
      <c r="J61" s="1496" t="inlineStr">
        <is>
          <t>Sacombank</t>
        </is>
      </c>
      <c r="K61" s="1497" t="n">
        <v>28</v>
      </c>
      <c r="L61" s="1497" t="n">
        <v>7</v>
      </c>
      <c r="M61" s="1497" t="n">
        <v>42.37</v>
      </c>
      <c r="N61" s="1497" t="n">
        <v>0</v>
      </c>
      <c r="O61" s="1497" t="n">
        <v>0</v>
      </c>
      <c r="P61" s="232" t="n"/>
      <c r="Q61" s="1497" t="n"/>
      <c r="R61" s="1498" t="n"/>
      <c r="S61" s="1499">
        <f>IF(E61="HĐLĐ",5310000,0)</f>
        <v/>
      </c>
      <c r="T61" s="1500" t="n">
        <v>125000</v>
      </c>
      <c r="U61" s="1501" t="n"/>
      <c r="V61" s="232" t="n"/>
      <c r="W61" s="232" t="n"/>
      <c r="X61" s="232" t="n"/>
      <c r="Y61" s="232" t="n"/>
      <c r="Z61" s="232" t="n"/>
      <c r="AA61" s="1497" t="n">
        <v>0</v>
      </c>
      <c r="AB61" s="1497" t="n">
        <v>0</v>
      </c>
      <c r="AC61" s="1499" t="n">
        <v>6000000</v>
      </c>
      <c r="AD61" s="232">
        <f>AC61</f>
        <v/>
      </c>
      <c r="AE61" s="232" t="n">
        <v>0</v>
      </c>
      <c r="AF61" s="232">
        <f>IF(E61="HĐTV",AE61/K61*L61,AD61/K61*L61)</f>
        <v/>
      </c>
      <c r="AG61" s="1502">
        <f>IF(E61="HĐTV",AE61/28/8*M61,AC61/28/8*M61)</f>
        <v/>
      </c>
      <c r="AH61" s="1499">
        <f>IF(E61="HĐTV",AE61/28/8*N61*1.5,AC61/28/8*N61*1.5)</f>
        <v/>
      </c>
      <c r="AI61" s="232" t="n">
        <v>0</v>
      </c>
      <c r="AJ61" s="232" t="n">
        <v>0</v>
      </c>
      <c r="AK61" s="232" t="n">
        <v>0</v>
      </c>
      <c r="AL61" s="1497" t="n">
        <v>0</v>
      </c>
      <c r="AM61" s="1497" t="n">
        <v>0</v>
      </c>
      <c r="AN61" s="1497" t="n">
        <v>0</v>
      </c>
      <c r="AO61" s="1497" t="n">
        <v>0</v>
      </c>
      <c r="AP61" s="1497" t="n">
        <v>0</v>
      </c>
      <c r="AQ61" s="1497" t="n">
        <v>0</v>
      </c>
      <c r="AR61" s="1497" t="n">
        <v>0</v>
      </c>
      <c r="AS61" s="1497" t="n">
        <v>0</v>
      </c>
      <c r="AT61" s="1497" t="n">
        <v>0</v>
      </c>
      <c r="AU61" s="1497" t="n">
        <v>0</v>
      </c>
      <c r="AV61" s="1497" t="n">
        <v>0</v>
      </c>
      <c r="AW61" s="1497" t="n">
        <v>0</v>
      </c>
      <c r="AX61" s="1497" t="n">
        <v>0</v>
      </c>
      <c r="AY61" s="232" t="n">
        <v>0</v>
      </c>
      <c r="AZ61" s="1499" t="n">
        <v>0</v>
      </c>
      <c r="BA61" s="1503" t="n">
        <v>0</v>
      </c>
      <c r="BB61" s="1497" t="n">
        <v>0</v>
      </c>
      <c r="BC61" s="1497" t="n">
        <v>0</v>
      </c>
      <c r="BD61" s="1497" t="n">
        <v>0</v>
      </c>
      <c r="BE61" s="1497" t="n">
        <v>0</v>
      </c>
      <c r="BF61" s="1497" t="n">
        <v>0</v>
      </c>
      <c r="BG61" s="1497" t="n">
        <v>0</v>
      </c>
      <c r="BH61" s="1504">
        <f>SUM(T61:AB61)+SUM(AF61:BA61)-SUM(BB61:BG61)</f>
        <v/>
      </c>
      <c r="BI61" s="1505">
        <f>S61*17.5%</f>
        <v/>
      </c>
      <c r="BJ61" s="1505">
        <f>S61*3%</f>
        <v/>
      </c>
      <c r="BK61" s="1505">
        <f>S61*1%</f>
        <v/>
      </c>
      <c r="BL61" s="1506" t="n"/>
      <c r="BM61" s="1507">
        <f>SUM(BI61:BL61)</f>
        <v/>
      </c>
      <c r="BN61" s="1505">
        <f>S61*8%</f>
        <v/>
      </c>
      <c r="BO61" s="1505">
        <f>S61*1.5%</f>
        <v/>
      </c>
      <c r="BP61" s="1505">
        <f>S61*1%</f>
        <v/>
      </c>
      <c r="BQ61" s="1506" t="n"/>
      <c r="BR61" s="1507">
        <f>SUM(BN61:BQ61)</f>
        <v/>
      </c>
      <c r="BS61" s="1505">
        <f>T61+U61+V61+W61</f>
        <v/>
      </c>
      <c r="BT61" s="1508">
        <f>BH61-BS61-AH61</f>
        <v/>
      </c>
      <c r="BU61" s="1505">
        <f>IF(E61="HĐLĐ",15500000,0)</f>
        <v/>
      </c>
      <c r="BV61" s="1509" t="n">
        <v>0</v>
      </c>
      <c r="BW61" s="1505">
        <f>BV61*6200000</f>
        <v/>
      </c>
      <c r="BX61" s="1505">
        <f>BR61</f>
        <v/>
      </c>
      <c r="BY61" s="1510">
        <f>BU61+BW61+BX61</f>
        <v/>
      </c>
      <c r="BZ61" s="1505">
        <f>IF(BT61-BY61&gt;0,BT61-BY61,0)</f>
        <v/>
      </c>
      <c r="CA61" s="1506">
        <f>IF(AND(OR($E61="HĐTV",$E61="HĐCTV"),$BZ61&lt;2000000),0,IF(OR($E61="HĐTV",$E61="HĐCTV"),$BZ61*10%,ROUND(IF($BZ61&lt;=10000000,$BZ61*5%,IF($BZ61&lt;=30000000,$BZ61*10%-500000,IF($BZ61&lt;=60000000,$BZ61*20%-3500000,IF($BZ61&lt;=100000000,$BZ61*30%-9500000,$BZ61*35%-14500000)))),0)))</f>
        <v/>
      </c>
      <c r="CB61" s="1511">
        <f>ROUND(BH61-BR61-CA61,0)</f>
        <v/>
      </c>
      <c r="CC61" s="1509" t="n"/>
      <c r="CD61" s="1512" t="n">
        <v>0</v>
      </c>
      <c r="CE61" s="1513">
        <f>CB61+CC61-CD61</f>
        <v/>
      </c>
      <c r="CF61" s="1514">
        <f>CE61-CG61</f>
        <v/>
      </c>
      <c r="CG61" s="1514">
        <f>CE61</f>
        <v/>
      </c>
      <c r="CH61" s="1515" t="n"/>
      <c r="CI61" s="1516" t="inlineStr">
        <is>
          <t>mailto:ha.le@medigoapp.com</t>
        </is>
      </c>
      <c r="CJ61" s="1497" t="n"/>
      <c r="CK61" s="1495" t="n">
        <v>11</v>
      </c>
      <c r="CL61" s="1497" t="n"/>
      <c r="CM61" s="1495" t="n"/>
      <c r="CN61" s="1495" t="n"/>
      <c r="CO61" s="1495" t="n"/>
      <c r="CP61" s="1517" t="n"/>
      <c r="CQ61" s="1518" t="n"/>
      <c r="CR61" s="1517" t="n"/>
      <c r="CS61" s="1519" t="n"/>
      <c r="CT61" s="1519" t="n"/>
      <c r="CU61" s="1519" t="n"/>
      <c r="CV61" s="1520" t="n"/>
      <c r="CW61" s="1520" t="n"/>
      <c r="CX61" s="1520" t="n"/>
      <c r="CY61" s="1520" t="n">
        <v>5100000</v>
      </c>
      <c r="CZ61" s="1521" t="n"/>
      <c r="DA61" s="1522" t="n"/>
      <c r="DB61" s="1521" t="n"/>
      <c r="DC61" s="1521" t="n"/>
      <c r="DD61" s="1487" t="n"/>
      <c r="DE61" s="1523" t="n"/>
      <c r="DF61" s="1497" t="n"/>
      <c r="DG61" s="212" t="n"/>
    </row>
    <row r="62">
      <c r="A62" s="230" t="n">
        <v>46</v>
      </c>
      <c r="B62" s="1376" t="n">
        <v>8</v>
      </c>
      <c r="C62" s="176" t="inlineStr">
        <is>
          <t>Nguyen Tri Nghia</t>
        </is>
      </c>
      <c r="D62" s="250" t="inlineStr">
        <is>
          <t>Nguyễn Trí Nghĩa</t>
        </is>
      </c>
      <c r="E62" s="1492">
        <f>IF(OR(G62="CHT",G62="DSBC",G62="DSXC"),"HĐLĐ",IF(OR(G62="DSTV",G62="Q.CHT"),"HĐTV","HĐCTV"))</f>
        <v/>
      </c>
      <c r="F62" s="1493" t="inlineStr">
        <is>
          <t>Nguyễn Thị Thập</t>
        </is>
      </c>
      <c r="G62" s="1494" t="inlineStr">
        <is>
          <t>DSBC</t>
        </is>
      </c>
      <c r="H62" s="1495" t="n">
        <v>45439</v>
      </c>
      <c r="I62" s="1496" t="inlineStr">
        <is>
          <t>0251002787705</t>
        </is>
      </c>
      <c r="J62" s="1496" t="inlineStr">
        <is>
          <t>Vietcombank</t>
        </is>
      </c>
      <c r="K62" s="1497" t="n">
        <v>28</v>
      </c>
      <c r="L62" s="1497" t="n">
        <v>15</v>
      </c>
      <c r="M62" s="1497" t="n">
        <v>100.03</v>
      </c>
      <c r="N62" s="1497" t="n">
        <v>15.9</v>
      </c>
      <c r="O62" s="1497" t="n">
        <v>0</v>
      </c>
      <c r="P62" s="232" t="n"/>
      <c r="Q62" s="1497" t="n"/>
      <c r="R62" s="1498" t="n"/>
      <c r="S62" s="1499">
        <f>IF(E62="HĐLĐ",5310000,0)</f>
        <v/>
      </c>
      <c r="T62" s="1500" t="n">
        <v>267857.1428571429</v>
      </c>
      <c r="U62" s="1501" t="n"/>
      <c r="V62" s="232" t="n"/>
      <c r="W62" s="232" t="n"/>
      <c r="X62" s="232" t="n"/>
      <c r="Y62" s="232" t="n"/>
      <c r="Z62" s="232" t="n"/>
      <c r="AA62" s="1497" t="n">
        <v>0</v>
      </c>
      <c r="AB62" s="1497" t="n">
        <v>0</v>
      </c>
      <c r="AC62" s="1499" t="n">
        <v>6500000</v>
      </c>
      <c r="AD62" s="232" t="n"/>
      <c r="AE62" s="232" t="n"/>
      <c r="AF62" s="232" t="n"/>
      <c r="AG62" s="1502">
        <f>IF(E62="HĐTV",AE62/28/8*M62,AC62/28/8*M62)</f>
        <v/>
      </c>
      <c r="AH62" s="1499">
        <f>IF(E62="HĐTV",AE62/28/8*N62*1.5,AC62/28/8*N62*1.5)</f>
        <v/>
      </c>
      <c r="AI62" s="232" t="n">
        <v>0</v>
      </c>
      <c r="AJ62" s="232" t="n">
        <v>0</v>
      </c>
      <c r="AK62" s="232" t="n">
        <v>0</v>
      </c>
      <c r="AL62" s="1497" t="n">
        <v>0</v>
      </c>
      <c r="AM62" s="1497" t="n">
        <v>0</v>
      </c>
      <c r="AN62" s="1497" t="n">
        <v>0</v>
      </c>
      <c r="AO62" s="1497" t="n">
        <v>0</v>
      </c>
      <c r="AP62" s="1497" t="n">
        <v>609435</v>
      </c>
      <c r="AQ62" s="1497" t="n">
        <v>13341</v>
      </c>
      <c r="AR62" s="1497" t="n">
        <v>0</v>
      </c>
      <c r="AS62" s="1497" t="n">
        <v>0</v>
      </c>
      <c r="AT62" s="1497" t="n">
        <v>0</v>
      </c>
      <c r="AU62" s="1497" t="n">
        <v>0</v>
      </c>
      <c r="AV62" s="1497" t="n">
        <v>0</v>
      </c>
      <c r="AW62" s="1497" t="n">
        <v>0</v>
      </c>
      <c r="AX62" s="1497" t="n">
        <v>0</v>
      </c>
      <c r="AY62" s="232" t="n">
        <v>0</v>
      </c>
      <c r="AZ62" s="1499" t="n">
        <v>0</v>
      </c>
      <c r="BA62" s="1503" t="n">
        <v>0</v>
      </c>
      <c r="BB62" s="1497" t="inlineStr">
        <is>
          <t>32.,750</t>
        </is>
      </c>
      <c r="BC62" s="1497" t="n">
        <v>0</v>
      </c>
      <c r="BD62" s="1497" t="n">
        <v>0</v>
      </c>
      <c r="BE62" s="1497" t="n">
        <v>0</v>
      </c>
      <c r="BF62" s="1497" t="n">
        <v>130600</v>
      </c>
      <c r="BG62" s="1497" t="n">
        <v>0</v>
      </c>
      <c r="BH62" s="1504">
        <f>SUM(T62:AB62)+SUM(AF62:BA62)-SUM(BB62:BG62)</f>
        <v/>
      </c>
      <c r="BI62" s="1505">
        <f>S62*17.5%</f>
        <v/>
      </c>
      <c r="BJ62" s="1505">
        <f>S62*3%</f>
        <v/>
      </c>
      <c r="BK62" s="1505">
        <f>S62*1%</f>
        <v/>
      </c>
      <c r="BL62" s="1506" t="n"/>
      <c r="BM62" s="1507">
        <f>SUM(BI62:BL62)</f>
        <v/>
      </c>
      <c r="BN62" s="1505">
        <f>S62*8%</f>
        <v/>
      </c>
      <c r="BO62" s="1505">
        <f>S62*1.5%</f>
        <v/>
      </c>
      <c r="BP62" s="1505">
        <f>S62*1%</f>
        <v/>
      </c>
      <c r="BQ62" s="1506" t="n"/>
      <c r="BR62" s="1507">
        <f>SUM(BN62:BQ62)</f>
        <v/>
      </c>
      <c r="BS62" s="1505">
        <f>T62+U62+V62+W62</f>
        <v/>
      </c>
      <c r="BT62" s="1508">
        <f>BH62-BS62-AH62</f>
        <v/>
      </c>
      <c r="BU62" s="1505">
        <f>IF(E62="HĐLĐ",15500000,0)</f>
        <v/>
      </c>
      <c r="BV62" s="1509" t="n">
        <v>0</v>
      </c>
      <c r="BW62" s="1505">
        <f>BV62*6200000</f>
        <v/>
      </c>
      <c r="BX62" s="1505">
        <f>BR62</f>
        <v/>
      </c>
      <c r="BY62" s="1510">
        <f>BU62+BW62+BX62</f>
        <v/>
      </c>
      <c r="BZ62" s="1505">
        <f>IF(BT62-BY62&gt;0,BT62-BY62,0)</f>
        <v/>
      </c>
      <c r="CA62" s="1506">
        <f>IF(AND(OR($E62="HĐTV",$E62="HĐCTV"),$BZ62&lt;2000000),0,IF(OR($E62="HĐTV",$E62="HĐCTV"),$BZ62*10%,ROUND(IF($BZ62&lt;=10000000,$BZ62*5%,IF($BZ62&lt;=30000000,$BZ62*10%-500000,IF($BZ62&lt;=60000000,$BZ62*20%-3500000,IF($BZ62&lt;=100000000,$BZ62*30%-9500000,$BZ62*35%-14500000)))),0)))</f>
        <v/>
      </c>
      <c r="CB62" s="1511">
        <f>ROUND(BH62-BR62-CA62,0)</f>
        <v/>
      </c>
      <c r="CC62" s="1509" t="n"/>
      <c r="CD62" s="1512" t="n">
        <v>0</v>
      </c>
      <c r="CE62" s="1513">
        <f>CB62+CC62-CD62</f>
        <v/>
      </c>
      <c r="CF62" s="1514">
        <f>CE62-CG62</f>
        <v/>
      </c>
      <c r="CG62" s="1514">
        <f>CE62</f>
        <v/>
      </c>
      <c r="CH62" s="1515" t="n"/>
      <c r="CI62" s="1516" t="inlineStr">
        <is>
          <t>tringhia.nguyen@medigoapp.com</t>
        </is>
      </c>
      <c r="CJ62" s="1497" t="n">
        <v>0</v>
      </c>
      <c r="CK62" s="1495" t="n">
        <v>5</v>
      </c>
      <c r="CL62" s="1497" t="n"/>
      <c r="CM62" s="1495" t="n">
        <v>27</v>
      </c>
      <c r="CN62" s="1495" t="n">
        <v>5</v>
      </c>
      <c r="CO62" s="1495" t="n">
        <v>2024</v>
      </c>
      <c r="CP62" s="1517" t="n">
        <v>0</v>
      </c>
      <c r="CQ62" s="1518">
        <f>IF(CP62&lt;12,(($CQ$7-CO62)*12)+($CP$7-CN62),0)</f>
        <v/>
      </c>
      <c r="CR62" s="1517">
        <f>IF(OR(CP62&gt;12,CP62=12),((CP62-(CS62*12))+((($CQ$7-2024)*12)+($CP$7-4)))+1,0)</f>
        <v/>
      </c>
      <c r="CS62" s="1519" t="n">
        <v>0</v>
      </c>
      <c r="CT62" s="1519">
        <f>IF(CQ62&gt;11,ROUNDDOWN(CQ62/12,0),0)</f>
        <v/>
      </c>
      <c r="CU62" s="1519" t="n">
        <v>0</v>
      </c>
      <c r="CV62" s="1520" t="n">
        <v>0</v>
      </c>
      <c r="CW62" s="1520">
        <f>IF(CT62&lt;2,0,6000000+(CT62-1)*500000)</f>
        <v/>
      </c>
      <c r="CX62" s="1520" t="n">
        <v>0</v>
      </c>
      <c r="CY62" s="1520">
        <f>IF(CX62&gt;0,CX62,IF(CW62&gt;0,CW62,6000000))</f>
        <v/>
      </c>
      <c r="CZ62" s="1521" t="n"/>
      <c r="DA62" s="1522" t="n"/>
      <c r="DB62" s="1521" t="n"/>
      <c r="DC62" s="1521" t="n"/>
      <c r="DD62" s="1487" t="n"/>
      <c r="DE62" s="1523" t="n"/>
      <c r="DF62" s="1497" t="n"/>
      <c r="DG62" s="212" t="n"/>
    </row>
    <row r="63">
      <c r="A63" s="230" t="n">
        <v>47</v>
      </c>
      <c r="B63" s="1376" t="n">
        <v>8</v>
      </c>
      <c r="C63" s="176" t="inlineStr">
        <is>
          <t>Phan Cong Vu Tai</t>
        </is>
      </c>
      <c r="D63" s="250" t="inlineStr">
        <is>
          <t>Phan Công Vũ Tài</t>
        </is>
      </c>
      <c r="E63" s="1492">
        <f>IF(OR(G63="CHT",G63="DSBC",G63="DSXC"),"HĐLĐ",IF(OR(G63="DSTV",G63="Q.CHT"),"HĐTV","HĐCTV"))</f>
        <v/>
      </c>
      <c r="F63" s="1493" t="inlineStr">
        <is>
          <t>Nguyễn Thị Thập</t>
        </is>
      </c>
      <c r="G63" s="1494" t="inlineStr">
        <is>
          <t>DSBC</t>
        </is>
      </c>
      <c r="H63" s="1495" t="inlineStr">
        <is>
          <t>26/01/2026</t>
        </is>
      </c>
      <c r="I63" s="1496" t="inlineStr">
        <is>
          <t>02446989901</t>
        </is>
      </c>
      <c r="J63" s="1496" t="inlineStr">
        <is>
          <t>Tp Bank</t>
        </is>
      </c>
      <c r="K63" s="1497" t="n">
        <v>28</v>
      </c>
      <c r="L63" s="1497" t="n">
        <v>2</v>
      </c>
      <c r="M63" s="1497" t="n">
        <v>11.42</v>
      </c>
      <c r="N63" s="1497" t="n">
        <v>0</v>
      </c>
      <c r="O63" s="1497" t="n">
        <v>0</v>
      </c>
      <c r="P63" s="232" t="n"/>
      <c r="Q63" s="1497" t="n"/>
      <c r="R63" s="1498" t="n"/>
      <c r="S63" s="1499">
        <f>IF(E63="HĐLĐ",5310000,0)</f>
        <v/>
      </c>
      <c r="T63" s="1500" t="n"/>
      <c r="U63" s="1501" t="n"/>
      <c r="V63" s="232" t="n"/>
      <c r="W63" s="232" t="n"/>
      <c r="X63" s="232" t="n"/>
      <c r="Y63" s="232" t="n"/>
      <c r="Z63" s="232" t="n"/>
      <c r="AA63" s="1497" t="n">
        <v>0</v>
      </c>
      <c r="AB63" s="1497" t="n">
        <v>0</v>
      </c>
      <c r="AC63" s="1499" t="n">
        <v>6000000</v>
      </c>
      <c r="AD63" s="232">
        <f>AC63</f>
        <v/>
      </c>
      <c r="AE63" s="232" t="n">
        <v>0</v>
      </c>
      <c r="AF63" s="232">
        <f>IF(E63="HĐTV",AE63/K63*L63,AD63/K63*L63)</f>
        <v/>
      </c>
      <c r="AG63" s="1502">
        <f>IF(E63="HĐTV",AE63/28/8*M63,AC63/28/8*M63)</f>
        <v/>
      </c>
      <c r="AH63" s="1499">
        <f>IF(E63="HĐTV",AE63/28/8*N63*1.5,AC63/28/8*N63*1.5)</f>
        <v/>
      </c>
      <c r="AI63" s="232" t="n">
        <v>0</v>
      </c>
      <c r="AJ63" s="232" t="n">
        <v>0</v>
      </c>
      <c r="AK63" s="232" t="n">
        <v>0</v>
      </c>
      <c r="AL63" s="1497" t="n">
        <v>0</v>
      </c>
      <c r="AM63" s="1497" t="n">
        <v>0</v>
      </c>
      <c r="AN63" s="1497" t="n">
        <v>0</v>
      </c>
      <c r="AO63" s="1497" t="n">
        <v>0</v>
      </c>
      <c r="AP63" s="1497" t="n">
        <v>0</v>
      </c>
      <c r="AQ63" s="1497" t="n">
        <v>15362</v>
      </c>
      <c r="AR63" s="1497" t="n">
        <v>0</v>
      </c>
      <c r="AS63" s="1497" t="n">
        <v>0</v>
      </c>
      <c r="AT63" s="1497" t="n">
        <v>0</v>
      </c>
      <c r="AU63" s="1497" t="n">
        <v>0</v>
      </c>
      <c r="AV63" s="1497" t="n">
        <v>0</v>
      </c>
      <c r="AW63" s="1497" t="n">
        <v>0</v>
      </c>
      <c r="AX63" s="1497" t="n">
        <v>0</v>
      </c>
      <c r="AY63" s="232" t="n">
        <v>0</v>
      </c>
      <c r="AZ63" s="1499" t="n">
        <v>0</v>
      </c>
      <c r="BA63" s="1503" t="n">
        <v>0</v>
      </c>
      <c r="BB63" s="1497" t="n">
        <v>0</v>
      </c>
      <c r="BC63" s="1497" t="n">
        <v>0</v>
      </c>
      <c r="BD63" s="1497" t="n">
        <v>0</v>
      </c>
      <c r="BE63" s="1497" t="n">
        <v>0</v>
      </c>
      <c r="BF63" s="1497" t="n">
        <v>0</v>
      </c>
      <c r="BG63" s="1497" t="n">
        <v>0</v>
      </c>
      <c r="BH63" s="1504">
        <f>SUM(T63:AB63)+SUM(AF63:BA63)-SUM(BB63:BG63)</f>
        <v/>
      </c>
      <c r="BI63" s="1505">
        <f>S63*17.5%</f>
        <v/>
      </c>
      <c r="BJ63" s="1505">
        <f>S63*3%</f>
        <v/>
      </c>
      <c r="BK63" s="1505">
        <f>S63*1%</f>
        <v/>
      </c>
      <c r="BL63" s="1506" t="n"/>
      <c r="BM63" s="1507">
        <f>SUM(BI63:BL63)</f>
        <v/>
      </c>
      <c r="BN63" s="1505">
        <f>S63*8%</f>
        <v/>
      </c>
      <c r="BO63" s="1505">
        <f>S63*1.5%</f>
        <v/>
      </c>
      <c r="BP63" s="1505">
        <f>S63*1%</f>
        <v/>
      </c>
      <c r="BQ63" s="1506" t="n"/>
      <c r="BR63" s="1507">
        <f>SUM(BN63:BQ63)</f>
        <v/>
      </c>
      <c r="BS63" s="1505">
        <f>T63+U63+V63+W63</f>
        <v/>
      </c>
      <c r="BT63" s="1508">
        <f>BH63-BS63-AH63</f>
        <v/>
      </c>
      <c r="BU63" s="1505">
        <f>IF(E63="HĐLĐ",15500000,0)</f>
        <v/>
      </c>
      <c r="BV63" s="1509" t="n">
        <v>0</v>
      </c>
      <c r="BW63" s="1505">
        <f>BV63*6200000</f>
        <v/>
      </c>
      <c r="BX63" s="1505">
        <f>BR63</f>
        <v/>
      </c>
      <c r="BY63" s="1510">
        <f>BU63+BW63+BX63</f>
        <v/>
      </c>
      <c r="BZ63" s="1505">
        <f>IF(BT63-BY63&gt;0,BT63-BY63,0)</f>
        <v/>
      </c>
      <c r="CA63" s="1506">
        <f>IF(AND(OR($E63="HĐTV",$E63="HĐCTV"),$BZ63&lt;2000000),0,IF(OR($E63="HĐTV",$E63="HĐCTV"),$BZ63*10%,ROUND(IF($BZ63&lt;=10000000,$BZ63*5%,IF($BZ63&lt;=30000000,$BZ63*10%-500000,IF($BZ63&lt;=60000000,$BZ63*20%-3500000,IF($BZ63&lt;=100000000,$BZ63*30%-9500000,$BZ63*35%-14500000)))),0)))</f>
        <v/>
      </c>
      <c r="CB63" s="1511">
        <f>ROUND(BH63-BR63-CA63,0)</f>
        <v/>
      </c>
      <c r="CC63" s="1509" t="n"/>
      <c r="CD63" s="1512" t="n">
        <v>0</v>
      </c>
      <c r="CE63" s="1513">
        <f>CB63+CC63-CD63</f>
        <v/>
      </c>
      <c r="CF63" s="1514">
        <f>CE63-CG63</f>
        <v/>
      </c>
      <c r="CG63" s="1514">
        <f>CE63</f>
        <v/>
      </c>
      <c r="CH63" s="1515" t="n"/>
      <c r="CI63" s="1516" t="inlineStr">
        <is>
          <t>mailto:ha.le@medigoapp.com</t>
        </is>
      </c>
      <c r="CJ63" s="1497" t="n"/>
      <c r="CK63" s="1495" t="n">
        <v>4</v>
      </c>
      <c r="CL63" s="1497" t="n"/>
      <c r="CM63" s="1495" t="n"/>
      <c r="CN63" s="1495" t="n"/>
      <c r="CO63" s="1495" t="n"/>
      <c r="CP63" s="1517" t="n"/>
      <c r="CQ63" s="1518" t="n"/>
      <c r="CR63" s="1517" t="n"/>
      <c r="CS63" s="1519" t="n"/>
      <c r="CT63" s="1519" t="n"/>
      <c r="CU63" s="1519" t="n"/>
      <c r="CV63" s="1520" t="n"/>
      <c r="CW63" s="1520" t="n"/>
      <c r="CX63" s="1520" t="n"/>
      <c r="CY63" s="1520">
        <f>IF(CX63&gt;0,CX63,IF(CW63&gt;0,CW63,6000000))</f>
        <v/>
      </c>
      <c r="CZ63" s="1521" t="n"/>
      <c r="DA63" s="1522" t="n"/>
      <c r="DB63" s="1521" t="n"/>
      <c r="DC63" s="1521" t="n"/>
      <c r="DD63" s="1487" t="n"/>
      <c r="DE63" s="1523" t="n"/>
      <c r="DF63" s="1497" t="n"/>
      <c r="DG63" s="212" t="n"/>
    </row>
    <row r="64">
      <c r="A64" s="230" t="n">
        <v>48</v>
      </c>
      <c r="B64" s="1376" t="n">
        <v>8</v>
      </c>
      <c r="C64" s="176" t="inlineStr">
        <is>
          <t>Bui Thi Bich Tram</t>
        </is>
      </c>
      <c r="D64" s="250" t="inlineStr">
        <is>
          <t>Bùi Thị Bích Trâm</t>
        </is>
      </c>
      <c r="E64" s="1492">
        <f>IF(OR(G64="CHT",G64="DSBC",G64="DSXC"),"HĐLĐ",IF(OR(G64="DSTV",G64="Q.CHT"),"HĐTV","HĐCTV"))</f>
        <v/>
      </c>
      <c r="F64" s="1493" t="inlineStr">
        <is>
          <t>Nguyễn Thị Thập</t>
        </is>
      </c>
      <c r="G64" s="1494" t="inlineStr">
        <is>
          <t>DSHV</t>
        </is>
      </c>
      <c r="H64" s="1495" t="inlineStr">
        <is>
          <t>06/07/2026</t>
        </is>
      </c>
      <c r="I64" s="1496" t="inlineStr">
        <is>
          <t>1016922539</t>
        </is>
      </c>
      <c r="J64" s="1496" t="inlineStr">
        <is>
          <t>Vietcombank</t>
        </is>
      </c>
      <c r="K64" s="1497" t="n">
        <v>28</v>
      </c>
      <c r="L64" s="1497" t="n">
        <v>15</v>
      </c>
      <c r="M64" s="1497" t="n">
        <v>178.17</v>
      </c>
      <c r="N64" s="1497" t="n">
        <v>0</v>
      </c>
      <c r="O64" s="1497" t="n">
        <v>0</v>
      </c>
      <c r="P64" s="232" t="n"/>
      <c r="Q64" s="1497" t="n"/>
      <c r="R64" s="1498" t="n"/>
      <c r="S64" s="1499">
        <f>IF(E64="HĐLĐ",5310000,0)</f>
        <v/>
      </c>
      <c r="T64" s="1500" t="n">
        <v>267857.1428571429</v>
      </c>
      <c r="U64" s="1501" t="n"/>
      <c r="V64" s="232" t="n"/>
      <c r="W64" s="232" t="n"/>
      <c r="X64" s="232" t="n"/>
      <c r="Y64" s="232" t="n"/>
      <c r="Z64" s="232" t="n"/>
      <c r="AA64" s="1497" t="n">
        <v>0</v>
      </c>
      <c r="AB64" s="1497" t="n">
        <v>0</v>
      </c>
      <c r="AC64" s="1499" t="n">
        <v>3000000</v>
      </c>
      <c r="AD64" s="232" t="n"/>
      <c r="AE64" s="232" t="n"/>
      <c r="AF64" s="232" t="n"/>
      <c r="AG64" s="1502">
        <f>IF(E64="HĐTV",AE64/28/8*M64,AC64/28/8*M64)</f>
        <v/>
      </c>
      <c r="AH64" s="1499">
        <f>IF(E64="HĐTV",AE64/28/8*N64*1.5,AC64/28/8*N64*1.5)</f>
        <v/>
      </c>
      <c r="AI64" s="232" t="n">
        <v>0</v>
      </c>
      <c r="AJ64" s="232" t="n">
        <v>0</v>
      </c>
      <c r="AK64" s="232" t="n">
        <v>0</v>
      </c>
      <c r="AL64" s="1497" t="n">
        <v>0</v>
      </c>
      <c r="AM64" s="1497" t="n">
        <v>0</v>
      </c>
      <c r="AN64" s="1497" t="n">
        <v>0</v>
      </c>
      <c r="AO64" s="1497" t="n">
        <v>0</v>
      </c>
      <c r="AP64" s="1497" t="n">
        <v>0</v>
      </c>
      <c r="AQ64" s="1497" t="n">
        <v>0</v>
      </c>
      <c r="AR64" s="1497" t="n">
        <v>0</v>
      </c>
      <c r="AS64" s="1497" t="n">
        <v>1500000</v>
      </c>
      <c r="AT64" s="1497" t="n">
        <v>0</v>
      </c>
      <c r="AU64" s="1497" t="n">
        <v>0</v>
      </c>
      <c r="AV64" s="1497" t="n">
        <v>0</v>
      </c>
      <c r="AW64" s="1497" t="n">
        <v>0</v>
      </c>
      <c r="AX64" s="1497" t="n">
        <v>0</v>
      </c>
      <c r="AY64" s="232" t="n">
        <v>0</v>
      </c>
      <c r="AZ64" s="1499" t="n">
        <v>0</v>
      </c>
      <c r="BA64" s="1503" t="n">
        <v>0</v>
      </c>
      <c r="BB64" s="1497" t="n">
        <v>0</v>
      </c>
      <c r="BC64" s="1497" t="n">
        <v>0</v>
      </c>
      <c r="BD64" s="1497" t="n">
        <v>0</v>
      </c>
      <c r="BE64" s="1497" t="n">
        <v>0</v>
      </c>
      <c r="BF64" s="1497" t="n">
        <v>0</v>
      </c>
      <c r="BG64" s="1497" t="n">
        <v>0</v>
      </c>
      <c r="BH64" s="1504">
        <f>SUM(T64:AB64)+SUM(AF64:BA64)-SUM(BB64:BG64)</f>
        <v/>
      </c>
      <c r="BI64" s="1505">
        <f>S64*17.5%</f>
        <v/>
      </c>
      <c r="BJ64" s="1505">
        <f>S64*3%</f>
        <v/>
      </c>
      <c r="BK64" s="1505">
        <f>S64*1%</f>
        <v/>
      </c>
      <c r="BL64" s="1506" t="n"/>
      <c r="BM64" s="1507">
        <f>SUM(BI64:BL64)</f>
        <v/>
      </c>
      <c r="BN64" s="1505">
        <f>S64*8%</f>
        <v/>
      </c>
      <c r="BO64" s="1505">
        <f>S64*1.5%</f>
        <v/>
      </c>
      <c r="BP64" s="1505">
        <f>S64*1%</f>
        <v/>
      </c>
      <c r="BQ64" s="1506" t="n"/>
      <c r="BR64" s="1507">
        <f>SUM(BN64:BQ64)</f>
        <v/>
      </c>
      <c r="BS64" s="1505">
        <f>T64+U64+V64+W64</f>
        <v/>
      </c>
      <c r="BT64" s="1508">
        <f>BH64-BS64-AH64</f>
        <v/>
      </c>
      <c r="BU64" s="1505">
        <f>IF(E64="HĐLĐ",15500000,0)</f>
        <v/>
      </c>
      <c r="BV64" s="1509" t="n">
        <v>0</v>
      </c>
      <c r="BW64" s="1505">
        <f>BV64*6200000</f>
        <v/>
      </c>
      <c r="BX64" s="1505">
        <f>BR64</f>
        <v/>
      </c>
      <c r="BY64" s="1510">
        <f>BU64+BW64+BX64</f>
        <v/>
      </c>
      <c r="BZ64" s="1505">
        <f>IF(BT64-BY64&gt;0,BT64-BY64,0)</f>
        <v/>
      </c>
      <c r="CA64" s="1506">
        <f>IF(AND(OR($E64="HĐTV",$E64="HĐCTV"),$BZ64&lt;2000000),0,IF(OR($E64="HĐTV",$E64="HĐCTV"),$BZ64*10%,ROUND(IF($BZ64&lt;=10000000,$BZ64*5%,IF($BZ64&lt;=30000000,$BZ64*10%-500000,IF($BZ64&lt;=60000000,$BZ64*20%-3500000,IF($BZ64&lt;=100000000,$BZ64*30%-9500000,$BZ64*35%-14500000)))),0)))</f>
        <v/>
      </c>
      <c r="CB64" s="1511">
        <f>ROUND(BH64-BR64-CA64,0)</f>
        <v/>
      </c>
      <c r="CC64" s="1509" t="n"/>
      <c r="CD64" s="1512" t="n">
        <v>0</v>
      </c>
      <c r="CE64" s="1513">
        <f>CB64+CC64-CD64</f>
        <v/>
      </c>
      <c r="CF64" s="1514">
        <f>CE64-CG64</f>
        <v/>
      </c>
      <c r="CG64" s="1514">
        <f>CE64</f>
        <v/>
      </c>
      <c r="CH64" s="1515" t="n"/>
      <c r="CI64" s="1516" t="inlineStr">
        <is>
          <t>tram.bui@medigoapp.com</t>
        </is>
      </c>
      <c r="CJ64" s="1497" t="n">
        <v>0</v>
      </c>
      <c r="CK64" s="1495" t="n">
        <v>6</v>
      </c>
      <c r="CL64" s="1497" t="n"/>
      <c r="CM64" s="1495" t="n"/>
      <c r="CN64" s="1495" t="n"/>
      <c r="CO64" s="1495" t="n"/>
      <c r="CP64" s="1517" t="n"/>
      <c r="CQ64" s="1518" t="n"/>
      <c r="CR64" s="1517" t="n"/>
      <c r="CS64" s="1519" t="n"/>
      <c r="CT64" s="1519" t="n"/>
      <c r="CU64" s="1519" t="n"/>
      <c r="CV64" s="1520" t="n"/>
      <c r="CW64" s="1520" t="n"/>
      <c r="CX64" s="1520" t="n"/>
      <c r="CY64" s="1520" t="n">
        <v>3000000</v>
      </c>
      <c r="CZ64" s="1521" t="n"/>
      <c r="DA64" s="1522" t="n"/>
      <c r="DB64" s="1521" t="n"/>
      <c r="DC64" s="1521" t="n"/>
      <c r="DD64" s="1487" t="n"/>
      <c r="DE64" s="1523" t="n"/>
      <c r="DF64" s="1497" t="n"/>
      <c r="DG64" s="212" t="n"/>
    </row>
    <row r="65">
      <c r="A65" s="1524" t="n"/>
      <c r="B65" s="1525" t="n"/>
      <c r="C65" s="1526" t="n"/>
      <c r="D65" s="1527" t="n"/>
      <c r="E65" s="1528" t="n"/>
      <c r="F65" s="1529">
        <f>SUM(F57:F64)</f>
        <v/>
      </c>
      <c r="G65" s="1530" t="n"/>
      <c r="H65" s="1531" t="n"/>
      <c r="I65" s="1532" t="n"/>
      <c r="J65" s="1532" t="n"/>
      <c r="K65" s="1533">
        <f>SUM(K57:K64)</f>
        <v/>
      </c>
      <c r="L65" s="1533">
        <f>SUM(L57:L64)</f>
        <v/>
      </c>
      <c r="M65" s="1534">
        <f>SUM(M57:M64)</f>
        <v/>
      </c>
      <c r="N65" s="1534">
        <f>SUM(N57:N64)</f>
        <v/>
      </c>
      <c r="O65" s="1533">
        <f>SUM(O57:O64)</f>
        <v/>
      </c>
      <c r="P65" s="1533">
        <f>SUM(P57:P64)</f>
        <v/>
      </c>
      <c r="Q65" s="1533">
        <f>SUM(Q57:Q64)</f>
        <v/>
      </c>
      <c r="R65" s="1533" t="n"/>
      <c r="S65" s="1533">
        <f>SUM(S57:S64)</f>
        <v/>
      </c>
      <c r="T65" s="1533">
        <f>SUM(T57:T64)</f>
        <v/>
      </c>
      <c r="U65" s="1533">
        <f>SUM(U57:U64)</f>
        <v/>
      </c>
      <c r="V65" s="1533">
        <f>SUM(V57:V64)</f>
        <v/>
      </c>
      <c r="W65" s="1533">
        <f>SUM(W57:W64)</f>
        <v/>
      </c>
      <c r="X65" s="1533">
        <f>SUM(X57:X64)</f>
        <v/>
      </c>
      <c r="Y65" s="1533">
        <f>SUM(Y57:Y64)</f>
        <v/>
      </c>
      <c r="Z65" s="1533">
        <f>SUM(Z57:Z64)</f>
        <v/>
      </c>
      <c r="AA65" s="1533">
        <f>SUM(AA57:AA64)</f>
        <v/>
      </c>
      <c r="AB65" s="1533">
        <f>SUM(AB57:AB64)</f>
        <v/>
      </c>
      <c r="AC65" s="1533">
        <f>SUM(AC57:AC64)</f>
        <v/>
      </c>
      <c r="AD65" s="1533">
        <f>SUM(AD57:AD64)</f>
        <v/>
      </c>
      <c r="AE65" s="1533">
        <f>SUM(AE57:AE64)</f>
        <v/>
      </c>
      <c r="AF65" s="1533">
        <f>SUM(AF57:AF64)</f>
        <v/>
      </c>
      <c r="AG65" s="1533">
        <f>SUM(AG57:AG64)</f>
        <v/>
      </c>
      <c r="AH65" s="1533">
        <f>SUM(AH57:AH64)</f>
        <v/>
      </c>
      <c r="AI65" s="1533">
        <f>SUM(AI57:AI64)</f>
        <v/>
      </c>
      <c r="AJ65" s="1533">
        <f>SUM(AJ57:AJ64)</f>
        <v/>
      </c>
      <c r="AK65" s="1533">
        <f>SUM(AK57:AK64)</f>
        <v/>
      </c>
      <c r="AL65" s="1533">
        <f>SUM(AL57:AL64)</f>
        <v/>
      </c>
      <c r="AM65" s="1533">
        <f>SUM(AM57:AM64)</f>
        <v/>
      </c>
      <c r="AN65" s="1533">
        <f>SUM(AN57:AN64)</f>
        <v/>
      </c>
      <c r="AO65" s="1533">
        <f>SUM(AO57:AO64)</f>
        <v/>
      </c>
      <c r="AP65" s="1533">
        <f>SUM(AP57:AP64)</f>
        <v/>
      </c>
      <c r="AQ65" s="1533">
        <f>SUM(AQ57:AQ64)</f>
        <v/>
      </c>
      <c r="AR65" s="1533">
        <f>SUM(AR57:AR64)</f>
        <v/>
      </c>
      <c r="AS65" s="1533">
        <f>SUM(AS57:AS64)</f>
        <v/>
      </c>
      <c r="AT65" s="1533">
        <f>SUM(AT57:AT64)</f>
        <v/>
      </c>
      <c r="AU65" s="1533">
        <f>SUM(AU57:AU64)</f>
        <v/>
      </c>
      <c r="AV65" s="1533">
        <f>SUM(AV57:AV64)</f>
        <v/>
      </c>
      <c r="AW65" s="1533">
        <f>SUM(AW57:AW64)</f>
        <v/>
      </c>
      <c r="AX65" s="1533">
        <f>SUM(AX57:AX64)</f>
        <v/>
      </c>
      <c r="AY65" s="1533">
        <f>SUM(AY57:AY64)</f>
        <v/>
      </c>
      <c r="AZ65" s="1533">
        <f>SUM(AZ57:AZ64)</f>
        <v/>
      </c>
      <c r="BA65" s="1533">
        <f>SUM(BA57:BA64)</f>
        <v/>
      </c>
      <c r="BB65" s="1533">
        <f>SUM(BB57:BB64)</f>
        <v/>
      </c>
      <c r="BC65" s="1533">
        <f>SUM(BC57:BC64)</f>
        <v/>
      </c>
      <c r="BD65" s="1533">
        <f>SUM(BD57:BD64)</f>
        <v/>
      </c>
      <c r="BE65" s="1533">
        <f>SUM(BE57:BE64)</f>
        <v/>
      </c>
      <c r="BF65" s="1533">
        <f>SUM(BF57:BF64)</f>
        <v/>
      </c>
      <c r="BG65" s="1533">
        <f>SUM(BG57:BG64)</f>
        <v/>
      </c>
      <c r="BH65" s="1533">
        <f>SUM(BH57:BH64)</f>
        <v/>
      </c>
      <c r="BI65" s="1533">
        <f>SUM(BI57:BI64)</f>
        <v/>
      </c>
      <c r="BJ65" s="1533">
        <f>SUM(BJ57:BJ64)</f>
        <v/>
      </c>
      <c r="BK65" s="1533">
        <f>SUM(BK57:BK64)</f>
        <v/>
      </c>
      <c r="BL65" s="1533">
        <f>SUM(BL57:BL64)</f>
        <v/>
      </c>
      <c r="BM65" s="1533">
        <f>SUM(BM57:BM64)</f>
        <v/>
      </c>
      <c r="BN65" s="1533">
        <f>SUM(BN57:BN64)</f>
        <v/>
      </c>
      <c r="BO65" s="1533">
        <f>SUM(BO57:BO64)</f>
        <v/>
      </c>
      <c r="BP65" s="1533">
        <f>SUM(BP57:BP64)</f>
        <v/>
      </c>
      <c r="BQ65" s="1533">
        <f>SUM(BQ57:BQ64)</f>
        <v/>
      </c>
      <c r="BR65" s="1533">
        <f>SUM(BR57:BR64)</f>
        <v/>
      </c>
      <c r="BS65" s="1533">
        <f>SUM(BS57:BS64)</f>
        <v/>
      </c>
      <c r="BT65" s="1533">
        <f>SUM(BT57:BT64)</f>
        <v/>
      </c>
      <c r="BU65" s="1533">
        <f>SUM(BU57:BU64)</f>
        <v/>
      </c>
      <c r="BV65" s="1533">
        <f>SUM(BV57:BV64)</f>
        <v/>
      </c>
      <c r="BW65" s="1533">
        <f>SUM(BW57:BW64)</f>
        <v/>
      </c>
      <c r="BX65" s="1533">
        <f>SUM(BX57:BX64)</f>
        <v/>
      </c>
      <c r="BY65" s="1533">
        <f>SUM(BY57:BY64)</f>
        <v/>
      </c>
      <c r="BZ65" s="1533">
        <f>SUM(BZ57:BZ64)</f>
        <v/>
      </c>
      <c r="CA65" s="1533">
        <f>SUM(CA57:CA64)</f>
        <v/>
      </c>
      <c r="CB65" s="1533">
        <f>SUM(CB57:CB64)</f>
        <v/>
      </c>
      <c r="CC65" s="1533">
        <f>SUM(CC57:CC64)</f>
        <v/>
      </c>
      <c r="CD65" s="1533">
        <f>SUM(CD57:CD64)</f>
        <v/>
      </c>
      <c r="CE65" s="1533">
        <f>SUM(CE57:CE64)</f>
        <v/>
      </c>
      <c r="CF65" s="1533">
        <f>SUM(CF57:CF64)</f>
        <v/>
      </c>
      <c r="CG65" s="1533">
        <f>SUM(CG57:CG64)</f>
        <v/>
      </c>
      <c r="CH65" s="1533" t="n"/>
      <c r="CI65" s="1533" t="n"/>
      <c r="CJ65" s="1533" t="n"/>
      <c r="CK65" s="1531" t="n"/>
      <c r="CL65" s="1533">
        <f>SUM(CL57:CL64)</f>
        <v/>
      </c>
      <c r="CM65" s="1531" t="n"/>
      <c r="CN65" s="1531" t="n"/>
      <c r="CO65" s="1531" t="n"/>
      <c r="CP65" s="1535" t="n"/>
      <c r="CQ65" s="1536" t="n"/>
      <c r="CR65" s="1535" t="n"/>
      <c r="CS65" s="1537" t="n"/>
      <c r="CT65" s="1537" t="n"/>
      <c r="CU65" s="1537" t="n"/>
      <c r="CV65" s="1538" t="n"/>
      <c r="CW65" s="1538" t="n"/>
      <c r="CX65" s="1538" t="n"/>
      <c r="CY65" s="1538" t="n"/>
      <c r="CZ65" s="1526" t="n"/>
      <c r="DA65" s="1539" t="n"/>
      <c r="DB65" s="1526" t="n"/>
      <c r="DC65" s="1526" t="n"/>
      <c r="DD65" s="1487" t="n"/>
      <c r="DE65" s="1523" t="n"/>
      <c r="DF65" s="1497" t="n"/>
      <c r="DG65" s="212" t="n"/>
    </row>
    <row r="66">
      <c r="A66" s="230" t="n">
        <v>49</v>
      </c>
      <c r="B66" s="1376" t="n">
        <v>8</v>
      </c>
      <c r="C66" s="176" t="inlineStr">
        <is>
          <t>Vo Ngoc Giau Sang</t>
        </is>
      </c>
      <c r="D66" s="250" t="inlineStr">
        <is>
          <t>Võ Ngọc Giàu Sang</t>
        </is>
      </c>
      <c r="E66" s="1492">
        <f>IF(OR(G66="CHT",G66="DSBC",G66="DSXC"),"HĐLĐ",IF(OR(G66="DSTV",G66="Q.CHT"),"HĐTV","HĐCTV"))</f>
        <v/>
      </c>
      <c r="F66" s="1493" t="inlineStr">
        <is>
          <t>Nguyễn Văn Quá</t>
        </is>
      </c>
      <c r="G66" s="1494" t="inlineStr">
        <is>
          <t>CHT</t>
        </is>
      </c>
      <c r="H66" s="1495" t="inlineStr">
        <is>
          <t>08/07/2024</t>
        </is>
      </c>
      <c r="I66" s="1496" t="inlineStr">
        <is>
          <t>04015933001</t>
        </is>
      </c>
      <c r="J66" s="1496" t="inlineStr">
        <is>
          <t>TP bank</t>
        </is>
      </c>
      <c r="K66" s="1497" t="n">
        <v>28</v>
      </c>
      <c r="L66" s="1497" t="n">
        <v>24</v>
      </c>
      <c r="M66" s="1497" t="n">
        <v>187.86</v>
      </c>
      <c r="N66" s="1497" t="n">
        <v>0</v>
      </c>
      <c r="O66" s="1497" t="n">
        <v>0</v>
      </c>
      <c r="P66" s="232" t="n"/>
      <c r="Q66" s="1497" t="n"/>
      <c r="R66" s="1498" t="n"/>
      <c r="S66" s="1499">
        <f>IF(E66="HĐLĐ",5310000,0)</f>
        <v/>
      </c>
      <c r="T66" s="1500" t="n">
        <v>428571.4285714286</v>
      </c>
      <c r="U66" s="1501" t="n"/>
      <c r="V66" s="232" t="n"/>
      <c r="W66" s="232" t="n"/>
      <c r="X66" s="232" t="n"/>
      <c r="Y66" s="232" t="n"/>
      <c r="Z66" s="232" t="n"/>
      <c r="AA66" s="1497" t="n">
        <v>0</v>
      </c>
      <c r="AB66" s="1497" t="n">
        <v>0</v>
      </c>
      <c r="AC66" s="1499" t="n">
        <v>6000000</v>
      </c>
      <c r="AD66" s="232" t="n"/>
      <c r="AE66" s="232" t="n"/>
      <c r="AF66" s="232" t="n"/>
      <c r="AG66" s="1502">
        <f>IF(E66="HĐTV",AE66/28/8*M66,AC66/28/8*M66)</f>
        <v/>
      </c>
      <c r="AH66" s="1499">
        <f>IF(E66="HĐTV",AE66/28/8*N66*1.5,AC66/28/8*N66*1.5)</f>
        <v/>
      </c>
      <c r="AI66" s="232" t="n">
        <v>0</v>
      </c>
      <c r="AJ66" s="232" t="n">
        <v>0</v>
      </c>
      <c r="AK66" s="232" t="n">
        <v>0</v>
      </c>
      <c r="AL66" s="1497" t="n">
        <v>1500000</v>
      </c>
      <c r="AM66" s="1497" t="n">
        <v>0</v>
      </c>
      <c r="AN66" s="1497" t="n">
        <v>0</v>
      </c>
      <c r="AO66" s="1497" t="n">
        <v>0</v>
      </c>
      <c r="AP66" s="1497" t="n">
        <v>1313900</v>
      </c>
      <c r="AQ66" s="1497" t="n">
        <v>7827</v>
      </c>
      <c r="AR66" s="1497" t="n">
        <v>0</v>
      </c>
      <c r="AS66" s="1497" t="n">
        <v>1108000</v>
      </c>
      <c r="AT66" s="1497" t="n">
        <v>0</v>
      </c>
      <c r="AU66" s="1497" t="n">
        <v>0</v>
      </c>
      <c r="AV66" s="1497" t="n">
        <v>0</v>
      </c>
      <c r="AW66" s="1497" t="n">
        <v>0</v>
      </c>
      <c r="AX66" s="1497" t="n">
        <v>0</v>
      </c>
      <c r="AY66" s="232" t="n">
        <v>0</v>
      </c>
      <c r="AZ66" s="1499" t="n">
        <v>0</v>
      </c>
      <c r="BA66" s="1503" t="n">
        <v>0</v>
      </c>
      <c r="BB66" s="1497" t="n">
        <v>0</v>
      </c>
      <c r="BC66" s="1497" t="n">
        <v>0</v>
      </c>
      <c r="BD66" s="1497" t="n">
        <v>0</v>
      </c>
      <c r="BE66" s="1497" t="n">
        <v>0</v>
      </c>
      <c r="BF66" s="1497" t="n">
        <v>0</v>
      </c>
      <c r="BG66" s="1497" t="n">
        <v>0</v>
      </c>
      <c r="BH66" s="1504">
        <f>SUM(T66:AB66)+SUM(AF66:BA66)-SUM(BB66:BG66)</f>
        <v/>
      </c>
      <c r="BI66" s="1505">
        <f>S66*17.5%</f>
        <v/>
      </c>
      <c r="BJ66" s="1505">
        <f>S66*3%</f>
        <v/>
      </c>
      <c r="BK66" s="1505">
        <f>S66*1%</f>
        <v/>
      </c>
      <c r="BL66" s="1506" t="n"/>
      <c r="BM66" s="1507">
        <f>SUM(BI66:BL66)</f>
        <v/>
      </c>
      <c r="BN66" s="1505">
        <f>S66*8%</f>
        <v/>
      </c>
      <c r="BO66" s="1505">
        <f>S66*1.5%</f>
        <v/>
      </c>
      <c r="BP66" s="1505">
        <f>S66*1%</f>
        <v/>
      </c>
      <c r="BQ66" s="1506" t="n"/>
      <c r="BR66" s="1507">
        <f>SUM(BN66:BQ66)</f>
        <v/>
      </c>
      <c r="BS66" s="1505">
        <f>T66+U66+V66+W66</f>
        <v/>
      </c>
      <c r="BT66" s="1508">
        <f>BH66-BS66-AH66</f>
        <v/>
      </c>
      <c r="BU66" s="1505">
        <f>IF(E66="HĐLĐ",15500000,0)</f>
        <v/>
      </c>
      <c r="BV66" s="1509" t="n">
        <v>0</v>
      </c>
      <c r="BW66" s="1505">
        <f>BV66*6200000</f>
        <v/>
      </c>
      <c r="BX66" s="1505">
        <f>BR66</f>
        <v/>
      </c>
      <c r="BY66" s="1510">
        <f>BU66+BW66+BX66</f>
        <v/>
      </c>
      <c r="BZ66" s="1505">
        <f>IF(BT66-BY66&gt;0,BT66-BY66,0)</f>
        <v/>
      </c>
      <c r="CA66" s="1506">
        <f>IF(AND(OR($E66="HĐTV",$E66="HĐCTV"),$BZ66&lt;2000000),0,IF(OR($E66="HĐTV",$E66="HĐCTV"),$BZ66*10%,ROUND(IF($BZ66&lt;=10000000,$BZ66*5%,IF($BZ66&lt;=30000000,$BZ66*10%-500000,IF($BZ66&lt;=60000000,$BZ66*20%-3500000,IF($BZ66&lt;=100000000,$BZ66*30%-9500000,$BZ66*35%-14500000)))),0)))</f>
        <v/>
      </c>
      <c r="CB66" s="1511">
        <f>ROUND(BH66-BR66-CA66,0)</f>
        <v/>
      </c>
      <c r="CC66" s="1509" t="n"/>
      <c r="CD66" s="1512" t="n">
        <v>0</v>
      </c>
      <c r="CE66" s="1513">
        <f>CB66+CC66-CD66</f>
        <v/>
      </c>
      <c r="CF66" s="1514">
        <f>CE66-CG66</f>
        <v/>
      </c>
      <c r="CG66" s="1514">
        <f>CE66</f>
        <v/>
      </c>
      <c r="CH66" s="1515" t="n"/>
      <c r="CI66" s="1516" t="inlineStr">
        <is>
          <t>sang.vo@medigoapp.com</t>
        </is>
      </c>
      <c r="CJ66" s="1497" t="n">
        <v>0</v>
      </c>
      <c r="CK66" s="1495" t="n">
        <v>11</v>
      </c>
      <c r="CL66" s="1497" t="n"/>
      <c r="CM66" s="1495" t="n">
        <v>8</v>
      </c>
      <c r="CN66" s="1495" t="n">
        <v>7</v>
      </c>
      <c r="CO66" s="1495" t="n">
        <v>2024</v>
      </c>
      <c r="CP66" s="1517">
        <f>IF((($CO$7-CO66)*12)+($CN$7-CN66)&gt;=12,((($CO$7-CO66)*12)+($CN$7-CN66))-1,0)</f>
        <v/>
      </c>
      <c r="CQ66" s="1518">
        <f>IF(CP66&lt;12,(($CQ$7-CO66)*12)+($CP$7-CN66),0)</f>
        <v/>
      </c>
      <c r="CR66" s="1517">
        <f>IF(OR(CP66&gt;12,CP66=12),((CP66-(CS66*12))+((($CQ$7-2024)*12)+($CP$7-4)))+1,0)</f>
        <v/>
      </c>
      <c r="CS66" s="1519">
        <f>IF(OR(CP66&gt;12,CP66=12),ROUNDDOWN(CP66/12,0),0)</f>
        <v/>
      </c>
      <c r="CT66" s="1519">
        <f>IF(CQ66&gt;11,ROUNDDOWN(CQ66/12,0),0)</f>
        <v/>
      </c>
      <c r="CU66" s="1519">
        <f>IF(CR66&gt;11,ROUNDDOWN(CR66/12,0),0)</f>
        <v/>
      </c>
      <c r="CV66" s="1520">
        <f>IF(CP66=0,0,6000000*1.07^CS66)</f>
        <v/>
      </c>
      <c r="CW66" s="1520">
        <f>IF(CT66&lt;2,0,6000000+(CT66-1)*500000)</f>
        <v/>
      </c>
      <c r="CX66" s="1520">
        <f>IF(CU66=0,CV66,IF(CU66&lt;1,0,CV66+CU66*500000))</f>
        <v/>
      </c>
      <c r="CY66" s="1520">
        <f>IF(CX66&gt;0,CX66,IF(CW66&gt;0,CW66,6000000))</f>
        <v/>
      </c>
      <c r="CZ66" s="1521" t="n"/>
      <c r="DA66" s="1522" t="n"/>
      <c r="DB66" s="1521" t="n"/>
      <c r="DC66" s="1521" t="n"/>
      <c r="DD66" s="1487" t="n"/>
      <c r="DE66" s="1523" t="n"/>
      <c r="DF66" s="1497" t="n"/>
      <c r="DG66" s="212" t="n"/>
    </row>
    <row r="67">
      <c r="A67" s="230" t="n">
        <v>50</v>
      </c>
      <c r="B67" s="1376" t="n">
        <v>8</v>
      </c>
      <c r="C67" s="176" t="inlineStr">
        <is>
          <t>Ho Ngoc Ly</t>
        </is>
      </c>
      <c r="D67" s="250" t="inlineStr">
        <is>
          <t>Hồ Ngọc Lý</t>
        </is>
      </c>
      <c r="E67" s="1492">
        <f>IF(OR(G67="CHT",G67="DSBC",G67="DSXC"),"HĐLĐ",IF(OR(G67="DSTV",G67="Q.CHT"),"HĐTV","HĐCTV"))</f>
        <v/>
      </c>
      <c r="F67" s="1493" t="inlineStr">
        <is>
          <t>Nguyễn Văn Quá</t>
        </is>
      </c>
      <c r="G67" s="1494" t="inlineStr">
        <is>
          <t>DSBC</t>
        </is>
      </c>
      <c r="H67" s="1495" t="inlineStr">
        <is>
          <t>08/07/2024</t>
        </is>
      </c>
      <c r="I67" s="1496" t="inlineStr">
        <is>
          <t>0081765868686</t>
        </is>
      </c>
      <c r="J67" s="1496" t="inlineStr">
        <is>
          <t>MB bank</t>
        </is>
      </c>
      <c r="K67" s="1497" t="n">
        <v>28</v>
      </c>
      <c r="L67" s="1497" t="n">
        <v>27</v>
      </c>
      <c r="M67" s="1497" t="n">
        <v>8.93</v>
      </c>
      <c r="N67" s="1497" t="n">
        <v>205.99</v>
      </c>
      <c r="O67" s="1497" t="n">
        <v>0</v>
      </c>
      <c r="P67" s="232" t="n"/>
      <c r="Q67" s="1497" t="n"/>
      <c r="R67" s="1498" t="n"/>
      <c r="S67" s="1499">
        <f>IF(E67="HĐLĐ",5310000,0)</f>
        <v/>
      </c>
      <c r="T67" s="1500" t="n">
        <v>482142.8571428572</v>
      </c>
      <c r="U67" s="1501" t="n"/>
      <c r="V67" s="232" t="n"/>
      <c r="W67" s="232" t="n"/>
      <c r="X67" s="232" t="n"/>
      <c r="Y67" s="232" t="n"/>
      <c r="Z67" s="232" t="n"/>
      <c r="AA67" s="1497" t="n">
        <v>0</v>
      </c>
      <c r="AB67" s="1497" t="n">
        <v>0</v>
      </c>
      <c r="AC67" s="1499" t="n">
        <v>6000000</v>
      </c>
      <c r="AD67" s="232" t="n"/>
      <c r="AE67" s="232" t="n"/>
      <c r="AF67" s="232" t="n"/>
      <c r="AG67" s="1502">
        <f>IF(E67="HĐTV",AE67/28/8*M67,AC67/28/8*M67)</f>
        <v/>
      </c>
      <c r="AH67" s="1499">
        <f>IF(E67="HĐTV",AE67/28/8*N67*1.5,AC67/28/8*N67*1.5)</f>
        <v/>
      </c>
      <c r="AI67" s="232" t="n">
        <v>1392857</v>
      </c>
      <c r="AJ67" s="232" t="n">
        <v>0</v>
      </c>
      <c r="AK67" s="232" t="n">
        <v>0</v>
      </c>
      <c r="AL67" s="1497" t="n">
        <v>0</v>
      </c>
      <c r="AM67" s="1497" t="n">
        <v>0</v>
      </c>
      <c r="AN67" s="1497" t="n">
        <v>1000000</v>
      </c>
      <c r="AO67" s="1497" t="n">
        <v>0</v>
      </c>
      <c r="AP67" s="1497" t="n">
        <v>2337900</v>
      </c>
      <c r="AQ67" s="1497" t="n">
        <v>6740</v>
      </c>
      <c r="AR67" s="1497" t="n">
        <v>0</v>
      </c>
      <c r="AS67" s="1497" t="n">
        <v>1062400</v>
      </c>
      <c r="AT67" s="1497" t="n">
        <v>0</v>
      </c>
      <c r="AU67" s="1497" t="n">
        <v>0</v>
      </c>
      <c r="AV67" s="1497" t="n">
        <v>0</v>
      </c>
      <c r="AW67" s="1497" t="n">
        <v>0</v>
      </c>
      <c r="AX67" s="1497" t="n">
        <v>0</v>
      </c>
      <c r="AY67" s="232" t="n">
        <v>0</v>
      </c>
      <c r="AZ67" s="1499" t="n">
        <v>0</v>
      </c>
      <c r="BA67" s="1503" t="n">
        <v>0</v>
      </c>
      <c r="BB67" s="1497" t="n">
        <v>0</v>
      </c>
      <c r="BC67" s="1497" t="n">
        <v>0</v>
      </c>
      <c r="BD67" s="1497" t="n">
        <v>0</v>
      </c>
      <c r="BE67" s="1497" t="n">
        <v>0</v>
      </c>
      <c r="BF67" s="1497" t="n">
        <v>109000</v>
      </c>
      <c r="BG67" s="1497" t="n">
        <v>0</v>
      </c>
      <c r="BH67" s="1504">
        <f>SUM(T67:AB67)+SUM(AF67:BA67)-SUM(BB67:BG67)</f>
        <v/>
      </c>
      <c r="BI67" s="1505">
        <f>S67*17.5%</f>
        <v/>
      </c>
      <c r="BJ67" s="1505">
        <f>S67*3%</f>
        <v/>
      </c>
      <c r="BK67" s="1505">
        <f>S67*1%</f>
        <v/>
      </c>
      <c r="BL67" s="1506" t="n"/>
      <c r="BM67" s="1507">
        <f>SUM(BI67:BL67)</f>
        <v/>
      </c>
      <c r="BN67" s="1505">
        <f>S67*8%</f>
        <v/>
      </c>
      <c r="BO67" s="1505">
        <f>S67*1.5%</f>
        <v/>
      </c>
      <c r="BP67" s="1505">
        <f>S67*1%</f>
        <v/>
      </c>
      <c r="BQ67" s="1506" t="n"/>
      <c r="BR67" s="1507">
        <f>SUM(BN67:BQ67)</f>
        <v/>
      </c>
      <c r="BS67" s="1505">
        <f>T67+U67+V67+W67</f>
        <v/>
      </c>
      <c r="BT67" s="1508">
        <f>BH67-BS67-AH67</f>
        <v/>
      </c>
      <c r="BU67" s="1505">
        <f>IF(E67="HĐLĐ",15500000,0)</f>
        <v/>
      </c>
      <c r="BV67" s="1509" t="n">
        <v>0</v>
      </c>
      <c r="BW67" s="1505">
        <f>BV67*6200000</f>
        <v/>
      </c>
      <c r="BX67" s="1505">
        <f>BR67</f>
        <v/>
      </c>
      <c r="BY67" s="1510">
        <f>BU67+BW67+BX67</f>
        <v/>
      </c>
      <c r="BZ67" s="1505">
        <f>IF(BT67-BY67&gt;0,BT67-BY67,0)</f>
        <v/>
      </c>
      <c r="CA67" s="1506">
        <f>IF(AND(OR($E67="HĐTV",$E67="HĐCTV"),$BZ67&lt;2000000),0,IF(OR($E67="HĐTV",$E67="HĐCTV"),$BZ67*10%,ROUND(IF($BZ67&lt;=10000000,$BZ67*5%,IF($BZ67&lt;=30000000,$BZ67*10%-500000,IF($BZ67&lt;=60000000,$BZ67*20%-3500000,IF($BZ67&lt;=100000000,$BZ67*30%-9500000,$BZ67*35%-14500000)))),0)))</f>
        <v/>
      </c>
      <c r="CB67" s="1511">
        <f>ROUND(BH67-BR67-CA67,0)</f>
        <v/>
      </c>
      <c r="CC67" s="1509" t="n"/>
      <c r="CD67" s="1512" t="n">
        <v>0</v>
      </c>
      <c r="CE67" s="1513">
        <f>CB67+CC67-CD67</f>
        <v/>
      </c>
      <c r="CF67" s="1514">
        <f>CE67-CG67</f>
        <v/>
      </c>
      <c r="CG67" s="1514">
        <f>CE67</f>
        <v/>
      </c>
      <c r="CH67" s="1515" t="n"/>
      <c r="CI67" s="1516" t="inlineStr">
        <is>
          <t>ly.ho@medigoapp.com</t>
        </is>
      </c>
      <c r="CJ67" s="1497" t="n">
        <v>0</v>
      </c>
      <c r="CK67" s="1495" t="n">
        <v>12</v>
      </c>
      <c r="CL67" s="1497" t="n"/>
      <c r="CM67" s="1495" t="n">
        <v>8</v>
      </c>
      <c r="CN67" s="1495" t="n">
        <v>7</v>
      </c>
      <c r="CO67" s="1495" t="n">
        <v>2024</v>
      </c>
      <c r="CP67" s="1517">
        <f>IF((($CO$7-CO67)*12)+($CN$7-CN67)&gt;=12,((($CO$7-CO67)*12)+($CN$7-CN67))-1,0)</f>
        <v/>
      </c>
      <c r="CQ67" s="1518">
        <f>IF(CP67&lt;12,(($CQ$7-CO67)*12)+($CP$7-CN67),0)</f>
        <v/>
      </c>
      <c r="CR67" s="1517">
        <f>IF(OR(CP67&gt;12,CP67=12),((CP67-(CS67*12))+((($CQ$7-2024)*12)+($CP$7-4)))+1,0)</f>
        <v/>
      </c>
      <c r="CS67" s="1519">
        <f>IF(OR(CP67&gt;12,CP67=12),ROUNDDOWN(CP67/12,0),0)</f>
        <v/>
      </c>
      <c r="CT67" s="1519">
        <f>IF(CQ67&gt;11,ROUNDDOWN(CQ67/12,0),0)</f>
        <v/>
      </c>
      <c r="CU67" s="1519">
        <f>IF(CR67&gt;11,ROUNDDOWN(CR67/12,0),0)</f>
        <v/>
      </c>
      <c r="CV67" s="1520">
        <f>IF(CP67=0,0,6000000*1.07^CS67)</f>
        <v/>
      </c>
      <c r="CW67" s="1520">
        <f>IF(CT67&lt;2,0,6000000+(CT67-1)*500000)</f>
        <v/>
      </c>
      <c r="CX67" s="1520">
        <f>IF(CU67=0,CV67,IF(CU67&lt;1,0,CV67+CU67*500000))</f>
        <v/>
      </c>
      <c r="CY67" s="1520">
        <f>IF(CX67&gt;0,CX67,IF(CW67&gt;0,CW67,6000000))</f>
        <v/>
      </c>
      <c r="CZ67" s="1521" t="n"/>
      <c r="DA67" s="1522" t="n"/>
      <c r="DB67" s="1521" t="n"/>
      <c r="DC67" s="1521" t="n"/>
      <c r="DD67" s="1487" t="n"/>
      <c r="DE67" s="1523" t="n"/>
      <c r="DF67" s="1497" t="n"/>
      <c r="DG67" s="212" t="n"/>
    </row>
    <row r="68">
      <c r="A68" s="230" t="n">
        <v>51</v>
      </c>
      <c r="B68" s="1376" t="n">
        <v>8</v>
      </c>
      <c r="C68" s="176" t="inlineStr">
        <is>
          <t>Nguyen Thi Thu Huyen</t>
        </is>
      </c>
      <c r="D68" s="250" t="inlineStr">
        <is>
          <t>Nguyễn Thị Thu Huyền</t>
        </is>
      </c>
      <c r="E68" s="1492">
        <f>IF(OR(G68="CHT",G68="DSBC",G68="DSXC"),"HĐLĐ",IF(OR(G68="DSTV",G68="Q.CHT"),"HĐTV","HĐCTV"))</f>
        <v/>
      </c>
      <c r="F68" s="1493" t="inlineStr">
        <is>
          <t>Nguyễn Văn Quá</t>
        </is>
      </c>
      <c r="G68" s="1494" t="inlineStr">
        <is>
          <t>DSBC</t>
        </is>
      </c>
      <c r="H68" s="1495" t="inlineStr">
        <is>
          <t>24/06/2025</t>
        </is>
      </c>
      <c r="I68" s="1496" t="inlineStr">
        <is>
          <t>0964455650</t>
        </is>
      </c>
      <c r="J68" s="1496" t="inlineStr">
        <is>
          <t>Sacombank</t>
        </is>
      </c>
      <c r="K68" s="1497" t="n">
        <v>28</v>
      </c>
      <c r="L68" s="1497" t="n">
        <v>27</v>
      </c>
      <c r="M68" s="1497" t="n">
        <v>76.73999999999999</v>
      </c>
      <c r="N68" s="1497" t="n">
        <v>214.29</v>
      </c>
      <c r="O68" s="1497" t="n">
        <v>0</v>
      </c>
      <c r="P68" s="232" t="n"/>
      <c r="Q68" s="1497" t="n"/>
      <c r="R68" s="1498" t="n"/>
      <c r="S68" s="1499">
        <f>IF(E68="HĐLĐ",5310000,0)</f>
        <v/>
      </c>
      <c r="T68" s="1500" t="n">
        <v>482142.8571428572</v>
      </c>
      <c r="U68" s="1501" t="n"/>
      <c r="V68" s="232" t="n"/>
      <c r="W68" s="232" t="n"/>
      <c r="X68" s="232" t="n"/>
      <c r="Y68" s="232" t="n"/>
      <c r="Z68" s="232" t="n"/>
      <c r="AA68" s="1497" t="n">
        <v>0</v>
      </c>
      <c r="AB68" s="1497" t="n">
        <v>0</v>
      </c>
      <c r="AC68" s="1499" t="n">
        <v>6000000</v>
      </c>
      <c r="AD68" s="232" t="n"/>
      <c r="AE68" s="232" t="n"/>
      <c r="AF68" s="232" t="n"/>
      <c r="AG68" s="1502">
        <f>IF(E68="HĐTV",AE68/28/8*M68,AC68/28/8*M68)</f>
        <v/>
      </c>
      <c r="AH68" s="1499">
        <f>IF(E68="HĐTV",AE68/28/8*N68*1.5,AC68/28/8*N68*1.5)</f>
        <v/>
      </c>
      <c r="AI68" s="232" t="n">
        <v>1339286</v>
      </c>
      <c r="AJ68" s="232" t="n">
        <v>0</v>
      </c>
      <c r="AK68" s="232" t="n">
        <v>0</v>
      </c>
      <c r="AL68" s="1497" t="n">
        <v>0</v>
      </c>
      <c r="AM68" s="1497" t="n">
        <v>0</v>
      </c>
      <c r="AN68" s="1497" t="n">
        <v>1000000</v>
      </c>
      <c r="AO68" s="1497" t="n">
        <v>0</v>
      </c>
      <c r="AP68" s="1497" t="n">
        <v>2493200</v>
      </c>
      <c r="AQ68" s="1497" t="n">
        <v>7545</v>
      </c>
      <c r="AR68" s="1497" t="n">
        <v>0</v>
      </c>
      <c r="AS68" s="1497" t="n">
        <v>1150800</v>
      </c>
      <c r="AT68" s="1497" t="n">
        <v>0</v>
      </c>
      <c r="AU68" s="1497" t="n">
        <v>0</v>
      </c>
      <c r="AV68" s="1497" t="n">
        <v>0</v>
      </c>
      <c r="AW68" s="1497" t="n">
        <v>0</v>
      </c>
      <c r="AX68" s="1497" t="n">
        <v>0</v>
      </c>
      <c r="AY68" s="232" t="n">
        <v>0</v>
      </c>
      <c r="AZ68" s="1499" t="n">
        <v>0</v>
      </c>
      <c r="BA68" s="1503" t="n">
        <v>0</v>
      </c>
      <c r="BB68" s="1497" t="n">
        <v>0</v>
      </c>
      <c r="BC68" s="1497" t="n">
        <v>0</v>
      </c>
      <c r="BD68" s="1497" t="n">
        <v>0</v>
      </c>
      <c r="BE68" s="1497" t="n">
        <v>0</v>
      </c>
      <c r="BF68" s="1497" t="n">
        <v>34000</v>
      </c>
      <c r="BG68" s="1497" t="n">
        <v>0</v>
      </c>
      <c r="BH68" s="1504">
        <f>SUM(T68:AB68)+SUM(AF68:BA68)-SUM(BB68:BG68)</f>
        <v/>
      </c>
      <c r="BI68" s="1505">
        <f>S68*17.5%</f>
        <v/>
      </c>
      <c r="BJ68" s="1505">
        <f>S68*3%</f>
        <v/>
      </c>
      <c r="BK68" s="1505">
        <f>S68*1%</f>
        <v/>
      </c>
      <c r="BL68" s="1506" t="n"/>
      <c r="BM68" s="1507">
        <f>SUM(BI68:BL68)</f>
        <v/>
      </c>
      <c r="BN68" s="1505">
        <f>S68*8%</f>
        <v/>
      </c>
      <c r="BO68" s="1505">
        <f>S68*1.5%</f>
        <v/>
      </c>
      <c r="BP68" s="1505">
        <f>S68*1%</f>
        <v/>
      </c>
      <c r="BQ68" s="1506" t="n"/>
      <c r="BR68" s="1507">
        <f>SUM(BN68:BQ68)</f>
        <v/>
      </c>
      <c r="BS68" s="1505">
        <f>T68+U68+V68+W68</f>
        <v/>
      </c>
      <c r="BT68" s="1508">
        <f>BH68-BS68-AH68</f>
        <v/>
      </c>
      <c r="BU68" s="1505">
        <f>IF(E68="HĐLĐ",15500000,0)</f>
        <v/>
      </c>
      <c r="BV68" s="1509" t="n">
        <v>0</v>
      </c>
      <c r="BW68" s="1505">
        <f>BV68*6200000</f>
        <v/>
      </c>
      <c r="BX68" s="1505">
        <f>BR68</f>
        <v/>
      </c>
      <c r="BY68" s="1510">
        <f>BU68+BW68+BX68</f>
        <v/>
      </c>
      <c r="BZ68" s="1505">
        <f>IF(BT68-BY68&gt;0,BT68-BY68,0)</f>
        <v/>
      </c>
      <c r="CA68" s="1506">
        <f>IF(AND(OR($E68="HĐTV",$E68="HĐCTV"),$BZ68&lt;2000000),0,IF(OR($E68="HĐTV",$E68="HĐCTV"),$BZ68*10%,ROUND(IF($BZ68&lt;=10000000,$BZ68*5%,IF($BZ68&lt;=30000000,$BZ68*10%-500000,IF($BZ68&lt;=60000000,$BZ68*20%-3500000,IF($BZ68&lt;=100000000,$BZ68*30%-9500000,$BZ68*35%-14500000)))),0)))</f>
        <v/>
      </c>
      <c r="CB68" s="1511">
        <f>ROUND(BH68-BR68-CA68,0)</f>
        <v/>
      </c>
      <c r="CC68" s="1509" t="n"/>
      <c r="CD68" s="1512" t="n">
        <v>0</v>
      </c>
      <c r="CE68" s="1513">
        <f>CB68+CC68-CD68</f>
        <v/>
      </c>
      <c r="CF68" s="1514">
        <f>CE68-CG68</f>
        <v/>
      </c>
      <c r="CG68" s="1514">
        <f>CE68</f>
        <v/>
      </c>
      <c r="CH68" s="1515" t="n"/>
      <c r="CI68" s="1516" t="inlineStr">
        <is>
          <t>huyen.nguyen@medigoapp.com</t>
        </is>
      </c>
      <c r="CJ68" s="1497" t="n">
        <v>0</v>
      </c>
      <c r="CK68" s="1495" t="n">
        <v>6</v>
      </c>
      <c r="CL68" s="1497" t="n"/>
      <c r="CM68" s="1495" t="n">
        <v>24</v>
      </c>
      <c r="CN68" s="1495" t="n">
        <v>6</v>
      </c>
      <c r="CO68" s="1495" t="n">
        <v>2025</v>
      </c>
      <c r="CP68" s="1517">
        <f>IF((($CO$7-CO68)*12)+($CN$7-CN68)&gt;=12,((($CO$7-CO68)*12)+($CN$7-CN68))-1,0)</f>
        <v/>
      </c>
      <c r="CQ68" s="1518">
        <f>IF(CP68&lt;12,(($CQ$7-CO68)*12)+($CP$7-CN68),0)</f>
        <v/>
      </c>
      <c r="CR68" s="1517">
        <f>IF(OR(CP68&gt;12,CP68=12),((CP68-(CS68*12))+((($CQ$7-2024)*12)+($CP$7-4)))+1,0)</f>
        <v/>
      </c>
      <c r="CS68" s="1519">
        <f>IF(OR(CP68&gt;12,CP68=12),ROUNDDOWN(CP68/12,0),0)</f>
        <v/>
      </c>
      <c r="CT68" s="1519">
        <f>IF(CQ68&gt;11,ROUNDDOWN(CQ68/12,0),0)</f>
        <v/>
      </c>
      <c r="CU68" s="1519">
        <f>IF(CR68&gt;11,ROUNDDOWN(CR68/12,0),0)</f>
        <v/>
      </c>
      <c r="CV68" s="1520">
        <f>IF(CP68=0,0,6000000*1.07^CS68)</f>
        <v/>
      </c>
      <c r="CW68" s="1520">
        <f>IF(CT68&lt;2,0,6000000+(CT68-1)*500000)</f>
        <v/>
      </c>
      <c r="CX68" s="1520">
        <f>IF(CU68=0,CV68,IF(CU68&lt;1,0,CV68+CU68*500000))</f>
        <v/>
      </c>
      <c r="CY68" s="1520">
        <f>IF(CX68&gt;0,CX68,IF(CW68&gt;0,CW68,6000000))</f>
        <v/>
      </c>
      <c r="CZ68" s="1521" t="n"/>
      <c r="DA68" s="1522" t="n"/>
      <c r="DB68" s="1521" t="n"/>
      <c r="DC68" s="1521" t="n"/>
      <c r="DD68" s="1487" t="n"/>
      <c r="DE68" s="1523" t="n"/>
      <c r="DF68" s="1497" t="n"/>
      <c r="DG68" s="212" t="n"/>
    </row>
    <row r="69">
      <c r="A69" s="230" t="n">
        <v>52</v>
      </c>
      <c r="B69" s="1376" t="n">
        <v>8</v>
      </c>
      <c r="C69" s="176" t="inlineStr">
        <is>
          <t>Nguyen Thi Huong Giang</t>
        </is>
      </c>
      <c r="D69" s="250" t="inlineStr">
        <is>
          <t>Nguyễn Thị Hương Giang</t>
        </is>
      </c>
      <c r="E69" s="1492">
        <f>IF(OR(G69="CHT",G69="DSBC",G69="DSXC"),"HĐLĐ",IF(OR(G69="DSTV",G69="Q.CHT"),"HĐTV","HĐCTV"))</f>
        <v/>
      </c>
      <c r="F69" s="1493" t="inlineStr">
        <is>
          <t>Nguyễn Văn Quá</t>
        </is>
      </c>
      <c r="G69" s="1494" t="inlineStr">
        <is>
          <t>DSBC</t>
        </is>
      </c>
      <c r="H69" s="1495" t="n">
        <v>45544</v>
      </c>
      <c r="I69" s="1496" t="inlineStr">
        <is>
          <t>1028255437</t>
        </is>
      </c>
      <c r="J69" s="1496" t="inlineStr">
        <is>
          <t>Vietcombank</t>
        </is>
      </c>
      <c r="K69" s="1497" t="n">
        <v>28</v>
      </c>
      <c r="L69" s="1497" t="n">
        <v>28</v>
      </c>
      <c r="M69" s="1497" t="n">
        <v>216.52</v>
      </c>
      <c r="N69" s="1497" t="n">
        <v>0</v>
      </c>
      <c r="O69" s="1497" t="n">
        <v>0</v>
      </c>
      <c r="P69" s="232" t="n"/>
      <c r="Q69" s="1497" t="n"/>
      <c r="R69" s="1498" t="n"/>
      <c r="S69" s="1499">
        <f>IF(E69="HĐLĐ",5310000,0)</f>
        <v/>
      </c>
      <c r="T69" s="1500" t="n">
        <v>500000.0000000001</v>
      </c>
      <c r="U69" s="1501" t="n"/>
      <c r="V69" s="232" t="n"/>
      <c r="W69" s="232" t="n"/>
      <c r="X69" s="232" t="n"/>
      <c r="Y69" s="232" t="n"/>
      <c r="Z69" s="232" t="n"/>
      <c r="AA69" s="1497" t="n">
        <v>0</v>
      </c>
      <c r="AB69" s="1497" t="n">
        <v>0</v>
      </c>
      <c r="AC69" s="1499" t="n">
        <v>6000000</v>
      </c>
      <c r="AD69" s="232" t="n"/>
      <c r="AE69" s="232" t="n"/>
      <c r="AF69" s="232" t="n"/>
      <c r="AG69" s="1502">
        <f>IF(E69="HĐTV",AE69/28/8*M69,AC69/28/8*M69)</f>
        <v/>
      </c>
      <c r="AH69" s="1499">
        <f>IF(E69="HĐTV",AE69/28/8*N69*1.5,AC69/28/8*N69*1.5)</f>
        <v/>
      </c>
      <c r="AI69" s="232" t="n">
        <v>0</v>
      </c>
      <c r="AJ69" s="232" t="n">
        <v>0</v>
      </c>
      <c r="AK69" s="232" t="n">
        <v>0</v>
      </c>
      <c r="AL69" s="1497" t="n">
        <v>0</v>
      </c>
      <c r="AM69" s="1497" t="n">
        <v>0</v>
      </c>
      <c r="AN69" s="1497" t="n">
        <v>500000</v>
      </c>
      <c r="AO69" s="1497" t="n">
        <v>0</v>
      </c>
      <c r="AP69" s="1497" t="n">
        <v>1875900</v>
      </c>
      <c r="AQ69" s="1497" t="n">
        <v>24405</v>
      </c>
      <c r="AR69" s="1497" t="n">
        <v>0</v>
      </c>
      <c r="AS69" s="1497" t="n">
        <v>1135200</v>
      </c>
      <c r="AT69" s="1497" t="n">
        <v>0</v>
      </c>
      <c r="AU69" s="1497" t="n">
        <v>0</v>
      </c>
      <c r="AV69" s="1497" t="n">
        <v>0</v>
      </c>
      <c r="AW69" s="1497" t="n">
        <v>0</v>
      </c>
      <c r="AX69" s="1497" t="n">
        <v>0</v>
      </c>
      <c r="AY69" s="232" t="n">
        <v>0</v>
      </c>
      <c r="AZ69" s="1499" t="n">
        <v>0</v>
      </c>
      <c r="BA69" s="1503" t="n">
        <v>0</v>
      </c>
      <c r="BB69" s="1497" t="n">
        <v>0</v>
      </c>
      <c r="BC69" s="1497" t="n">
        <v>0</v>
      </c>
      <c r="BD69" s="1497" t="n">
        <v>0</v>
      </c>
      <c r="BE69" s="1497" t="n">
        <v>0</v>
      </c>
      <c r="BF69" s="1497" t="n">
        <v>0</v>
      </c>
      <c r="BG69" s="1497" t="n">
        <v>0</v>
      </c>
      <c r="BH69" s="1504">
        <f>SUM(T69:AB69)+SUM(AF69:BA69)-SUM(BB69:BG69)</f>
        <v/>
      </c>
      <c r="BI69" s="1505">
        <f>S69*17.5%</f>
        <v/>
      </c>
      <c r="BJ69" s="1505">
        <f>S69*3%</f>
        <v/>
      </c>
      <c r="BK69" s="1505">
        <f>S69*1%</f>
        <v/>
      </c>
      <c r="BL69" s="1506" t="n"/>
      <c r="BM69" s="1507">
        <f>SUM(BI69:BL69)</f>
        <v/>
      </c>
      <c r="BN69" s="1505">
        <f>S69*8%</f>
        <v/>
      </c>
      <c r="BO69" s="1505">
        <f>S69*1.5%</f>
        <v/>
      </c>
      <c r="BP69" s="1505">
        <f>S69*1%</f>
        <v/>
      </c>
      <c r="BQ69" s="1506" t="n"/>
      <c r="BR69" s="1507">
        <f>SUM(BN69:BQ69)</f>
        <v/>
      </c>
      <c r="BS69" s="1505">
        <f>T69+U69+V69+W69</f>
        <v/>
      </c>
      <c r="BT69" s="1508">
        <f>BH69-BS69-AH69</f>
        <v/>
      </c>
      <c r="BU69" s="1505">
        <f>IF(E69="HĐLĐ",15500000,0)</f>
        <v/>
      </c>
      <c r="BV69" s="1509" t="n">
        <v>0</v>
      </c>
      <c r="BW69" s="1505">
        <f>BV69*6200000</f>
        <v/>
      </c>
      <c r="BX69" s="1505">
        <f>BR69</f>
        <v/>
      </c>
      <c r="BY69" s="1510">
        <f>BU69+BW69+BX69</f>
        <v/>
      </c>
      <c r="BZ69" s="1505">
        <f>IF(BT69-BY69&gt;0,BT69-BY69,0)</f>
        <v/>
      </c>
      <c r="CA69" s="1506">
        <f>IF(AND(OR($E69="HĐTV",$E69="HĐCTV"),$BZ69&lt;2000000),0,IF(OR($E69="HĐTV",$E69="HĐCTV"),$BZ69*10%,ROUND(IF($BZ69&lt;=10000000,$BZ69*5%,IF($BZ69&lt;=30000000,$BZ69*10%-500000,IF($BZ69&lt;=60000000,$BZ69*20%-3500000,IF($BZ69&lt;=100000000,$BZ69*30%-9500000,$BZ69*35%-14500000)))),0)))</f>
        <v/>
      </c>
      <c r="CB69" s="1511">
        <f>ROUND(BH69-BR69-CA69,0)</f>
        <v/>
      </c>
      <c r="CC69" s="1509" t="n"/>
      <c r="CD69" s="1512" t="n">
        <v>0</v>
      </c>
      <c r="CE69" s="1513">
        <f>CB69+CC69-CD69</f>
        <v/>
      </c>
      <c r="CF69" s="1514">
        <f>CE69-CG69</f>
        <v/>
      </c>
      <c r="CG69" s="1514">
        <f>CE69</f>
        <v/>
      </c>
      <c r="CH69" s="1515" t="n"/>
      <c r="CI69" s="1516" t="inlineStr">
        <is>
          <t>giang.nguyen@medigoapp.com</t>
        </is>
      </c>
      <c r="CJ69" s="1497" t="n">
        <v>0</v>
      </c>
      <c r="CK69" s="1495" t="n">
        <v>11</v>
      </c>
      <c r="CL69" s="1497" t="n"/>
      <c r="CM69" s="1495" t="n">
        <v>9</v>
      </c>
      <c r="CN69" s="1495" t="n">
        <v>9</v>
      </c>
      <c r="CO69" s="1495" t="n">
        <v>2024</v>
      </c>
      <c r="CP69" s="1517">
        <f>IF((($CO$7-CO69)*12)+($CN$7-CN69)&gt;=12,((($CO$7-CO69)*12)+($CN$7-CN69))-1,0)</f>
        <v/>
      </c>
      <c r="CQ69" s="1518">
        <f>IF(CP69&lt;12,(($CQ$7-CO69)*12)+($CP$7-CN69),0)</f>
        <v/>
      </c>
      <c r="CR69" s="1517">
        <f>IF(OR(CP69&gt;12,CP69=12),((CP69-(CS69*12))+((($CQ$7-2024)*12)+($CP$7-4)))+1,0)</f>
        <v/>
      </c>
      <c r="CS69" s="1519">
        <f>IF(OR(CP69&gt;12,CP69=12),ROUNDDOWN(CP69/12,0),0)</f>
        <v/>
      </c>
      <c r="CT69" s="1519">
        <f>IF(CQ69&gt;11,ROUNDDOWN(CQ69/12,0),0)</f>
        <v/>
      </c>
      <c r="CU69" s="1519">
        <f>IF(CR69&gt;11,ROUNDDOWN(CR69/12,0),0)</f>
        <v/>
      </c>
      <c r="CV69" s="1520">
        <f>IF(CP69=0,0,6000000*1.07^CS69)</f>
        <v/>
      </c>
      <c r="CW69" s="1520">
        <f>IF(CT69&lt;2,0,6000000+(CT69-1)*500000)</f>
        <v/>
      </c>
      <c r="CX69" s="1520">
        <f>IF(CU69=0,CV69,IF(CU69&lt;1,0,CV69+CU69*500000))</f>
        <v/>
      </c>
      <c r="CY69" s="1520">
        <f>IF(CX69&gt;0,CX69,IF(CW69&gt;0,CW69,6000000))</f>
        <v/>
      </c>
      <c r="CZ69" s="1521" t="n"/>
      <c r="DA69" s="1522" t="n"/>
      <c r="DB69" s="1521" t="n"/>
      <c r="DC69" s="1521" t="n"/>
      <c r="DD69" s="1487" t="n"/>
      <c r="DE69" s="1523" t="n"/>
      <c r="DF69" s="1497" t="n"/>
      <c r="DG69" s="212" t="n"/>
    </row>
    <row r="70">
      <c r="A70" s="1524" t="n"/>
      <c r="B70" s="1525" t="n"/>
      <c r="C70" s="1526" t="n"/>
      <c r="D70" s="1527" t="n"/>
      <c r="E70" s="1528" t="n"/>
      <c r="F70" s="1529">
        <f>SUM(F66:F69)</f>
        <v/>
      </c>
      <c r="G70" s="1530" t="n"/>
      <c r="H70" s="1531" t="n"/>
      <c r="I70" s="1532" t="n"/>
      <c r="J70" s="1532" t="n"/>
      <c r="K70" s="1533">
        <f>SUM(K66:K69)</f>
        <v/>
      </c>
      <c r="L70" s="1533">
        <f>SUM(L66:L69)</f>
        <v/>
      </c>
      <c r="M70" s="1534">
        <f>SUM(M66:M69)</f>
        <v/>
      </c>
      <c r="N70" s="1534">
        <f>SUM(N66:N69)</f>
        <v/>
      </c>
      <c r="O70" s="1533">
        <f>SUM(O66:O69)</f>
        <v/>
      </c>
      <c r="P70" s="1533">
        <f>SUM(P66:P69)</f>
        <v/>
      </c>
      <c r="Q70" s="1533">
        <f>SUM(Q66:Q69)</f>
        <v/>
      </c>
      <c r="R70" s="1533" t="n"/>
      <c r="S70" s="1533">
        <f>SUM(S66:S69)</f>
        <v/>
      </c>
      <c r="T70" s="1533">
        <f>SUM(T66:T69)</f>
        <v/>
      </c>
      <c r="U70" s="1533">
        <f>SUM(U66:U69)</f>
        <v/>
      </c>
      <c r="V70" s="1533">
        <f>SUM(V66:V69)</f>
        <v/>
      </c>
      <c r="W70" s="1533">
        <f>SUM(W66:W69)</f>
        <v/>
      </c>
      <c r="X70" s="1533">
        <f>SUM(X66:X69)</f>
        <v/>
      </c>
      <c r="Y70" s="1533">
        <f>SUM(Y66:Y69)</f>
        <v/>
      </c>
      <c r="Z70" s="1533">
        <f>SUM(Z66:Z69)</f>
        <v/>
      </c>
      <c r="AA70" s="1533">
        <f>SUM(AA66:AA69)</f>
        <v/>
      </c>
      <c r="AB70" s="1533">
        <f>SUM(AB66:AB69)</f>
        <v/>
      </c>
      <c r="AC70" s="1533">
        <f>SUM(AC66:AC69)</f>
        <v/>
      </c>
      <c r="AD70" s="1533">
        <f>SUM(AD66:AD69)</f>
        <v/>
      </c>
      <c r="AE70" s="1533">
        <f>SUM(AE66:AE69)</f>
        <v/>
      </c>
      <c r="AF70" s="1533">
        <f>SUM(AF66:AF69)</f>
        <v/>
      </c>
      <c r="AG70" s="1533">
        <f>SUM(AG66:AG69)</f>
        <v/>
      </c>
      <c r="AH70" s="1533">
        <f>SUM(AH66:AH69)</f>
        <v/>
      </c>
      <c r="AI70" s="1533">
        <f>SUM(AI66:AI69)</f>
        <v/>
      </c>
      <c r="AJ70" s="1533">
        <f>SUM(AJ66:AJ69)</f>
        <v/>
      </c>
      <c r="AK70" s="1533">
        <f>SUM(AK66:AK69)</f>
        <v/>
      </c>
      <c r="AL70" s="1533">
        <f>SUM(AL66:AL69)</f>
        <v/>
      </c>
      <c r="AM70" s="1533">
        <f>SUM(AM66:AM69)</f>
        <v/>
      </c>
      <c r="AN70" s="1533">
        <f>SUM(AN66:AN69)</f>
        <v/>
      </c>
      <c r="AO70" s="1533">
        <f>SUM(AO66:AO69)</f>
        <v/>
      </c>
      <c r="AP70" s="1533">
        <f>SUM(AP66:AP69)</f>
        <v/>
      </c>
      <c r="AQ70" s="1533">
        <f>SUM(AQ66:AQ69)</f>
        <v/>
      </c>
      <c r="AR70" s="1533">
        <f>SUM(AR66:AR69)</f>
        <v/>
      </c>
      <c r="AS70" s="1533">
        <f>SUM(AS66:AS69)</f>
        <v/>
      </c>
      <c r="AT70" s="1533">
        <f>SUM(AT66:AT69)</f>
        <v/>
      </c>
      <c r="AU70" s="1533">
        <f>SUM(AU66:AU69)</f>
        <v/>
      </c>
      <c r="AV70" s="1533">
        <f>SUM(AV66:AV69)</f>
        <v/>
      </c>
      <c r="AW70" s="1533">
        <f>SUM(AW66:AW69)</f>
        <v/>
      </c>
      <c r="AX70" s="1533">
        <f>SUM(AX66:AX69)</f>
        <v/>
      </c>
      <c r="AY70" s="1533">
        <f>SUM(AY66:AY69)</f>
        <v/>
      </c>
      <c r="AZ70" s="1533">
        <f>SUM(AZ66:AZ69)</f>
        <v/>
      </c>
      <c r="BA70" s="1533">
        <f>SUM(BA66:BA69)</f>
        <v/>
      </c>
      <c r="BB70" s="1533">
        <f>SUM(BB66:BB69)</f>
        <v/>
      </c>
      <c r="BC70" s="1533">
        <f>SUM(BC66:BC69)</f>
        <v/>
      </c>
      <c r="BD70" s="1533">
        <f>SUM(BD66:BD69)</f>
        <v/>
      </c>
      <c r="BE70" s="1533">
        <f>SUM(BE66:BE69)</f>
        <v/>
      </c>
      <c r="BF70" s="1533">
        <f>SUM(BF66:BF69)</f>
        <v/>
      </c>
      <c r="BG70" s="1533">
        <f>SUM(BG66:BG69)</f>
        <v/>
      </c>
      <c r="BH70" s="1533">
        <f>SUM(BH66:BH69)</f>
        <v/>
      </c>
      <c r="BI70" s="1533">
        <f>SUM(BI66:BI69)</f>
        <v/>
      </c>
      <c r="BJ70" s="1533">
        <f>SUM(BJ66:BJ69)</f>
        <v/>
      </c>
      <c r="BK70" s="1533">
        <f>SUM(BK66:BK69)</f>
        <v/>
      </c>
      <c r="BL70" s="1533">
        <f>SUM(BL66:BL69)</f>
        <v/>
      </c>
      <c r="BM70" s="1533">
        <f>SUM(BM66:BM69)</f>
        <v/>
      </c>
      <c r="BN70" s="1533">
        <f>SUM(BN66:BN69)</f>
        <v/>
      </c>
      <c r="BO70" s="1533">
        <f>SUM(BO66:BO69)</f>
        <v/>
      </c>
      <c r="BP70" s="1533">
        <f>SUM(BP66:BP69)</f>
        <v/>
      </c>
      <c r="BQ70" s="1533">
        <f>SUM(BQ66:BQ69)</f>
        <v/>
      </c>
      <c r="BR70" s="1533">
        <f>SUM(BR66:BR69)</f>
        <v/>
      </c>
      <c r="BS70" s="1533">
        <f>SUM(BS66:BS69)</f>
        <v/>
      </c>
      <c r="BT70" s="1533">
        <f>SUM(BT66:BT69)</f>
        <v/>
      </c>
      <c r="BU70" s="1533">
        <f>SUM(BU66:BU69)</f>
        <v/>
      </c>
      <c r="BV70" s="1533">
        <f>SUM(BV66:BV69)</f>
        <v/>
      </c>
      <c r="BW70" s="1533">
        <f>SUM(BW66:BW69)</f>
        <v/>
      </c>
      <c r="BX70" s="1533">
        <f>SUM(BX66:BX69)</f>
        <v/>
      </c>
      <c r="BY70" s="1533">
        <f>SUM(BY66:BY69)</f>
        <v/>
      </c>
      <c r="BZ70" s="1533">
        <f>SUM(BZ66:BZ69)</f>
        <v/>
      </c>
      <c r="CA70" s="1533">
        <f>SUM(CA66:CA69)</f>
        <v/>
      </c>
      <c r="CB70" s="1533">
        <f>SUM(CB66:CB69)</f>
        <v/>
      </c>
      <c r="CC70" s="1533">
        <f>SUM(CC66:CC69)</f>
        <v/>
      </c>
      <c r="CD70" s="1533">
        <f>SUM(CD66:CD69)</f>
        <v/>
      </c>
      <c r="CE70" s="1533">
        <f>SUM(CE66:CE69)</f>
        <v/>
      </c>
      <c r="CF70" s="1533">
        <f>SUM(CF66:CF69)</f>
        <v/>
      </c>
      <c r="CG70" s="1533">
        <f>SUM(CG66:CG69)</f>
        <v/>
      </c>
      <c r="CH70" s="1533" t="n"/>
      <c r="CI70" s="1533" t="n"/>
      <c r="CJ70" s="1533" t="n"/>
      <c r="CK70" s="1531" t="n"/>
      <c r="CL70" s="1533">
        <f>SUM(CL66:CL69)</f>
        <v/>
      </c>
      <c r="CM70" s="1531" t="n"/>
      <c r="CN70" s="1531" t="n"/>
      <c r="CO70" s="1531" t="n"/>
      <c r="CP70" s="1535" t="n"/>
      <c r="CQ70" s="1536" t="n"/>
      <c r="CR70" s="1535" t="n"/>
      <c r="CS70" s="1537" t="n"/>
      <c r="CT70" s="1537" t="n"/>
      <c r="CU70" s="1537" t="n"/>
      <c r="CV70" s="1538" t="n"/>
      <c r="CW70" s="1538" t="n"/>
      <c r="CX70" s="1538" t="n"/>
      <c r="CY70" s="1538" t="n"/>
      <c r="CZ70" s="1526" t="n"/>
      <c r="DA70" s="1539" t="n"/>
      <c r="DB70" s="1526" t="n"/>
      <c r="DC70" s="1526" t="n"/>
      <c r="DD70" s="1487" t="n"/>
      <c r="DE70" s="1523" t="n"/>
      <c r="DF70" s="1497" t="n"/>
      <c r="DG70" s="212" t="n"/>
    </row>
    <row r="71">
      <c r="A71" s="230" t="n">
        <v>53</v>
      </c>
      <c r="B71" s="1376" t="n">
        <v>8</v>
      </c>
      <c r="C71" s="176" t="inlineStr">
        <is>
          <t>Cu Thi Tuong Vy</t>
        </is>
      </c>
      <c r="D71" s="250" t="inlineStr">
        <is>
          <t>Cù Thị Tường Vy</t>
        </is>
      </c>
      <c r="E71" s="1492">
        <f>IF(OR(G71="CHT",G71="DSBC",G71="DSXC"),"HĐLĐ",IF(OR(G71="DSTV",G71="Q.CHT"),"HĐTV","HĐCTV"))</f>
        <v/>
      </c>
      <c r="F71" s="1493" t="inlineStr">
        <is>
          <t>Rạch Bùng Binh</t>
        </is>
      </c>
      <c r="G71" s="1494" t="inlineStr">
        <is>
          <t>CHT</t>
        </is>
      </c>
      <c r="H71" s="1495" t="inlineStr">
        <is>
          <t>16/3/2026</t>
        </is>
      </c>
      <c r="I71" s="1496" t="inlineStr">
        <is>
          <t>0071000937911</t>
        </is>
      </c>
      <c r="J71" s="1496" t="inlineStr">
        <is>
          <t>Vietcombank</t>
        </is>
      </c>
      <c r="K71" s="1497" t="n">
        <v>28</v>
      </c>
      <c r="L71" s="1497" t="n">
        <v>23</v>
      </c>
      <c r="M71" s="1497" t="n">
        <v>258.01</v>
      </c>
      <c r="N71" s="1497" t="n">
        <v>4.31</v>
      </c>
      <c r="O71" s="1497" t="n">
        <v>0</v>
      </c>
      <c r="P71" s="232" t="n"/>
      <c r="Q71" s="1497" t="n"/>
      <c r="R71" s="1498" t="n"/>
      <c r="S71" s="1499">
        <f>IF(E71="HĐLĐ",5310000,0)</f>
        <v/>
      </c>
      <c r="T71" s="1500" t="n">
        <v>410714.2857142857</v>
      </c>
      <c r="U71" s="1501" t="n"/>
      <c r="V71" s="232" t="n"/>
      <c r="W71" s="232" t="n"/>
      <c r="X71" s="232" t="n"/>
      <c r="Y71" s="232" t="n"/>
      <c r="Z71" s="232" t="n"/>
      <c r="AA71" s="1497" t="n">
        <v>0</v>
      </c>
      <c r="AB71" s="1497" t="n">
        <v>0</v>
      </c>
      <c r="AC71" s="1499" t="n">
        <v>6000000</v>
      </c>
      <c r="AD71" s="232" t="n"/>
      <c r="AE71" s="232" t="n"/>
      <c r="AF71" s="232" t="n"/>
      <c r="AG71" s="1502">
        <f>IF(E71="HĐTV",AE71/28/8*M71,AC71/28/8*M71)</f>
        <v/>
      </c>
      <c r="AH71" s="1499">
        <f>IF(E71="HĐTV",AE71/28/8*N71*1.5,AC71/28/8*N71*1.5)</f>
        <v/>
      </c>
      <c r="AI71" s="232" t="n">
        <v>0</v>
      </c>
      <c r="AJ71" s="232" t="n">
        <v>0</v>
      </c>
      <c r="AK71" s="232" t="n">
        <v>0</v>
      </c>
      <c r="AL71" s="1497" t="n">
        <v>2000000</v>
      </c>
      <c r="AM71" s="1497" t="n">
        <v>0</v>
      </c>
      <c r="AN71" s="1497" t="n">
        <v>0</v>
      </c>
      <c r="AO71" s="1497" t="n">
        <v>1186872</v>
      </c>
      <c r="AP71" s="1497" t="n">
        <v>1776600</v>
      </c>
      <c r="AQ71" s="1497" t="n">
        <v>0</v>
      </c>
      <c r="AR71" s="1497" t="n">
        <v>100</v>
      </c>
      <c r="AS71" s="1497" t="n">
        <v>0</v>
      </c>
      <c r="AT71" s="1497" t="n">
        <v>0</v>
      </c>
      <c r="AU71" s="1497" t="n">
        <v>150000</v>
      </c>
      <c r="AV71" s="1497" t="n">
        <v>0</v>
      </c>
      <c r="AW71" s="1497" t="n">
        <v>0</v>
      </c>
      <c r="AX71" s="1497" t="n">
        <v>0</v>
      </c>
      <c r="AY71" s="232" t="n">
        <v>0</v>
      </c>
      <c r="AZ71" s="1499" t="n">
        <v>0</v>
      </c>
      <c r="BA71" s="1503" t="n">
        <v>0</v>
      </c>
      <c r="BB71" s="1497" t="n">
        <v>88500</v>
      </c>
      <c r="BC71" s="1497" t="n">
        <v>0</v>
      </c>
      <c r="BD71" s="1497" t="n">
        <v>0</v>
      </c>
      <c r="BE71" s="1497" t="n">
        <v>0</v>
      </c>
      <c r="BF71" s="1497" t="n">
        <v>0</v>
      </c>
      <c r="BG71" s="1497" t="n">
        <v>0</v>
      </c>
      <c r="BH71" s="1504">
        <f>SUM(T71:AB71)+SUM(AF71:BA71)-SUM(BB71:BG71)</f>
        <v/>
      </c>
      <c r="BI71" s="1505">
        <f>S71*17.5%</f>
        <v/>
      </c>
      <c r="BJ71" s="1505">
        <f>S71*3%</f>
        <v/>
      </c>
      <c r="BK71" s="1505">
        <f>S71*1%</f>
        <v/>
      </c>
      <c r="BL71" s="1506" t="n"/>
      <c r="BM71" s="1507">
        <f>SUM(BI71:BL71)</f>
        <v/>
      </c>
      <c r="BN71" s="1505">
        <f>S71*8%</f>
        <v/>
      </c>
      <c r="BO71" s="1505">
        <f>S71*1.5%</f>
        <v/>
      </c>
      <c r="BP71" s="1505">
        <f>S71*1%</f>
        <v/>
      </c>
      <c r="BQ71" s="1506" t="n"/>
      <c r="BR71" s="1507">
        <f>SUM(BN71:BQ71)</f>
        <v/>
      </c>
      <c r="BS71" s="1505">
        <f>T71+U71+V71+W71</f>
        <v/>
      </c>
      <c r="BT71" s="1508">
        <f>BH71-BS71-AH71</f>
        <v/>
      </c>
      <c r="BU71" s="1505">
        <f>IF(E71="HĐLĐ",15500000,0)</f>
        <v/>
      </c>
      <c r="BV71" s="1509" t="n">
        <v>0</v>
      </c>
      <c r="BW71" s="1505">
        <f>BV71*6200000</f>
        <v/>
      </c>
      <c r="BX71" s="1505">
        <f>BR71</f>
        <v/>
      </c>
      <c r="BY71" s="1510">
        <f>BU71+BW71+BX71</f>
        <v/>
      </c>
      <c r="BZ71" s="1505">
        <f>IF(BT71-BY71&gt;0,BT71-BY71,0)</f>
        <v/>
      </c>
      <c r="CA71" s="1506">
        <f>IF(AND(OR($E71="HĐTV",$E71="HĐCTV"),$BZ71&lt;2000000),0,IF(OR($E71="HĐTV",$E71="HĐCTV"),$BZ71*10%,ROUND(IF($BZ71&lt;=10000000,$BZ71*5%,IF($BZ71&lt;=30000000,$BZ71*10%-500000,IF($BZ71&lt;=60000000,$BZ71*20%-3500000,IF($BZ71&lt;=100000000,$BZ71*30%-9500000,$BZ71*35%-14500000)))),0)))</f>
        <v/>
      </c>
      <c r="CB71" s="1511">
        <f>ROUND(BH71-BR71-CA71,0)</f>
        <v/>
      </c>
      <c r="CC71" s="1509" t="n"/>
      <c r="CD71" s="1512" t="n">
        <v>0</v>
      </c>
      <c r="CE71" s="1513">
        <f>CB71+CC71-CD71</f>
        <v/>
      </c>
      <c r="CF71" s="1514">
        <f>CE71-CG71</f>
        <v/>
      </c>
      <c r="CG71" s="1514">
        <f>CE71</f>
        <v/>
      </c>
      <c r="CH71" s="1515" t="n"/>
      <c r="CI71" s="1516">
        <f>VLOOKUP($C75,[5]Sheet1!$C$5:$K$139,9,0)</f>
        <v/>
      </c>
      <c r="CJ71" s="1497" t="inlineStr">
        <is>
          <t>Cộng 8h/ 1 ngày do tháng 6/2026 bị treo 1 ngày phép</t>
        </is>
      </c>
      <c r="CK71" s="1495" t="n">
        <v>10</v>
      </c>
      <c r="CL71" s="1497" t="n"/>
      <c r="CM71" s="1495" t="n">
        <v>4</v>
      </c>
      <c r="CN71" s="1495" t="n">
        <v>9</v>
      </c>
      <c r="CO71" s="1495" t="n">
        <v>2024</v>
      </c>
      <c r="CP71" s="1517">
        <f>IF((($CO$7-CO71)*12)+($CN$7-CN71)&gt;=12,((($CO$7-CO71)*12)+($CN$7-CN71))-1,0)</f>
        <v/>
      </c>
      <c r="CQ71" s="1518">
        <f>IF(CP71&lt;12,(($CQ$7-CO71)*12)+($CP$7-CN71),0)</f>
        <v/>
      </c>
      <c r="CR71" s="1517">
        <f>IF(OR(CP71&gt;12,CP71=12),((CP71-(CS71*12))+((($CQ$7-2024)*12)+($CP$7-4)))+1,0)</f>
        <v/>
      </c>
      <c r="CS71" s="1519">
        <f>IF(OR(CP71&gt;12,CP71=12),ROUNDDOWN(CP71/12,0),0)</f>
        <v/>
      </c>
      <c r="CT71" s="1519">
        <f>IF(CQ71&gt;11,ROUNDDOWN(CQ71/12,0),0)</f>
        <v/>
      </c>
      <c r="CU71" s="1519">
        <f>IF(CR71&gt;11,ROUNDDOWN(CR71/12,0),0)</f>
        <v/>
      </c>
      <c r="CV71" s="1520">
        <f>IF(CP71=0,0,6000000*1.07^CS71)</f>
        <v/>
      </c>
      <c r="CW71" s="1520">
        <f>IF(CT71&lt;2,0,6000000+(CT71-1)*500000)</f>
        <v/>
      </c>
      <c r="CX71" s="1520">
        <f>IF(CU71=0,CV71,IF(CU71&lt;1,0,CV71+CU71*500000))</f>
        <v/>
      </c>
      <c r="CY71" s="1520">
        <f>IF(CX71&gt;0,CX71,IF(CW71&gt;0,CW71,6000000))</f>
        <v/>
      </c>
      <c r="CZ71" s="1521" t="n"/>
      <c r="DA71" s="1522" t="n"/>
      <c r="DB71" s="1521" t="n"/>
      <c r="DC71" s="1521" t="n"/>
      <c r="DD71" s="1487" t="n"/>
      <c r="DE71" s="1523" t="n"/>
      <c r="DF71" s="1497" t="n"/>
      <c r="DG71" s="212" t="n"/>
    </row>
    <row r="72">
      <c r="A72" s="230" t="n">
        <v>54</v>
      </c>
      <c r="B72" s="1376" t="n">
        <v>8</v>
      </c>
      <c r="C72" s="176" t="inlineStr">
        <is>
          <t>Huynh Thi Hue Hien</t>
        </is>
      </c>
      <c r="D72" s="250" t="inlineStr">
        <is>
          <t>Huỳnh Thị Huệ Hiền</t>
        </is>
      </c>
      <c r="E72" s="1492">
        <f>IF(OR(G72="CHT",G72="DSBC",G72="DSXC"),"HĐLĐ",IF(OR(G72="DSTV",G72="Q.CHT"),"HĐTV","HĐCTV"))</f>
        <v/>
      </c>
      <c r="F72" s="1493" t="inlineStr">
        <is>
          <t>Rạch Bùng Binh</t>
        </is>
      </c>
      <c r="G72" s="1494" t="inlineStr">
        <is>
          <t>DSBC</t>
        </is>
      </c>
      <c r="H72" s="1495" t="inlineStr">
        <is>
          <t>01/11/2024</t>
        </is>
      </c>
      <c r="I72" s="1496" t="inlineStr">
        <is>
          <t>0421000443270</t>
        </is>
      </c>
      <c r="J72" s="1496" t="inlineStr">
        <is>
          <t>VietComBank</t>
        </is>
      </c>
      <c r="K72" s="1497" t="n">
        <v>28</v>
      </c>
      <c r="L72" s="1497" t="n">
        <v>26</v>
      </c>
      <c r="M72" s="1497" t="n">
        <v>8.960000000000001</v>
      </c>
      <c r="N72" s="1497" t="n">
        <v>206.47</v>
      </c>
      <c r="O72" s="1497" t="n">
        <v>0</v>
      </c>
      <c r="P72" s="232" t="n"/>
      <c r="Q72" s="1497" t="n"/>
      <c r="R72" s="1498" t="n"/>
      <c r="S72" s="1499">
        <f>IF(E72="HĐLĐ",5310000,0)</f>
        <v/>
      </c>
      <c r="T72" s="1500" t="n">
        <v>464285.7142857143</v>
      </c>
      <c r="U72" s="1501" t="n"/>
      <c r="V72" s="232" t="n"/>
      <c r="W72" s="232" t="n"/>
      <c r="X72" s="232" t="n"/>
      <c r="Y72" s="232" t="n"/>
      <c r="Z72" s="232" t="n"/>
      <c r="AA72" s="1497" t="n">
        <v>0</v>
      </c>
      <c r="AB72" s="1497" t="n">
        <v>0</v>
      </c>
      <c r="AC72" s="1499" t="n">
        <v>6000000</v>
      </c>
      <c r="AD72" s="232" t="n"/>
      <c r="AE72" s="232" t="n"/>
      <c r="AF72" s="232" t="n"/>
      <c r="AG72" s="1502">
        <f>IF(E72="HĐTV",AE72/28/8*M72,AC72/28/8*M72)</f>
        <v/>
      </c>
      <c r="AH72" s="1499">
        <f>IF(E72="HĐTV",AE72/28/8*N72*1.5,AC72/28/8*N72*1.5)</f>
        <v/>
      </c>
      <c r="AI72" s="232" t="n">
        <v>1392857</v>
      </c>
      <c r="AJ72" s="232" t="n">
        <v>0</v>
      </c>
      <c r="AK72" s="232" t="n">
        <v>0</v>
      </c>
      <c r="AL72" s="1497" t="n">
        <v>0</v>
      </c>
      <c r="AM72" s="1497" t="n">
        <v>0</v>
      </c>
      <c r="AN72" s="1497" t="n">
        <v>500000</v>
      </c>
      <c r="AO72" s="1497" t="n">
        <v>0</v>
      </c>
      <c r="AP72" s="1497" t="n">
        <v>2191150</v>
      </c>
      <c r="AQ72" s="1497" t="n">
        <v>9675</v>
      </c>
      <c r="AR72" s="1497" t="n">
        <v>0</v>
      </c>
      <c r="AS72" s="1497" t="n">
        <v>0</v>
      </c>
      <c r="AT72" s="1497" t="n">
        <v>0</v>
      </c>
      <c r="AU72" s="1497" t="n">
        <v>0</v>
      </c>
      <c r="AV72" s="1497" t="n">
        <v>0</v>
      </c>
      <c r="AW72" s="1497" t="n">
        <v>0</v>
      </c>
      <c r="AX72" s="1497" t="n">
        <v>0</v>
      </c>
      <c r="AY72" s="232" t="n">
        <v>0</v>
      </c>
      <c r="AZ72" s="1499" t="n">
        <v>0</v>
      </c>
      <c r="BA72" s="1503" t="n">
        <v>0</v>
      </c>
      <c r="BB72" s="1497" t="n">
        <v>88500</v>
      </c>
      <c r="BC72" s="1497" t="n">
        <v>0</v>
      </c>
      <c r="BD72" s="1497" t="n">
        <v>0</v>
      </c>
      <c r="BE72" s="1497" t="n">
        <v>0</v>
      </c>
      <c r="BF72" s="1497" t="n">
        <v>46000</v>
      </c>
      <c r="BG72" s="1497" t="n">
        <v>0</v>
      </c>
      <c r="BH72" s="1504">
        <f>SUM(T72:AB72)+SUM(AF72:BA72)-SUM(BB72:BG72)</f>
        <v/>
      </c>
      <c r="BI72" s="1505">
        <f>S72*17.5%</f>
        <v/>
      </c>
      <c r="BJ72" s="1505">
        <f>S72*3%</f>
        <v/>
      </c>
      <c r="BK72" s="1505">
        <f>S72*1%</f>
        <v/>
      </c>
      <c r="BL72" s="1506" t="n"/>
      <c r="BM72" s="1507">
        <f>SUM(BI72:BL72)</f>
        <v/>
      </c>
      <c r="BN72" s="1505">
        <f>S72*8%</f>
        <v/>
      </c>
      <c r="BO72" s="1505">
        <f>S72*1.5%</f>
        <v/>
      </c>
      <c r="BP72" s="1505">
        <f>S72*1%</f>
        <v/>
      </c>
      <c r="BQ72" s="1506" t="n"/>
      <c r="BR72" s="1507">
        <f>SUM(BN72:BQ72)</f>
        <v/>
      </c>
      <c r="BS72" s="1505">
        <f>T72+U72+V72+W72</f>
        <v/>
      </c>
      <c r="BT72" s="1508">
        <f>BH72-BS72-AH72</f>
        <v/>
      </c>
      <c r="BU72" s="1505">
        <f>IF(E72="HĐLĐ",15500000,0)</f>
        <v/>
      </c>
      <c r="BV72" s="1509" t="n">
        <v>0</v>
      </c>
      <c r="BW72" s="1505">
        <f>BV72*6200000</f>
        <v/>
      </c>
      <c r="BX72" s="1505">
        <f>BR72</f>
        <v/>
      </c>
      <c r="BY72" s="1510">
        <f>BU72+BW72+BX72</f>
        <v/>
      </c>
      <c r="BZ72" s="1505">
        <f>IF(BT72-BY72&gt;0,BT72-BY72,0)</f>
        <v/>
      </c>
      <c r="CA72" s="1506">
        <f>IF(AND(OR($E72="HĐTV",$E72="HĐCTV"),$BZ72&lt;2000000),0,IF(OR($E72="HĐTV",$E72="HĐCTV"),$BZ72*10%,ROUND(IF($BZ72&lt;=10000000,$BZ72*5%,IF($BZ72&lt;=30000000,$BZ72*10%-500000,IF($BZ72&lt;=60000000,$BZ72*20%-3500000,IF($BZ72&lt;=100000000,$BZ72*30%-9500000,$BZ72*35%-14500000)))),0)))</f>
        <v/>
      </c>
      <c r="CB72" s="1511">
        <f>ROUND(BH72-BR72-CA72,0)</f>
        <v/>
      </c>
      <c r="CC72" s="1509" t="n"/>
      <c r="CD72" s="1512" t="n">
        <v>0</v>
      </c>
      <c r="CE72" s="1513">
        <f>CB72+CC72-CD72</f>
        <v/>
      </c>
      <c r="CF72" s="1514">
        <f>CE72-CG72</f>
        <v/>
      </c>
      <c r="CG72" s="1514">
        <f>CE72</f>
        <v/>
      </c>
      <c r="CH72" s="1515" t="n"/>
      <c r="CI72" s="1516" t="inlineStr">
        <is>
          <t>hien.huynh@medigoapp.com</t>
        </is>
      </c>
      <c r="CJ72" s="1497" t="n">
        <v>0</v>
      </c>
      <c r="CK72" s="1495" t="n">
        <v>5</v>
      </c>
      <c r="CL72" s="1497" t="n"/>
      <c r="CM72" s="1495" t="n">
        <v>1</v>
      </c>
      <c r="CN72" s="1495" t="n">
        <v>11</v>
      </c>
      <c r="CO72" s="1495" t="n">
        <v>2024</v>
      </c>
      <c r="CP72" s="1517" t="n">
        <v>0</v>
      </c>
      <c r="CQ72" s="1518">
        <f>IF(CP72&lt;12,(($CQ$7-CO72)*12)+($CP$7-CN72),0)</f>
        <v/>
      </c>
      <c r="CR72" s="1517">
        <f>IF(OR(CP72&gt;12,CP72=12),((CP72-(CS72*12))+((($CQ$7-2024)*12)+($CP$7-4)))+1,0)</f>
        <v/>
      </c>
      <c r="CS72" s="1519" t="n">
        <v>0</v>
      </c>
      <c r="CT72" s="1519" t="n">
        <v>1</v>
      </c>
      <c r="CU72" s="1519" t="n">
        <v>0</v>
      </c>
      <c r="CV72" s="1520" t="n">
        <v>0</v>
      </c>
      <c r="CW72" s="1520" t="n">
        <v>0</v>
      </c>
      <c r="CX72" s="1520" t="n">
        <v>0</v>
      </c>
      <c r="CY72" s="1520" t="n">
        <v>6000000</v>
      </c>
      <c r="CZ72" s="1521" t="n"/>
      <c r="DA72" s="1522" t="n"/>
      <c r="DB72" s="1521" t="n"/>
      <c r="DC72" s="1521" t="n"/>
      <c r="DD72" s="1487" t="n"/>
      <c r="DE72" s="1523" t="n"/>
      <c r="DF72" s="1497" t="n"/>
      <c r="DG72" s="212" t="n"/>
    </row>
    <row r="73">
      <c r="A73" s="230" t="n">
        <v>55</v>
      </c>
      <c r="B73" s="1376" t="n">
        <v>8</v>
      </c>
      <c r="C73" s="176" t="inlineStr">
        <is>
          <t>Nguyen Thi Phuc Loc</t>
        </is>
      </c>
      <c r="D73" s="250" t="inlineStr">
        <is>
          <t>Nguyễn Thị Phúc Lộc</t>
        </is>
      </c>
      <c r="E73" s="1492">
        <f>IF(OR(G73="CHT",G73="DSBC",G73="DSXC"),"HĐLĐ",IF(OR(G73="DSTV",G73="Q.CHT"),"HĐTV","HĐCTV"))</f>
        <v/>
      </c>
      <c r="F73" s="1493" t="inlineStr">
        <is>
          <t>Rạch Bùng Binh</t>
        </is>
      </c>
      <c r="G73" s="1494" t="inlineStr">
        <is>
          <t>DSTV</t>
        </is>
      </c>
      <c r="H73" s="1495" t="inlineStr">
        <is>
          <t>22/07/2026</t>
        </is>
      </c>
      <c r="I73" s="1496" t="inlineStr">
        <is>
          <t>2158791</t>
        </is>
      </c>
      <c r="J73" s="1496" t="inlineStr">
        <is>
          <t>Á Châu ( ACB)</t>
        </is>
      </c>
      <c r="K73" s="1497" t="n">
        <v>28</v>
      </c>
      <c r="L73" s="1497" t="n">
        <v>25</v>
      </c>
      <c r="M73" s="1497" t="n">
        <v>1.9</v>
      </c>
      <c r="N73" s="1497" t="n">
        <v>202.37</v>
      </c>
      <c r="O73" s="1497" t="n">
        <v>0</v>
      </c>
      <c r="P73" s="232" t="n"/>
      <c r="Q73" s="1497" t="n"/>
      <c r="R73" s="1498" t="n"/>
      <c r="S73" s="1499">
        <f>IF(E73="HĐLĐ",5310000,0)</f>
        <v/>
      </c>
      <c r="T73" s="1500" t="n">
        <v>446428.5714285715</v>
      </c>
      <c r="U73" s="1501" t="n"/>
      <c r="V73" s="232" t="n"/>
      <c r="W73" s="232" t="n"/>
      <c r="X73" s="232" t="n"/>
      <c r="Y73" s="232" t="n"/>
      <c r="Z73" s="232" t="n"/>
      <c r="AA73" s="1497" t="n">
        <v>0</v>
      </c>
      <c r="AB73" s="1497" t="n">
        <v>0</v>
      </c>
      <c r="AC73" s="1499" t="n">
        <v>6000000</v>
      </c>
      <c r="AD73" s="232">
        <f>AC73</f>
        <v/>
      </c>
      <c r="AE73" s="232" t="n">
        <v>6000000</v>
      </c>
      <c r="AF73" s="232">
        <f>IF(E73="HĐTV",AE73/K73*L73,AD73/K73*L73)</f>
        <v/>
      </c>
      <c r="AG73" s="1502">
        <f>IF(E73="HĐTV",AE73/28/8*M73,AC73/28/8*M73)</f>
        <v/>
      </c>
      <c r="AH73" s="1499">
        <f>IF(E73="HĐTV",AE73/28/8*N73*1.5,AC73/28/8*N73*1.5)</f>
        <v/>
      </c>
      <c r="AI73" s="232" t="n">
        <v>1339286</v>
      </c>
      <c r="AJ73" s="232" t="n">
        <v>0</v>
      </c>
      <c r="AK73" s="232" t="n">
        <v>0</v>
      </c>
      <c r="AL73" s="1497" t="n">
        <v>0</v>
      </c>
      <c r="AM73" s="1497" t="n">
        <v>0</v>
      </c>
      <c r="AN73" s="1497" t="n">
        <v>233333</v>
      </c>
      <c r="AO73" s="1497" t="n">
        <v>0</v>
      </c>
      <c r="AP73" s="1497" t="n">
        <v>0</v>
      </c>
      <c r="AQ73" s="1497" t="n">
        <v>0</v>
      </c>
      <c r="AR73" s="1497" t="n">
        <v>0</v>
      </c>
      <c r="AS73" s="1497" t="n">
        <v>0</v>
      </c>
      <c r="AT73" s="1497" t="n">
        <v>0</v>
      </c>
      <c r="AU73" s="1497" t="n">
        <v>0</v>
      </c>
      <c r="AV73" s="1497" t="n">
        <v>0</v>
      </c>
      <c r="AW73" s="1497" t="n">
        <v>0</v>
      </c>
      <c r="AX73" s="1497" t="n">
        <v>0</v>
      </c>
      <c r="AY73" s="232" t="n">
        <v>0</v>
      </c>
      <c r="AZ73" s="1499" t="n">
        <v>0</v>
      </c>
      <c r="BA73" s="1503" t="n">
        <v>0</v>
      </c>
      <c r="BB73" s="1497" t="n">
        <v>0</v>
      </c>
      <c r="BC73" s="1497" t="n">
        <v>0</v>
      </c>
      <c r="BD73" s="1497" t="n">
        <v>0</v>
      </c>
      <c r="BE73" s="1497" t="n">
        <v>0</v>
      </c>
      <c r="BF73" s="1497" t="n">
        <v>500000</v>
      </c>
      <c r="BG73" s="1497" t="n">
        <v>0</v>
      </c>
      <c r="BH73" s="1504">
        <f>SUM(T73:AB73)+SUM(AF73:BA73)-SUM(BB73:BG73)</f>
        <v/>
      </c>
      <c r="BI73" s="1505">
        <f>S73*17.5%</f>
        <v/>
      </c>
      <c r="BJ73" s="1505">
        <f>S73*3%</f>
        <v/>
      </c>
      <c r="BK73" s="1505">
        <f>S73*1%</f>
        <v/>
      </c>
      <c r="BL73" s="1506" t="n"/>
      <c r="BM73" s="1507">
        <f>SUM(BI73:BL73)</f>
        <v/>
      </c>
      <c r="BN73" s="1505">
        <f>S73*8%</f>
        <v/>
      </c>
      <c r="BO73" s="1505">
        <f>S73*1.5%</f>
        <v/>
      </c>
      <c r="BP73" s="1505">
        <f>S73*1%</f>
        <v/>
      </c>
      <c r="BQ73" s="1506" t="n"/>
      <c r="BR73" s="1507">
        <f>SUM(BN73:BQ73)</f>
        <v/>
      </c>
      <c r="BS73" s="1505">
        <f>T73+U73+V73+W73</f>
        <v/>
      </c>
      <c r="BT73" s="1508">
        <f>BH73-BS73-AH73</f>
        <v/>
      </c>
      <c r="BU73" s="1505">
        <f>IF(E73="HĐLĐ",15500000,0)</f>
        <v/>
      </c>
      <c r="BV73" s="1509" t="n">
        <v>0</v>
      </c>
      <c r="BW73" s="1505">
        <f>BV73*6200000</f>
        <v/>
      </c>
      <c r="BX73" s="1505">
        <f>BR73</f>
        <v/>
      </c>
      <c r="BY73" s="1510">
        <f>BU73+BW73+BX73</f>
        <v/>
      </c>
      <c r="BZ73" s="1505">
        <f>IF(BT73-BY73&gt;0,BT73-BY73,0)</f>
        <v/>
      </c>
      <c r="CA73" s="1506">
        <f>IF(AND(OR($E73="HĐTV",$E73="HĐCTV"),$BZ73&lt;2000000),0,IF(OR($E73="HĐTV",$E73="HĐCTV"),$BZ73*10%,ROUND(IF($BZ73&lt;=10000000,$BZ73*5%,IF($BZ73&lt;=30000000,$BZ73*10%-500000,IF($BZ73&lt;=60000000,$BZ73*20%-3500000,IF($BZ73&lt;=100000000,$BZ73*30%-9500000,$BZ73*35%-14500000)))),0)))</f>
        <v/>
      </c>
      <c r="CB73" s="1511">
        <f>ROUND(BH73-BR73-CA73,0)</f>
        <v/>
      </c>
      <c r="CC73" s="1509" t="n"/>
      <c r="CD73" s="1512" t="n">
        <v>0</v>
      </c>
      <c r="CE73" s="1513">
        <f>CB73+CC73-CD73</f>
        <v/>
      </c>
      <c r="CF73" s="1514">
        <f>CE73-CG73</f>
        <v/>
      </c>
      <c r="CG73" s="1514">
        <f>CE73</f>
        <v/>
      </c>
      <c r="CH73" s="1515" t="n"/>
      <c r="CI73" s="1516" t="inlineStr">
        <is>
          <t>loc.nguyen@medigoapp.com</t>
        </is>
      </c>
      <c r="CJ73" s="1497" t="n"/>
      <c r="CK73" s="1495" t="n">
        <v>9</v>
      </c>
      <c r="CL73" s="1497" t="n"/>
      <c r="CM73" s="1495" t="n"/>
      <c r="CN73" s="1495" t="n"/>
      <c r="CO73" s="1495" t="n"/>
      <c r="CP73" s="1517" t="n"/>
      <c r="CQ73" s="1518" t="n"/>
      <c r="CR73" s="1517" t="n"/>
      <c r="CS73" s="1519" t="n"/>
      <c r="CT73" s="1519" t="n"/>
      <c r="CU73" s="1519" t="n"/>
      <c r="CV73" s="1520" t="n"/>
      <c r="CW73" s="1520" t="n"/>
      <c r="CX73" s="1520" t="n"/>
      <c r="CY73" s="1520">
        <f>IF(CX73&gt;0,CX73,IF(CW73&gt;0,CW73,6000000))</f>
        <v/>
      </c>
      <c r="CZ73" s="1521" t="n"/>
      <c r="DA73" s="1522" t="n"/>
      <c r="DB73" s="1521" t="n"/>
      <c r="DC73" s="1521" t="n"/>
      <c r="DD73" s="1487" t="n"/>
      <c r="DE73" s="1523" t="n"/>
      <c r="DF73" s="1497" t="n"/>
      <c r="DG73" s="212" t="n"/>
    </row>
    <row r="74">
      <c r="A74" s="230" t="n">
        <v>56</v>
      </c>
      <c r="B74" s="1376" t="n">
        <v>8</v>
      </c>
      <c r="C74" s="176" t="inlineStr">
        <is>
          <t>Ngo Thi Ngoc Thuy</t>
        </is>
      </c>
      <c r="D74" s="250" t="inlineStr">
        <is>
          <t>Ngô Thị Ngọc Thủy</t>
        </is>
      </c>
      <c r="E74" s="1492">
        <f>IF(OR(G74="CHT",G74="DSBC",G74="DSXC"),"HĐLĐ",IF(OR(G74="DSTV",G74="Q.CHT"),"HĐTV","HĐCTV"))</f>
        <v/>
      </c>
      <c r="F74" s="1493" t="inlineStr">
        <is>
          <t>Rạch Bùng Binh</t>
        </is>
      </c>
      <c r="G74" s="1494" t="inlineStr">
        <is>
          <t>DSTV</t>
        </is>
      </c>
      <c r="H74" s="1495" t="n">
        <v>46190</v>
      </c>
      <c r="I74" s="1496" t="inlineStr">
        <is>
          <t>02031125202</t>
        </is>
      </c>
      <c r="J74" s="1496" t="inlineStr">
        <is>
          <t>TP Bank</t>
        </is>
      </c>
      <c r="K74" s="1497" t="n">
        <v>28</v>
      </c>
      <c r="L74" s="1497" t="n">
        <v>27</v>
      </c>
      <c r="M74" s="1497" t="n">
        <v>169.61</v>
      </c>
      <c r="N74" s="1497" t="n">
        <v>56.18</v>
      </c>
      <c r="O74" s="1497" t="n">
        <v>0</v>
      </c>
      <c r="P74" s="232" t="n"/>
      <c r="Q74" s="1497" t="n"/>
      <c r="R74" s="1498" t="n"/>
      <c r="S74" s="1499">
        <f>IF(E74="HĐLĐ",5310000,0)</f>
        <v/>
      </c>
      <c r="T74" s="1500" t="n">
        <v>482142.8571428572</v>
      </c>
      <c r="U74" s="1501" t="n"/>
      <c r="V74" s="232" t="n"/>
      <c r="W74" s="232" t="n"/>
      <c r="X74" s="232" t="n"/>
      <c r="Y74" s="232" t="n"/>
      <c r="Z74" s="232" t="n"/>
      <c r="AA74" s="1497" t="n">
        <v>0</v>
      </c>
      <c r="AB74" s="1497" t="n">
        <v>0</v>
      </c>
      <c r="AC74" s="1499" t="n">
        <v>6000000</v>
      </c>
      <c r="AD74" s="232">
        <f>AC74</f>
        <v/>
      </c>
      <c r="AE74" s="232" t="n">
        <v>6000000</v>
      </c>
      <c r="AF74" s="232">
        <f>IF(E74="HĐTV",AE74/K74*L74,AD74/K74*L74)</f>
        <v/>
      </c>
      <c r="AG74" s="1502">
        <f>IF(E74="HĐTV",AE74/28/8*M74,AC74/28/8*M74)</f>
        <v/>
      </c>
      <c r="AH74" s="1499">
        <f>IF(E74="HĐTV",AE74/28/8*N74*1.5,AC74/28/8*N74*1.5)</f>
        <v/>
      </c>
      <c r="AI74" s="232" t="n">
        <v>0</v>
      </c>
      <c r="AJ74" s="232" t="n">
        <v>0</v>
      </c>
      <c r="AK74" s="232" t="n">
        <v>0</v>
      </c>
      <c r="AL74" s="1497" t="n">
        <v>0</v>
      </c>
      <c r="AM74" s="1497" t="n">
        <v>0</v>
      </c>
      <c r="AN74" s="1497" t="n">
        <v>1000000</v>
      </c>
      <c r="AO74" s="1497" t="n">
        <v>0</v>
      </c>
      <c r="AP74" s="1497" t="n">
        <v>1590500</v>
      </c>
      <c r="AQ74" s="1497" t="n">
        <v>0</v>
      </c>
      <c r="AR74" s="1497" t="n">
        <v>140</v>
      </c>
      <c r="AS74" s="1497" t="n">
        <v>0</v>
      </c>
      <c r="AT74" s="1497" t="n">
        <v>0</v>
      </c>
      <c r="AU74" s="1497" t="n">
        <v>0</v>
      </c>
      <c r="AV74" s="1497" t="n">
        <v>0</v>
      </c>
      <c r="AW74" s="1497" t="n">
        <v>0</v>
      </c>
      <c r="AX74" s="1497" t="n">
        <v>0</v>
      </c>
      <c r="AY74" s="232" t="n">
        <v>0</v>
      </c>
      <c r="AZ74" s="1499" t="n">
        <v>0</v>
      </c>
      <c r="BA74" s="1503" t="n">
        <v>0</v>
      </c>
      <c r="BB74" s="1497" t="n">
        <v>0</v>
      </c>
      <c r="BC74" s="1497" t="n">
        <v>0</v>
      </c>
      <c r="BD74" s="1497" t="n">
        <v>0</v>
      </c>
      <c r="BE74" s="1497" t="n">
        <v>0</v>
      </c>
      <c r="BF74" s="1497" t="n">
        <v>614000</v>
      </c>
      <c r="BG74" s="1497" t="n">
        <v>0</v>
      </c>
      <c r="BH74" s="1504">
        <f>SUM(T74:AB74)+SUM(AF74:BA74)-SUM(BB74:BG74)</f>
        <v/>
      </c>
      <c r="BI74" s="1505">
        <f>S74*17.5%</f>
        <v/>
      </c>
      <c r="BJ74" s="1505">
        <f>S74*3%</f>
        <v/>
      </c>
      <c r="BK74" s="1505">
        <f>S74*1%</f>
        <v/>
      </c>
      <c r="BL74" s="1506" t="n"/>
      <c r="BM74" s="1507">
        <f>SUM(BI74:BL74)</f>
        <v/>
      </c>
      <c r="BN74" s="1505">
        <f>S74*8%</f>
        <v/>
      </c>
      <c r="BO74" s="1505">
        <f>S74*1.5%</f>
        <v/>
      </c>
      <c r="BP74" s="1505">
        <f>S74*1%</f>
        <v/>
      </c>
      <c r="BQ74" s="1506" t="n"/>
      <c r="BR74" s="1507">
        <f>SUM(BN74:BQ74)</f>
        <v/>
      </c>
      <c r="BS74" s="1505">
        <f>T74+U74+V74+W74</f>
        <v/>
      </c>
      <c r="BT74" s="1508">
        <f>BH74-BS74-AH74</f>
        <v/>
      </c>
      <c r="BU74" s="1505">
        <f>IF(E74="HĐLĐ",15500000,0)</f>
        <v/>
      </c>
      <c r="BV74" s="1509" t="n">
        <v>0</v>
      </c>
      <c r="BW74" s="1505">
        <f>BV74*6200000</f>
        <v/>
      </c>
      <c r="BX74" s="1505">
        <f>BR74</f>
        <v/>
      </c>
      <c r="BY74" s="1510">
        <f>BU74+BW74+BX74</f>
        <v/>
      </c>
      <c r="BZ74" s="1505">
        <f>IF(BT74-BY74&gt;0,BT74-BY74,0)</f>
        <v/>
      </c>
      <c r="CA74" s="1506">
        <f>IF(AND(OR($E74="HĐTV",$E74="HĐCTV"),$BZ74&lt;2000000),0,IF(OR($E74="HĐTV",$E74="HĐCTV"),$BZ74*10%,ROUND(IF($BZ74&lt;=10000000,$BZ74*5%,IF($BZ74&lt;=30000000,$BZ74*10%-500000,IF($BZ74&lt;=60000000,$BZ74*20%-3500000,IF($BZ74&lt;=100000000,$BZ74*30%-9500000,$BZ74*35%-14500000)))),0)))</f>
        <v/>
      </c>
      <c r="CB74" s="1511">
        <f>ROUND(BH74-BR74-CA74,0)</f>
        <v/>
      </c>
      <c r="CC74" s="1509" t="n"/>
      <c r="CD74" s="1512" t="n">
        <v>0</v>
      </c>
      <c r="CE74" s="1513">
        <f>CB74+CC74-CD74</f>
        <v/>
      </c>
      <c r="CF74" s="1514">
        <f>CE74-CG74</f>
        <v/>
      </c>
      <c r="CG74" s="1514">
        <f>CE74</f>
        <v/>
      </c>
      <c r="CH74" s="1515" t="n"/>
      <c r="CI74" s="1516" t="inlineStr">
        <is>
          <t>thuy.ngo@medigoapp.com</t>
        </is>
      </c>
      <c r="CJ74" s="1497" t="n"/>
      <c r="CK74" s="1495" t="n">
        <v>1</v>
      </c>
      <c r="CL74" s="1497" t="n"/>
      <c r="CM74" s="1495" t="n"/>
      <c r="CN74" s="1495" t="n"/>
      <c r="CO74" s="1495" t="n"/>
      <c r="CP74" s="1517" t="n"/>
      <c r="CQ74" s="1518" t="n"/>
      <c r="CR74" s="1517" t="n"/>
      <c r="CS74" s="1519" t="n"/>
      <c r="CT74" s="1519" t="n"/>
      <c r="CU74" s="1519" t="n"/>
      <c r="CV74" s="1520" t="n"/>
      <c r="CW74" s="1520" t="n"/>
      <c r="CX74" s="1520" t="n"/>
      <c r="CY74" s="1520">
        <f>IF(CX74&gt;0,CX74,IF(CW74&gt;0,CW74,6000000))</f>
        <v/>
      </c>
      <c r="CZ74" s="1521" t="n"/>
      <c r="DA74" s="1522" t="n"/>
      <c r="DB74" s="1521" t="n"/>
      <c r="DC74" s="1521" t="n"/>
      <c r="DD74" s="1487" t="n"/>
      <c r="DE74" s="1523" t="n"/>
      <c r="DF74" s="1497" t="n"/>
      <c r="DG74" s="212" t="n"/>
    </row>
    <row r="75">
      <c r="A75" s="230" t="n">
        <v>57</v>
      </c>
      <c r="B75" s="1376" t="n">
        <v>8</v>
      </c>
      <c r="C75" s="176" t="inlineStr">
        <is>
          <t>Phan Cong Vu Tai</t>
        </is>
      </c>
      <c r="D75" s="250" t="inlineStr">
        <is>
          <t>Phan Công Vũ Tài</t>
        </is>
      </c>
      <c r="E75" s="1492">
        <f>IF(OR(G75="CHT",G75="DSBC",G75="DSXC"),"HĐLĐ",IF(OR(G75="DSTV",G75="Q.CHT"),"HĐTV","HĐCTV"))</f>
        <v/>
      </c>
      <c r="F75" s="1493" t="inlineStr">
        <is>
          <t>Rạch Bùng Binh</t>
        </is>
      </c>
      <c r="G75" s="1494" t="inlineStr">
        <is>
          <t>DSBC</t>
        </is>
      </c>
      <c r="H75" s="1495" t="inlineStr">
        <is>
          <t>26/01/2026</t>
        </is>
      </c>
      <c r="I75" s="1496" t="inlineStr">
        <is>
          <t>02446989901</t>
        </is>
      </c>
      <c r="J75" s="1496" t="inlineStr">
        <is>
          <t>Tp Bank</t>
        </is>
      </c>
      <c r="K75" s="1497" t="n">
        <v>28</v>
      </c>
      <c r="L75" s="1497" t="n">
        <v>4</v>
      </c>
      <c r="M75" s="1497" t="n">
        <v>32.7</v>
      </c>
      <c r="N75" s="1497" t="n">
        <v>0</v>
      </c>
      <c r="O75" s="1497" t="n">
        <v>0</v>
      </c>
      <c r="P75" s="232" t="n"/>
      <c r="Q75" s="1497" t="n"/>
      <c r="R75" s="1498" t="n"/>
      <c r="S75" s="1499">
        <f>IF(E75="HĐLĐ",5310000,0)</f>
        <v/>
      </c>
      <c r="T75" s="1500" t="n"/>
      <c r="U75" s="1501" t="n"/>
      <c r="V75" s="232" t="n"/>
      <c r="W75" s="232" t="n"/>
      <c r="X75" s="232" t="n"/>
      <c r="Y75" s="232" t="n"/>
      <c r="Z75" s="232" t="n"/>
      <c r="AA75" s="1497" t="n">
        <v>0</v>
      </c>
      <c r="AB75" s="1497" t="n">
        <v>0</v>
      </c>
      <c r="AC75" s="1499" t="n">
        <v>6000000</v>
      </c>
      <c r="AD75" s="232">
        <f>AC75</f>
        <v/>
      </c>
      <c r="AE75" s="232" t="n">
        <v>0</v>
      </c>
      <c r="AF75" s="232">
        <f>IF(E75="HĐTV",AE75/K75*L75,AD75/K75*L75)</f>
        <v/>
      </c>
      <c r="AG75" s="1502">
        <f>IF(E75="HĐTV",AE75/28/8*M75,AC75/28/8*M75)</f>
        <v/>
      </c>
      <c r="AH75" s="1499">
        <f>IF(E75="HĐTV",AE75/28/8*N75*1.5,AC75/28/8*N75*1.5)</f>
        <v/>
      </c>
      <c r="AI75" s="232" t="n">
        <v>0</v>
      </c>
      <c r="AJ75" s="232" t="n">
        <v>0</v>
      </c>
      <c r="AK75" s="232" t="n">
        <v>0</v>
      </c>
      <c r="AL75" s="1497" t="n">
        <v>0</v>
      </c>
      <c r="AM75" s="1497" t="n">
        <v>0</v>
      </c>
      <c r="AN75" s="1497" t="n">
        <v>0</v>
      </c>
      <c r="AO75" s="1497" t="n">
        <v>0</v>
      </c>
      <c r="AP75" s="1497" t="n">
        <v>0</v>
      </c>
      <c r="AQ75" s="1497" t="n">
        <v>15362</v>
      </c>
      <c r="AR75" s="1497" t="n">
        <v>0</v>
      </c>
      <c r="AS75" s="1497" t="n">
        <v>0</v>
      </c>
      <c r="AT75" s="1497" t="n">
        <v>0</v>
      </c>
      <c r="AU75" s="1497" t="n">
        <v>0</v>
      </c>
      <c r="AV75" s="1497" t="n">
        <v>0</v>
      </c>
      <c r="AW75" s="1497" t="n">
        <v>0</v>
      </c>
      <c r="AX75" s="1497" t="n">
        <v>0</v>
      </c>
      <c r="AY75" s="232" t="n">
        <v>0</v>
      </c>
      <c r="AZ75" s="1499" t="n">
        <v>0</v>
      </c>
      <c r="BA75" s="1503" t="n">
        <v>0</v>
      </c>
      <c r="BB75" s="1497" t="n">
        <v>0</v>
      </c>
      <c r="BC75" s="1497" t="n">
        <v>0</v>
      </c>
      <c r="BD75" s="1497" t="n">
        <v>0</v>
      </c>
      <c r="BE75" s="1497" t="n">
        <v>0</v>
      </c>
      <c r="BF75" s="1497" t="n">
        <v>0</v>
      </c>
      <c r="BG75" s="1497" t="n">
        <v>0</v>
      </c>
      <c r="BH75" s="1504">
        <f>SUM(T75:AB75)+SUM(AF75:BA75)-SUM(BB75:BG75)</f>
        <v/>
      </c>
      <c r="BI75" s="1505">
        <f>S75*17.5%</f>
        <v/>
      </c>
      <c r="BJ75" s="1505">
        <f>S75*3%</f>
        <v/>
      </c>
      <c r="BK75" s="1505">
        <f>S75*1%</f>
        <v/>
      </c>
      <c r="BL75" s="1506" t="n"/>
      <c r="BM75" s="1507">
        <f>SUM(BI75:BL75)</f>
        <v/>
      </c>
      <c r="BN75" s="1505">
        <f>S75*8%</f>
        <v/>
      </c>
      <c r="BO75" s="1505">
        <f>S75*1.5%</f>
        <v/>
      </c>
      <c r="BP75" s="1505">
        <f>S75*1%</f>
        <v/>
      </c>
      <c r="BQ75" s="1506" t="n"/>
      <c r="BR75" s="1507">
        <f>SUM(BN75:BQ75)</f>
        <v/>
      </c>
      <c r="BS75" s="1505">
        <f>T75+U75+V75+W75</f>
        <v/>
      </c>
      <c r="BT75" s="1508">
        <f>BH75-BS75-AH75</f>
        <v/>
      </c>
      <c r="BU75" s="1505">
        <f>IF(E75="HĐLĐ",15500000,0)</f>
        <v/>
      </c>
      <c r="BV75" s="1509" t="n">
        <v>0</v>
      </c>
      <c r="BW75" s="1505">
        <f>BV75*6200000</f>
        <v/>
      </c>
      <c r="BX75" s="1505">
        <f>BR75</f>
        <v/>
      </c>
      <c r="BY75" s="1510">
        <f>BU75+BW75+BX75</f>
        <v/>
      </c>
      <c r="BZ75" s="1505">
        <f>IF(BT75-BY75&gt;0,BT75-BY75,0)</f>
        <v/>
      </c>
      <c r="CA75" s="1506">
        <f>IF(AND(OR($E75="HĐTV",$E75="HĐCTV"),$BZ75&lt;2000000),0,IF(OR($E75="HĐTV",$E75="HĐCTV"),$BZ75*10%,ROUND(IF($BZ75&lt;=10000000,$BZ75*5%,IF($BZ75&lt;=30000000,$BZ75*10%-500000,IF($BZ75&lt;=60000000,$BZ75*20%-3500000,IF($BZ75&lt;=100000000,$BZ75*30%-9500000,$BZ75*35%-14500000)))),0)))</f>
        <v/>
      </c>
      <c r="CB75" s="1511">
        <f>ROUND(BH75-BR75-CA75,0)</f>
        <v/>
      </c>
      <c r="CC75" s="1509" t="n"/>
      <c r="CD75" s="1512" t="n">
        <v>0</v>
      </c>
      <c r="CE75" s="1513">
        <f>CB75+CC75-CD75</f>
        <v/>
      </c>
      <c r="CF75" s="1514">
        <f>CE75-CG75</f>
        <v/>
      </c>
      <c r="CG75" s="1514">
        <f>CE75</f>
        <v/>
      </c>
      <c r="CH75" s="1515" t="n"/>
      <c r="CI75" s="1516" t="inlineStr">
        <is>
          <t>mailto:ha.le@medigoapp.com</t>
        </is>
      </c>
      <c r="CJ75" s="1497" t="n"/>
      <c r="CK75" s="1495" t="n">
        <v>4</v>
      </c>
      <c r="CL75" s="1497" t="n"/>
      <c r="CM75" s="1495" t="n"/>
      <c r="CN75" s="1495" t="n"/>
      <c r="CO75" s="1495" t="n"/>
      <c r="CP75" s="1517" t="n"/>
      <c r="CQ75" s="1518" t="n"/>
      <c r="CR75" s="1517" t="n"/>
      <c r="CS75" s="1519" t="n"/>
      <c r="CT75" s="1519" t="n"/>
      <c r="CU75" s="1519" t="n"/>
      <c r="CV75" s="1520" t="n"/>
      <c r="CW75" s="1520" t="n"/>
      <c r="CX75" s="1520" t="n"/>
      <c r="CY75" s="1520">
        <f>IF(CX75&gt;0,CX75,IF(CW75&gt;0,CW75,6000000))</f>
        <v/>
      </c>
      <c r="CZ75" s="1521" t="n"/>
      <c r="DA75" s="1522" t="n"/>
      <c r="DB75" s="1521" t="n"/>
      <c r="DC75" s="1521" t="n"/>
      <c r="DD75" s="1487" t="n"/>
      <c r="DE75" s="1523" t="n"/>
      <c r="DF75" s="1497" t="n"/>
      <c r="DG75" s="212" t="n"/>
    </row>
    <row r="76">
      <c r="A76" s="230" t="n">
        <v>58</v>
      </c>
      <c r="B76" s="1376" t="n">
        <v>8</v>
      </c>
      <c r="C76" s="176" t="inlineStr">
        <is>
          <t>Pham Nguyen Ngoc Quyen Tran</t>
        </is>
      </c>
      <c r="D76" s="250" t="inlineStr">
        <is>
          <t>Phạm Nguyễn Ngọc Quyền Trân</t>
        </is>
      </c>
      <c r="E76" s="1492">
        <f>IF(OR(G76="CHT",G76="DSBC",G76="DSXC"),"HĐLĐ",IF(OR(G76="DSTV",G76="Q.CHT"),"HĐTV","HĐCTV"))</f>
        <v/>
      </c>
      <c r="F76" s="1493" t="inlineStr">
        <is>
          <t>Rạch Bùng Binh</t>
        </is>
      </c>
      <c r="G76" s="1494" t="inlineStr">
        <is>
          <t>DSBC</t>
        </is>
      </c>
      <c r="H76" s="1495" t="inlineStr">
        <is>
          <t>25/05/2026</t>
        </is>
      </c>
      <c r="I76" s="1496" t="inlineStr">
        <is>
          <t>0933512397</t>
        </is>
      </c>
      <c r="J76" s="1496" t="inlineStr">
        <is>
          <t>MB bank</t>
        </is>
      </c>
      <c r="K76" s="1497" t="n">
        <v>28</v>
      </c>
      <c r="L76" s="1497" t="n">
        <v>27</v>
      </c>
      <c r="M76" s="1497" t="n">
        <v>251.72</v>
      </c>
      <c r="N76" s="1497" t="n">
        <v>10.23</v>
      </c>
      <c r="O76" s="1497" t="n">
        <v>0</v>
      </c>
      <c r="P76" s="232" t="n"/>
      <c r="Q76" s="1497" t="n"/>
      <c r="R76" s="1498" t="n"/>
      <c r="S76" s="1499">
        <f>IF(E76="HĐLĐ",5310000,0)</f>
        <v/>
      </c>
      <c r="T76" s="1500" t="n">
        <v>482142.8571428572</v>
      </c>
      <c r="U76" s="1501" t="n"/>
      <c r="V76" s="232" t="n"/>
      <c r="W76" s="232" t="n"/>
      <c r="X76" s="232" t="n"/>
      <c r="Y76" s="232" t="n"/>
      <c r="Z76" s="232" t="n"/>
      <c r="AA76" s="1497" t="n">
        <v>0</v>
      </c>
      <c r="AB76" s="1497" t="n">
        <v>0</v>
      </c>
      <c r="AC76" s="1499" t="n">
        <v>6000000</v>
      </c>
      <c r="AD76" s="232">
        <f>AC76</f>
        <v/>
      </c>
      <c r="AE76" s="232" t="n">
        <v>0</v>
      </c>
      <c r="AF76" s="232">
        <f>IF(E76="HĐTV",AE76/K76*L76,AD76/K76*L76)</f>
        <v/>
      </c>
      <c r="AG76" s="1502">
        <f>IF(E76="HĐTV",AE76/28/8*M76,AC76/28/8*M76)</f>
        <v/>
      </c>
      <c r="AH76" s="1499">
        <f>IF(E76="HĐTV",AE76/28/8*N76*1.5,AC76/28/8*N76*1.5)</f>
        <v/>
      </c>
      <c r="AI76" s="232" t="n">
        <v>0</v>
      </c>
      <c r="AJ76" s="232" t="n">
        <v>0</v>
      </c>
      <c r="AK76" s="232" t="n">
        <v>0</v>
      </c>
      <c r="AL76" s="1497" t="n">
        <v>0</v>
      </c>
      <c r="AM76" s="1497" t="n">
        <v>0</v>
      </c>
      <c r="AN76" s="1497" t="n">
        <v>0</v>
      </c>
      <c r="AO76" s="1497" t="n">
        <v>0</v>
      </c>
      <c r="AP76" s="1497" t="n">
        <v>1392300</v>
      </c>
      <c r="AQ76" s="1497" t="n">
        <v>223268</v>
      </c>
      <c r="AR76" s="1497" t="n">
        <v>0</v>
      </c>
      <c r="AS76" s="1497" t="n">
        <v>0</v>
      </c>
      <c r="AT76" s="1497" t="n">
        <v>0</v>
      </c>
      <c r="AU76" s="1497" t="n">
        <v>0</v>
      </c>
      <c r="AV76" s="1497" t="n">
        <v>0</v>
      </c>
      <c r="AW76" s="1497" t="n">
        <v>0</v>
      </c>
      <c r="AX76" s="1497" t="n">
        <v>0</v>
      </c>
      <c r="AY76" s="232" t="n">
        <v>0</v>
      </c>
      <c r="AZ76" s="1499" t="n">
        <v>0</v>
      </c>
      <c r="BA76" s="1503" t="n">
        <v>0</v>
      </c>
      <c r="BB76" s="1497" t="n">
        <v>0</v>
      </c>
      <c r="BC76" s="1497" t="n">
        <v>0</v>
      </c>
      <c r="BD76" s="1497" t="n">
        <v>0</v>
      </c>
      <c r="BE76" s="1497" t="n">
        <v>0</v>
      </c>
      <c r="BF76" s="1497" t="n">
        <v>76900</v>
      </c>
      <c r="BG76" s="1497" t="n">
        <v>0</v>
      </c>
      <c r="BH76" s="1504">
        <f>SUM(T76:AB76)+SUM(AF76:BA76)-SUM(BB76:BG76)</f>
        <v/>
      </c>
      <c r="BI76" s="1505">
        <f>S76*17.5%</f>
        <v/>
      </c>
      <c r="BJ76" s="1505">
        <f>S76*3%</f>
        <v/>
      </c>
      <c r="BK76" s="1505">
        <f>S76*1%</f>
        <v/>
      </c>
      <c r="BL76" s="1506" t="n"/>
      <c r="BM76" s="1507">
        <f>SUM(BI76:BL76)</f>
        <v/>
      </c>
      <c r="BN76" s="1505">
        <f>S76*8%</f>
        <v/>
      </c>
      <c r="BO76" s="1505">
        <f>S76*1.5%</f>
        <v/>
      </c>
      <c r="BP76" s="1505">
        <f>S76*1%</f>
        <v/>
      </c>
      <c r="BQ76" s="1506" t="n"/>
      <c r="BR76" s="1507">
        <f>SUM(BN76:BQ76)</f>
        <v/>
      </c>
      <c r="BS76" s="1505">
        <f>T76+U76+V76+W76</f>
        <v/>
      </c>
      <c r="BT76" s="1508">
        <f>BH76-BS76-AH76</f>
        <v/>
      </c>
      <c r="BU76" s="1505">
        <f>IF(E76="HĐLĐ",15500000,0)</f>
        <v/>
      </c>
      <c r="BV76" s="1509" t="n">
        <v>0</v>
      </c>
      <c r="BW76" s="1505">
        <f>BV76*6200000</f>
        <v/>
      </c>
      <c r="BX76" s="1505">
        <f>BR76</f>
        <v/>
      </c>
      <c r="BY76" s="1510">
        <f>BU76+BW76+BX76</f>
        <v/>
      </c>
      <c r="BZ76" s="1505">
        <f>IF(BT76-BY76&gt;0,BT76-BY76,0)</f>
        <v/>
      </c>
      <c r="CA76" s="1506">
        <f>IF(AND(OR($E76="HĐTV",$E76="HĐCTV"),$BZ76&lt;2000000),0,IF(OR($E76="HĐTV",$E76="HĐCTV"),$BZ76*10%,ROUND(IF($BZ76&lt;=10000000,$BZ76*5%,IF($BZ76&lt;=30000000,$BZ76*10%-500000,IF($BZ76&lt;=60000000,$BZ76*20%-3500000,IF($BZ76&lt;=100000000,$BZ76*30%-9500000,$BZ76*35%-14500000)))),0)))</f>
        <v/>
      </c>
      <c r="CB76" s="1511">
        <f>ROUND(BH76-BR76-CA76,0)</f>
        <v/>
      </c>
      <c r="CC76" s="1509" t="n"/>
      <c r="CD76" s="1512" t="n">
        <v>0</v>
      </c>
      <c r="CE76" s="1513">
        <f>CB76+CC76-CD76</f>
        <v/>
      </c>
      <c r="CF76" s="1514">
        <f>CE76-CG76</f>
        <v/>
      </c>
      <c r="CG76" s="1514">
        <f>CE76</f>
        <v/>
      </c>
      <c r="CH76" s="1515" t="n"/>
      <c r="CI76" s="1516" t="inlineStr">
        <is>
          <t>tran.pham@medigoapp.com</t>
        </is>
      </c>
      <c r="CJ76" s="1497" t="n"/>
      <c r="CK76" s="1495" t="n">
        <v>1</v>
      </c>
      <c r="CL76" s="1497" t="n"/>
      <c r="CM76" s="1495" t="n">
        <v>25</v>
      </c>
      <c r="CN76" s="1495" t="n">
        <v>5</v>
      </c>
      <c r="CO76" s="1495" t="n">
        <v>2026</v>
      </c>
      <c r="CP76" s="1517">
        <f>IF((($CO$7-CO76)*12)+($CN$7-CN76)&gt;=12,((($CO$7-CO76)*12)+($CN$7-CN76))-1,0)</f>
        <v/>
      </c>
      <c r="CQ76" s="1518">
        <f>IF(CP76&lt;12,(($CQ$7-CO76)*12)+($CP$7-CN76),0)</f>
        <v/>
      </c>
      <c r="CR76" s="1517">
        <f>IF(OR(CP76&gt;12,CP76=12),((CP76-(CS76*12))+((($CQ$7-2024)*12)+($CP$7-4)))+1,0)</f>
        <v/>
      </c>
      <c r="CS76" s="1519">
        <f>IF(OR(CP76&gt;12,CP76=12),ROUNDDOWN(CP76/12,0),0)</f>
        <v/>
      </c>
      <c r="CT76" s="1519">
        <f>IF(CQ76&gt;11,ROUNDDOWN(CQ76/12,0),0)</f>
        <v/>
      </c>
      <c r="CU76" s="1519">
        <f>IF(CR76&gt;11,ROUNDDOWN(CR76/12,0),0)</f>
        <v/>
      </c>
      <c r="CV76" s="1520">
        <f>IF(CP76=0,0,6000000*1.07^CS76)</f>
        <v/>
      </c>
      <c r="CW76" s="1520">
        <f>IF(CT76&lt;2,0,6000000+(CT76-1)*500000)</f>
        <v/>
      </c>
      <c r="CX76" s="1520">
        <f>IF(CU76=0,CV76,IF(CU76&lt;1,0,CV76+CU76*500000))</f>
        <v/>
      </c>
      <c r="CY76" s="1520" t="n">
        <v>5100000</v>
      </c>
      <c r="CZ76" s="1521" t="n"/>
      <c r="DA76" s="1522" t="n"/>
      <c r="DB76" s="1521" t="n"/>
      <c r="DC76" s="1521" t="n"/>
      <c r="DD76" s="1487" t="n"/>
      <c r="DE76" s="1523" t="n"/>
      <c r="DF76" s="1497" t="n"/>
      <c r="DG76" s="212" t="n"/>
    </row>
    <row r="77">
      <c r="A77" s="1524" t="n"/>
      <c r="B77" s="1525" t="n"/>
      <c r="C77" s="1526" t="n"/>
      <c r="D77" s="1527" t="n"/>
      <c r="E77" s="1528" t="n"/>
      <c r="F77" s="1529">
        <f>SUM(F71:F76)</f>
        <v/>
      </c>
      <c r="G77" s="1530" t="n"/>
      <c r="H77" s="1531" t="n"/>
      <c r="I77" s="1532" t="n"/>
      <c r="J77" s="1532" t="n"/>
      <c r="K77" s="1533">
        <f>SUM(K71:K76)</f>
        <v/>
      </c>
      <c r="L77" s="1533">
        <f>SUM(L71:L76)</f>
        <v/>
      </c>
      <c r="M77" s="1534">
        <f>SUM(M71:M76)</f>
        <v/>
      </c>
      <c r="N77" s="1534">
        <f>SUM(N71:N76)</f>
        <v/>
      </c>
      <c r="O77" s="1533">
        <f>SUM(O71:O76)</f>
        <v/>
      </c>
      <c r="P77" s="1533">
        <f>SUM(P71:P76)</f>
        <v/>
      </c>
      <c r="Q77" s="1533">
        <f>SUM(Q71:Q76)</f>
        <v/>
      </c>
      <c r="R77" s="1533" t="n"/>
      <c r="S77" s="1533">
        <f>SUM(S71:S76)</f>
        <v/>
      </c>
      <c r="T77" s="1533">
        <f>SUM(T71:T76)</f>
        <v/>
      </c>
      <c r="U77" s="1533">
        <f>SUM(U71:U76)</f>
        <v/>
      </c>
      <c r="V77" s="1533">
        <f>SUM(V71:V76)</f>
        <v/>
      </c>
      <c r="W77" s="1533">
        <f>SUM(W71:W76)</f>
        <v/>
      </c>
      <c r="X77" s="1533">
        <f>SUM(X71:X76)</f>
        <v/>
      </c>
      <c r="Y77" s="1533">
        <f>SUM(Y71:Y76)</f>
        <v/>
      </c>
      <c r="Z77" s="1533">
        <f>SUM(Z71:Z76)</f>
        <v/>
      </c>
      <c r="AA77" s="1533">
        <f>SUM(AA71:AA76)</f>
        <v/>
      </c>
      <c r="AB77" s="1533">
        <f>SUM(AB71:AB76)</f>
        <v/>
      </c>
      <c r="AC77" s="1533">
        <f>SUM(AC71:AC76)</f>
        <v/>
      </c>
      <c r="AD77" s="1533">
        <f>SUM(AD71:AD76)</f>
        <v/>
      </c>
      <c r="AE77" s="1533">
        <f>SUM(AE71:AE76)</f>
        <v/>
      </c>
      <c r="AF77" s="1533">
        <f>SUM(AF71:AF76)</f>
        <v/>
      </c>
      <c r="AG77" s="1533">
        <f>SUM(AG71:AG76)</f>
        <v/>
      </c>
      <c r="AH77" s="1533">
        <f>SUM(AH71:AH76)</f>
        <v/>
      </c>
      <c r="AI77" s="1533">
        <f>SUM(AI71:AI76)</f>
        <v/>
      </c>
      <c r="AJ77" s="1533">
        <f>SUM(AJ71:AJ76)</f>
        <v/>
      </c>
      <c r="AK77" s="1533">
        <f>SUM(AK71:AK76)</f>
        <v/>
      </c>
      <c r="AL77" s="1533">
        <f>SUM(AL71:AL76)</f>
        <v/>
      </c>
      <c r="AM77" s="1533">
        <f>SUM(AM71:AM76)</f>
        <v/>
      </c>
      <c r="AN77" s="1533">
        <f>SUM(AN71:AN76)</f>
        <v/>
      </c>
      <c r="AO77" s="1533">
        <f>SUM(AO71:AO76)</f>
        <v/>
      </c>
      <c r="AP77" s="1533">
        <f>SUM(AP71:AP76)</f>
        <v/>
      </c>
      <c r="AQ77" s="1533">
        <f>SUM(AQ71:AQ76)</f>
        <v/>
      </c>
      <c r="AR77" s="1533">
        <f>SUM(AR71:AR76)</f>
        <v/>
      </c>
      <c r="AS77" s="1533">
        <f>SUM(AS71:AS76)</f>
        <v/>
      </c>
      <c r="AT77" s="1533">
        <f>SUM(AT71:AT76)</f>
        <v/>
      </c>
      <c r="AU77" s="1533">
        <f>SUM(AU71:AU76)</f>
        <v/>
      </c>
      <c r="AV77" s="1533">
        <f>SUM(AV71:AV76)</f>
        <v/>
      </c>
      <c r="AW77" s="1533">
        <f>SUM(AW71:AW76)</f>
        <v/>
      </c>
      <c r="AX77" s="1533">
        <f>SUM(AX71:AX76)</f>
        <v/>
      </c>
      <c r="AY77" s="1533">
        <f>SUM(AY71:AY76)</f>
        <v/>
      </c>
      <c r="AZ77" s="1533">
        <f>SUM(AZ71:AZ76)</f>
        <v/>
      </c>
      <c r="BA77" s="1533">
        <f>SUM(BA71:BA76)</f>
        <v/>
      </c>
      <c r="BB77" s="1533">
        <f>SUM(BB71:BB76)</f>
        <v/>
      </c>
      <c r="BC77" s="1533">
        <f>SUM(BC71:BC76)</f>
        <v/>
      </c>
      <c r="BD77" s="1533">
        <f>SUM(BD71:BD76)</f>
        <v/>
      </c>
      <c r="BE77" s="1533">
        <f>SUM(BE71:BE76)</f>
        <v/>
      </c>
      <c r="BF77" s="1533">
        <f>SUM(BF71:BF76)</f>
        <v/>
      </c>
      <c r="BG77" s="1533">
        <f>SUM(BG71:BG76)</f>
        <v/>
      </c>
      <c r="BH77" s="1533">
        <f>SUM(BH71:BH76)</f>
        <v/>
      </c>
      <c r="BI77" s="1533">
        <f>SUM(BI71:BI76)</f>
        <v/>
      </c>
      <c r="BJ77" s="1533">
        <f>SUM(BJ71:BJ76)</f>
        <v/>
      </c>
      <c r="BK77" s="1533">
        <f>SUM(BK71:BK76)</f>
        <v/>
      </c>
      <c r="BL77" s="1533">
        <f>SUM(BL71:BL76)</f>
        <v/>
      </c>
      <c r="BM77" s="1533">
        <f>SUM(BM71:BM76)</f>
        <v/>
      </c>
      <c r="BN77" s="1533">
        <f>SUM(BN71:BN76)</f>
        <v/>
      </c>
      <c r="BO77" s="1533">
        <f>SUM(BO71:BO76)</f>
        <v/>
      </c>
      <c r="BP77" s="1533">
        <f>SUM(BP71:BP76)</f>
        <v/>
      </c>
      <c r="BQ77" s="1533">
        <f>SUM(BQ71:BQ76)</f>
        <v/>
      </c>
      <c r="BR77" s="1533">
        <f>SUM(BR71:BR76)</f>
        <v/>
      </c>
      <c r="BS77" s="1533">
        <f>SUM(BS71:BS76)</f>
        <v/>
      </c>
      <c r="BT77" s="1533">
        <f>SUM(BT71:BT76)</f>
        <v/>
      </c>
      <c r="BU77" s="1533">
        <f>SUM(BU71:BU76)</f>
        <v/>
      </c>
      <c r="BV77" s="1533">
        <f>SUM(BV71:BV76)</f>
        <v/>
      </c>
      <c r="BW77" s="1533">
        <f>SUM(BW71:BW76)</f>
        <v/>
      </c>
      <c r="BX77" s="1533">
        <f>SUM(BX71:BX76)</f>
        <v/>
      </c>
      <c r="BY77" s="1533">
        <f>SUM(BY71:BY76)</f>
        <v/>
      </c>
      <c r="BZ77" s="1533">
        <f>SUM(BZ71:BZ76)</f>
        <v/>
      </c>
      <c r="CA77" s="1533">
        <f>SUM(CA71:CA76)</f>
        <v/>
      </c>
      <c r="CB77" s="1533">
        <f>SUM(CB71:CB76)</f>
        <v/>
      </c>
      <c r="CC77" s="1533">
        <f>SUM(CC71:CC76)</f>
        <v/>
      </c>
      <c r="CD77" s="1533">
        <f>SUM(CD71:CD76)</f>
        <v/>
      </c>
      <c r="CE77" s="1533">
        <f>SUM(CE71:CE76)</f>
        <v/>
      </c>
      <c r="CF77" s="1533">
        <f>SUM(CF71:CF76)</f>
        <v/>
      </c>
      <c r="CG77" s="1533">
        <f>SUM(CG71:CG76)</f>
        <v/>
      </c>
      <c r="CH77" s="1533" t="n"/>
      <c r="CI77" s="1533" t="n"/>
      <c r="CJ77" s="1533" t="n"/>
      <c r="CK77" s="1531" t="n"/>
      <c r="CL77" s="1533">
        <f>SUM(CL71:CL76)</f>
        <v/>
      </c>
      <c r="CM77" s="1531" t="n"/>
      <c r="CN77" s="1531" t="n"/>
      <c r="CO77" s="1531" t="n"/>
      <c r="CP77" s="1535" t="n"/>
      <c r="CQ77" s="1536" t="n"/>
      <c r="CR77" s="1535" t="n"/>
      <c r="CS77" s="1537" t="n"/>
      <c r="CT77" s="1537" t="n"/>
      <c r="CU77" s="1537" t="n"/>
      <c r="CV77" s="1538" t="n"/>
      <c r="CW77" s="1538" t="n"/>
      <c r="CX77" s="1538" t="n"/>
      <c r="CY77" s="1538" t="n"/>
      <c r="CZ77" s="1526" t="n"/>
      <c r="DA77" s="1539" t="n"/>
      <c r="DB77" s="1526" t="n"/>
      <c r="DC77" s="1526" t="n"/>
      <c r="DD77" s="1487" t="n"/>
      <c r="DE77" s="1523" t="n"/>
      <c r="DF77" s="1497" t="n"/>
      <c r="DG77" s="212" t="n"/>
    </row>
    <row r="78">
      <c r="A78" s="230" t="n">
        <v>59</v>
      </c>
      <c r="B78" s="1376" t="n">
        <v>8</v>
      </c>
      <c r="C78" s="176" t="inlineStr">
        <is>
          <t>Hua Thi Kim Thoa</t>
        </is>
      </c>
      <c r="D78" s="250" t="inlineStr">
        <is>
          <t>Hứa Thị Kim Thoa</t>
        </is>
      </c>
      <c r="E78" s="1492">
        <f>IF(OR(G78="CHT",G78="DSBC",G78="DSXC"),"HĐLĐ",IF(OR(G78="DSTV",G78="Q.CHT"),"HĐTV","HĐCTV"))</f>
        <v/>
      </c>
      <c r="F78" s="1493" t="inlineStr">
        <is>
          <t>Đường Láng</t>
        </is>
      </c>
      <c r="G78" s="1494" t="inlineStr">
        <is>
          <t>CHT</t>
        </is>
      </c>
      <c r="H78" s="1495" t="n">
        <v>45008</v>
      </c>
      <c r="I78" s="1496" t="inlineStr">
        <is>
          <t>30961328046</t>
        </is>
      </c>
      <c r="J78" s="1496" t="inlineStr">
        <is>
          <t>TPbank</t>
        </is>
      </c>
      <c r="K78" s="1497" t="n">
        <v>28</v>
      </c>
      <c r="L78" s="1497" t="n">
        <v>23</v>
      </c>
      <c r="M78" s="1497" t="n">
        <v>170.92</v>
      </c>
      <c r="N78" s="1497" t="n">
        <v>47.16</v>
      </c>
      <c r="O78" s="1497" t="n">
        <v>0</v>
      </c>
      <c r="P78" s="232" t="n"/>
      <c r="Q78" s="1497" t="n"/>
      <c r="R78" s="1498" t="n"/>
      <c r="S78" s="1499">
        <f>IF(E78="HĐLĐ",5310000,0)</f>
        <v/>
      </c>
      <c r="T78" s="1500" t="n">
        <v>410714.2857142857</v>
      </c>
      <c r="U78" s="1501" t="n"/>
      <c r="V78" s="232" t="n"/>
      <c r="W78" s="232" t="n"/>
      <c r="X78" s="232" t="n"/>
      <c r="Y78" s="232" t="n"/>
      <c r="Z78" s="232" t="n"/>
      <c r="AA78" s="1497" t="n">
        <v>0</v>
      </c>
      <c r="AB78" s="1497" t="n">
        <v>0</v>
      </c>
      <c r="AC78" s="1499" t="n">
        <v>6920000</v>
      </c>
      <c r="AD78" s="232" t="n"/>
      <c r="AE78" s="232" t="n"/>
      <c r="AF78" s="232" t="n"/>
      <c r="AG78" s="1502">
        <f>IF(E78="HĐTV",AE78/28/8*M78,AC78/28/8*M78)</f>
        <v/>
      </c>
      <c r="AH78" s="1499">
        <f>IF(E78="HĐTV",AE78/28/8*N78*1.5,AC78/28/8*N78*1.5)</f>
        <v/>
      </c>
      <c r="AI78" s="232" t="n">
        <v>0</v>
      </c>
      <c r="AJ78" s="232" t="n">
        <v>0</v>
      </c>
      <c r="AK78" s="232" t="n">
        <v>0</v>
      </c>
      <c r="AL78" s="1497" t="n">
        <v>2000000</v>
      </c>
      <c r="AM78" s="1497" t="n">
        <v>0</v>
      </c>
      <c r="AN78" s="1497" t="n">
        <v>0</v>
      </c>
      <c r="AO78" s="1497" t="n">
        <v>2751929</v>
      </c>
      <c r="AP78" s="1497" t="n">
        <v>472750</v>
      </c>
      <c r="AQ78" s="1497" t="n">
        <v>14636</v>
      </c>
      <c r="AR78" s="1497" t="n">
        <v>0</v>
      </c>
      <c r="AS78" s="1497" t="n">
        <v>0</v>
      </c>
      <c r="AT78" s="1497" t="n">
        <v>0</v>
      </c>
      <c r="AU78" s="1497" t="n">
        <v>0</v>
      </c>
      <c r="AV78" s="1497" t="n">
        <v>0</v>
      </c>
      <c r="AW78" s="1497" t="n">
        <v>0</v>
      </c>
      <c r="AX78" s="1497" t="n">
        <v>0</v>
      </c>
      <c r="AY78" s="232" t="n">
        <v>0</v>
      </c>
      <c r="AZ78" s="1499" t="n">
        <v>0</v>
      </c>
      <c r="BA78" s="1503" t="n">
        <v>0</v>
      </c>
      <c r="BB78" s="1497" t="n">
        <v>0</v>
      </c>
      <c r="BC78" s="1497" t="n">
        <v>0</v>
      </c>
      <c r="BD78" s="1497" t="n">
        <v>0</v>
      </c>
      <c r="BE78" s="1497" t="n">
        <v>0</v>
      </c>
      <c r="BF78" s="1497" t="n">
        <v>296052</v>
      </c>
      <c r="BG78" s="1497" t="n">
        <v>0</v>
      </c>
      <c r="BH78" s="1504">
        <f>SUM(T78:AB78)+SUM(AF78:BA78)-SUM(BB78:BG78)</f>
        <v/>
      </c>
      <c r="BI78" s="1505">
        <f>S78*17.5%</f>
        <v/>
      </c>
      <c r="BJ78" s="1505">
        <f>S78*3%</f>
        <v/>
      </c>
      <c r="BK78" s="1505">
        <f>S78*1%</f>
        <v/>
      </c>
      <c r="BL78" s="1506" t="n"/>
      <c r="BM78" s="1507">
        <f>SUM(BI78:BL78)</f>
        <v/>
      </c>
      <c r="BN78" s="1505">
        <f>S78*8%</f>
        <v/>
      </c>
      <c r="BO78" s="1505">
        <f>S78*1.5%</f>
        <v/>
      </c>
      <c r="BP78" s="1505">
        <f>S78*1%</f>
        <v/>
      </c>
      <c r="BQ78" s="1506" t="n"/>
      <c r="BR78" s="1507">
        <f>SUM(BN78:BQ78)</f>
        <v/>
      </c>
      <c r="BS78" s="1505">
        <f>T78+U78+V78+W78</f>
        <v/>
      </c>
      <c r="BT78" s="1508">
        <f>BH78-BS78-AH78</f>
        <v/>
      </c>
      <c r="BU78" s="1505">
        <f>IF(E78="HĐLĐ",15500000,0)</f>
        <v/>
      </c>
      <c r="BV78" s="1509" t="n">
        <v>0</v>
      </c>
      <c r="BW78" s="1505">
        <f>BV78*6200000</f>
        <v/>
      </c>
      <c r="BX78" s="1505">
        <f>BR78</f>
        <v/>
      </c>
      <c r="BY78" s="1510">
        <f>BU78+BW78+BX78</f>
        <v/>
      </c>
      <c r="BZ78" s="1505">
        <f>IF(BT78-BY78&gt;0,BT78-BY78,0)</f>
        <v/>
      </c>
      <c r="CA78" s="1506">
        <f>IF(AND(OR($E78="HĐTV",$E78="HĐCTV"),$BZ78&lt;2000000),0,IF(OR($E78="HĐTV",$E78="HĐCTV"),$BZ78*10%,ROUND(IF($BZ78&lt;=10000000,$BZ78*5%,IF($BZ78&lt;=30000000,$BZ78*10%-500000,IF($BZ78&lt;=60000000,$BZ78*20%-3500000,IF($BZ78&lt;=100000000,$BZ78*30%-9500000,$BZ78*35%-14500000)))),0)))</f>
        <v/>
      </c>
      <c r="CB78" s="1511">
        <f>ROUND(BH78-BR78-CA78,0)</f>
        <v/>
      </c>
      <c r="CC78" s="1509" t="n"/>
      <c r="CD78" s="1512" t="n">
        <v>0</v>
      </c>
      <c r="CE78" s="1513">
        <f>CB78+CC78-CD78</f>
        <v/>
      </c>
      <c r="CF78" s="1514">
        <f>CE78-CG78</f>
        <v/>
      </c>
      <c r="CG78" s="1514">
        <f>CE78</f>
        <v/>
      </c>
      <c r="CH78" s="1515" t="n"/>
      <c r="CI78" s="1516" t="inlineStr">
        <is>
          <t>thoa.hua@medigoapp.com</t>
        </is>
      </c>
      <c r="CJ78" s="1497" t="n">
        <v>0</v>
      </c>
      <c r="CK78" s="1495" t="n">
        <v>3</v>
      </c>
      <c r="CL78" s="1497" t="n"/>
      <c r="CM78" s="1495" t="n">
        <v>23</v>
      </c>
      <c r="CN78" s="1495" t="n">
        <v>3</v>
      </c>
      <c r="CO78" s="1495" t="n">
        <v>2023</v>
      </c>
      <c r="CP78" s="1517">
        <f>IF((($CO$7-CO78)*12)+($CN$7-CN78)&gt;=12,((($CO$7-CO78)*12)+($CN$7-CN78))-1,0)</f>
        <v/>
      </c>
      <c r="CQ78" s="1518">
        <f>IF(CP78&lt;12,(($CQ$7-CO78)*12)+($CP$7-CN78),0)</f>
        <v/>
      </c>
      <c r="CR78" s="1517">
        <f>IF(OR(CP78&gt;12,CP78=12),((CP78-(CS78*12))+((($CQ$7-2024)*12)+($CP$7-4)))+1,0)</f>
        <v/>
      </c>
      <c r="CS78" s="1519">
        <f>IF(OR(CP78&gt;12,CP78=12),ROUNDDOWN(CP78/12,0),0)</f>
        <v/>
      </c>
      <c r="CT78" s="1519">
        <f>IF(CQ78&gt;11,ROUNDDOWN(CQ78/12,0),0)</f>
        <v/>
      </c>
      <c r="CU78" s="1519">
        <f>IF(CR78&gt;11,ROUNDDOWN(CR78/12,0),0)</f>
        <v/>
      </c>
      <c r="CV78" s="1520">
        <f>IF(CP78=0,0,6000000*1.07^CS78)</f>
        <v/>
      </c>
      <c r="CW78" s="1520">
        <f>IF(CT78&lt;2,0,6000000+(CT78-1)*500000)</f>
        <v/>
      </c>
      <c r="CX78" s="1520">
        <f>IF(CU78=0,CV78,IF(CU78&lt;1,0,CV78+CU78*500000))</f>
        <v/>
      </c>
      <c r="CY78" s="1520" t="n">
        <v>6920000</v>
      </c>
      <c r="CZ78" s="1521" t="n"/>
      <c r="DA78" s="1522" t="n"/>
      <c r="DB78" s="1521" t="n"/>
      <c r="DC78" s="1521" t="n"/>
      <c r="DD78" s="1487" t="n"/>
      <c r="DE78" s="1523" t="n"/>
      <c r="DF78" s="1497" t="n"/>
      <c r="DG78" s="212" t="n"/>
    </row>
    <row r="79">
      <c r="A79" s="230" t="n">
        <v>60</v>
      </c>
      <c r="B79" s="1376" t="n">
        <v>8</v>
      </c>
      <c r="C79" s="176" t="inlineStr">
        <is>
          <t>Le Thi Soan</t>
        </is>
      </c>
      <c r="D79" s="250" t="inlineStr">
        <is>
          <t>Lê Thị Soạn</t>
        </is>
      </c>
      <c r="E79" s="1492">
        <f>IF(OR(G79="CHT",G79="DSBC",G79="DSXC"),"HĐLĐ",IF(OR(G79="DSTV",G79="Q.CHT"),"HĐTV","HĐCTV"))</f>
        <v/>
      </c>
      <c r="F79" s="1493" t="inlineStr">
        <is>
          <t>Đường Láng</t>
        </is>
      </c>
      <c r="G79" s="1494" t="inlineStr">
        <is>
          <t>DSBC</t>
        </is>
      </c>
      <c r="H79" s="1495" t="n">
        <v>44562</v>
      </c>
      <c r="I79" s="1496" t="inlineStr">
        <is>
          <t xml:space="preserve">0987524738 </t>
        </is>
      </c>
      <c r="J79" s="1496" t="inlineStr">
        <is>
          <t xml:space="preserve">Vietinbank </t>
        </is>
      </c>
      <c r="K79" s="1497" t="n">
        <v>28</v>
      </c>
      <c r="L79" s="1497" t="n">
        <v>31</v>
      </c>
      <c r="M79" s="1497" t="n">
        <v>21</v>
      </c>
      <c r="N79" s="1497" t="n">
        <v>247.77</v>
      </c>
      <c r="O79" s="1497" t="n">
        <v>16</v>
      </c>
      <c r="P79" s="232" t="n"/>
      <c r="Q79" s="1497" t="n"/>
      <c r="R79" s="1498" t="n"/>
      <c r="S79" s="1499">
        <f>IF(E79="HĐLĐ",5310000,0)</f>
        <v/>
      </c>
      <c r="T79" s="1500" t="n">
        <v>500000</v>
      </c>
      <c r="U79" s="1501" t="n"/>
      <c r="V79" s="232" t="n"/>
      <c r="W79" s="232" t="n"/>
      <c r="X79" s="232" t="n"/>
      <c r="Y79" s="232" t="n"/>
      <c r="Z79" s="232" t="n"/>
      <c r="AA79" s="1497" t="n">
        <v>0</v>
      </c>
      <c r="AB79" s="1497" t="n">
        <v>0</v>
      </c>
      <c r="AC79" s="1499" t="n">
        <v>7869400</v>
      </c>
      <c r="AD79" s="232" t="n"/>
      <c r="AE79" s="232" t="n"/>
      <c r="AF79" s="232" t="n"/>
      <c r="AG79" s="1502">
        <f>IF(E79="HĐTV",AE79/28/8*M79,AC79/28/8*M79)</f>
        <v/>
      </c>
      <c r="AH79" s="1499">
        <f>IF(E79="HĐTV",AE79/28/8*N79*1.5,AC79/28/8*N79*1.5)</f>
        <v/>
      </c>
      <c r="AI79" s="232" t="n">
        <v>1500000</v>
      </c>
      <c r="AJ79" s="232" t="n">
        <v>0</v>
      </c>
      <c r="AK79" s="232" t="n">
        <v>0</v>
      </c>
      <c r="AL79" s="1497" t="n">
        <v>0</v>
      </c>
      <c r="AM79" s="1497" t="n">
        <v>0</v>
      </c>
      <c r="AN79" s="1497" t="n">
        <v>1650000</v>
      </c>
      <c r="AO79" s="1497" t="n">
        <v>0</v>
      </c>
      <c r="AP79" s="1497" t="n">
        <v>6729100</v>
      </c>
      <c r="AQ79" s="1497" t="n">
        <v>36876</v>
      </c>
      <c r="AR79" s="1497" t="n">
        <v>0</v>
      </c>
      <c r="AS79" s="1497" t="n">
        <v>0</v>
      </c>
      <c r="AT79" s="1497" t="n">
        <v>0</v>
      </c>
      <c r="AU79" s="1497" t="n">
        <v>324000</v>
      </c>
      <c r="AV79" s="1497" t="n">
        <v>0</v>
      </c>
      <c r="AW79" s="1497" t="n">
        <v>0</v>
      </c>
      <c r="AX79" s="1497" t="n">
        <v>0</v>
      </c>
      <c r="AY79" s="232" t="n">
        <v>0</v>
      </c>
      <c r="AZ79" s="1499" t="n">
        <v>0</v>
      </c>
      <c r="BA79" s="1503" t="n">
        <v>0</v>
      </c>
      <c r="BB79" s="1497" t="n">
        <v>0</v>
      </c>
      <c r="BC79" s="1497" t="n">
        <v>0</v>
      </c>
      <c r="BD79" s="1497" t="n">
        <v>0</v>
      </c>
      <c r="BE79" s="1497" t="n">
        <v>0</v>
      </c>
      <c r="BF79" s="1497" t="n">
        <v>617016</v>
      </c>
      <c r="BG79" s="1497" t="n">
        <v>0</v>
      </c>
      <c r="BH79" s="1504">
        <f>SUM(T79:AB79)+SUM(AF79:BA79)-SUM(BB79:BG79)</f>
        <v/>
      </c>
      <c r="BI79" s="1505">
        <f>S79*17.5%</f>
        <v/>
      </c>
      <c r="BJ79" s="1505">
        <f>S79*3%</f>
        <v/>
      </c>
      <c r="BK79" s="1505">
        <f>S79*1%</f>
        <v/>
      </c>
      <c r="BL79" s="1506" t="n"/>
      <c r="BM79" s="1507">
        <f>SUM(BI79:BL79)</f>
        <v/>
      </c>
      <c r="BN79" s="1505">
        <f>S79*8%</f>
        <v/>
      </c>
      <c r="BO79" s="1505">
        <f>S79*1.5%</f>
        <v/>
      </c>
      <c r="BP79" s="1505">
        <f>S79*1%</f>
        <v/>
      </c>
      <c r="BQ79" s="1506" t="n"/>
      <c r="BR79" s="1507">
        <f>SUM(BN79:BQ79)</f>
        <v/>
      </c>
      <c r="BS79" s="1505">
        <f>T79+U79+V79+W79</f>
        <v/>
      </c>
      <c r="BT79" s="1508">
        <f>BH79-BS79-AH79</f>
        <v/>
      </c>
      <c r="BU79" s="1505">
        <f>IF(E79="HĐLĐ",15500000,0)</f>
        <v/>
      </c>
      <c r="BV79" s="1509" t="n">
        <v>0</v>
      </c>
      <c r="BW79" s="1505">
        <f>BV79*6200000</f>
        <v/>
      </c>
      <c r="BX79" s="1505">
        <f>BR79</f>
        <v/>
      </c>
      <c r="BY79" s="1510">
        <f>BU79+BW79+BX79</f>
        <v/>
      </c>
      <c r="BZ79" s="1505">
        <f>IF(BT79-BY79&gt;0,BT79-BY79,0)</f>
        <v/>
      </c>
      <c r="CA79" s="1506">
        <f>IF(AND(OR($E79="HĐTV",$E79="HĐCTV"),$BZ79&lt;2000000),0,IF(OR($E79="HĐTV",$E79="HĐCTV"),$BZ79*10%,ROUND(IF($BZ79&lt;=10000000,$BZ79*5%,IF($BZ79&lt;=30000000,$BZ79*10%-500000,IF($BZ79&lt;=60000000,$BZ79*20%-3500000,IF($BZ79&lt;=100000000,$BZ79*30%-9500000,$BZ79*35%-14500000)))),0)))</f>
        <v/>
      </c>
      <c r="CB79" s="1511">
        <f>ROUND(BH79-BR79-CA79,0)</f>
        <v/>
      </c>
      <c r="CC79" s="1509" t="n"/>
      <c r="CD79" s="1512" t="n">
        <v>0</v>
      </c>
      <c r="CE79" s="1513">
        <f>CB79+CC79-CD79</f>
        <v/>
      </c>
      <c r="CF79" s="1514">
        <f>CE79-CG79</f>
        <v/>
      </c>
      <c r="CG79" s="1514">
        <f>CE79</f>
        <v/>
      </c>
      <c r="CH79" s="1515" t="n"/>
      <c r="CI79" s="1516" t="inlineStr">
        <is>
          <t>soan.le@medigoapp.com</t>
        </is>
      </c>
      <c r="CJ79" s="1497" t="inlineStr">
        <is>
          <t>Sai doanh thu HD.7X6WNOMV : 137.000đ</t>
        </is>
      </c>
      <c r="CK79" s="1495" t="n">
        <v>2</v>
      </c>
      <c r="CL79" s="1497" t="n"/>
      <c r="CM79" s="1495" t="n">
        <v>25</v>
      </c>
      <c r="CN79" s="1495" t="n">
        <v>3</v>
      </c>
      <c r="CO79" s="1495" t="n">
        <v>2022</v>
      </c>
      <c r="CP79" s="1517">
        <f>IF((($CO$7-CO79)*12)+($CN$7-CN79)&gt;=12,((($CO$7-CO79)*12)+($CN$7-CN79))-1,0)</f>
        <v/>
      </c>
      <c r="CQ79" s="1518">
        <f>IF(CP79&lt;12,(($CQ$7-CO79)*12)+($CP$7-CN79),0)</f>
        <v/>
      </c>
      <c r="CR79" s="1517">
        <f>IF(OR(CP79&gt;12,CP79=12),((CP79-(CS79*12))+((($CQ$7-2024)*12)+($CP$7-4)))+1,0)</f>
        <v/>
      </c>
      <c r="CS79" s="1519">
        <f>IF(OR(CP79&gt;12,CP79=12),ROUNDDOWN(CP79/12,0),0)</f>
        <v/>
      </c>
      <c r="CT79" s="1519">
        <f>IF(CQ79&gt;11,ROUNDDOWN(CQ79/12,0),0)</f>
        <v/>
      </c>
      <c r="CU79" s="1519">
        <f>IF(CR79&gt;11,ROUNDDOWN(CR79/12,0),0)</f>
        <v/>
      </c>
      <c r="CV79" s="1520">
        <f>IF(CP79=0,0,6000000*1.07^CS79)</f>
        <v/>
      </c>
      <c r="CW79" s="1520">
        <f>IF(CT79&lt;2,0,6000000+(CT79-1)*500000)</f>
        <v/>
      </c>
      <c r="CX79" s="1520">
        <f>IF(CU79=0,CV79,IF(CU79&lt;1,0,CV79+CU79*500000))</f>
        <v/>
      </c>
      <c r="CY79" s="1520">
        <f>IF(CX79&gt;0,CX79,IF(CW79&gt;0,CW79,6000000))</f>
        <v/>
      </c>
      <c r="CZ79" s="1521" t="n"/>
      <c r="DA79" s="1522" t="n"/>
      <c r="DB79" s="1521" t="n"/>
      <c r="DC79" s="1521" t="n"/>
      <c r="DD79" s="1487" t="n"/>
      <c r="DE79" s="1523" t="n"/>
      <c r="DF79" s="1497" t="n"/>
      <c r="DG79" s="212" t="n"/>
    </row>
    <row r="80">
      <c r="A80" s="230" t="n">
        <v>61</v>
      </c>
      <c r="B80" s="1376" t="n">
        <v>8</v>
      </c>
      <c r="C80" s="176" t="inlineStr">
        <is>
          <t>Nguyen Thi Mai Duyen</t>
        </is>
      </c>
      <c r="D80" s="250" t="inlineStr">
        <is>
          <t>Nguyễn Thị Mai Duyên</t>
        </is>
      </c>
      <c r="E80" s="1492">
        <f>IF(OR(G80="CHT",G80="DSBC",G80="DSXC"),"HĐLĐ",IF(OR(G80="DSTV",G80="Q.CHT"),"HĐTV","HĐCTV"))</f>
        <v/>
      </c>
      <c r="F80" s="1493" t="inlineStr">
        <is>
          <t>Đường Láng</t>
        </is>
      </c>
      <c r="G80" s="1494" t="inlineStr">
        <is>
          <t>DSBC</t>
        </is>
      </c>
      <c r="H80" s="1495" t="inlineStr">
        <is>
          <t>21/03/2025</t>
        </is>
      </c>
      <c r="I80" s="1496" t="inlineStr">
        <is>
          <t>51016102001</t>
        </is>
      </c>
      <c r="J80" s="1496" t="inlineStr">
        <is>
          <t>VP Bank</t>
        </is>
      </c>
      <c r="K80" s="1497" t="n">
        <v>28</v>
      </c>
      <c r="L80" s="1497" t="n">
        <v>28</v>
      </c>
      <c r="M80" s="1497" t="n">
        <v>216.41</v>
      </c>
      <c r="N80" s="1497" t="n">
        <v>77.34</v>
      </c>
      <c r="O80" s="1497" t="n">
        <v>0</v>
      </c>
      <c r="P80" s="232" t="n"/>
      <c r="Q80" s="1497" t="n"/>
      <c r="R80" s="1498" t="n"/>
      <c r="S80" s="1499">
        <f>IF(E80="HĐLĐ",5310000,0)</f>
        <v/>
      </c>
      <c r="T80" s="1500" t="n">
        <v>500000.0000000001</v>
      </c>
      <c r="U80" s="1501" t="n"/>
      <c r="V80" s="232" t="n"/>
      <c r="W80" s="232" t="n"/>
      <c r="X80" s="232" t="n"/>
      <c r="Y80" s="232" t="n"/>
      <c r="Z80" s="232" t="n"/>
      <c r="AA80" s="1497" t="n">
        <v>0</v>
      </c>
      <c r="AB80" s="1497" t="n">
        <v>0</v>
      </c>
      <c r="AC80" s="1499" t="n">
        <v>6000000</v>
      </c>
      <c r="AD80" s="232" t="n"/>
      <c r="AE80" s="232" t="n"/>
      <c r="AF80" s="232" t="n"/>
      <c r="AG80" s="1502">
        <f>IF(E80="HĐTV",AE80/28/8*M80,AC80/28/8*M80)</f>
        <v/>
      </c>
      <c r="AH80" s="1499">
        <f>IF(E80="HĐTV",AE80/28/8*N80*1.5,AC80/28/8*N80*1.5)</f>
        <v/>
      </c>
      <c r="AI80" s="232" t="n">
        <v>0</v>
      </c>
      <c r="AJ80" s="232" t="n">
        <v>0</v>
      </c>
      <c r="AK80" s="232" t="n">
        <v>0</v>
      </c>
      <c r="AL80" s="1497" t="n">
        <v>0</v>
      </c>
      <c r="AM80" s="1497" t="n">
        <v>0</v>
      </c>
      <c r="AN80" s="1497" t="n">
        <v>1350000</v>
      </c>
      <c r="AO80" s="1497" t="n">
        <v>0</v>
      </c>
      <c r="AP80" s="1497" t="n">
        <v>4105900</v>
      </c>
      <c r="AQ80" s="1497" t="n">
        <v>124767</v>
      </c>
      <c r="AR80" s="1497" t="n">
        <v>0</v>
      </c>
      <c r="AS80" s="1497" t="n">
        <v>0</v>
      </c>
      <c r="AT80" s="1497" t="n">
        <v>0</v>
      </c>
      <c r="AU80" s="1497" t="n">
        <v>0</v>
      </c>
      <c r="AV80" s="1497" t="n">
        <v>0</v>
      </c>
      <c r="AW80" s="1497" t="n">
        <v>0</v>
      </c>
      <c r="AX80" s="1497" t="n">
        <v>0</v>
      </c>
      <c r="AY80" s="232" t="n">
        <v>0</v>
      </c>
      <c r="AZ80" s="1499" t="n">
        <v>0</v>
      </c>
      <c r="BA80" s="1503" t="n">
        <v>0</v>
      </c>
      <c r="BB80" s="1497" t="n">
        <v>0</v>
      </c>
      <c r="BC80" s="1497" t="n">
        <v>0</v>
      </c>
      <c r="BD80" s="1497" t="n">
        <v>0</v>
      </c>
      <c r="BE80" s="1497" t="n">
        <v>0</v>
      </c>
      <c r="BF80" s="1497" t="n">
        <v>778511</v>
      </c>
      <c r="BG80" s="1497" t="n">
        <v>0</v>
      </c>
      <c r="BH80" s="1504">
        <f>SUM(T80:AB80)+SUM(AF80:BA80)-SUM(BB80:BG80)</f>
        <v/>
      </c>
      <c r="BI80" s="1505">
        <f>S80*17.5%</f>
        <v/>
      </c>
      <c r="BJ80" s="1505">
        <f>S80*3%</f>
        <v/>
      </c>
      <c r="BK80" s="1505">
        <f>S80*1%</f>
        <v/>
      </c>
      <c r="BL80" s="1506" t="n"/>
      <c r="BM80" s="1507">
        <f>SUM(BI80:BL80)</f>
        <v/>
      </c>
      <c r="BN80" s="1505">
        <f>S80*8%</f>
        <v/>
      </c>
      <c r="BO80" s="1505">
        <f>S80*1.5%</f>
        <v/>
      </c>
      <c r="BP80" s="1505">
        <f>S80*1%</f>
        <v/>
      </c>
      <c r="BQ80" s="1506" t="n"/>
      <c r="BR80" s="1507">
        <f>SUM(BN80:BQ80)</f>
        <v/>
      </c>
      <c r="BS80" s="1505">
        <f>T80+U80+V80+W80</f>
        <v/>
      </c>
      <c r="BT80" s="1508">
        <f>BH80-BS80-AH80</f>
        <v/>
      </c>
      <c r="BU80" s="1505">
        <f>IF(E80="HĐLĐ",15500000,0)</f>
        <v/>
      </c>
      <c r="BV80" s="1509" t="n">
        <v>0</v>
      </c>
      <c r="BW80" s="1505">
        <f>BV80*6200000</f>
        <v/>
      </c>
      <c r="BX80" s="1505">
        <f>BR80</f>
        <v/>
      </c>
      <c r="BY80" s="1510">
        <f>BU80+BW80+BX80</f>
        <v/>
      </c>
      <c r="BZ80" s="1505">
        <f>IF(BT80-BY80&gt;0,BT80-BY80,0)</f>
        <v/>
      </c>
      <c r="CA80" s="1506">
        <f>IF(AND(OR($E80="HĐTV",$E80="HĐCTV"),$BZ80&lt;2000000),0,IF(OR($E80="HĐTV",$E80="HĐCTV"),$BZ80*10%,ROUND(IF($BZ80&lt;=10000000,$BZ80*5%,IF($BZ80&lt;=30000000,$BZ80*10%-500000,IF($BZ80&lt;=60000000,$BZ80*20%-3500000,IF($BZ80&lt;=100000000,$BZ80*30%-9500000,$BZ80*35%-14500000)))),0)))</f>
        <v/>
      </c>
      <c r="CB80" s="1511">
        <f>ROUND(BH80-BR80-CA80,0)</f>
        <v/>
      </c>
      <c r="CC80" s="1509" t="n"/>
      <c r="CD80" s="1512" t="n">
        <v>0</v>
      </c>
      <c r="CE80" s="1513">
        <f>CB80+CC80-CD80</f>
        <v/>
      </c>
      <c r="CF80" s="1514">
        <f>CE80-CG80</f>
        <v/>
      </c>
      <c r="CG80" s="1514">
        <f>CE80</f>
        <v/>
      </c>
      <c r="CH80" s="1515" t="n"/>
      <c r="CI80" s="1516" t="inlineStr">
        <is>
          <t>duyen.nguyen@medigoapp.com</t>
        </is>
      </c>
      <c r="CJ80" s="1497" t="n">
        <v>0</v>
      </c>
      <c r="CK80" s="1495" t="n">
        <v>10</v>
      </c>
      <c r="CL80" s="1497" t="n"/>
      <c r="CM80" s="1495" t="n">
        <v>21</v>
      </c>
      <c r="CN80" s="1495" t="n">
        <v>3</v>
      </c>
      <c r="CO80" s="1495" t="n">
        <v>2025</v>
      </c>
      <c r="CP80" s="1517">
        <f>IF((($CO$7-CO80)*12)+($CN$7-CN80)&gt;=12,((($CO$7-CO80)*12)+($CN$7-CN80))-1,0)</f>
        <v/>
      </c>
      <c r="CQ80" s="1518">
        <f>IF(CP80&lt;12,(($CQ$7-CO80)*12)+($CP$7-CN80),0)</f>
        <v/>
      </c>
      <c r="CR80" s="1517">
        <f>IF(OR(CP80&gt;12,CP80=12),((CP80-(CS80*12))+((($CQ$7-2024)*12)+($CP$7-4)))+1,0)</f>
        <v/>
      </c>
      <c r="CS80" s="1519">
        <f>IF(OR(CP80&gt;12,CP80=12),ROUNDDOWN(CP80/12,0),0)</f>
        <v/>
      </c>
      <c r="CT80" s="1519">
        <f>IF(CQ80&gt;11,ROUNDDOWN(CQ80/12,0),0)</f>
        <v/>
      </c>
      <c r="CU80" s="1519">
        <f>IF(CR80&gt;11,ROUNDDOWN(CR80/12,0),0)</f>
        <v/>
      </c>
      <c r="CV80" s="1520">
        <f>IF(CP80=0,0,6000000*1.07^CS80)</f>
        <v/>
      </c>
      <c r="CW80" s="1520">
        <f>IF(CT80&lt;2,0,6000000+(CT80-1)*500000)</f>
        <v/>
      </c>
      <c r="CX80" s="1520">
        <f>IF(CU80=0,CV80,IF(CU80&lt;1,0,CV80+CU80*500000))</f>
        <v/>
      </c>
      <c r="CY80" s="1520">
        <f>IF(CX80&gt;0,CX80,IF(CW80&gt;0,CW80,6000000))</f>
        <v/>
      </c>
      <c r="CZ80" s="1521" t="n"/>
      <c r="DA80" s="1522" t="n"/>
      <c r="DB80" s="1521" t="n"/>
      <c r="DC80" s="1521" t="n"/>
      <c r="DD80" s="1487" t="n"/>
      <c r="DE80" s="1523" t="n"/>
      <c r="DF80" s="1497" t="n"/>
      <c r="DG80" s="212" t="n"/>
    </row>
    <row r="81">
      <c r="A81" s="230" t="n">
        <v>62</v>
      </c>
      <c r="B81" s="1376" t="n">
        <v>8</v>
      </c>
      <c r="C81" s="176" t="inlineStr">
        <is>
          <t>Nguyen Thi Tam</t>
        </is>
      </c>
      <c r="D81" s="250" t="inlineStr">
        <is>
          <t>Nguyễn Thị Tâm</t>
        </is>
      </c>
      <c r="E81" s="1492">
        <f>IF(OR(G81="CHT",G81="DSBC",G81="DSXC"),"HĐLĐ",IF(OR(G81="DSTV",G81="Q.CHT"),"HĐTV","HĐCTV"))</f>
        <v/>
      </c>
      <c r="F81" s="1493" t="inlineStr">
        <is>
          <t>Đường Láng</t>
        </is>
      </c>
      <c r="G81" s="1494" t="inlineStr">
        <is>
          <t>DSBC</t>
        </is>
      </c>
      <c r="H81" s="1495" t="n">
        <v>45062</v>
      </c>
      <c r="I81" s="1496" t="inlineStr">
        <is>
          <t xml:space="preserve"> 0924479717</t>
        </is>
      </c>
      <c r="J81" s="1496" t="inlineStr">
        <is>
          <t>Vietinbank</t>
        </is>
      </c>
      <c r="K81" s="1497" t="n">
        <v>28</v>
      </c>
      <c r="L81" s="1497" t="n">
        <v>28</v>
      </c>
      <c r="M81" s="1497" t="n">
        <v>117.18</v>
      </c>
      <c r="N81" s="1497" t="n">
        <v>176.26</v>
      </c>
      <c r="O81" s="1497" t="n">
        <v>0</v>
      </c>
      <c r="P81" s="232" t="n"/>
      <c r="Q81" s="1497" t="n"/>
      <c r="R81" s="1498" t="n"/>
      <c r="S81" s="1499">
        <f>IF(E81="HĐLĐ",5310000,0)</f>
        <v/>
      </c>
      <c r="T81" s="1500" t="n">
        <v>500000.0000000001</v>
      </c>
      <c r="U81" s="1501" t="n"/>
      <c r="V81" s="232" t="n"/>
      <c r="W81" s="232" t="n"/>
      <c r="X81" s="232" t="n"/>
      <c r="Y81" s="232" t="n"/>
      <c r="Z81" s="232" t="n"/>
      <c r="AA81" s="1497" t="n">
        <v>0</v>
      </c>
      <c r="AB81" s="1497" t="n">
        <v>0</v>
      </c>
      <c r="AC81" s="1499" t="n">
        <v>7000000</v>
      </c>
      <c r="AD81" s="232" t="n"/>
      <c r="AE81" s="232" t="n"/>
      <c r="AF81" s="232" t="n"/>
      <c r="AG81" s="1502">
        <f>IF(E81="HĐTV",AE81/28/8*M81,AC81/28/8*M81)</f>
        <v/>
      </c>
      <c r="AH81" s="1499">
        <f>IF(E81="HĐTV",AE81/28/8*N81*1.5,AC81/28/8*N81*1.5)</f>
        <v/>
      </c>
      <c r="AI81" s="232" t="n">
        <v>0</v>
      </c>
      <c r="AJ81" s="232" t="n">
        <v>0</v>
      </c>
      <c r="AK81" s="232" t="n">
        <v>0</v>
      </c>
      <c r="AL81" s="1497" t="n">
        <v>0</v>
      </c>
      <c r="AM81" s="1497" t="n">
        <v>0</v>
      </c>
      <c r="AN81" s="1497" t="n">
        <v>1150000</v>
      </c>
      <c r="AO81" s="1497" t="n">
        <v>0</v>
      </c>
      <c r="AP81" s="1497" t="n">
        <v>5186750</v>
      </c>
      <c r="AQ81" s="1497" t="n">
        <v>23664</v>
      </c>
      <c r="AR81" s="1497" t="n">
        <v>0</v>
      </c>
      <c r="AS81" s="1497" t="n">
        <v>0</v>
      </c>
      <c r="AT81" s="1497" t="n">
        <v>0</v>
      </c>
      <c r="AU81" s="1497" t="n">
        <v>184000</v>
      </c>
      <c r="AV81" s="1497" t="n">
        <v>0</v>
      </c>
      <c r="AW81" s="1497" t="n">
        <v>0</v>
      </c>
      <c r="AX81" s="1497" t="n">
        <v>0</v>
      </c>
      <c r="AY81" s="232" t="n">
        <v>0</v>
      </c>
      <c r="AZ81" s="1499" t="n">
        <v>0</v>
      </c>
      <c r="BA81" s="1503" t="n">
        <v>0</v>
      </c>
      <c r="BB81" s="1497" t="n">
        <v>0</v>
      </c>
      <c r="BC81" s="1497" t="n">
        <v>0</v>
      </c>
      <c r="BD81" s="1497" t="n">
        <v>0</v>
      </c>
      <c r="BE81" s="1497" t="n">
        <v>0</v>
      </c>
      <c r="BF81" s="1497" t="n">
        <v>280701</v>
      </c>
      <c r="BG81" s="1497" t="n">
        <v>0</v>
      </c>
      <c r="BH81" s="1504">
        <f>SUM(T81:AB81)+SUM(AF81:BA81)-SUM(BB81:BG81)</f>
        <v/>
      </c>
      <c r="BI81" s="1505">
        <f>S81*17.5%</f>
        <v/>
      </c>
      <c r="BJ81" s="1505">
        <f>S81*3%</f>
        <v/>
      </c>
      <c r="BK81" s="1505">
        <f>S81*1%</f>
        <v/>
      </c>
      <c r="BL81" s="1506" t="n"/>
      <c r="BM81" s="1507">
        <f>SUM(BI81:BL81)</f>
        <v/>
      </c>
      <c r="BN81" s="1505">
        <f>S81*8%</f>
        <v/>
      </c>
      <c r="BO81" s="1505">
        <f>S81*1.5%</f>
        <v/>
      </c>
      <c r="BP81" s="1505">
        <f>S81*1%</f>
        <v/>
      </c>
      <c r="BQ81" s="1506" t="n"/>
      <c r="BR81" s="1507">
        <f>SUM(BN81:BQ81)</f>
        <v/>
      </c>
      <c r="BS81" s="1505">
        <f>T81+U81+V81+W81</f>
        <v/>
      </c>
      <c r="BT81" s="1508">
        <f>BH81-BS81-AH81</f>
        <v/>
      </c>
      <c r="BU81" s="1505">
        <f>IF(E81="HĐLĐ",15500000,0)</f>
        <v/>
      </c>
      <c r="BV81" s="1509" t="n">
        <v>0</v>
      </c>
      <c r="BW81" s="1505">
        <f>BV81*6200000</f>
        <v/>
      </c>
      <c r="BX81" s="1505">
        <f>BR81</f>
        <v/>
      </c>
      <c r="BY81" s="1510">
        <f>BU81+BW81+BX81</f>
        <v/>
      </c>
      <c r="BZ81" s="1505">
        <f>IF(BT81-BY81&gt;0,BT81-BY81,0)</f>
        <v/>
      </c>
      <c r="CA81" s="1506">
        <f>IF(AND(OR($E81="HĐTV",$E81="HĐCTV"),$BZ81&lt;2000000),0,IF(OR($E81="HĐTV",$E81="HĐCTV"),$BZ81*10%,ROUND(IF($BZ81&lt;=10000000,$BZ81*5%,IF($BZ81&lt;=30000000,$BZ81*10%-500000,IF($BZ81&lt;=60000000,$BZ81*20%-3500000,IF($BZ81&lt;=100000000,$BZ81*30%-9500000,$BZ81*35%-14500000)))),0)))</f>
        <v/>
      </c>
      <c r="CB81" s="1511">
        <f>ROUND(BH81-BR81-CA81,0)</f>
        <v/>
      </c>
      <c r="CC81" s="1509" t="n"/>
      <c r="CD81" s="1512" t="n">
        <v>0</v>
      </c>
      <c r="CE81" s="1513">
        <f>CB81+CC81-CD81</f>
        <v/>
      </c>
      <c r="CF81" s="1514">
        <f>CE81-CG81</f>
        <v/>
      </c>
      <c r="CG81" s="1514">
        <f>CE81</f>
        <v/>
      </c>
      <c r="CH81" s="1515" t="n"/>
      <c r="CI81" s="1516" t="inlineStr">
        <is>
          <t>tam.nguyen@medigoapp.com</t>
        </is>
      </c>
      <c r="CJ81" s="1497" t="n">
        <v>0</v>
      </c>
      <c r="CK81" s="1495" t="n">
        <v>4</v>
      </c>
      <c r="CL81" s="1497" t="n"/>
      <c r="CM81" s="1495" t="n">
        <v>16</v>
      </c>
      <c r="CN81" s="1495" t="n">
        <v>5</v>
      </c>
      <c r="CO81" s="1495" t="n">
        <v>2023</v>
      </c>
      <c r="CP81" s="1517">
        <f>IF((($CO$7-CO81)*12)+($CN$7-CN81)&gt;=12,((($CO$7-CO81)*12)+($CN$7-CN81))-1,0)</f>
        <v/>
      </c>
      <c r="CQ81" s="1518">
        <f>IF(CP81&lt;12,(($CQ$7-CO81)*12)+($CP$7-CN81),0)</f>
        <v/>
      </c>
      <c r="CR81" s="1517">
        <f>IF(OR(CP81&gt;12,CP81=12),((CP81-(CS81*12))+((($CQ$7-2024)*12)+($CP$7-4)))+1,0)</f>
        <v/>
      </c>
      <c r="CS81" s="1519">
        <f>IF(OR(CP81&gt;12,CP81=12),ROUNDDOWN(CP81/12,0),0)</f>
        <v/>
      </c>
      <c r="CT81" s="1519">
        <f>IF(CQ81&gt;11,ROUNDDOWN(CQ81/12,0),0)</f>
        <v/>
      </c>
      <c r="CU81" s="1519">
        <f>IF(CR81&gt;11,ROUNDDOWN(CR81/12,0),0)</f>
        <v/>
      </c>
      <c r="CV81" s="1520">
        <f>IF(CP81=0,0,6000000*1.07^CS81)</f>
        <v/>
      </c>
      <c r="CW81" s="1520">
        <f>IF(CT81&lt;2,0,6000000+(CT81-1)*500000)</f>
        <v/>
      </c>
      <c r="CX81" s="1520">
        <f>IF(CU81=0,CV81,IF(CU81&lt;1,0,CV81+CU81*500000))</f>
        <v/>
      </c>
      <c r="CY81" s="1520">
        <f>IF(CX81&gt;0,CX81,IF(CW81&gt;0,CW81,6000000))</f>
        <v/>
      </c>
      <c r="CZ81" s="1521" t="n"/>
      <c r="DA81" s="1522" t="n"/>
      <c r="DB81" s="1521" t="n"/>
      <c r="DC81" s="1521" t="n"/>
      <c r="DD81" s="1487" t="n"/>
      <c r="DE81" s="1523" t="n"/>
      <c r="DF81" s="1497" t="n"/>
      <c r="DG81" s="212" t="n"/>
    </row>
    <row r="82">
      <c r="A82" s="230" t="n">
        <v>63</v>
      </c>
      <c r="B82" s="1376" t="n">
        <v>8</v>
      </c>
      <c r="C82" s="176" t="inlineStr">
        <is>
          <t>Tran Ngoc Dung</t>
        </is>
      </c>
      <c r="D82" s="250" t="inlineStr">
        <is>
          <t>Trần Ngọc Dung</t>
        </is>
      </c>
      <c r="E82" s="1492">
        <f>IF(OR(G82="CHT",G82="DSBC",G82="DSXC"),"HĐLĐ",IF(OR(G82="DSTV",G82="Q.CHT"),"HĐTV","HĐCTV"))</f>
        <v/>
      </c>
      <c r="F82" s="1493" t="inlineStr">
        <is>
          <t>Đường Láng</t>
        </is>
      </c>
      <c r="G82" s="1494" t="inlineStr">
        <is>
          <t>DSBC</t>
        </is>
      </c>
      <c r="H82" s="1495" t="inlineStr">
        <is>
          <t>10/3/2026</t>
        </is>
      </c>
      <c r="I82" s="1496" t="inlineStr">
        <is>
          <t>19036814716010</t>
        </is>
      </c>
      <c r="J82" s="1496" t="inlineStr">
        <is>
          <t>Techcombank</t>
        </is>
      </c>
      <c r="K82" s="1497" t="n">
        <v>28</v>
      </c>
      <c r="L82" s="1497" t="n">
        <v>26</v>
      </c>
      <c r="M82" s="1497" t="n">
        <v>216.68</v>
      </c>
      <c r="N82" s="1497" t="n">
        <v>41.13</v>
      </c>
      <c r="O82" s="1497" t="n">
        <v>0</v>
      </c>
      <c r="P82" s="232" t="n"/>
      <c r="Q82" s="1497" t="n"/>
      <c r="R82" s="1498" t="n"/>
      <c r="S82" s="1499">
        <f>IF(E82="HĐLĐ",5310000,0)</f>
        <v/>
      </c>
      <c r="T82" s="1500" t="n">
        <v>464285.7142857143</v>
      </c>
      <c r="U82" s="1501" t="n"/>
      <c r="V82" s="232" t="n"/>
      <c r="W82" s="232" t="n"/>
      <c r="X82" s="232" t="n"/>
      <c r="Y82" s="232" t="n"/>
      <c r="Z82" s="232" t="n"/>
      <c r="AA82" s="1497" t="n">
        <v>0</v>
      </c>
      <c r="AB82" s="1497" t="n">
        <v>0</v>
      </c>
      <c r="AC82" s="1499" t="n">
        <v>6000000</v>
      </c>
      <c r="AD82" s="232" t="n"/>
      <c r="AE82" s="232" t="n"/>
      <c r="AF82" s="232" t="n"/>
      <c r="AG82" s="1502">
        <f>IF(E82="HĐTV",AE82/28/8*M82,AC82/28/8*M82)</f>
        <v/>
      </c>
      <c r="AH82" s="1499">
        <f>IF(E82="HĐTV",AE82/28/8*N82*1.5,AC82/28/8*N82*1.5)</f>
        <v/>
      </c>
      <c r="AI82" s="232" t="n">
        <v>0</v>
      </c>
      <c r="AJ82" s="232" t="n">
        <v>0</v>
      </c>
      <c r="AK82" s="232" t="n">
        <v>0</v>
      </c>
      <c r="AL82" s="1497" t="n">
        <v>0</v>
      </c>
      <c r="AM82" s="1497" t="n">
        <v>0</v>
      </c>
      <c r="AN82" s="1497" t="n">
        <v>0</v>
      </c>
      <c r="AO82" s="1497" t="n">
        <v>0</v>
      </c>
      <c r="AP82" s="1497" t="n">
        <v>1520650</v>
      </c>
      <c r="AQ82" s="1497" t="n">
        <v>170114</v>
      </c>
      <c r="AR82" s="1497" t="n">
        <v>0</v>
      </c>
      <c r="AS82" s="1497" t="n">
        <v>500000</v>
      </c>
      <c r="AT82" s="1497" t="n">
        <v>0</v>
      </c>
      <c r="AU82" s="1497" t="n">
        <v>0</v>
      </c>
      <c r="AV82" s="1497" t="n">
        <v>0</v>
      </c>
      <c r="AW82" s="1497" t="n">
        <v>0</v>
      </c>
      <c r="AX82" s="1497" t="n">
        <v>0</v>
      </c>
      <c r="AY82" s="232" t="n">
        <v>0</v>
      </c>
      <c r="AZ82" s="1499" t="n">
        <v>0</v>
      </c>
      <c r="BA82" s="1503" t="n">
        <v>0</v>
      </c>
      <c r="BB82" s="1497" t="n">
        <v>0</v>
      </c>
      <c r="BC82" s="1497" t="n">
        <v>0</v>
      </c>
      <c r="BD82" s="1497" t="n">
        <v>0</v>
      </c>
      <c r="BE82" s="1497" t="n">
        <v>0</v>
      </c>
      <c r="BF82" s="1497" t="n">
        <v>540631</v>
      </c>
      <c r="BG82" s="1497" t="n">
        <v>0</v>
      </c>
      <c r="BH82" s="1504">
        <f>SUM(T82:AB82)+SUM(AF82:BA82)-SUM(BB82:BG82)</f>
        <v/>
      </c>
      <c r="BI82" s="1505">
        <f>S82*17.5%</f>
        <v/>
      </c>
      <c r="BJ82" s="1505">
        <f>S82*3%</f>
        <v/>
      </c>
      <c r="BK82" s="1505">
        <f>S82*1%</f>
        <v/>
      </c>
      <c r="BL82" s="1506" t="n"/>
      <c r="BM82" s="1507">
        <f>SUM(BI82:BL82)</f>
        <v/>
      </c>
      <c r="BN82" s="1505">
        <f>S82*8%</f>
        <v/>
      </c>
      <c r="BO82" s="1505">
        <f>S82*1.5%</f>
        <v/>
      </c>
      <c r="BP82" s="1505">
        <f>S82*1%</f>
        <v/>
      </c>
      <c r="BQ82" s="1506" t="n"/>
      <c r="BR82" s="1507">
        <f>SUM(BN82:BQ82)</f>
        <v/>
      </c>
      <c r="BS82" s="1505">
        <f>T82+U82+V82+W82</f>
        <v/>
      </c>
      <c r="BT82" s="1508">
        <f>BH82-BS82-AH82</f>
        <v/>
      </c>
      <c r="BU82" s="1505">
        <f>IF(E82="HĐLĐ",15500000,0)</f>
        <v/>
      </c>
      <c r="BV82" s="1509" t="n">
        <v>0</v>
      </c>
      <c r="BW82" s="1505">
        <f>BV82*6200000</f>
        <v/>
      </c>
      <c r="BX82" s="1505">
        <f>BR82</f>
        <v/>
      </c>
      <c r="BY82" s="1510">
        <f>BU82+BW82+BX82</f>
        <v/>
      </c>
      <c r="BZ82" s="1505">
        <f>IF(BT82-BY82&gt;0,BT82-BY82,0)</f>
        <v/>
      </c>
      <c r="CA82" s="1506">
        <f>IF(AND(OR($E82="HĐTV",$E82="HĐCTV"),$BZ82&lt;2000000),0,IF(OR($E82="HĐTV",$E82="HĐCTV"),$BZ82*10%,ROUND(IF($BZ82&lt;=10000000,$BZ82*5%,IF($BZ82&lt;=30000000,$BZ82*10%-500000,IF($BZ82&lt;=60000000,$BZ82*20%-3500000,IF($BZ82&lt;=100000000,$BZ82*30%-9500000,$BZ82*35%-14500000)))),0)))</f>
        <v/>
      </c>
      <c r="CB82" s="1511">
        <f>ROUND(BH82-BR82-CA82,0)</f>
        <v/>
      </c>
      <c r="CC82" s="1509" t="n"/>
      <c r="CD82" s="1512" t="n">
        <v>0</v>
      </c>
      <c r="CE82" s="1513">
        <f>CB82+CC82-CD82</f>
        <v/>
      </c>
      <c r="CF82" s="1514">
        <f>CE82-CG82</f>
        <v/>
      </c>
      <c r="CG82" s="1514">
        <f>CE82</f>
        <v/>
      </c>
      <c r="CH82" s="1515" t="n"/>
      <c r="CI82" s="1516">
        <f>VLOOKUP($C86,[5]Sheet1!$C$5:$K$139,9,0)</f>
        <v/>
      </c>
      <c r="CJ82" s="1497" t="inlineStr">
        <is>
          <t>Sai doanh thu HD.VQWXD95V : 119.000Đ</t>
        </is>
      </c>
      <c r="CK82" s="1495" t="n">
        <v>10</v>
      </c>
      <c r="CL82" s="1497" t="n"/>
      <c r="CM82" s="1495" t="n">
        <v>10</v>
      </c>
      <c r="CN82" s="1495" t="n">
        <v>3</v>
      </c>
      <c r="CO82" s="1495" t="n">
        <v>2026</v>
      </c>
      <c r="CP82" s="1517">
        <f>IF((($CO$7-CO82)*12)+($CN$7-CN82)&gt;=12,((($CO$7-CO82)*12)+($CN$7-CN82))-1,0)</f>
        <v/>
      </c>
      <c r="CQ82" s="1518">
        <f>IF(CP82&lt;12,(($CQ$7-CO82)*12)+($CP$7-CN82),0)</f>
        <v/>
      </c>
      <c r="CR82" s="1517">
        <f>IF(OR(CP82&gt;12,CP82=12),((CP82-(CS82*12))+((($CQ$7-2024)*12)+($CP$7-4)))+1,0)</f>
        <v/>
      </c>
      <c r="CS82" s="1519">
        <f>IF(OR(CP82&gt;12,CP82=12),ROUNDDOWN(CP82/12,0),0)</f>
        <v/>
      </c>
      <c r="CT82" s="1519">
        <f>IF(CQ82&gt;11,ROUNDDOWN(CQ82/12,0),0)</f>
        <v/>
      </c>
      <c r="CU82" s="1519">
        <f>IF(CR82&gt;11,ROUNDDOWN(CR82/12,0),0)</f>
        <v/>
      </c>
      <c r="CV82" s="1520">
        <f>IF(CP82=0,0,6000000*1.07^CS82)</f>
        <v/>
      </c>
      <c r="CW82" s="1520">
        <f>IF(CT82&lt;2,0,6000000+(CT82-1)*500000)</f>
        <v/>
      </c>
      <c r="CX82" s="1520">
        <f>IF(CU82=0,CV82,IF(CU82&lt;1,0,CV82+CU82*500000))</f>
        <v/>
      </c>
      <c r="CY82" s="1520">
        <f>IF(CX82&gt;0,CX82,IF(CW82&gt;0,CW82,6000000))</f>
        <v/>
      </c>
      <c r="CZ82" s="1521" t="n"/>
      <c r="DA82" s="1522" t="n"/>
      <c r="DB82" s="1521" t="n"/>
      <c r="DC82" s="1521" t="n"/>
      <c r="DD82" s="1487" t="n"/>
      <c r="DE82" s="1523" t="n"/>
      <c r="DF82" s="1497" t="n"/>
      <c r="DG82" s="212" t="n"/>
    </row>
    <row r="83">
      <c r="A83" s="1524" t="n"/>
      <c r="B83" s="1525" t="n"/>
      <c r="C83" s="1526" t="n"/>
      <c r="D83" s="1527" t="n"/>
      <c r="E83" s="1528" t="n"/>
      <c r="F83" s="1529">
        <f>SUM(F78:F82)</f>
        <v/>
      </c>
      <c r="G83" s="1530" t="n"/>
      <c r="H83" s="1531" t="n"/>
      <c r="I83" s="1532" t="n"/>
      <c r="J83" s="1532" t="n"/>
      <c r="K83" s="1533">
        <f>SUM(K78:K82)</f>
        <v/>
      </c>
      <c r="L83" s="1533">
        <f>SUM(L78:L82)</f>
        <v/>
      </c>
      <c r="M83" s="1534">
        <f>SUM(M78:M82)</f>
        <v/>
      </c>
      <c r="N83" s="1534">
        <f>SUM(N78:N82)</f>
        <v/>
      </c>
      <c r="O83" s="1533">
        <f>SUM(O78:O82)</f>
        <v/>
      </c>
      <c r="P83" s="1533">
        <f>SUM(P78:P82)</f>
        <v/>
      </c>
      <c r="Q83" s="1533">
        <f>SUM(Q78:Q82)</f>
        <v/>
      </c>
      <c r="R83" s="1533" t="n"/>
      <c r="S83" s="1533">
        <f>SUM(S78:S82)</f>
        <v/>
      </c>
      <c r="T83" s="1533">
        <f>SUM(T78:T82)</f>
        <v/>
      </c>
      <c r="U83" s="1533">
        <f>SUM(U78:U82)</f>
        <v/>
      </c>
      <c r="V83" s="1533">
        <f>SUM(V78:V82)</f>
        <v/>
      </c>
      <c r="W83" s="1533">
        <f>SUM(W78:W82)</f>
        <v/>
      </c>
      <c r="X83" s="1533">
        <f>SUM(X78:X82)</f>
        <v/>
      </c>
      <c r="Y83" s="1533">
        <f>SUM(Y78:Y82)</f>
        <v/>
      </c>
      <c r="Z83" s="1533">
        <f>SUM(Z78:Z82)</f>
        <v/>
      </c>
      <c r="AA83" s="1533">
        <f>SUM(AA78:AA82)</f>
        <v/>
      </c>
      <c r="AB83" s="1533">
        <f>SUM(AB78:AB82)</f>
        <v/>
      </c>
      <c r="AC83" s="1533">
        <f>SUM(AC78:AC82)</f>
        <v/>
      </c>
      <c r="AD83" s="1533">
        <f>SUM(AD78:AD82)</f>
        <v/>
      </c>
      <c r="AE83" s="1533">
        <f>SUM(AE78:AE82)</f>
        <v/>
      </c>
      <c r="AF83" s="1533">
        <f>SUM(AF78:AF82)</f>
        <v/>
      </c>
      <c r="AG83" s="1533">
        <f>SUM(AG78:AG82)</f>
        <v/>
      </c>
      <c r="AH83" s="1533">
        <f>SUM(AH78:AH82)</f>
        <v/>
      </c>
      <c r="AI83" s="1533">
        <f>SUM(AI78:AI82)</f>
        <v/>
      </c>
      <c r="AJ83" s="1533">
        <f>SUM(AJ78:AJ82)</f>
        <v/>
      </c>
      <c r="AK83" s="1533">
        <f>SUM(AK78:AK82)</f>
        <v/>
      </c>
      <c r="AL83" s="1533">
        <f>SUM(AL78:AL82)</f>
        <v/>
      </c>
      <c r="AM83" s="1533">
        <f>SUM(AM78:AM82)</f>
        <v/>
      </c>
      <c r="AN83" s="1533">
        <f>SUM(AN78:AN82)</f>
        <v/>
      </c>
      <c r="AO83" s="1533">
        <f>SUM(AO78:AO82)</f>
        <v/>
      </c>
      <c r="AP83" s="1533">
        <f>SUM(AP78:AP82)</f>
        <v/>
      </c>
      <c r="AQ83" s="1533">
        <f>SUM(AQ78:AQ82)</f>
        <v/>
      </c>
      <c r="AR83" s="1533">
        <f>SUM(AR78:AR82)</f>
        <v/>
      </c>
      <c r="AS83" s="1533">
        <f>SUM(AS78:AS82)</f>
        <v/>
      </c>
      <c r="AT83" s="1533">
        <f>SUM(AT78:AT82)</f>
        <v/>
      </c>
      <c r="AU83" s="1533">
        <f>SUM(AU78:AU82)</f>
        <v/>
      </c>
      <c r="AV83" s="1533">
        <f>SUM(AV78:AV82)</f>
        <v/>
      </c>
      <c r="AW83" s="1533">
        <f>SUM(AW78:AW82)</f>
        <v/>
      </c>
      <c r="AX83" s="1533">
        <f>SUM(AX78:AX82)</f>
        <v/>
      </c>
      <c r="AY83" s="1533">
        <f>SUM(AY78:AY82)</f>
        <v/>
      </c>
      <c r="AZ83" s="1533">
        <f>SUM(AZ78:AZ82)</f>
        <v/>
      </c>
      <c r="BA83" s="1533">
        <f>SUM(BA78:BA82)</f>
        <v/>
      </c>
      <c r="BB83" s="1533">
        <f>SUM(BB78:BB82)</f>
        <v/>
      </c>
      <c r="BC83" s="1533">
        <f>SUM(BC78:BC82)</f>
        <v/>
      </c>
      <c r="BD83" s="1533">
        <f>SUM(BD78:BD82)</f>
        <v/>
      </c>
      <c r="BE83" s="1533">
        <f>SUM(BE78:BE82)</f>
        <v/>
      </c>
      <c r="BF83" s="1533">
        <f>SUM(BF78:BF82)</f>
        <v/>
      </c>
      <c r="BG83" s="1533">
        <f>SUM(BG78:BG82)</f>
        <v/>
      </c>
      <c r="BH83" s="1533">
        <f>SUM(BH78:BH82)</f>
        <v/>
      </c>
      <c r="BI83" s="1533">
        <f>SUM(BI78:BI82)</f>
        <v/>
      </c>
      <c r="BJ83" s="1533">
        <f>SUM(BJ78:BJ82)</f>
        <v/>
      </c>
      <c r="BK83" s="1533">
        <f>SUM(BK78:BK82)</f>
        <v/>
      </c>
      <c r="BL83" s="1533">
        <f>SUM(BL78:BL82)</f>
        <v/>
      </c>
      <c r="BM83" s="1533">
        <f>SUM(BM78:BM82)</f>
        <v/>
      </c>
      <c r="BN83" s="1533">
        <f>SUM(BN78:BN82)</f>
        <v/>
      </c>
      <c r="BO83" s="1533">
        <f>SUM(BO78:BO82)</f>
        <v/>
      </c>
      <c r="BP83" s="1533">
        <f>SUM(BP78:BP82)</f>
        <v/>
      </c>
      <c r="BQ83" s="1533">
        <f>SUM(BQ78:BQ82)</f>
        <v/>
      </c>
      <c r="BR83" s="1533">
        <f>SUM(BR78:BR82)</f>
        <v/>
      </c>
      <c r="BS83" s="1533">
        <f>SUM(BS78:BS82)</f>
        <v/>
      </c>
      <c r="BT83" s="1533">
        <f>SUM(BT78:BT82)</f>
        <v/>
      </c>
      <c r="BU83" s="1533">
        <f>SUM(BU78:BU82)</f>
        <v/>
      </c>
      <c r="BV83" s="1533">
        <f>SUM(BV78:BV82)</f>
        <v/>
      </c>
      <c r="BW83" s="1533">
        <f>SUM(BW78:BW82)</f>
        <v/>
      </c>
      <c r="BX83" s="1533">
        <f>SUM(BX78:BX82)</f>
        <v/>
      </c>
      <c r="BY83" s="1533">
        <f>SUM(BY78:BY82)</f>
        <v/>
      </c>
      <c r="BZ83" s="1533">
        <f>SUM(BZ78:BZ82)</f>
        <v/>
      </c>
      <c r="CA83" s="1533">
        <f>SUM(CA78:CA82)</f>
        <v/>
      </c>
      <c r="CB83" s="1533">
        <f>SUM(CB78:CB82)</f>
        <v/>
      </c>
      <c r="CC83" s="1533">
        <f>SUM(CC78:CC82)</f>
        <v/>
      </c>
      <c r="CD83" s="1533">
        <f>SUM(CD78:CD82)</f>
        <v/>
      </c>
      <c r="CE83" s="1533">
        <f>SUM(CE78:CE82)</f>
        <v/>
      </c>
      <c r="CF83" s="1533">
        <f>SUM(CF78:CF82)</f>
        <v/>
      </c>
      <c r="CG83" s="1533">
        <f>SUM(CG78:CG82)</f>
        <v/>
      </c>
      <c r="CH83" s="1533" t="n"/>
      <c r="CI83" s="1533" t="n"/>
      <c r="CJ83" s="1533" t="n"/>
      <c r="CK83" s="1531" t="n"/>
      <c r="CL83" s="1533">
        <f>SUM(CL78:CL82)</f>
        <v/>
      </c>
      <c r="CM83" s="1531" t="n"/>
      <c r="CN83" s="1531" t="n"/>
      <c r="CO83" s="1531" t="n"/>
      <c r="CP83" s="1535" t="n"/>
      <c r="CQ83" s="1536" t="n"/>
      <c r="CR83" s="1535" t="n"/>
      <c r="CS83" s="1537" t="n"/>
      <c r="CT83" s="1537" t="n"/>
      <c r="CU83" s="1537" t="n"/>
      <c r="CV83" s="1538" t="n"/>
      <c r="CW83" s="1538" t="n"/>
      <c r="CX83" s="1538" t="n"/>
      <c r="CY83" s="1538" t="n"/>
      <c r="CZ83" s="1526" t="n"/>
      <c r="DA83" s="1539" t="n"/>
      <c r="DB83" s="1526" t="n"/>
      <c r="DC83" s="1526" t="n"/>
      <c r="DD83" s="1487" t="n"/>
      <c r="DE83" s="1523" t="n"/>
      <c r="DF83" s="1497" t="n"/>
      <c r="DG83" s="212" t="n"/>
    </row>
    <row r="84">
      <c r="A84" s="230" t="n">
        <v>64</v>
      </c>
      <c r="B84" s="1376" t="n">
        <v>8</v>
      </c>
      <c r="C84" s="176" t="inlineStr">
        <is>
          <t>Dinh Thi Lan Anh</t>
        </is>
      </c>
      <c r="D84" s="250" t="inlineStr">
        <is>
          <t>Đinh Thị Lan Anh</t>
        </is>
      </c>
      <c r="E84" s="1492">
        <f>IF(OR(G84="CHT",G84="DSBC",G84="DSXC"),"HĐLĐ",IF(OR(G84="DSTV",G84="Q.CHT"),"HĐTV","HĐCTV"))</f>
        <v/>
      </c>
      <c r="F84" s="1493" t="inlineStr">
        <is>
          <t>Hàng Bông</t>
        </is>
      </c>
      <c r="G84" s="1494" t="inlineStr">
        <is>
          <t>CHT</t>
        </is>
      </c>
      <c r="H84" s="1495" t="n">
        <v>44674</v>
      </c>
      <c r="I84" s="1496" t="inlineStr">
        <is>
          <t>16010000495222</t>
        </is>
      </c>
      <c r="J84" s="1496" t="inlineStr">
        <is>
          <t>BIDV</t>
        </is>
      </c>
      <c r="K84" s="1497" t="n">
        <v>28</v>
      </c>
      <c r="L84" s="1497" t="n">
        <v>30</v>
      </c>
      <c r="M84" s="1497" t="n">
        <v>262.85</v>
      </c>
      <c r="N84" s="1497" t="n">
        <v>12.98</v>
      </c>
      <c r="O84" s="1497" t="n">
        <v>16</v>
      </c>
      <c r="P84" s="232" t="n"/>
      <c r="Q84" s="1497" t="n"/>
      <c r="R84" s="1498" t="n"/>
      <c r="S84" s="1499">
        <f>IF(E84="HĐLĐ",5310000,0)</f>
        <v/>
      </c>
      <c r="T84" s="1500" t="n">
        <v>500000</v>
      </c>
      <c r="U84" s="1501" t="n"/>
      <c r="V84" s="232" t="n"/>
      <c r="W84" s="232" t="n"/>
      <c r="X84" s="232" t="n"/>
      <c r="Y84" s="232" t="n"/>
      <c r="Z84" s="232" t="n"/>
      <c r="AA84" s="1497" t="n">
        <v>0</v>
      </c>
      <c r="AB84" s="1497" t="n">
        <v>0</v>
      </c>
      <c r="AC84" s="1499" t="n">
        <v>7920000</v>
      </c>
      <c r="AD84" s="232" t="n"/>
      <c r="AE84" s="232" t="n"/>
      <c r="AF84" s="232" t="n"/>
      <c r="AG84" s="1502">
        <f>IF(E84="HĐTV",AE84/28/8*M84,AC84/28/8*M84)</f>
        <v/>
      </c>
      <c r="AH84" s="1499">
        <f>IF(E84="HĐTV",AE84/28/8*N84*1.5,AC84/28/8*N84*1.5)</f>
        <v/>
      </c>
      <c r="AI84" s="232" t="n">
        <v>0</v>
      </c>
      <c r="AJ84" s="232" t="n">
        <v>0</v>
      </c>
      <c r="AK84" s="232" t="n">
        <v>0</v>
      </c>
      <c r="AL84" s="1497" t="n">
        <v>2000000</v>
      </c>
      <c r="AM84" s="1497" t="n">
        <v>0</v>
      </c>
      <c r="AN84" s="1497" t="n">
        <v>650000</v>
      </c>
      <c r="AO84" s="1497" t="n">
        <v>3556950</v>
      </c>
      <c r="AP84" s="1497" t="n">
        <v>5423800</v>
      </c>
      <c r="AQ84" s="1497" t="n">
        <v>23983</v>
      </c>
      <c r="AR84" s="1497" t="n">
        <v>0</v>
      </c>
      <c r="AS84" s="1497" t="n">
        <v>0</v>
      </c>
      <c r="AT84" s="1497" t="n">
        <v>0</v>
      </c>
      <c r="AU84" s="1497" t="n">
        <v>0</v>
      </c>
      <c r="AV84" s="1497" t="n">
        <v>0</v>
      </c>
      <c r="AW84" s="1497" t="n">
        <v>0</v>
      </c>
      <c r="AX84" s="1497" t="n">
        <v>0</v>
      </c>
      <c r="AY84" s="232" t="n">
        <v>0</v>
      </c>
      <c r="AZ84" s="1499" t="n">
        <v>0</v>
      </c>
      <c r="BA84" s="1503" t="n">
        <v>0</v>
      </c>
      <c r="BB84" s="1497" t="n">
        <v>0</v>
      </c>
      <c r="BC84" s="1497" t="n">
        <v>0</v>
      </c>
      <c r="BD84" s="1497" t="n">
        <v>0</v>
      </c>
      <c r="BE84" s="1497" t="n">
        <v>0</v>
      </c>
      <c r="BF84" s="1497" t="n">
        <v>0</v>
      </c>
      <c r="BG84" s="1497" t="n">
        <v>0</v>
      </c>
      <c r="BH84" s="1504">
        <f>SUM(T84:AB84)+SUM(AF84:BA84)-SUM(BB84:BG84)</f>
        <v/>
      </c>
      <c r="BI84" s="1505">
        <f>S84*17.5%</f>
        <v/>
      </c>
      <c r="BJ84" s="1505">
        <f>S84*3%</f>
        <v/>
      </c>
      <c r="BK84" s="1505">
        <f>S84*1%</f>
        <v/>
      </c>
      <c r="BL84" s="1506" t="n"/>
      <c r="BM84" s="1507">
        <f>SUM(BI84:BL84)</f>
        <v/>
      </c>
      <c r="BN84" s="1505">
        <f>S84*8%</f>
        <v/>
      </c>
      <c r="BO84" s="1505">
        <f>S84*1.5%</f>
        <v/>
      </c>
      <c r="BP84" s="1505">
        <f>S84*1%</f>
        <v/>
      </c>
      <c r="BQ84" s="1506" t="n"/>
      <c r="BR84" s="1507">
        <f>SUM(BN84:BQ84)</f>
        <v/>
      </c>
      <c r="BS84" s="1505">
        <f>T84+U84+V84+W84</f>
        <v/>
      </c>
      <c r="BT84" s="1508">
        <f>BH84-BS84-AH84</f>
        <v/>
      </c>
      <c r="BU84" s="1505">
        <f>IF(E84="HĐLĐ",15500000,0)</f>
        <v/>
      </c>
      <c r="BV84" s="1509" t="n">
        <v>0</v>
      </c>
      <c r="BW84" s="1505">
        <f>BV84*6200000</f>
        <v/>
      </c>
      <c r="BX84" s="1505">
        <f>BR84</f>
        <v/>
      </c>
      <c r="BY84" s="1510">
        <f>BU84+BW84+BX84</f>
        <v/>
      </c>
      <c r="BZ84" s="1505">
        <f>IF(BT84-BY84&gt;0,BT84-BY84,0)</f>
        <v/>
      </c>
      <c r="CA84" s="1506">
        <f>IF(AND(OR($E84="HĐTV",$E84="HĐCTV"),$BZ84&lt;2000000),0,IF(OR($E84="HĐTV",$E84="HĐCTV"),$BZ84*10%,ROUND(IF($BZ84&lt;=10000000,$BZ84*5%,IF($BZ84&lt;=30000000,$BZ84*10%-500000,IF($BZ84&lt;=60000000,$BZ84*20%-3500000,IF($BZ84&lt;=100000000,$BZ84*30%-9500000,$BZ84*35%-14500000)))),0)))</f>
        <v/>
      </c>
      <c r="CB84" s="1511">
        <f>ROUND(BH84-BR84-CA84,0)</f>
        <v/>
      </c>
      <c r="CC84" s="1509" t="n"/>
      <c r="CD84" s="1512" t="n">
        <v>0</v>
      </c>
      <c r="CE84" s="1513">
        <f>CB84+CC84-CD84</f>
        <v/>
      </c>
      <c r="CF84" s="1514">
        <f>CE84-CG84</f>
        <v/>
      </c>
      <c r="CG84" s="1514">
        <f>CE84</f>
        <v/>
      </c>
      <c r="CH84" s="1515" t="n"/>
      <c r="CI84" s="1516" t="inlineStr">
        <is>
          <t>anh.dinh@medigoapp.com</t>
        </is>
      </c>
      <c r="CJ84" s="1497" t="n">
        <v>0</v>
      </c>
      <c r="CK84" s="1495" t="n">
        <v>4</v>
      </c>
      <c r="CL84" s="1497" t="n"/>
      <c r="CM84" s="1495" t="n">
        <v>23</v>
      </c>
      <c r="CN84" s="1495" t="n">
        <v>4</v>
      </c>
      <c r="CO84" s="1495" t="n">
        <v>2022</v>
      </c>
      <c r="CP84" s="1517">
        <f>IF((($CO$7-CO84)*12)+($CN$7-CN84)&gt;=12,((($CO$7-CO84)*12)+($CN$7-CN84))-1,0)</f>
        <v/>
      </c>
      <c r="CQ84" s="1518">
        <f>IF(CP84&lt;12,(($CQ$7-CO84)*12)+($CP$7-CN84),0)</f>
        <v/>
      </c>
      <c r="CR84" s="1517">
        <f>IF(OR(CP84&gt;12,CP84=12),((CP84-(CS84*12))+((($CQ$7-2024)*12)+($CP$7-4)))+1,0)</f>
        <v/>
      </c>
      <c r="CS84" s="1519">
        <f>IF(OR(CP84&gt;12,CP84=12),ROUNDDOWN(CP84/12,0),0)</f>
        <v/>
      </c>
      <c r="CT84" s="1519">
        <f>IF(CQ84&gt;11,ROUNDDOWN(CQ84/12,0),0)</f>
        <v/>
      </c>
      <c r="CU84" s="1519">
        <f>IF(CR84&gt;11,ROUNDDOWN(CR84/12,0),0)</f>
        <v/>
      </c>
      <c r="CV84" s="1520">
        <f>IF(CP84=0,0,6000000*1.07^CS84)</f>
        <v/>
      </c>
      <c r="CW84" s="1520">
        <f>IF(CT84&lt;2,0,6000000+(CT84-1)*500000)</f>
        <v/>
      </c>
      <c r="CX84" s="1520">
        <f>IF(CU84=0,CV84,IF(CU84&lt;1,0,CV84+CU84*500000))</f>
        <v/>
      </c>
      <c r="CY84" s="1520">
        <f>IF(CX84&gt;0,CX84,IF(CW84&gt;0,CW84,6000000))</f>
        <v/>
      </c>
      <c r="CZ84" s="1521" t="n"/>
      <c r="DA84" s="1522" t="n"/>
      <c r="DB84" s="1521" t="n"/>
      <c r="DC84" s="1521" t="n"/>
      <c r="DD84" s="1487" t="n"/>
      <c r="DE84" s="1523" t="n"/>
      <c r="DF84" s="1497" t="n"/>
      <c r="DG84" s="212" t="n"/>
    </row>
    <row r="85">
      <c r="A85" s="230" t="n">
        <v>65</v>
      </c>
      <c r="B85" s="1376" t="n">
        <v>8</v>
      </c>
      <c r="C85" s="176" t="inlineStr">
        <is>
          <t>Nguyen Manh Tuan</t>
        </is>
      </c>
      <c r="D85" s="250" t="inlineStr">
        <is>
          <t>Nguyễn Mạnh Tuấn</t>
        </is>
      </c>
      <c r="E85" s="1492">
        <f>IF(OR(G85="CHT",G85="DSBC",G85="DSXC"),"HĐLĐ",IF(OR(G85="DSTV",G85="Q.CHT"),"HĐTV","HĐCTV"))</f>
        <v/>
      </c>
      <c r="F85" s="1493" t="inlineStr">
        <is>
          <t>Hàng Bông</t>
        </is>
      </c>
      <c r="G85" s="1494" t="inlineStr">
        <is>
          <t>DSBC</t>
        </is>
      </c>
      <c r="H85" s="1495" t="inlineStr">
        <is>
          <t>29/09/2025</t>
        </is>
      </c>
      <c r="I85" s="1496" t="inlineStr">
        <is>
          <t xml:space="preserve">00834502302 </t>
        </is>
      </c>
      <c r="J85" s="1496" t="inlineStr">
        <is>
          <t>TP bank</t>
        </is>
      </c>
      <c r="K85" s="1497" t="n">
        <v>28</v>
      </c>
      <c r="L85" s="1497" t="n">
        <v>26</v>
      </c>
      <c r="M85" s="1497" t="n">
        <v>29.45</v>
      </c>
      <c r="N85" s="1497" t="n">
        <v>195.06</v>
      </c>
      <c r="O85" s="1497" t="n">
        <v>0</v>
      </c>
      <c r="P85" s="232" t="n"/>
      <c r="Q85" s="1497" t="n"/>
      <c r="R85" s="1498" t="n"/>
      <c r="S85" s="1499">
        <f>IF(E85="HĐLĐ",5310000,0)</f>
        <v/>
      </c>
      <c r="T85" s="1500" t="n">
        <v>464285.7142857143</v>
      </c>
      <c r="U85" s="1501" t="n"/>
      <c r="V85" s="232" t="n"/>
      <c r="W85" s="232" t="n"/>
      <c r="X85" s="232" t="n"/>
      <c r="Y85" s="232" t="n"/>
      <c r="Z85" s="232" t="n"/>
      <c r="AA85" s="1497" t="n">
        <v>0</v>
      </c>
      <c r="AB85" s="1497" t="n">
        <v>0</v>
      </c>
      <c r="AC85" s="1499" t="n">
        <v>6000000</v>
      </c>
      <c r="AD85" s="232" t="n"/>
      <c r="AE85" s="232" t="n"/>
      <c r="AF85" s="232" t="n"/>
      <c r="AG85" s="1502">
        <f>IF(E85="HĐTV",AE85/28/8*M85,AC85/28/8*M85)</f>
        <v/>
      </c>
      <c r="AH85" s="1499">
        <f>IF(E85="HĐTV",AE85/28/8*N85*1.5,AC85/28/8*N85*1.5)</f>
        <v/>
      </c>
      <c r="AI85" s="232" t="n">
        <v>1285714</v>
      </c>
      <c r="AJ85" s="232" t="n">
        <v>0</v>
      </c>
      <c r="AK85" s="232" t="n">
        <v>0</v>
      </c>
      <c r="AL85" s="1497" t="n">
        <v>0</v>
      </c>
      <c r="AM85" s="1497" t="n">
        <v>0</v>
      </c>
      <c r="AN85" s="1497" t="n">
        <v>100000</v>
      </c>
      <c r="AO85" s="1497" t="n">
        <v>0</v>
      </c>
      <c r="AP85" s="1497" t="n">
        <v>4697300</v>
      </c>
      <c r="AQ85" s="1497" t="n">
        <v>78869</v>
      </c>
      <c r="AR85" s="1497" t="n">
        <v>0</v>
      </c>
      <c r="AS85" s="1497" t="n">
        <v>0</v>
      </c>
      <c r="AT85" s="1497" t="n">
        <v>0</v>
      </c>
      <c r="AU85" s="1497" t="n">
        <v>0</v>
      </c>
      <c r="AV85" s="1497" t="n">
        <v>0</v>
      </c>
      <c r="AW85" s="1497" t="n">
        <v>0</v>
      </c>
      <c r="AX85" s="1497" t="n">
        <v>0</v>
      </c>
      <c r="AY85" s="232" t="n">
        <v>0</v>
      </c>
      <c r="AZ85" s="1499" t="n">
        <v>0</v>
      </c>
      <c r="BA85" s="1503" t="n">
        <v>0</v>
      </c>
      <c r="BB85" s="1497" t="n">
        <v>0</v>
      </c>
      <c r="BC85" s="1497" t="n">
        <v>0</v>
      </c>
      <c r="BD85" s="1497" t="n">
        <v>0</v>
      </c>
      <c r="BE85" s="1497" t="n">
        <v>0</v>
      </c>
      <c r="BF85" s="1497" t="n">
        <v>88900</v>
      </c>
      <c r="BG85" s="1497" t="n">
        <v>0</v>
      </c>
      <c r="BH85" s="1504">
        <f>SUM(T85:AB85)+SUM(AF85:BA85)-SUM(BB85:BG85)</f>
        <v/>
      </c>
      <c r="BI85" s="1505">
        <f>S85*17.5%</f>
        <v/>
      </c>
      <c r="BJ85" s="1505">
        <f>S85*3%</f>
        <v/>
      </c>
      <c r="BK85" s="1505">
        <f>S85*1%</f>
        <v/>
      </c>
      <c r="BL85" s="1506" t="n"/>
      <c r="BM85" s="1507">
        <f>SUM(BI85:BL85)</f>
        <v/>
      </c>
      <c r="BN85" s="1505">
        <f>S85*8%</f>
        <v/>
      </c>
      <c r="BO85" s="1505">
        <f>S85*1.5%</f>
        <v/>
      </c>
      <c r="BP85" s="1505">
        <f>S85*1%</f>
        <v/>
      </c>
      <c r="BQ85" s="1506" t="n"/>
      <c r="BR85" s="1507">
        <f>SUM(BN85:BQ85)</f>
        <v/>
      </c>
      <c r="BS85" s="1505">
        <f>T85+U85+V85+W85</f>
        <v/>
      </c>
      <c r="BT85" s="1508">
        <f>BH85-BS85-AH85</f>
        <v/>
      </c>
      <c r="BU85" s="1505">
        <f>IF(E85="HĐLĐ",15500000,0)</f>
        <v/>
      </c>
      <c r="BV85" s="1509" t="n">
        <v>0</v>
      </c>
      <c r="BW85" s="1505">
        <f>BV85*6200000</f>
        <v/>
      </c>
      <c r="BX85" s="1505">
        <f>BR85</f>
        <v/>
      </c>
      <c r="BY85" s="1510">
        <f>BU85+BW85+BX85</f>
        <v/>
      </c>
      <c r="BZ85" s="1505">
        <f>IF(BT85-BY85&gt;0,BT85-BY85,0)</f>
        <v/>
      </c>
      <c r="CA85" s="1506">
        <f>IF(AND(OR($E85="HĐTV",$E85="HĐCTV"),$BZ85&lt;2000000),0,IF(OR($E85="HĐTV",$E85="HĐCTV"),$BZ85*10%,ROUND(IF($BZ85&lt;=10000000,$BZ85*5%,IF($BZ85&lt;=30000000,$BZ85*10%-500000,IF($BZ85&lt;=60000000,$BZ85*20%-3500000,IF($BZ85&lt;=100000000,$BZ85*30%-9500000,$BZ85*35%-14500000)))),0)))</f>
        <v/>
      </c>
      <c r="CB85" s="1511">
        <f>ROUND(BH85-BR85-CA85,0)</f>
        <v/>
      </c>
      <c r="CC85" s="1509" t="n"/>
      <c r="CD85" s="1512" t="n">
        <v>0</v>
      </c>
      <c r="CE85" s="1513">
        <f>CB85+CC85-CD85</f>
        <v/>
      </c>
      <c r="CF85" s="1514">
        <f>CE85-CG85</f>
        <v/>
      </c>
      <c r="CG85" s="1514">
        <f>CE85</f>
        <v/>
      </c>
      <c r="CH85" s="1515" t="n"/>
      <c r="CI85" s="1516">
        <f>VLOOKUP($C89,[5]Sheet1!$C$5:$K$139,9,0)</f>
        <v/>
      </c>
      <c r="CJ85" s="1497" t="n">
        <v>0</v>
      </c>
      <c r="CK85" s="1495" t="n">
        <v>12</v>
      </c>
      <c r="CL85" s="1497" t="n"/>
      <c r="CM85" s="1495" t="n">
        <v>29</v>
      </c>
      <c r="CN85" s="1495" t="n">
        <v>9</v>
      </c>
      <c r="CO85" s="1495" t="n">
        <v>2025</v>
      </c>
      <c r="CP85" s="1517">
        <f>IF((($CO$7-CO85)*12)+($CN$7-CN85)&gt;=12,((($CO$7-CO85)*12)+($CN$7-CN85))-1,0)</f>
        <v/>
      </c>
      <c r="CQ85" s="1518">
        <f>IF(CP85&lt;12,(($CQ$7-CO85)*12)+($CP$7-CN85),0)</f>
        <v/>
      </c>
      <c r="CR85" s="1517">
        <f>IF(OR(CP85&gt;12,CP85=12),((CP85-(CS85*12))+((($CQ$7-2024)*12)+($CP$7-4)))+1,0)</f>
        <v/>
      </c>
      <c r="CS85" s="1519">
        <f>IF(OR(CP85&gt;12,CP85=12),ROUNDDOWN(CP85/12,0),0)</f>
        <v/>
      </c>
      <c r="CT85" s="1519">
        <f>IF(CQ85&gt;11,ROUNDDOWN(CQ85/12,0),0)</f>
        <v/>
      </c>
      <c r="CU85" s="1519">
        <f>IF(CR85&gt;11,ROUNDDOWN(CR85/12,0),0)</f>
        <v/>
      </c>
      <c r="CV85" s="1520">
        <f>IF(CP85=0,0,6000000*1.07^CS85)</f>
        <v/>
      </c>
      <c r="CW85" s="1520">
        <f>IF(CT85&lt;2,0,6000000+(CT85-1)*500000)</f>
        <v/>
      </c>
      <c r="CX85" s="1520">
        <f>IF(CU85=0,CV85,IF(CU85&lt;1,0,CV85+CU85*500000))</f>
        <v/>
      </c>
      <c r="CY85" s="1520">
        <f>IF(CX85&gt;0,CX85,IF(CW85&gt;0,CW85,6000000))</f>
        <v/>
      </c>
      <c r="CZ85" s="1521" t="n"/>
      <c r="DA85" s="1522" t="n"/>
      <c r="DB85" s="1521" t="n"/>
      <c r="DC85" s="1521" t="n"/>
      <c r="DD85" s="1487" t="n"/>
      <c r="DE85" s="1523" t="n"/>
      <c r="DF85" s="1497" t="n"/>
      <c r="DG85" s="212" t="n"/>
    </row>
    <row r="86">
      <c r="A86" s="230" t="n">
        <v>66</v>
      </c>
      <c r="B86" s="1376" t="n">
        <v>8</v>
      </c>
      <c r="C86" s="176" t="inlineStr">
        <is>
          <t>Vu Thanh Hang</t>
        </is>
      </c>
      <c r="D86" s="250" t="inlineStr">
        <is>
          <t>Vũ Thanh Hằng</t>
        </is>
      </c>
      <c r="E86" s="1492">
        <f>IF(OR(G86="CHT",G86="DSBC",G86="DSXC"),"HĐLĐ",IF(OR(G86="DSTV",G86="Q.CHT"),"HĐTV","HĐCTV"))</f>
        <v/>
      </c>
      <c r="F86" s="1493" t="inlineStr">
        <is>
          <t>Hàng Bông</t>
        </is>
      </c>
      <c r="G86" s="1494" t="inlineStr">
        <is>
          <t>DSBC</t>
        </is>
      </c>
      <c r="H86" s="1495" t="inlineStr">
        <is>
          <t>22/9/2025</t>
        </is>
      </c>
      <c r="I86" s="1496" t="inlineStr">
        <is>
          <t>9993886688</t>
        </is>
      </c>
      <c r="J86" s="1496" t="inlineStr">
        <is>
          <t>Techcombank</t>
        </is>
      </c>
      <c r="K86" s="1497" t="n">
        <v>28</v>
      </c>
      <c r="L86" s="1497" t="n">
        <v>28</v>
      </c>
      <c r="M86" s="1497" t="n">
        <v>207.67</v>
      </c>
      <c r="N86" s="1497" t="n">
        <v>29.92</v>
      </c>
      <c r="O86" s="1497" t="n">
        <v>0</v>
      </c>
      <c r="P86" s="232" t="n"/>
      <c r="Q86" s="1497" t="n"/>
      <c r="R86" s="1498" t="n"/>
      <c r="S86" s="1499">
        <f>IF(E86="HĐLĐ",5310000,0)</f>
        <v/>
      </c>
      <c r="T86" s="1500" t="n">
        <v>500000.0000000001</v>
      </c>
      <c r="U86" s="1501" t="n"/>
      <c r="V86" s="232" t="n"/>
      <c r="W86" s="232" t="n"/>
      <c r="X86" s="232" t="n"/>
      <c r="Y86" s="232" t="n"/>
      <c r="Z86" s="232" t="n"/>
      <c r="AA86" s="1497" t="n">
        <v>0</v>
      </c>
      <c r="AB86" s="1497" t="n">
        <v>0</v>
      </c>
      <c r="AC86" s="1499" t="n">
        <v>6000000</v>
      </c>
      <c r="AD86" s="232" t="n"/>
      <c r="AE86" s="232" t="n"/>
      <c r="AF86" s="232" t="n"/>
      <c r="AG86" s="1502">
        <f>IF(E86="HĐTV",AE86/28/8*M86,AC86/28/8*M86)</f>
        <v/>
      </c>
      <c r="AH86" s="1499">
        <f>IF(E86="HĐTV",AE86/28/8*N86*1.5,AC86/28/8*N86*1.5)</f>
        <v/>
      </c>
      <c r="AI86" s="232" t="n">
        <v>0</v>
      </c>
      <c r="AJ86" s="232" t="n">
        <v>0</v>
      </c>
      <c r="AK86" s="232" t="n">
        <v>0</v>
      </c>
      <c r="AL86" s="1497" t="n">
        <v>0</v>
      </c>
      <c r="AM86" s="1497" t="n">
        <v>0</v>
      </c>
      <c r="AN86" s="1497" t="n">
        <v>2150000</v>
      </c>
      <c r="AO86" s="1497" t="n">
        <v>4119839</v>
      </c>
      <c r="AP86" s="1497" t="n">
        <v>6838500</v>
      </c>
      <c r="AQ86" s="1497" t="n">
        <v>27571</v>
      </c>
      <c r="AR86" s="1497" t="n">
        <v>0</v>
      </c>
      <c r="AS86" s="1497" t="n">
        <v>0</v>
      </c>
      <c r="AT86" s="1497" t="n">
        <v>0</v>
      </c>
      <c r="AU86" s="1497" t="n">
        <v>0</v>
      </c>
      <c r="AV86" s="1497" t="n">
        <v>0</v>
      </c>
      <c r="AW86" s="1497" t="n">
        <v>0</v>
      </c>
      <c r="AX86" s="1497" t="n">
        <v>0</v>
      </c>
      <c r="AY86" s="232" t="n">
        <v>0</v>
      </c>
      <c r="AZ86" s="1499" t="n">
        <v>0</v>
      </c>
      <c r="BA86" s="1503" t="n">
        <v>0</v>
      </c>
      <c r="BB86" s="1497" t="n">
        <v>0</v>
      </c>
      <c r="BC86" s="1497" t="n">
        <v>0</v>
      </c>
      <c r="BD86" s="1497" t="n">
        <v>0</v>
      </c>
      <c r="BE86" s="1497" t="n">
        <v>0</v>
      </c>
      <c r="BF86" s="1497" t="n">
        <v>101200</v>
      </c>
      <c r="BG86" s="1497" t="n">
        <v>0</v>
      </c>
      <c r="BH86" s="1504">
        <f>SUM(T86:AB86)+SUM(AF86:BA86)-SUM(BB86:BG86)</f>
        <v/>
      </c>
      <c r="BI86" s="1505">
        <f>S86*17.5%</f>
        <v/>
      </c>
      <c r="BJ86" s="1505">
        <f>S86*3%</f>
        <v/>
      </c>
      <c r="BK86" s="1505">
        <f>S86*1%</f>
        <v/>
      </c>
      <c r="BL86" s="1506" t="n"/>
      <c r="BM86" s="1507">
        <f>SUM(BI86:BL86)</f>
        <v/>
      </c>
      <c r="BN86" s="1505">
        <f>S86*8%</f>
        <v/>
      </c>
      <c r="BO86" s="1505">
        <f>S86*1.5%</f>
        <v/>
      </c>
      <c r="BP86" s="1505">
        <f>S86*1%</f>
        <v/>
      </c>
      <c r="BQ86" s="1506" t="n"/>
      <c r="BR86" s="1507">
        <f>SUM(BN86:BQ86)</f>
        <v/>
      </c>
      <c r="BS86" s="1505">
        <f>T86+U86+V86+W86</f>
        <v/>
      </c>
      <c r="BT86" s="1508">
        <f>BH86-BS86-AH86</f>
        <v/>
      </c>
      <c r="BU86" s="1505">
        <f>IF(E86="HĐLĐ",15500000,0)</f>
        <v/>
      </c>
      <c r="BV86" s="1509" t="n">
        <v>0</v>
      </c>
      <c r="BW86" s="1505">
        <f>BV86*6200000</f>
        <v/>
      </c>
      <c r="BX86" s="1505">
        <f>BR86</f>
        <v/>
      </c>
      <c r="BY86" s="1510">
        <f>BU86+BW86+BX86</f>
        <v/>
      </c>
      <c r="BZ86" s="1505">
        <f>IF(BT86-BY86&gt;0,BT86-BY86,0)</f>
        <v/>
      </c>
      <c r="CA86" s="1506">
        <f>IF(AND(OR($E86="HĐTV",$E86="HĐCTV"),$BZ86&lt;2000000),0,IF(OR($E86="HĐTV",$E86="HĐCTV"),$BZ86*10%,ROUND(IF($BZ86&lt;=10000000,$BZ86*5%,IF($BZ86&lt;=30000000,$BZ86*10%-500000,IF($BZ86&lt;=60000000,$BZ86*20%-3500000,IF($BZ86&lt;=100000000,$BZ86*30%-9500000,$BZ86*35%-14500000)))),0)))</f>
        <v/>
      </c>
      <c r="CB86" s="1511">
        <f>ROUND(BH86-BR86-CA86,0)</f>
        <v/>
      </c>
      <c r="CC86" s="1509" t="n"/>
      <c r="CD86" s="1512" t="n">
        <v>0</v>
      </c>
      <c r="CE86" s="1513">
        <f>CB86+CC86-CD86</f>
        <v/>
      </c>
      <c r="CF86" s="1514">
        <f>CE86-CG86</f>
        <v/>
      </c>
      <c r="CG86" s="1514">
        <f>CE86</f>
        <v/>
      </c>
      <c r="CH86" s="1515" t="n"/>
      <c r="CI86" s="1516">
        <f>VLOOKUP($C90,[5]Sheet1!$C$5:$K$139,9,0)</f>
        <v/>
      </c>
      <c r="CJ86" s="1497" t="n">
        <v>0</v>
      </c>
      <c r="CK86" s="1495" t="n">
        <v>9</v>
      </c>
      <c r="CL86" s="1497" t="n"/>
      <c r="CM86" s="1495" t="n">
        <v>22</v>
      </c>
      <c r="CN86" s="1495" t="n">
        <v>9</v>
      </c>
      <c r="CO86" s="1495" t="n">
        <v>2025</v>
      </c>
      <c r="CP86" s="1517">
        <f>IF((($CO$7-CO86)*12)+($CN$7-CN86)&gt;=12,((($CO$7-CO86)*12)+($CN$7-CN86))-1,0)</f>
        <v/>
      </c>
      <c r="CQ86" s="1518">
        <f>IF(CP86&lt;12,(($CQ$7-CO86)*12)+($CP$7-CN86),0)</f>
        <v/>
      </c>
      <c r="CR86" s="1517">
        <f>IF(OR(CP86&gt;12,CP86=12),((CP86-(CS86*12))+((($CQ$7-2024)*12)+($CP$7-4)))+1,0)</f>
        <v/>
      </c>
      <c r="CS86" s="1519">
        <f>IF(OR(CP86&gt;12,CP86=12),ROUNDDOWN(CP86/12,0),0)</f>
        <v/>
      </c>
      <c r="CT86" s="1519">
        <f>IF(CQ86&gt;11,ROUNDDOWN(CQ86/12,0),0)</f>
        <v/>
      </c>
      <c r="CU86" s="1519">
        <f>IF(CR86&gt;11,ROUNDDOWN(CR86/12,0),0)</f>
        <v/>
      </c>
      <c r="CV86" s="1520">
        <f>IF(CP86=0,0,6000000*1.07^CS86)</f>
        <v/>
      </c>
      <c r="CW86" s="1520">
        <f>IF(CT86&lt;2,0,6000000+(CT86-1)*500000)</f>
        <v/>
      </c>
      <c r="CX86" s="1520">
        <f>IF(CU86=0,CV86,IF(CU86&lt;1,0,CV86+CU86*500000))</f>
        <v/>
      </c>
      <c r="CY86" s="1520">
        <f>IF(CX86&gt;0,CX86,IF(CW86&gt;0,CW86,6000000))</f>
        <v/>
      </c>
      <c r="CZ86" s="1521" t="n"/>
      <c r="DA86" s="1522" t="n"/>
      <c r="DB86" s="1521" t="n"/>
      <c r="DC86" s="1521" t="n"/>
      <c r="DD86" s="1487" t="n"/>
      <c r="DE86" s="1523" t="n"/>
      <c r="DF86" s="1497" t="n"/>
      <c r="DG86" s="212" t="n"/>
    </row>
    <row r="87">
      <c r="A87" s="230" t="n">
        <v>67</v>
      </c>
      <c r="B87" s="1376" t="n">
        <v>8</v>
      </c>
      <c r="C87" s="176" t="inlineStr">
        <is>
          <t>Dinh Thi Khanh Ly</t>
        </is>
      </c>
      <c r="D87" s="250" t="inlineStr">
        <is>
          <t>Đinh Thị Khánh Ly</t>
        </is>
      </c>
      <c r="E87" s="1492">
        <f>IF(OR(G87="CHT",G87="DSBC",G87="DSXC"),"HĐLĐ",IF(OR(G87="DSTV",G87="Q.CHT"),"HĐTV","HĐCTV"))</f>
        <v/>
      </c>
      <c r="F87" s="1493" t="inlineStr">
        <is>
          <t>Hàng Bông</t>
        </is>
      </c>
      <c r="G87" s="1494" t="inlineStr">
        <is>
          <t>DSBC</t>
        </is>
      </c>
      <c r="H87" s="1495" t="inlineStr">
        <is>
          <t>03/11/2025</t>
        </is>
      </c>
      <c r="I87" s="1496" t="inlineStr">
        <is>
          <t>0021000423384</t>
        </is>
      </c>
      <c r="J87" s="1496" t="inlineStr">
        <is>
          <t>Vietcombank</t>
        </is>
      </c>
      <c r="K87" s="1497" t="n">
        <v>28</v>
      </c>
      <c r="L87" s="1497" t="n">
        <v>27</v>
      </c>
      <c r="M87" s="1497" t="n">
        <v>172.93</v>
      </c>
      <c r="N87" s="1497" t="n">
        <v>72.39</v>
      </c>
      <c r="O87" s="1497" t="n">
        <v>0</v>
      </c>
      <c r="P87" s="232" t="n"/>
      <c r="Q87" s="1497" t="n"/>
      <c r="R87" s="1498" t="n"/>
      <c r="S87" s="1499">
        <f>IF(E87="HĐLĐ",5310000,0)</f>
        <v/>
      </c>
      <c r="T87" s="1500" t="n">
        <v>482142.8571428572</v>
      </c>
      <c r="U87" s="1501" t="n"/>
      <c r="V87" s="232" t="n"/>
      <c r="W87" s="232" t="n"/>
      <c r="X87" s="232" t="n"/>
      <c r="Y87" s="232" t="n"/>
      <c r="Z87" s="232" t="n"/>
      <c r="AA87" s="1497" t="n">
        <v>0</v>
      </c>
      <c r="AB87" s="1497" t="n">
        <v>0</v>
      </c>
      <c r="AC87" s="1499" t="n">
        <v>6000000</v>
      </c>
      <c r="AD87" s="232" t="n"/>
      <c r="AE87" s="232" t="n"/>
      <c r="AF87" s="232" t="n"/>
      <c r="AG87" s="1502">
        <f>IF(E87="HĐTV",AE87/28/8*M87,AC87/28/8*M87)</f>
        <v/>
      </c>
      <c r="AH87" s="1499">
        <f>IF(E87="HĐTV",AE87/28/8*N87*1.5,AC87/28/8*N87*1.5)</f>
        <v/>
      </c>
      <c r="AI87" s="232" t="n">
        <v>0</v>
      </c>
      <c r="AJ87" s="232" t="n">
        <v>0</v>
      </c>
      <c r="AK87" s="232" t="n">
        <v>0</v>
      </c>
      <c r="AL87" s="1497" t="n">
        <v>0</v>
      </c>
      <c r="AM87" s="1497" t="n">
        <v>0</v>
      </c>
      <c r="AN87" s="1497" t="n">
        <v>950000</v>
      </c>
      <c r="AO87" s="1497" t="n">
        <v>3917023</v>
      </c>
      <c r="AP87" s="1497" t="n">
        <v>7370500</v>
      </c>
      <c r="AQ87" s="1497" t="n">
        <v>104556</v>
      </c>
      <c r="AR87" s="1497" t="n">
        <v>120</v>
      </c>
      <c r="AS87" s="1497" t="n">
        <v>0</v>
      </c>
      <c r="AT87" s="1497" t="n">
        <v>0</v>
      </c>
      <c r="AU87" s="1497" t="n">
        <v>0</v>
      </c>
      <c r="AV87" s="1497" t="n">
        <v>292335</v>
      </c>
      <c r="AW87" s="1497" t="n">
        <v>0</v>
      </c>
      <c r="AX87" s="1497" t="n">
        <v>0</v>
      </c>
      <c r="AY87" s="232" t="n">
        <v>0</v>
      </c>
      <c r="AZ87" s="1499" t="n">
        <v>0</v>
      </c>
      <c r="BA87" s="1503" t="n">
        <v>0</v>
      </c>
      <c r="BB87" s="1497" t="n">
        <v>0</v>
      </c>
      <c r="BC87" s="1497" t="n">
        <v>0</v>
      </c>
      <c r="BD87" s="1497" t="n">
        <v>0</v>
      </c>
      <c r="BE87" s="1497" t="n">
        <v>0</v>
      </c>
      <c r="BF87" s="1497" t="n">
        <v>358000</v>
      </c>
      <c r="BG87" s="1497" t="n">
        <v>0</v>
      </c>
      <c r="BH87" s="1504">
        <f>SUM(T87:AB87)+SUM(AF87:BA87)-SUM(BB87:BG87)</f>
        <v/>
      </c>
      <c r="BI87" s="1505">
        <f>S87*17.5%</f>
        <v/>
      </c>
      <c r="BJ87" s="1505">
        <f>S87*3%</f>
        <v/>
      </c>
      <c r="BK87" s="1505">
        <f>S87*1%</f>
        <v/>
      </c>
      <c r="BL87" s="1506" t="n"/>
      <c r="BM87" s="1507">
        <f>SUM(BI87:BL87)</f>
        <v/>
      </c>
      <c r="BN87" s="1505">
        <f>S87*8%</f>
        <v/>
      </c>
      <c r="BO87" s="1505">
        <f>S87*1.5%</f>
        <v/>
      </c>
      <c r="BP87" s="1505">
        <f>S87*1%</f>
        <v/>
      </c>
      <c r="BQ87" s="1506" t="n"/>
      <c r="BR87" s="1507">
        <f>SUM(BN87:BQ87)</f>
        <v/>
      </c>
      <c r="BS87" s="1505">
        <f>T87+U87+V87+W87</f>
        <v/>
      </c>
      <c r="BT87" s="1508">
        <f>BH87-BS87-AH87</f>
        <v/>
      </c>
      <c r="BU87" s="1505">
        <f>IF(E87="HĐLĐ",15500000,0)</f>
        <v/>
      </c>
      <c r="BV87" s="1509" t="n">
        <v>0</v>
      </c>
      <c r="BW87" s="1505">
        <f>BV87*6200000</f>
        <v/>
      </c>
      <c r="BX87" s="1505">
        <f>BR87</f>
        <v/>
      </c>
      <c r="BY87" s="1510">
        <f>BU87+BW87+BX87</f>
        <v/>
      </c>
      <c r="BZ87" s="1505">
        <f>IF(BT87-BY87&gt;0,BT87-BY87,0)</f>
        <v/>
      </c>
      <c r="CA87" s="1506">
        <f>IF(AND(OR($E87="HĐTV",$E87="HĐCTV"),$BZ87&lt;2000000),0,IF(OR($E87="HĐTV",$E87="HĐCTV"),$BZ87*10%,ROUND(IF($BZ87&lt;=10000000,$BZ87*5%,IF($BZ87&lt;=30000000,$BZ87*10%-500000,IF($BZ87&lt;=60000000,$BZ87*20%-3500000,IF($BZ87&lt;=100000000,$BZ87*30%-9500000,$BZ87*35%-14500000)))),0)))</f>
        <v/>
      </c>
      <c r="CB87" s="1511">
        <f>ROUND(BH87-BR87-CA87,0)</f>
        <v/>
      </c>
      <c r="CC87" s="1509" t="n"/>
      <c r="CD87" s="1512" t="n">
        <v>0</v>
      </c>
      <c r="CE87" s="1513">
        <f>CB87+CC87-CD87</f>
        <v/>
      </c>
      <c r="CF87" s="1514">
        <f>CE87-CG87</f>
        <v/>
      </c>
      <c r="CG87" s="1514">
        <f>CE87</f>
        <v/>
      </c>
      <c r="CH87" s="1515" t="n"/>
      <c r="CI87" s="1516">
        <f>VLOOKUP($C91,[5]Sheet1!$C$5:$K$139,9,0)</f>
        <v/>
      </c>
      <c r="CJ87" s="1497" t="n">
        <v>0</v>
      </c>
      <c r="CK87" s="1495" t="n">
        <v>12</v>
      </c>
      <c r="CL87" s="1497" t="n"/>
      <c r="CM87" s="1495" t="n">
        <v>3</v>
      </c>
      <c r="CN87" s="1495" t="n">
        <v>11</v>
      </c>
      <c r="CO87" s="1495" t="n">
        <v>2025</v>
      </c>
      <c r="CP87" s="1517">
        <f>IF((($CO$7-CO87)*12)+($CN$7-CN87)&gt;=12,((($CO$7-CO87)*12)+($CN$7-CN87))-1,0)</f>
        <v/>
      </c>
      <c r="CQ87" s="1518">
        <f>IF(CP87&lt;12,(($CQ$7-CO87)*12)+($CP$7-CN87),0)</f>
        <v/>
      </c>
      <c r="CR87" s="1517">
        <f>IF(OR(CP87&gt;12,CP87=12),((CP87-(CS87*12))+((($CQ$7-2024)*12)+($CP$7-4)))+1,0)</f>
        <v/>
      </c>
      <c r="CS87" s="1519">
        <f>IF(OR(CP87&gt;12,CP87=12),ROUNDDOWN(CP87/12,0),0)</f>
        <v/>
      </c>
      <c r="CT87" s="1519">
        <f>IF(CQ87&gt;11,ROUNDDOWN(CQ87/12,0),0)</f>
        <v/>
      </c>
      <c r="CU87" s="1519">
        <f>IF(CR87&gt;11,ROUNDDOWN(CR87/12,0),0)</f>
        <v/>
      </c>
      <c r="CV87" s="1520">
        <f>IF(CP87=0,0,6000000*1.07^CS87)</f>
        <v/>
      </c>
      <c r="CW87" s="1520">
        <f>IF(CT87&lt;2,0,6000000+(CT87-1)*500000)</f>
        <v/>
      </c>
      <c r="CX87" s="1520">
        <f>IF(CU87=0,CV87,IF(CU87&lt;1,0,CV87+CU87*500000))</f>
        <v/>
      </c>
      <c r="CY87" s="1520">
        <f>IF(CX87&gt;0,CX87,IF(CW87&gt;0,CW87,6000000))</f>
        <v/>
      </c>
      <c r="CZ87" s="1521" t="n"/>
      <c r="DA87" s="1522" t="n"/>
      <c r="DB87" s="1521" t="n"/>
      <c r="DC87" s="1521" t="n"/>
      <c r="DD87" s="1487" t="n"/>
      <c r="DE87" s="1523" t="n"/>
      <c r="DF87" s="1497" t="n"/>
      <c r="DG87" s="212" t="n"/>
    </row>
    <row r="88">
      <c r="A88" s="230" t="n">
        <v>68</v>
      </c>
      <c r="B88" s="1376" t="n">
        <v>8</v>
      </c>
      <c r="C88" s="176" t="n"/>
      <c r="D88" s="250" t="inlineStr">
        <is>
          <t>Đỗ Thu Huệ</t>
        </is>
      </c>
      <c r="E88" s="1492">
        <f>IF(OR(G88="CHT",G88="DSBC",G88="DSXC"),"HĐLĐ",IF(OR(G88="DSTV",G88="Q.CHT"),"HĐTV","HĐCTV"))</f>
        <v/>
      </c>
      <c r="F88" s="1493" t="inlineStr">
        <is>
          <t>Hàng Bông</t>
        </is>
      </c>
      <c r="G88" s="1494" t="inlineStr">
        <is>
          <t>DSTV</t>
        </is>
      </c>
      <c r="H88" s="1495" t="n">
        <v>46250</v>
      </c>
      <c r="I88" s="1496" t="inlineStr">
        <is>
          <t>19038804011011</t>
        </is>
      </c>
      <c r="J88" s="1496" t="inlineStr">
        <is>
          <t>Techcombank</t>
        </is>
      </c>
      <c r="K88" s="1497" t="n">
        <v>28</v>
      </c>
      <c r="L88" s="1497" t="n">
        <v>14</v>
      </c>
      <c r="M88" s="1497" t="n">
        <v>124.53</v>
      </c>
      <c r="N88" s="1497" t="n">
        <v>0</v>
      </c>
      <c r="O88" s="1497" t="n">
        <v>0</v>
      </c>
      <c r="P88" s="232" t="n"/>
      <c r="Q88" s="1497" t="n"/>
      <c r="R88" s="1498" t="n"/>
      <c r="S88" s="1499">
        <f>IF(E88="HĐLĐ",5310000,0)</f>
        <v/>
      </c>
      <c r="T88" s="1500" t="n">
        <v>250000</v>
      </c>
      <c r="U88" s="1501" t="n"/>
      <c r="V88" s="232" t="n"/>
      <c r="W88" s="232" t="n"/>
      <c r="X88" s="232" t="n"/>
      <c r="Y88" s="232" t="n"/>
      <c r="Z88" s="232" t="n"/>
      <c r="AA88" s="1497" t="n">
        <v>0</v>
      </c>
      <c r="AB88" s="1497" t="n">
        <v>0</v>
      </c>
      <c r="AC88" s="1499" t="n">
        <v>6000000</v>
      </c>
      <c r="AD88" s="232">
        <f>AC88</f>
        <v/>
      </c>
      <c r="AE88" s="232" t="n">
        <v>6000000</v>
      </c>
      <c r="AF88" s="232">
        <f>IF(E88="HĐTV",AE88/K88*L88,AD88/K88*L88)</f>
        <v/>
      </c>
      <c r="AG88" s="1502">
        <f>IF(E88="HĐTV",AE88/28/8*M88,AC88/28/8*M88)</f>
        <v/>
      </c>
      <c r="AH88" s="1499">
        <f>IF(E88="HĐTV",AE88/28/8*N88*1.5,AC88/28/8*N88*1.5)</f>
        <v/>
      </c>
      <c r="AI88" s="232" t="n">
        <v>0</v>
      </c>
      <c r="AJ88" s="232" t="n">
        <v>0</v>
      </c>
      <c r="AK88" s="232" t="n">
        <v>0</v>
      </c>
      <c r="AL88" s="1497" t="n">
        <v>0</v>
      </c>
      <c r="AM88" s="1497" t="n">
        <v>0</v>
      </c>
      <c r="AN88" s="1497" t="n">
        <v>0</v>
      </c>
      <c r="AO88" s="1497" t="n">
        <v>0</v>
      </c>
      <c r="AP88" s="1497" t="n">
        <v>0</v>
      </c>
      <c r="AQ88" s="1497" t="n">
        <v>0</v>
      </c>
      <c r="AR88" s="1497" t="n">
        <v>0</v>
      </c>
      <c r="AS88" s="1497" t="n">
        <v>0</v>
      </c>
      <c r="AT88" s="1497" t="n">
        <v>0</v>
      </c>
      <c r="AU88" s="1497" t="n">
        <v>0</v>
      </c>
      <c r="AV88" s="1497" t="n">
        <v>0</v>
      </c>
      <c r="AW88" s="1497" t="n">
        <v>0</v>
      </c>
      <c r="AX88" s="1497" t="n">
        <v>0</v>
      </c>
      <c r="AY88" s="232" t="n">
        <v>0</v>
      </c>
      <c r="AZ88" s="1499" t="n">
        <v>0</v>
      </c>
      <c r="BA88" s="1503" t="n">
        <v>0</v>
      </c>
      <c r="BB88" s="1497" t="n">
        <v>0</v>
      </c>
      <c r="BC88" s="1497" t="n">
        <v>0</v>
      </c>
      <c r="BD88" s="1497" t="n">
        <v>0</v>
      </c>
      <c r="BE88" s="1497" t="n">
        <v>0</v>
      </c>
      <c r="BF88" s="1497" t="n">
        <v>0</v>
      </c>
      <c r="BG88" s="1497" t="n">
        <v>0</v>
      </c>
      <c r="BH88" s="1504">
        <f>SUM(T88:AB88)+SUM(AF88:BA88)-SUM(BB88:BG88)</f>
        <v/>
      </c>
      <c r="BI88" s="1505">
        <f>S88*17.5%</f>
        <v/>
      </c>
      <c r="BJ88" s="1505">
        <f>S88*3%</f>
        <v/>
      </c>
      <c r="BK88" s="1505">
        <f>S88*1%</f>
        <v/>
      </c>
      <c r="BL88" s="1506" t="n"/>
      <c r="BM88" s="1507">
        <f>SUM(BI88:BL88)</f>
        <v/>
      </c>
      <c r="BN88" s="1505">
        <f>S88*8%</f>
        <v/>
      </c>
      <c r="BO88" s="1505">
        <f>S88*1.5%</f>
        <v/>
      </c>
      <c r="BP88" s="1505">
        <f>S88*1%</f>
        <v/>
      </c>
      <c r="BQ88" s="1506" t="n"/>
      <c r="BR88" s="1507">
        <f>SUM(BN88:BQ88)</f>
        <v/>
      </c>
      <c r="BS88" s="1505">
        <f>T88+U88+V88+W88</f>
        <v/>
      </c>
      <c r="BT88" s="1508">
        <f>BH88-BS88-AH88</f>
        <v/>
      </c>
      <c r="BU88" s="1505">
        <f>IF(E88="HĐLĐ",15500000,0)</f>
        <v/>
      </c>
      <c r="BV88" s="1509" t="n">
        <v>0</v>
      </c>
      <c r="BW88" s="1505">
        <f>BV88*6200000</f>
        <v/>
      </c>
      <c r="BX88" s="1505">
        <f>BR88</f>
        <v/>
      </c>
      <c r="BY88" s="1510">
        <f>BU88+BW88+BX88</f>
        <v/>
      </c>
      <c r="BZ88" s="1505">
        <f>IF(BT88-BY88&gt;0,BT88-BY88,0)</f>
        <v/>
      </c>
      <c r="CA88" s="1506">
        <f>IF(AND(OR($E88="HĐTV",$E88="HĐCTV"),$BZ88&lt;2000000),0,IF(OR($E88="HĐTV",$E88="HĐCTV"),$BZ88*10%,ROUND(IF($BZ88&lt;=10000000,$BZ88*5%,IF($BZ88&lt;=30000000,$BZ88*10%-500000,IF($BZ88&lt;=60000000,$BZ88*20%-3500000,IF($BZ88&lt;=100000000,$BZ88*30%-9500000,$BZ88*35%-14500000)))),0)))</f>
        <v/>
      </c>
      <c r="CB88" s="1511">
        <f>ROUND(BH88-BR88-CA88,0)</f>
        <v/>
      </c>
      <c r="CC88" s="1509" t="n"/>
      <c r="CD88" s="1512" t="n">
        <v>0</v>
      </c>
      <c r="CE88" s="1513">
        <f>CB88+CC88-CD88</f>
        <v/>
      </c>
      <c r="CF88" s="1514">
        <f>CE88-CG88</f>
        <v/>
      </c>
      <c r="CG88" s="1514">
        <f>CE88</f>
        <v/>
      </c>
      <c r="CH88" s="1515" t="n"/>
      <c r="CI88" s="1516" t="inlineStr">
        <is>
          <t>mailto:ha.le@medigoapp.com</t>
        </is>
      </c>
      <c r="CJ88" s="1497" t="n"/>
      <c r="CK88" s="1495" t="n">
        <v>11</v>
      </c>
      <c r="CL88" s="1497" t="n"/>
      <c r="CM88" s="1495" t="n"/>
      <c r="CN88" s="1495" t="n"/>
      <c r="CO88" s="1495" t="n"/>
      <c r="CP88" s="1517" t="n"/>
      <c r="CQ88" s="1518" t="n"/>
      <c r="CR88" s="1517" t="n"/>
      <c r="CS88" s="1519" t="n"/>
      <c r="CT88" s="1519" t="n"/>
      <c r="CU88" s="1519" t="n"/>
      <c r="CV88" s="1520" t="n"/>
      <c r="CW88" s="1520" t="n"/>
      <c r="CX88" s="1520" t="n"/>
      <c r="CY88" s="1520">
        <f>IF(CX88&gt;0,CX88,IF(CW88&gt;0,CW88,6000000))</f>
        <v/>
      </c>
      <c r="CZ88" s="1521" t="n"/>
      <c r="DA88" s="1522" t="n"/>
      <c r="DB88" s="1521" t="n"/>
      <c r="DC88" s="1521" t="n"/>
      <c r="DD88" s="1487" t="n"/>
      <c r="DE88" s="1523" t="n"/>
      <c r="DF88" s="1497" t="n"/>
      <c r="DG88" s="212" t="n"/>
    </row>
    <row r="89">
      <c r="A89" s="1524" t="n"/>
      <c r="B89" s="1525" t="n"/>
      <c r="C89" s="1526" t="n"/>
      <c r="D89" s="1527" t="n"/>
      <c r="E89" s="1528" t="n"/>
      <c r="F89" s="1529">
        <f>SUM(F84:F88)</f>
        <v/>
      </c>
      <c r="G89" s="1530" t="n"/>
      <c r="H89" s="1531" t="n"/>
      <c r="I89" s="1532" t="n"/>
      <c r="J89" s="1532" t="n"/>
      <c r="K89" s="1533">
        <f>SUM(K84:K88)</f>
        <v/>
      </c>
      <c r="L89" s="1533">
        <f>SUM(L84:L88)</f>
        <v/>
      </c>
      <c r="M89" s="1534">
        <f>SUM(M84:M88)</f>
        <v/>
      </c>
      <c r="N89" s="1534">
        <f>SUM(N84:N88)</f>
        <v/>
      </c>
      <c r="O89" s="1533">
        <f>SUM(O84:O88)</f>
        <v/>
      </c>
      <c r="P89" s="1533">
        <f>SUM(P84:P88)</f>
        <v/>
      </c>
      <c r="Q89" s="1533">
        <f>SUM(Q84:Q88)</f>
        <v/>
      </c>
      <c r="R89" s="1533" t="n"/>
      <c r="S89" s="1533">
        <f>SUM(S84:S88)</f>
        <v/>
      </c>
      <c r="T89" s="1533">
        <f>SUM(T84:T88)</f>
        <v/>
      </c>
      <c r="U89" s="1533">
        <f>SUM(U84:U88)</f>
        <v/>
      </c>
      <c r="V89" s="1533">
        <f>SUM(V84:V88)</f>
        <v/>
      </c>
      <c r="W89" s="1533">
        <f>SUM(W84:W88)</f>
        <v/>
      </c>
      <c r="X89" s="1533">
        <f>SUM(X84:X88)</f>
        <v/>
      </c>
      <c r="Y89" s="1533">
        <f>SUM(Y84:Y88)</f>
        <v/>
      </c>
      <c r="Z89" s="1533">
        <f>SUM(Z84:Z88)</f>
        <v/>
      </c>
      <c r="AA89" s="1533">
        <f>SUM(AA84:AA88)</f>
        <v/>
      </c>
      <c r="AB89" s="1533">
        <f>SUM(AB84:AB88)</f>
        <v/>
      </c>
      <c r="AC89" s="1533">
        <f>SUM(AC84:AC88)</f>
        <v/>
      </c>
      <c r="AD89" s="1533">
        <f>SUM(AD84:AD88)</f>
        <v/>
      </c>
      <c r="AE89" s="1533">
        <f>SUM(AE84:AE88)</f>
        <v/>
      </c>
      <c r="AF89" s="1533">
        <f>SUM(AF84:AF88)</f>
        <v/>
      </c>
      <c r="AG89" s="1533">
        <f>SUM(AG84:AG88)</f>
        <v/>
      </c>
      <c r="AH89" s="1533">
        <f>SUM(AH84:AH88)</f>
        <v/>
      </c>
      <c r="AI89" s="1533">
        <f>SUM(AI84:AI88)</f>
        <v/>
      </c>
      <c r="AJ89" s="1533">
        <f>SUM(AJ84:AJ88)</f>
        <v/>
      </c>
      <c r="AK89" s="1533">
        <f>SUM(AK84:AK88)</f>
        <v/>
      </c>
      <c r="AL89" s="1533">
        <f>SUM(AL84:AL88)</f>
        <v/>
      </c>
      <c r="AM89" s="1533">
        <f>SUM(AM84:AM88)</f>
        <v/>
      </c>
      <c r="AN89" s="1533">
        <f>SUM(AN84:AN88)</f>
        <v/>
      </c>
      <c r="AO89" s="1533">
        <f>SUM(AO84:AO88)</f>
        <v/>
      </c>
      <c r="AP89" s="1533">
        <f>SUM(AP84:AP88)</f>
        <v/>
      </c>
      <c r="AQ89" s="1533">
        <f>SUM(AQ84:AQ88)</f>
        <v/>
      </c>
      <c r="AR89" s="1533">
        <f>SUM(AR84:AR88)</f>
        <v/>
      </c>
      <c r="AS89" s="1533">
        <f>SUM(AS84:AS88)</f>
        <v/>
      </c>
      <c r="AT89" s="1533">
        <f>SUM(AT84:AT88)</f>
        <v/>
      </c>
      <c r="AU89" s="1533">
        <f>SUM(AU84:AU88)</f>
        <v/>
      </c>
      <c r="AV89" s="1533">
        <f>SUM(AV84:AV88)</f>
        <v/>
      </c>
      <c r="AW89" s="1533">
        <f>SUM(AW84:AW88)</f>
        <v/>
      </c>
      <c r="AX89" s="1533">
        <f>SUM(AX84:AX88)</f>
        <v/>
      </c>
      <c r="AY89" s="1533">
        <f>SUM(AY84:AY88)</f>
        <v/>
      </c>
      <c r="AZ89" s="1533">
        <f>SUM(AZ84:AZ88)</f>
        <v/>
      </c>
      <c r="BA89" s="1533">
        <f>SUM(BA84:BA88)</f>
        <v/>
      </c>
      <c r="BB89" s="1533">
        <f>SUM(BB84:BB88)</f>
        <v/>
      </c>
      <c r="BC89" s="1533">
        <f>SUM(BC84:BC88)</f>
        <v/>
      </c>
      <c r="BD89" s="1533">
        <f>SUM(BD84:BD88)</f>
        <v/>
      </c>
      <c r="BE89" s="1533">
        <f>SUM(BE84:BE88)</f>
        <v/>
      </c>
      <c r="BF89" s="1533">
        <f>SUM(BF84:BF88)</f>
        <v/>
      </c>
      <c r="BG89" s="1533">
        <f>SUM(BG84:BG88)</f>
        <v/>
      </c>
      <c r="BH89" s="1533">
        <f>SUM(BH84:BH88)</f>
        <v/>
      </c>
      <c r="BI89" s="1533">
        <f>SUM(BI84:BI88)</f>
        <v/>
      </c>
      <c r="BJ89" s="1533">
        <f>SUM(BJ84:BJ88)</f>
        <v/>
      </c>
      <c r="BK89" s="1533">
        <f>SUM(BK84:BK88)</f>
        <v/>
      </c>
      <c r="BL89" s="1533">
        <f>SUM(BL84:BL88)</f>
        <v/>
      </c>
      <c r="BM89" s="1533">
        <f>SUM(BM84:BM88)</f>
        <v/>
      </c>
      <c r="BN89" s="1533">
        <f>SUM(BN84:BN88)</f>
        <v/>
      </c>
      <c r="BO89" s="1533">
        <f>SUM(BO84:BO88)</f>
        <v/>
      </c>
      <c r="BP89" s="1533">
        <f>SUM(BP84:BP88)</f>
        <v/>
      </c>
      <c r="BQ89" s="1533">
        <f>SUM(BQ84:BQ88)</f>
        <v/>
      </c>
      <c r="BR89" s="1533">
        <f>SUM(BR84:BR88)</f>
        <v/>
      </c>
      <c r="BS89" s="1533">
        <f>SUM(BS84:BS88)</f>
        <v/>
      </c>
      <c r="BT89" s="1533">
        <f>SUM(BT84:BT88)</f>
        <v/>
      </c>
      <c r="BU89" s="1533">
        <f>SUM(BU84:BU88)</f>
        <v/>
      </c>
      <c r="BV89" s="1533">
        <f>SUM(BV84:BV88)</f>
        <v/>
      </c>
      <c r="BW89" s="1533">
        <f>SUM(BW84:BW88)</f>
        <v/>
      </c>
      <c r="BX89" s="1533">
        <f>SUM(BX84:BX88)</f>
        <v/>
      </c>
      <c r="BY89" s="1533">
        <f>SUM(BY84:BY88)</f>
        <v/>
      </c>
      <c r="BZ89" s="1533">
        <f>SUM(BZ84:BZ88)</f>
        <v/>
      </c>
      <c r="CA89" s="1533">
        <f>SUM(CA84:CA88)</f>
        <v/>
      </c>
      <c r="CB89" s="1533">
        <f>SUM(CB84:CB88)</f>
        <v/>
      </c>
      <c r="CC89" s="1533">
        <f>SUM(CC84:CC88)</f>
        <v/>
      </c>
      <c r="CD89" s="1533">
        <f>SUM(CD84:CD88)</f>
        <v/>
      </c>
      <c r="CE89" s="1533">
        <f>SUM(CE84:CE88)</f>
        <v/>
      </c>
      <c r="CF89" s="1533">
        <f>SUM(CF84:CF88)</f>
        <v/>
      </c>
      <c r="CG89" s="1533">
        <f>SUM(CG84:CG88)</f>
        <v/>
      </c>
      <c r="CH89" s="1533" t="n"/>
      <c r="CI89" s="1533" t="n"/>
      <c r="CJ89" s="1533" t="n"/>
      <c r="CK89" s="1531" t="n"/>
      <c r="CL89" s="1533">
        <f>SUM(CL84:CL88)</f>
        <v/>
      </c>
      <c r="CM89" s="1531" t="n"/>
      <c r="CN89" s="1531" t="n"/>
      <c r="CO89" s="1531" t="n"/>
      <c r="CP89" s="1535" t="n"/>
      <c r="CQ89" s="1536" t="n"/>
      <c r="CR89" s="1535" t="n"/>
      <c r="CS89" s="1537" t="n"/>
      <c r="CT89" s="1537" t="n"/>
      <c r="CU89" s="1537" t="n"/>
      <c r="CV89" s="1538" t="n"/>
      <c r="CW89" s="1538" t="n"/>
      <c r="CX89" s="1538" t="n"/>
      <c r="CY89" s="1538" t="n"/>
      <c r="CZ89" s="1526" t="n"/>
      <c r="DA89" s="1539" t="n"/>
      <c r="DB89" s="1526" t="n"/>
      <c r="DC89" s="1526" t="n"/>
      <c r="DD89" s="1487" t="n"/>
      <c r="DE89" s="1523" t="n"/>
      <c r="DF89" s="1497" t="n"/>
      <c r="DG89" s="2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2:AV86"/>
  <sheetViews>
    <sheetView zoomScale="85" zoomScaleNormal="85" workbookViewId="0">
      <pane xSplit="4" ySplit="4" topLeftCell="X5" activePane="bottomRight" state="frozen"/>
      <selection pane="topRight" activeCell="A1" sqref="A1"/>
      <selection pane="bottomLeft" activeCell="A1" sqref="A1"/>
      <selection pane="bottomRight" activeCell="AI25" sqref="AI25"/>
    </sheetView>
  </sheetViews>
  <sheetFormatPr baseColWidth="8" defaultColWidth="9" defaultRowHeight="14.4"/>
  <cols>
    <col width="4.6640625" customWidth="1" style="1264" min="1" max="1"/>
    <col width="19.5546875" customWidth="1" style="1264" min="2" max="2"/>
    <col width="36.33203125" customWidth="1" style="1264" min="3" max="3"/>
    <col width="9.109375" customWidth="1" style="1264" min="5" max="8"/>
    <col width="14.6640625" customWidth="1" style="1264" min="9" max="9"/>
    <col width="9.109375" customWidth="1" style="1264" min="10" max="17"/>
    <col width="9.109375" customWidth="1" style="408" min="18" max="18"/>
    <col width="12.88671875" customWidth="1" style="1264" min="22" max="22"/>
    <col width="12.5546875" customWidth="1" style="1264" min="23" max="23"/>
    <col width="11.88671875" customWidth="1" style="1264" min="24" max="24"/>
    <col width="11.88671875" customWidth="1" style="1264" min="27" max="27"/>
    <col width="12.88671875" customWidth="1" style="1264" min="28" max="28"/>
    <col width="11.6640625" customWidth="1" style="1264" min="29" max="29"/>
    <col width="15" customWidth="1" style="1264" min="30" max="30"/>
    <col width="12.109375" customWidth="1" style="1264" min="31" max="31"/>
    <col width="11.44140625" customWidth="1" style="1264" min="32" max="32"/>
    <col width="10.44140625" customWidth="1" style="1264" min="33" max="33"/>
    <col width="11.109375" customWidth="1" style="1264" min="35" max="35"/>
    <col width="40.33203125" customWidth="1" style="1264" min="43" max="43"/>
  </cols>
  <sheetData>
    <row r="2" ht="31.5" customFormat="1" customHeight="1" s="406">
      <c r="A2" s="409" t="n"/>
      <c r="B2" s="409" t="n"/>
      <c r="C2" s="409" t="n">
        <v>1</v>
      </c>
      <c r="D2" s="409" t="n">
        <v>2</v>
      </c>
      <c r="E2" s="410" t="n">
        <v>3</v>
      </c>
      <c r="F2" s="410" t="n">
        <v>4</v>
      </c>
      <c r="G2" s="411" t="n">
        <v>5</v>
      </c>
      <c r="H2" s="409" t="n">
        <v>6</v>
      </c>
      <c r="I2" s="412" t="n">
        <v>7</v>
      </c>
      <c r="J2" s="409" t="n">
        <v>8</v>
      </c>
      <c r="K2" s="409" t="n">
        <v>9</v>
      </c>
      <c r="L2" s="409" t="n">
        <v>10</v>
      </c>
      <c r="M2" s="409" t="n">
        <v>11</v>
      </c>
      <c r="N2" s="409" t="n">
        <v>12</v>
      </c>
      <c r="O2" s="409" t="n">
        <v>13</v>
      </c>
      <c r="P2" s="409" t="n">
        <v>14</v>
      </c>
      <c r="Q2" s="409" t="n">
        <v>15</v>
      </c>
      <c r="R2" s="410" t="n">
        <v>16</v>
      </c>
      <c r="S2" s="409" t="n">
        <v>17</v>
      </c>
      <c r="T2" s="409" t="n">
        <v>18</v>
      </c>
      <c r="U2" s="409" t="n">
        <v>19</v>
      </c>
      <c r="V2" s="412" t="n">
        <v>20</v>
      </c>
      <c r="W2" s="412" t="n">
        <v>21</v>
      </c>
      <c r="X2" s="412" t="n">
        <v>22</v>
      </c>
      <c r="Y2" s="410" t="n">
        <v>23</v>
      </c>
      <c r="Z2" s="410" t="n">
        <v>24</v>
      </c>
      <c r="AA2" s="413" t="n">
        <v>25</v>
      </c>
      <c r="AB2" s="413" t="n">
        <v>26</v>
      </c>
      <c r="AC2" s="413" t="n">
        <v>27</v>
      </c>
      <c r="AD2" s="409" t="n">
        <v>28</v>
      </c>
      <c r="AE2" s="409" t="n">
        <v>29</v>
      </c>
      <c r="AF2" s="409" t="n">
        <v>30</v>
      </c>
      <c r="AG2" s="409" t="n">
        <v>31</v>
      </c>
      <c r="AH2" s="409" t="n">
        <v>32</v>
      </c>
      <c r="AI2" s="409" t="n">
        <v>33</v>
      </c>
      <c r="AJ2" s="409" t="n">
        <v>34</v>
      </c>
      <c r="AK2" s="409" t="n">
        <v>35</v>
      </c>
      <c r="AL2" s="409" t="n">
        <v>36</v>
      </c>
      <c r="AM2" s="409" t="n">
        <v>37</v>
      </c>
      <c r="AN2" s="409" t="n">
        <v>38</v>
      </c>
      <c r="AO2" s="409" t="n">
        <v>39</v>
      </c>
      <c r="AP2" s="409" t="n">
        <v>40</v>
      </c>
      <c r="AQ2" s="409" t="n">
        <v>41</v>
      </c>
      <c r="AR2" s="409" t="n">
        <v>42</v>
      </c>
      <c r="AS2" s="409" t="n">
        <v>43</v>
      </c>
      <c r="AT2" s="409" t="n">
        <v>44</v>
      </c>
      <c r="AU2" s="409" t="n">
        <v>45</v>
      </c>
      <c r="AV2" s="409" t="n">
        <v>46</v>
      </c>
    </row>
    <row r="3" ht="31.5" customFormat="1" customHeight="1" s="407">
      <c r="A3" s="414" t="n"/>
      <c r="B3" s="415" t="n"/>
      <c r="C3" s="415" t="n"/>
      <c r="D3" s="415" t="n"/>
      <c r="E3" s="1540" t="inlineStr">
        <is>
          <t>Tổng thời gian làm việc</t>
        </is>
      </c>
      <c r="F3" s="1541" t="n"/>
      <c r="G3" s="1542" t="inlineStr">
        <is>
          <t>Quản lý và cửa hàng trưởng ghi nhận vào đây - công thức tổng tự động không cần chỉnh</t>
        </is>
      </c>
      <c r="H3" s="1543" t="n"/>
      <c r="I3" s="1543" t="n"/>
      <c r="J3" s="1543" t="n"/>
      <c r="K3" s="1543" t="n"/>
      <c r="L3" s="1543" t="n"/>
      <c r="M3" s="1543" t="n"/>
      <c r="N3" s="1543" t="n"/>
      <c r="O3" s="1543" t="n"/>
      <c r="P3" s="1543" t="n"/>
      <c r="Q3" s="1541" t="n"/>
      <c r="R3" s="1544" t="inlineStr">
        <is>
          <t>Quản lý ghi nhận</t>
        </is>
      </c>
      <c r="S3" s="1543" t="n"/>
      <c r="T3" s="1543" t="n"/>
      <c r="U3" s="1543" t="n"/>
      <c r="V3" s="1543" t="n"/>
      <c r="W3" s="1543" t="n"/>
      <c r="X3" s="1543" t="n"/>
      <c r="Y3" s="1543" t="n"/>
      <c r="Z3" s="1543" t="n"/>
      <c r="AA3" s="1543" t="n"/>
      <c r="AB3" s="1543" t="n"/>
      <c r="AC3" s="1543" t="n"/>
      <c r="AD3" s="1543" t="n"/>
      <c r="AE3" s="1543" t="n"/>
      <c r="AF3" s="1543" t="n"/>
      <c r="AG3" s="1543" t="n"/>
      <c r="AH3" s="1543" t="n"/>
      <c r="AI3" s="1541" t="n"/>
      <c r="AJ3" s="416" t="n"/>
      <c r="AK3" s="1545" t="inlineStr">
        <is>
          <t>KPI trừ</t>
        </is>
      </c>
      <c r="AL3" s="1543" t="n"/>
      <c r="AM3" s="1543" t="n"/>
      <c r="AN3" s="1543" t="n"/>
      <c r="AO3" s="1543" t="n"/>
      <c r="AP3" s="1541" t="n"/>
      <c r="AQ3" s="415" t="n"/>
      <c r="AR3" s="417" t="n"/>
      <c r="AS3" s="418" t="n"/>
      <c r="AT3" s="1273" t="n"/>
    </row>
    <row r="4" ht="113.25" customHeight="1" s="1264">
      <c r="A4" s="419" t="inlineStr">
        <is>
          <t>STT</t>
        </is>
      </c>
      <c r="B4" s="420" t="inlineStr">
        <is>
          <t>Chi nhánh</t>
        </is>
      </c>
      <c r="C4" s="420" t="inlineStr">
        <is>
          <t>Tên</t>
        </is>
      </c>
      <c r="D4" s="420" t="inlineStr">
        <is>
          <t>Hình thức</t>
        </is>
      </c>
      <c r="E4" s="421" t="inlineStr">
        <is>
          <t>Số giờ ca ngày</t>
        </is>
      </c>
      <c r="F4" s="421" t="inlineStr">
        <is>
          <t>Số giờ ca đêm</t>
        </is>
      </c>
      <c r="G4" s="422" t="inlineStr">
        <is>
          <t>Số giờ ca ngày</t>
        </is>
      </c>
      <c r="H4" s="422" t="inlineStr">
        <is>
          <t>Số giờ ca đêm
( chưa x 1.5 )</t>
        </is>
      </c>
      <c r="I4" s="423" t="inlineStr">
        <is>
          <t>Số giờ tăng ca ngày (x1)</t>
        </is>
      </c>
      <c r="J4" s="424" t="inlineStr">
        <is>
          <t>Số ngày thực làm</t>
        </is>
      </c>
      <c r="K4" s="424" t="inlineStr">
        <is>
          <t>Số ngày làm đêm</t>
        </is>
      </c>
      <c r="L4" s="424" t="inlineStr">
        <is>
          <t>Ngày lễ hưởng lương ( x 1 )</t>
        </is>
      </c>
      <c r="M4" s="424" t="inlineStr">
        <is>
          <t>Ghi ngày cụ thể</t>
        </is>
      </c>
      <c r="N4" s="425" t="inlineStr">
        <is>
          <t>Số ngày lễ vẫn đi làm</t>
        </is>
      </c>
      <c r="O4" s="425" t="inlineStr">
        <is>
          <t>Số giờ lễ ca ngày ( Đã x 3 )</t>
        </is>
      </c>
      <c r="P4" s="425" t="inlineStr">
        <is>
          <t>Số giờ lễ ca đêm ( Đã x 3 )</t>
        </is>
      </c>
      <c r="Q4" s="425" t="inlineStr">
        <is>
          <t>Ngày lễ vẫn đi làm
(ghi ngày cụ thể)</t>
        </is>
      </c>
      <c r="R4" s="426" t="inlineStr">
        <is>
          <t>Số ngày công thực tế</t>
        </is>
      </c>
      <c r="S4" s="427" t="inlineStr">
        <is>
          <t>Số giờ tham gia đào tạo</t>
        </is>
      </c>
      <c r="T4" s="427" t="inlineStr">
        <is>
          <t>Số giờ nghỉ phép năm</t>
        </is>
      </c>
      <c r="U4" s="427" t="inlineStr">
        <is>
          <t>Ngày phép năm 
(ghi ngày cụ thể)</t>
        </is>
      </c>
      <c r="V4" s="428" t="inlineStr">
        <is>
          <t>Phụ cấp trách nhiệm (áp dụng CHT)</t>
        </is>
      </c>
      <c r="W4" s="428" t="inlineStr">
        <is>
          <t>Phụ cấp cửa hàng mới</t>
        </is>
      </c>
      <c r="X4" s="428" t="inlineStr">
        <is>
          <t>Phụ cấp sức khỏe ca đêm</t>
        </is>
      </c>
      <c r="Y4" s="429" t="inlineStr">
        <is>
          <t>Phụ cấp lưu động</t>
        </is>
      </c>
      <c r="Z4" s="429" t="inlineStr">
        <is>
          <t>Phụ cấp tăng cường vận hành</t>
        </is>
      </c>
      <c r="AA4" s="421" t="inlineStr">
        <is>
          <t>Thưởng dự án Mini KAT 
(Dược sĩ)</t>
        </is>
      </c>
      <c r="AB4" s="421" t="inlineStr">
        <is>
          <t>Thưởng dự án Mini KAT 
(Đại diện CHT nhận)</t>
        </is>
      </c>
      <c r="AC4" s="421" t="inlineStr">
        <is>
          <t>Thường Whatsapp</t>
        </is>
      </c>
      <c r="AD4" s="428" t="inlineStr">
        <is>
          <t>Phụ cấp quy trình/dự án</t>
        </is>
      </c>
      <c r="AE4" s="428" t="inlineStr">
        <is>
          <t>Thưởng KPI</t>
        </is>
      </c>
      <c r="AF4" s="428" t="inlineStr">
        <is>
          <t>Thưởng hàng điểm + Cắt liều</t>
        </is>
      </c>
      <c r="AG4" s="428" t="inlineStr">
        <is>
          <t>Thưởng hàng cận date</t>
        </is>
      </c>
      <c r="AH4" s="428" t="inlineStr">
        <is>
          <t>Thưởng chương trình Maps</t>
        </is>
      </c>
      <c r="AI4" s="428" t="inlineStr">
        <is>
          <t>Thưởng khác</t>
        </is>
      </c>
      <c r="AJ4" s="430" t="inlineStr">
        <is>
          <t>Total</t>
        </is>
      </c>
      <c r="AK4" s="430" t="inlineStr">
        <is>
          <t>Hàng hết date</t>
        </is>
      </c>
      <c r="AL4" s="430" t="inlineStr">
        <is>
          <t>Quy chế quy trình</t>
        </is>
      </c>
      <c r="AM4" s="430" t="inlineStr">
        <is>
          <t>HD App - Kiot</t>
        </is>
      </c>
      <c r="AN4" s="430" t="inlineStr">
        <is>
          <t>Ecom</t>
        </is>
      </c>
      <c r="AO4" s="431" t="inlineStr">
        <is>
          <t>Đối soát</t>
        </is>
      </c>
      <c r="AP4" s="430" t="inlineStr">
        <is>
          <t>Khác</t>
        </is>
      </c>
      <c r="AQ4" s="420" t="inlineStr">
        <is>
          <t>Ghi chú</t>
        </is>
      </c>
      <c r="AR4" s="417" t="n"/>
      <c r="AS4" s="432" t="n"/>
      <c r="AT4" s="47" t="n"/>
    </row>
    <row r="5" hidden="1" ht="22.5" customHeight="1" s="1264">
      <c r="A5" s="433" t="n">
        <v>1</v>
      </c>
      <c r="B5" s="434" t="inlineStr">
        <is>
          <t>Trường Sa</t>
        </is>
      </c>
      <c r="C5" s="435" t="inlineStr">
        <is>
          <t>Hồ Thị Minh Hòa</t>
        </is>
      </c>
      <c r="D5" s="436" t="inlineStr">
        <is>
          <t>CHT</t>
        </is>
      </c>
      <c r="E5" s="1546" t="inlineStr">
        <is>
          <t>31.69</t>
        </is>
      </c>
      <c r="F5" s="438" t="inlineStr">
        <is>
          <t>0.00</t>
        </is>
      </c>
      <c r="G5" s="433" t="inlineStr">
        <is>
          <t>15.69</t>
        </is>
      </c>
      <c r="H5" s="433" t="inlineStr">
        <is>
          <t>0.00</t>
        </is>
      </c>
      <c r="I5" s="433" t="n">
        <v>16</v>
      </c>
      <c r="J5" s="417" t="n"/>
      <c r="K5" s="433" t="n">
        <v>3</v>
      </c>
      <c r="L5" s="417" t="n"/>
      <c r="M5" s="417" t="n"/>
      <c r="N5" s="433" t="n">
        <v>0</v>
      </c>
      <c r="O5" s="433" t="n">
        <v>0</v>
      </c>
      <c r="P5" s="433" t="n">
        <v>0</v>
      </c>
      <c r="Q5" s="417" t="n"/>
      <c r="R5" s="439" t="n">
        <v>2</v>
      </c>
      <c r="S5" s="433" t="inlineStr">
        <is>
          <t>0.00</t>
        </is>
      </c>
      <c r="T5" s="433" t="n">
        <v>0</v>
      </c>
      <c r="U5" s="417" t="n"/>
      <c r="V5" s="440" t="n"/>
      <c r="W5" s="417" t="n"/>
      <c r="X5" s="417" t="n"/>
      <c r="Y5" s="417" t="n"/>
      <c r="Z5" s="417" t="n"/>
      <c r="AA5" s="417" t="n"/>
      <c r="AB5" s="433" t="n">
        <v>300</v>
      </c>
      <c r="AC5" s="433" t="n">
        <v>0</v>
      </c>
      <c r="AD5" s="441" t="n"/>
      <c r="AE5" s="442" t="n">
        <v>0</v>
      </c>
      <c r="AF5" s="443" t="n">
        <v>0</v>
      </c>
      <c r="AG5" s="442" t="n">
        <v>0</v>
      </c>
      <c r="AH5" s="442" t="n">
        <v>0</v>
      </c>
      <c r="AI5" s="441" t="n"/>
      <c r="AJ5" s="433" t="n">
        <v>0</v>
      </c>
      <c r="AK5" s="433" t="n">
        <v>0</v>
      </c>
      <c r="AL5" s="433" t="n">
        <v>0</v>
      </c>
      <c r="AM5" s="433" t="n">
        <v>0</v>
      </c>
      <c r="AN5" s="433" t="n">
        <v>0</v>
      </c>
      <c r="AO5" s="433" t="n">
        <v>0</v>
      </c>
      <c r="AP5" s="433" t="n">
        <v>0</v>
      </c>
      <c r="AQ5" s="417" t="n"/>
      <c r="AR5" s="438" t="inlineStr">
        <is>
          <t>16.13</t>
        </is>
      </c>
      <c r="AS5" s="444">
        <f>VLOOKUP(C5,#REF!,16,0)</f>
        <v/>
      </c>
      <c r="AT5" s="444">
        <f>R5-AS5</f>
        <v/>
      </c>
    </row>
    <row r="6" hidden="1" ht="22.5" customHeight="1" s="1264">
      <c r="A6" s="433" t="n">
        <v>2</v>
      </c>
      <c r="B6" s="434" t="inlineStr">
        <is>
          <t>Trường Sa</t>
        </is>
      </c>
      <c r="C6" s="435" t="inlineStr">
        <is>
          <t>Nguyễn Trần Ngọc Phương</t>
        </is>
      </c>
      <c r="D6" s="445" t="inlineStr">
        <is>
          <t>Q.CHT</t>
        </is>
      </c>
      <c r="E6" s="1546" t="inlineStr">
        <is>
          <t>186.64</t>
        </is>
      </c>
      <c r="F6" s="438" t="inlineStr">
        <is>
          <t>28.38</t>
        </is>
      </c>
      <c r="G6" s="433" t="inlineStr">
        <is>
          <t>186.64</t>
        </is>
      </c>
      <c r="H6" s="433" t="inlineStr">
        <is>
          <t>28.38</t>
        </is>
      </c>
      <c r="I6" s="417" t="n"/>
      <c r="J6" s="417" t="n"/>
      <c r="K6" s="433" t="n">
        <v>27</v>
      </c>
      <c r="L6" s="417" t="n"/>
      <c r="M6" s="417" t="n"/>
      <c r="N6" s="433" t="n">
        <v>0</v>
      </c>
      <c r="O6" s="433" t="n">
        <v>0</v>
      </c>
      <c r="P6" s="433" t="n">
        <v>0</v>
      </c>
      <c r="Q6" s="417" t="n"/>
      <c r="R6" s="439" t="n">
        <v>26</v>
      </c>
      <c r="S6" s="433" t="inlineStr">
        <is>
          <t>0.00</t>
        </is>
      </c>
      <c r="T6" s="433" t="n">
        <v>0</v>
      </c>
      <c r="U6" s="417" t="n"/>
      <c r="V6" s="446" t="inlineStr">
        <is>
          <t>1,500,000</t>
        </is>
      </c>
      <c r="W6" s="417" t="n"/>
      <c r="X6" s="417" t="n"/>
      <c r="Y6" s="417" t="n"/>
      <c r="Z6" s="417" t="n"/>
      <c r="AA6" s="433" t="n">
        <v>0</v>
      </c>
      <c r="AB6" s="433" t="n">
        <v>300</v>
      </c>
      <c r="AC6" s="433" t="n">
        <v>0</v>
      </c>
      <c r="AD6" s="442" t="inlineStr">
        <is>
          <t>1,000,000</t>
        </is>
      </c>
      <c r="AE6" s="442" t="n">
        <v>0</v>
      </c>
      <c r="AF6" s="443" t="inlineStr">
        <is>
          <t>1,280,200</t>
        </is>
      </c>
      <c r="AG6" s="442" t="n">
        <v>6.601</v>
      </c>
      <c r="AH6" s="442" t="n">
        <v>0</v>
      </c>
      <c r="AI6" s="441" t="n"/>
      <c r="AJ6" s="433" t="n">
        <v>0</v>
      </c>
      <c r="AK6" s="433" t="n">
        <v>0</v>
      </c>
      <c r="AL6" s="433" t="n">
        <v>0</v>
      </c>
      <c r="AM6" s="433" t="n">
        <v>0</v>
      </c>
      <c r="AN6" s="433" t="n">
        <v>0</v>
      </c>
      <c r="AO6" s="433" t="n">
        <v>0</v>
      </c>
      <c r="AP6" s="433" t="n">
        <v>0</v>
      </c>
      <c r="AQ6" s="417" t="n"/>
      <c r="AR6" s="438" t="inlineStr">
        <is>
          <t>11.23</t>
        </is>
      </c>
      <c r="AS6" s="444">
        <f>VLOOKUP(C6,#REF!,16,0)</f>
        <v/>
      </c>
      <c r="AT6" s="444">
        <f>R6-AS6</f>
        <v/>
      </c>
    </row>
    <row r="7" hidden="1" ht="22.5" customHeight="1" s="1264">
      <c r="A7" s="433" t="n">
        <v>3</v>
      </c>
      <c r="B7" s="434" t="inlineStr">
        <is>
          <t>Trường Sa</t>
        </is>
      </c>
      <c r="C7" s="447" t="inlineStr">
        <is>
          <t>Nguyễn Ngọc Anh Thư</t>
        </is>
      </c>
      <c r="D7" s="434" t="inlineStr">
        <is>
          <t>DSCD (TV)</t>
        </is>
      </c>
      <c r="E7" s="438" t="inlineStr">
        <is>
          <t>26.98</t>
        </is>
      </c>
      <c r="F7" s="438" t="inlineStr">
        <is>
          <t>219.50</t>
        </is>
      </c>
      <c r="G7" s="433" t="inlineStr">
        <is>
          <t>18.98</t>
        </is>
      </c>
      <c r="H7" s="433" t="inlineStr">
        <is>
          <t>219.50</t>
        </is>
      </c>
      <c r="I7" s="433" t="n">
        <v>8</v>
      </c>
      <c r="J7" s="417" t="n"/>
      <c r="K7" s="433" t="n">
        <v>21</v>
      </c>
      <c r="L7" s="417" t="n"/>
      <c r="M7" s="417" t="n"/>
      <c r="N7" s="433" t="n">
        <v>0</v>
      </c>
      <c r="O7" s="433" t="n">
        <v>0</v>
      </c>
      <c r="P7" s="433" t="n">
        <v>0</v>
      </c>
      <c r="Q7" s="417" t="n"/>
      <c r="R7" s="439" t="n">
        <v>29</v>
      </c>
      <c r="S7" s="433" t="inlineStr">
        <is>
          <t>0.00</t>
        </is>
      </c>
      <c r="T7" s="433" t="n">
        <v>0</v>
      </c>
      <c r="U7" s="417" t="n"/>
      <c r="V7" s="417" t="n"/>
      <c r="W7" s="417" t="n"/>
      <c r="X7" s="433" t="inlineStr">
        <is>
          <t>1,446,429</t>
        </is>
      </c>
      <c r="Y7" s="417" t="n"/>
      <c r="Z7" s="417" t="n"/>
      <c r="AA7" s="433" t="n">
        <v>0</v>
      </c>
      <c r="AB7" s="433" t="n">
        <v>0</v>
      </c>
      <c r="AC7" s="433" t="n">
        <v>0</v>
      </c>
      <c r="AD7" s="442" t="n">
        <v>933.333</v>
      </c>
      <c r="AE7" s="442" t="n">
        <v>0</v>
      </c>
      <c r="AF7" s="443" t="n">
        <v>579.96</v>
      </c>
      <c r="AG7" s="442" t="n">
        <v>7.7</v>
      </c>
      <c r="AH7" s="442" t="n">
        <v>0</v>
      </c>
      <c r="AI7" s="441" t="n"/>
      <c r="AJ7" s="433" t="n">
        <v>0</v>
      </c>
      <c r="AK7" s="433" t="n">
        <v>0</v>
      </c>
      <c r="AL7" s="433" t="n">
        <v>0</v>
      </c>
      <c r="AM7" s="433" t="n">
        <v>0</v>
      </c>
      <c r="AN7" s="433" t="n">
        <v>0</v>
      </c>
      <c r="AO7" s="433" t="n">
        <v>0</v>
      </c>
      <c r="AP7" s="433" t="n">
        <v>0</v>
      </c>
      <c r="AQ7" s="417" t="n"/>
      <c r="AR7" s="438" t="inlineStr">
        <is>
          <t>11.85</t>
        </is>
      </c>
      <c r="AS7" s="444">
        <f>VLOOKUP(C7,#REF!,16,0)</f>
        <v/>
      </c>
      <c r="AT7" s="444">
        <f>R7-AS7</f>
        <v/>
      </c>
    </row>
    <row r="8" hidden="1" ht="22.5" customHeight="1" s="1264">
      <c r="A8" s="433" t="n">
        <v>4</v>
      </c>
      <c r="B8" s="434" t="inlineStr">
        <is>
          <t>Trường Sa</t>
        </is>
      </c>
      <c r="C8" s="435" t="inlineStr">
        <is>
          <t>Trịnh Thị Phượng</t>
        </is>
      </c>
      <c r="D8" s="448" t="inlineStr">
        <is>
          <t>DSCD</t>
        </is>
      </c>
      <c r="E8" s="438" t="inlineStr">
        <is>
          <t>0.38</t>
        </is>
      </c>
      <c r="F8" s="438" t="inlineStr">
        <is>
          <t>164.21</t>
        </is>
      </c>
      <c r="G8" s="433" t="inlineStr">
        <is>
          <t>0.38</t>
        </is>
      </c>
      <c r="H8" s="433" t="inlineStr">
        <is>
          <t>164.21</t>
        </is>
      </c>
      <c r="I8" s="417" t="n"/>
      <c r="J8" s="417" t="n"/>
      <c r="K8" s="433" t="n">
        <v>3</v>
      </c>
      <c r="L8" s="417" t="n"/>
      <c r="M8" s="417" t="n"/>
      <c r="N8" s="433" t="n">
        <v>0</v>
      </c>
      <c r="O8" s="433" t="n">
        <v>0</v>
      </c>
      <c r="P8" s="433" t="n">
        <v>0</v>
      </c>
      <c r="Q8" s="417" t="n"/>
      <c r="R8" s="439" t="n">
        <v>21</v>
      </c>
      <c r="S8" s="433" t="inlineStr">
        <is>
          <t>0.00</t>
        </is>
      </c>
      <c r="T8" s="433" t="n">
        <v>0</v>
      </c>
      <c r="U8" s="417" t="n"/>
      <c r="V8" s="417" t="n"/>
      <c r="W8" s="417" t="n"/>
      <c r="X8" s="433" t="inlineStr">
        <is>
          <t>1,125,000</t>
        </is>
      </c>
      <c r="Y8" s="417" t="n"/>
      <c r="Z8" s="417" t="n"/>
      <c r="AA8" s="417" t="n"/>
      <c r="AB8" s="433" t="n">
        <v>0</v>
      </c>
      <c r="AC8" s="433" t="n">
        <v>0</v>
      </c>
      <c r="AD8" s="442" t="inlineStr">
        <is>
          <t>2,200,000</t>
        </is>
      </c>
      <c r="AE8" s="442" t="n">
        <v>0</v>
      </c>
      <c r="AF8" s="443" t="inlineStr">
        <is>
          <t>3,537,750</t>
        </is>
      </c>
      <c r="AG8" s="442" t="n">
        <v>11.205</v>
      </c>
      <c r="AH8" s="442" t="n">
        <v>0</v>
      </c>
      <c r="AI8" s="441" t="n"/>
      <c r="AJ8" s="433" t="n">
        <v>0</v>
      </c>
      <c r="AK8" s="433" t="n">
        <v>0</v>
      </c>
      <c r="AL8" s="433" t="n">
        <v>0</v>
      </c>
      <c r="AM8" s="433" t="n">
        <v>0</v>
      </c>
      <c r="AN8" s="433" t="n">
        <v>0</v>
      </c>
      <c r="AO8" s="433" t="n">
        <v>0</v>
      </c>
      <c r="AP8" s="433" t="n">
        <v>0</v>
      </c>
      <c r="AQ8" s="417" t="n"/>
      <c r="AR8" s="438" t="inlineStr">
        <is>
          <t>15.93</t>
        </is>
      </c>
      <c r="AS8" s="444">
        <f>VLOOKUP(C8,#REF!,16,0)</f>
        <v/>
      </c>
      <c r="AT8" s="444">
        <f>R8-AS8</f>
        <v/>
      </c>
    </row>
    <row r="9" hidden="1" ht="22.5" customHeight="1" s="1264">
      <c r="A9" s="433" t="n">
        <v>5</v>
      </c>
      <c r="B9" s="434" t="inlineStr">
        <is>
          <t>Trường Sa</t>
        </is>
      </c>
      <c r="C9" s="447" t="inlineStr">
        <is>
          <t>Ngô Trần Tuyết Vy</t>
        </is>
      </c>
      <c r="D9" s="434" t="inlineStr">
        <is>
          <t>DSXC</t>
        </is>
      </c>
      <c r="E9" s="438" t="inlineStr">
        <is>
          <t>66.26</t>
        </is>
      </c>
      <c r="F9" s="438" t="inlineStr">
        <is>
          <t>23.12</t>
        </is>
      </c>
      <c r="G9" s="433" t="inlineStr">
        <is>
          <t>66.26</t>
        </is>
      </c>
      <c r="H9" s="433" t="inlineStr">
        <is>
          <t>23.12</t>
        </is>
      </c>
      <c r="I9" s="417" t="n"/>
      <c r="J9" s="417" t="n"/>
      <c r="K9" s="433" t="n">
        <v>3</v>
      </c>
      <c r="L9" s="417" t="n"/>
      <c r="M9" s="417" t="n"/>
      <c r="N9" s="433" t="n">
        <v>0</v>
      </c>
      <c r="O9" s="433" t="n">
        <v>0</v>
      </c>
      <c r="P9" s="433" t="n">
        <v>0</v>
      </c>
      <c r="Q9" s="417" t="n"/>
      <c r="R9" s="439" t="n">
        <v>11</v>
      </c>
      <c r="S9" s="433" t="inlineStr">
        <is>
          <t>0.00</t>
        </is>
      </c>
      <c r="T9" s="433" t="n">
        <v>0</v>
      </c>
      <c r="U9" s="417" t="n"/>
      <c r="V9" s="449" t="n"/>
      <c r="W9" s="417" t="n"/>
      <c r="X9" s="417" t="n"/>
      <c r="Y9" s="417" t="n"/>
      <c r="Z9" s="417" t="n"/>
      <c r="AA9" s="433" t="n">
        <v>0</v>
      </c>
      <c r="AB9" s="433" t="n">
        <v>0</v>
      </c>
      <c r="AC9" s="433" t="n">
        <v>0</v>
      </c>
      <c r="AD9" s="442" t="n">
        <v>0</v>
      </c>
      <c r="AE9" s="442" t="n">
        <v>0</v>
      </c>
      <c r="AF9" s="443" t="inlineStr">
        <is>
          <t>1,011,600</t>
        </is>
      </c>
      <c r="AG9" s="442" t="n">
        <v>0</v>
      </c>
      <c r="AH9" s="442" t="n">
        <v>0</v>
      </c>
      <c r="AI9" s="441" t="n"/>
      <c r="AJ9" s="433" t="n">
        <v>0</v>
      </c>
      <c r="AK9" s="433" t="n">
        <v>0</v>
      </c>
      <c r="AL9" s="433" t="n">
        <v>0</v>
      </c>
      <c r="AM9" s="433" t="n">
        <v>0</v>
      </c>
      <c r="AN9" s="433" t="n">
        <v>0</v>
      </c>
      <c r="AO9" s="433" t="n">
        <v>0</v>
      </c>
      <c r="AP9" s="433" t="n">
        <v>0</v>
      </c>
      <c r="AQ9" s="417" t="n"/>
      <c r="AR9" s="438" t="inlineStr">
        <is>
          <t>10.48</t>
        </is>
      </c>
      <c r="AS9" s="444">
        <f>VLOOKUP(C9,#REF!,16,0)</f>
        <v/>
      </c>
      <c r="AT9" s="444">
        <f>R9-AS9</f>
        <v/>
      </c>
    </row>
    <row r="10" hidden="1" ht="22.5" customHeight="1" s="1264">
      <c r="A10" s="433" t="n">
        <v>6</v>
      </c>
      <c r="B10" s="434" t="inlineStr">
        <is>
          <t>Trường Sa</t>
        </is>
      </c>
      <c r="C10" s="435" t="inlineStr">
        <is>
          <t>Phạm Nguyễn Ngọc Quý</t>
        </is>
      </c>
      <c r="D10" s="434" t="inlineStr">
        <is>
          <t>DSXC</t>
        </is>
      </c>
      <c r="E10" s="438" t="inlineStr">
        <is>
          <t>164.33</t>
        </is>
      </c>
      <c r="F10" s="438" t="inlineStr">
        <is>
          <t>24.07</t>
        </is>
      </c>
      <c r="G10" s="433" t="inlineStr">
        <is>
          <t>164.33</t>
        </is>
      </c>
      <c r="H10" s="433" t="inlineStr">
        <is>
          <t>24.07</t>
        </is>
      </c>
      <c r="I10" s="417" t="n"/>
      <c r="J10" s="417" t="n"/>
      <c r="K10" s="433" t="n">
        <v>4</v>
      </c>
      <c r="L10" s="417" t="n"/>
      <c r="M10" s="417" t="n"/>
      <c r="N10" s="433" t="n">
        <v>0</v>
      </c>
      <c r="O10" s="433" t="n">
        <v>0</v>
      </c>
      <c r="P10" s="433" t="n">
        <v>0</v>
      </c>
      <c r="Q10" s="417" t="n"/>
      <c r="R10" s="439" t="n">
        <v>23</v>
      </c>
      <c r="S10" s="433" t="inlineStr">
        <is>
          <t>0.00</t>
        </is>
      </c>
      <c r="T10" s="433" t="n">
        <v>0</v>
      </c>
      <c r="U10" s="417" t="n"/>
      <c r="V10" s="449" t="n"/>
      <c r="W10" s="417" t="n"/>
      <c r="X10" s="417" t="n"/>
      <c r="Y10" s="417" t="n"/>
      <c r="Z10" s="417" t="n"/>
      <c r="AA10" s="433" t="n">
        <v>0</v>
      </c>
      <c r="AB10" s="433" t="n">
        <v>0</v>
      </c>
      <c r="AC10" s="433" t="n">
        <v>0</v>
      </c>
      <c r="AD10" s="442" t="n">
        <v>0</v>
      </c>
      <c r="AE10" s="442" t="n">
        <v>0</v>
      </c>
      <c r="AF10" s="443" t="inlineStr">
        <is>
          <t>1,686,900</t>
        </is>
      </c>
      <c r="AG10" s="442" t="n">
        <v>18.3</v>
      </c>
      <c r="AH10" s="442" t="n">
        <v>0</v>
      </c>
      <c r="AI10" s="441" t="n"/>
      <c r="AJ10" s="433" t="n">
        <v>0</v>
      </c>
      <c r="AK10" s="433" t="n">
        <v>0</v>
      </c>
      <c r="AL10" s="433" t="n">
        <v>0</v>
      </c>
      <c r="AM10" s="433" t="n">
        <v>0</v>
      </c>
      <c r="AN10" s="433" t="n">
        <v>0</v>
      </c>
      <c r="AO10" s="433" t="n">
        <v>0</v>
      </c>
      <c r="AP10" s="433" t="n">
        <v>0</v>
      </c>
      <c r="AQ10" s="417" t="n"/>
      <c r="AR10" s="438" t="inlineStr">
        <is>
          <t>11.17</t>
        </is>
      </c>
      <c r="AS10" s="444">
        <f>VLOOKUP(C10,#REF!,16,0)</f>
        <v/>
      </c>
      <c r="AT10" s="444">
        <f>R10-AS10</f>
        <v/>
      </c>
    </row>
    <row r="11" hidden="1" ht="22.5" customHeight="1" s="1264">
      <c r="A11" s="433" t="n">
        <v>7</v>
      </c>
      <c r="B11" s="434" t="inlineStr">
        <is>
          <t>Trường Sa</t>
        </is>
      </c>
      <c r="C11" s="447" t="inlineStr">
        <is>
          <t>Trần Thị Kim Khánh</t>
        </is>
      </c>
      <c r="D11" s="434" t="inlineStr">
        <is>
          <t>DSXC</t>
        </is>
      </c>
      <c r="E11" s="438" t="inlineStr">
        <is>
          <t>253.43</t>
        </is>
      </c>
      <c r="F11" s="438" t="inlineStr">
        <is>
          <t>31.43</t>
        </is>
      </c>
      <c r="G11" s="433" t="inlineStr">
        <is>
          <t>245.43</t>
        </is>
      </c>
      <c r="H11" s="433" t="inlineStr">
        <is>
          <t>31.43</t>
        </is>
      </c>
      <c r="I11" s="433" t="n">
        <v>8</v>
      </c>
      <c r="J11" s="417" t="n"/>
      <c r="K11" s="433" t="n">
        <v>0</v>
      </c>
      <c r="L11" s="417" t="n"/>
      <c r="M11" s="417" t="n"/>
      <c r="N11" s="433" t="n">
        <v>0</v>
      </c>
      <c r="O11" s="433" t="n">
        <v>0</v>
      </c>
      <c r="P11" s="433" t="n">
        <v>0</v>
      </c>
      <c r="Q11" s="417" t="n"/>
      <c r="R11" s="439" t="n">
        <v>29</v>
      </c>
      <c r="S11" s="433" t="inlineStr">
        <is>
          <t>0.00</t>
        </is>
      </c>
      <c r="T11" s="433" t="n">
        <v>0</v>
      </c>
      <c r="U11" s="417" t="n"/>
      <c r="V11" s="449" t="n"/>
      <c r="W11" s="417" t="n"/>
      <c r="X11" s="417" t="n"/>
      <c r="Y11" s="417" t="n"/>
      <c r="Z11" s="417" t="n"/>
      <c r="AA11" s="433" t="n">
        <v>0</v>
      </c>
      <c r="AB11" s="433" t="n">
        <v>0</v>
      </c>
      <c r="AC11" s="433" t="n">
        <v>0</v>
      </c>
      <c r="AD11" s="442" t="inlineStr">
        <is>
          <t>2,800,000</t>
        </is>
      </c>
      <c r="AE11" s="442" t="inlineStr">
        <is>
          <t>2,472,797</t>
        </is>
      </c>
      <c r="AF11" s="443" t="inlineStr">
        <is>
          <t>3,808,150</t>
        </is>
      </c>
      <c r="AG11" s="442" t="n">
        <v>46.851</v>
      </c>
      <c r="AH11" s="442" t="n">
        <v>0</v>
      </c>
      <c r="AI11" s="441" t="n"/>
      <c r="AJ11" s="433" t="n">
        <v>0</v>
      </c>
      <c r="AK11" s="433" t="n">
        <v>0</v>
      </c>
      <c r="AL11" s="433" t="n">
        <v>0</v>
      </c>
      <c r="AM11" s="433" t="n">
        <v>0</v>
      </c>
      <c r="AN11" s="433" t="n">
        <v>0</v>
      </c>
      <c r="AO11" s="433" t="n">
        <v>0</v>
      </c>
      <c r="AP11" s="433" t="n">
        <v>0</v>
      </c>
      <c r="AQ11" s="417" t="n"/>
      <c r="AR11" s="438" t="inlineStr">
        <is>
          <t>18.97</t>
        </is>
      </c>
      <c r="AS11" s="444">
        <f>VLOOKUP(C11,#REF!,16,0)</f>
        <v/>
      </c>
      <c r="AT11" s="444">
        <f>R11-AS11</f>
        <v/>
      </c>
    </row>
    <row r="12" hidden="1" ht="15.6" customHeight="1" s="1264">
      <c r="A12" s="433" t="n">
        <v>8</v>
      </c>
      <c r="B12" s="450" t="inlineStr">
        <is>
          <t>Đỗ Quang Đẩu</t>
        </is>
      </c>
      <c r="C12" s="447" t="inlineStr">
        <is>
          <t>Ngô Thị Thanh Thắm</t>
        </is>
      </c>
      <c r="D12" s="436" t="inlineStr">
        <is>
          <t>CHT</t>
        </is>
      </c>
      <c r="E12" s="451" t="inlineStr">
        <is>
          <t>183.01</t>
        </is>
      </c>
      <c r="F12" s="451" t="inlineStr">
        <is>
          <t>0.00</t>
        </is>
      </c>
      <c r="G12" s="433" t="inlineStr">
        <is>
          <t>183.01</t>
        </is>
      </c>
      <c r="H12" s="433" t="inlineStr">
        <is>
          <t>0.00</t>
        </is>
      </c>
      <c r="I12" s="417" t="n"/>
      <c r="J12" s="417" t="n"/>
      <c r="K12" s="433" t="n">
        <v>0</v>
      </c>
      <c r="L12" s="417" t="n"/>
      <c r="M12" s="417" t="n"/>
      <c r="N12" s="433" t="n">
        <v>0</v>
      </c>
      <c r="O12" s="433" t="n">
        <v>0</v>
      </c>
      <c r="P12" s="433" t="n">
        <v>0</v>
      </c>
      <c r="Q12" s="417" t="n"/>
      <c r="R12" s="452" t="n">
        <v>23</v>
      </c>
      <c r="S12" s="433" t="inlineStr">
        <is>
          <t>0.00</t>
        </is>
      </c>
      <c r="T12" s="433" t="n">
        <v>0</v>
      </c>
      <c r="U12" s="417" t="n"/>
      <c r="V12" s="446" t="inlineStr">
        <is>
          <t>2,000,000</t>
        </is>
      </c>
      <c r="W12" s="417" t="n"/>
      <c r="X12" s="417" t="n"/>
      <c r="Y12" s="417" t="n"/>
      <c r="Z12" s="417" t="n"/>
      <c r="AA12" s="433" t="n">
        <v>0</v>
      </c>
      <c r="AB12" s="433" t="n">
        <v>0</v>
      </c>
      <c r="AC12" s="433" t="inlineStr">
        <is>
          <t>2,681,852</t>
        </is>
      </c>
      <c r="AD12" s="433" t="n">
        <v>0</v>
      </c>
      <c r="AE12" s="433" t="n">
        <v>0</v>
      </c>
      <c r="AF12" s="453" t="n">
        <v>688.4</v>
      </c>
      <c r="AG12" s="433" t="n">
        <v>14.067</v>
      </c>
      <c r="AH12" s="433" t="n">
        <v>0</v>
      </c>
      <c r="AI12" s="454" t="inlineStr">
        <is>
          <t>1,000,000</t>
        </is>
      </c>
      <c r="AJ12" s="433" t="n">
        <v>0</v>
      </c>
      <c r="AK12" s="455" t="n">
        <v>0</v>
      </c>
      <c r="AL12" s="455" t="n">
        <v>0</v>
      </c>
      <c r="AM12" s="455" t="n">
        <v>0</v>
      </c>
      <c r="AN12" s="455" t="n">
        <v>0</v>
      </c>
      <c r="AO12" s="455" t="n">
        <v>0</v>
      </c>
      <c r="AP12" s="455" t="n">
        <v>0</v>
      </c>
      <c r="AQ12" s="417" t="n"/>
      <c r="AR12" s="438" t="inlineStr">
        <is>
          <t>9.03</t>
        </is>
      </c>
      <c r="AS12" s="444">
        <f>VLOOKUP(C12,#REF!,16,0)</f>
        <v/>
      </c>
      <c r="AT12" s="444">
        <f>R12-AS12</f>
        <v/>
      </c>
    </row>
    <row r="13" hidden="1" ht="31.2" customHeight="1" s="1264">
      <c r="A13" s="433" t="n">
        <v>9</v>
      </c>
      <c r="B13" s="450" t="inlineStr">
        <is>
          <t>Đỗ Quang Đẩu</t>
        </is>
      </c>
      <c r="C13" s="435" t="inlineStr">
        <is>
          <t>Dương Thị Huỳnh Như</t>
        </is>
      </c>
      <c r="D13" s="434" t="inlineStr">
        <is>
          <t>DSCD (TV)</t>
        </is>
      </c>
      <c r="E13" s="451" t="inlineStr">
        <is>
          <t>32.49</t>
        </is>
      </c>
      <c r="F13" s="451" t="inlineStr">
        <is>
          <t>0.00</t>
        </is>
      </c>
      <c r="G13" s="433" t="inlineStr">
        <is>
          <t>32.49</t>
        </is>
      </c>
      <c r="H13" s="433" t="inlineStr">
        <is>
          <t>0.00</t>
        </is>
      </c>
      <c r="I13" s="417" t="n"/>
      <c r="J13" s="417" t="n"/>
      <c r="K13" s="433" t="n">
        <v>29</v>
      </c>
      <c r="L13" s="417" t="n"/>
      <c r="M13" s="417" t="n"/>
      <c r="N13" s="433" t="n">
        <v>0</v>
      </c>
      <c r="O13" s="433" t="n">
        <v>0</v>
      </c>
      <c r="P13" s="433" t="n">
        <v>0</v>
      </c>
      <c r="Q13" s="417" t="n"/>
      <c r="R13" s="452" t="n">
        <v>4</v>
      </c>
      <c r="S13" s="433" t="inlineStr">
        <is>
          <t>0.00</t>
        </is>
      </c>
      <c r="T13" s="433" t="n">
        <v>0</v>
      </c>
      <c r="U13" s="417" t="n"/>
      <c r="V13" s="449" t="n"/>
      <c r="W13" s="417" t="n"/>
      <c r="X13" s="417" t="n"/>
      <c r="Y13" s="417" t="n"/>
      <c r="Z13" s="417" t="n"/>
      <c r="AA13" s="417" t="n"/>
      <c r="AB13" s="433" t="n">
        <v>0</v>
      </c>
      <c r="AC13" s="433" t="n">
        <v>0</v>
      </c>
      <c r="AD13" s="456" t="n"/>
      <c r="AE13" s="433" t="n">
        <v>0</v>
      </c>
      <c r="AF13" s="453" t="n">
        <v>0</v>
      </c>
      <c r="AG13" s="433" t="n">
        <v>0</v>
      </c>
      <c r="AH13" s="433" t="n">
        <v>0</v>
      </c>
      <c r="AI13" s="449" t="n"/>
      <c r="AJ13" s="433" t="n">
        <v>0</v>
      </c>
      <c r="AK13" s="455" t="n">
        <v>0</v>
      </c>
      <c r="AL13" s="455" t="n">
        <v>0</v>
      </c>
      <c r="AM13" s="455" t="n">
        <v>0</v>
      </c>
      <c r="AN13" s="455" t="n">
        <v>0</v>
      </c>
      <c r="AO13" s="455" t="n">
        <v>0</v>
      </c>
      <c r="AP13" s="455" t="n">
        <v>0</v>
      </c>
      <c r="AQ13" s="417" t="n"/>
      <c r="AR13" s="457" t="n">
        <v>1646333333</v>
      </c>
      <c r="AS13" s="444">
        <f>VLOOKUP(C13,#REF!,16,0)</f>
        <v/>
      </c>
      <c r="AT13" s="444">
        <f>R13-AS13</f>
        <v/>
      </c>
    </row>
    <row r="14" hidden="1" ht="31.2" customHeight="1" s="1264">
      <c r="A14" s="433" t="n">
        <v>10</v>
      </c>
      <c r="B14" s="450" t="inlineStr">
        <is>
          <t>Đỗ Quang Đẩu</t>
        </is>
      </c>
      <c r="C14" s="447" t="inlineStr">
        <is>
          <t>Phạm Thị Nghĩa Hương</t>
        </is>
      </c>
      <c r="D14" s="448" t="inlineStr">
        <is>
          <t>DSCD</t>
        </is>
      </c>
      <c r="E14" s="451" t="inlineStr">
        <is>
          <t>11.02</t>
        </is>
      </c>
      <c r="F14" s="451" t="inlineStr">
        <is>
          <t>230.26</t>
        </is>
      </c>
      <c r="G14" s="433" t="inlineStr">
        <is>
          <t>3.02</t>
        </is>
      </c>
      <c r="H14" s="433" t="inlineStr">
        <is>
          <t>230.26</t>
        </is>
      </c>
      <c r="I14" s="433" t="n">
        <v>8</v>
      </c>
      <c r="J14" s="417" t="n"/>
      <c r="K14" s="433" t="n">
        <v>31</v>
      </c>
      <c r="L14" s="417" t="n"/>
      <c r="M14" s="417" t="n"/>
      <c r="N14" s="433" t="n">
        <v>0</v>
      </c>
      <c r="O14" s="433" t="n">
        <v>0</v>
      </c>
      <c r="P14" s="433" t="n">
        <v>0</v>
      </c>
      <c r="Q14" s="417" t="n"/>
      <c r="R14" s="452" t="n">
        <v>29</v>
      </c>
      <c r="S14" s="433" t="inlineStr">
        <is>
          <t>0.00</t>
        </is>
      </c>
      <c r="T14" s="433" t="n">
        <v>0</v>
      </c>
      <c r="U14" s="417" t="n"/>
      <c r="V14" s="449" t="n"/>
      <c r="W14" s="417" t="n"/>
      <c r="X14" s="433" t="inlineStr">
        <is>
          <t>1,500,000</t>
        </is>
      </c>
      <c r="Y14" s="417" t="n"/>
      <c r="Z14" s="449" t="n"/>
      <c r="AA14" s="433" t="n">
        <v>0</v>
      </c>
      <c r="AB14" s="433" t="n">
        <v>0</v>
      </c>
      <c r="AC14" s="433" t="n">
        <v>340.044</v>
      </c>
      <c r="AD14" s="433" t="n">
        <v>0</v>
      </c>
      <c r="AE14" s="433" t="n">
        <v>0</v>
      </c>
      <c r="AF14" s="453" t="n">
        <v>629.1</v>
      </c>
      <c r="AG14" s="433" t="n">
        <v>7.55</v>
      </c>
      <c r="AH14" s="433" t="n">
        <v>0</v>
      </c>
      <c r="AI14" s="449" t="n"/>
      <c r="AJ14" s="433" t="n">
        <v>100</v>
      </c>
      <c r="AK14" s="455" t="n">
        <v>0</v>
      </c>
      <c r="AL14" s="455" t="n">
        <v>0</v>
      </c>
      <c r="AM14" s="458" t="n">
        <v>100</v>
      </c>
      <c r="AN14" s="455" t="n">
        <v>0</v>
      </c>
      <c r="AO14" s="455" t="n">
        <v>0</v>
      </c>
      <c r="AP14" s="455" t="n">
        <v>0</v>
      </c>
      <c r="AQ14" s="459" t="inlineStr">
        <is>
          <t>Sai thao tác (Sai kênh bán HD1180427): 100.000đ</t>
        </is>
      </c>
      <c r="AR14" s="438" t="inlineStr">
        <is>
          <t>10.95</t>
        </is>
      </c>
      <c r="AS14" s="444">
        <f>VLOOKUP(C14,#REF!,16,0)</f>
        <v/>
      </c>
      <c r="AT14" s="444">
        <f>R14-AS14</f>
        <v/>
      </c>
    </row>
    <row r="15" hidden="1" ht="15.6" customHeight="1" s="1264">
      <c r="A15" s="433" t="n">
        <v>11</v>
      </c>
      <c r="B15" s="450" t="inlineStr">
        <is>
          <t>Đỗ Quang Đẩu</t>
        </is>
      </c>
      <c r="C15" s="447" t="inlineStr">
        <is>
          <t>Trần Thiên Phát</t>
        </is>
      </c>
      <c r="D15" s="448" t="inlineStr">
        <is>
          <t>DSCD</t>
        </is>
      </c>
      <c r="E15" s="451" t="inlineStr">
        <is>
          <t>16.00</t>
        </is>
      </c>
      <c r="F15" s="451" t="inlineStr">
        <is>
          <t>245.44</t>
        </is>
      </c>
      <c r="G15" s="433" t="inlineStr">
        <is>
          <t>0.00</t>
        </is>
      </c>
      <c r="H15" s="433" t="inlineStr">
        <is>
          <t>245.44</t>
        </is>
      </c>
      <c r="I15" s="433" t="n">
        <v>16</v>
      </c>
      <c r="J15" s="417" t="n"/>
      <c r="K15" s="433" t="n">
        <v>0</v>
      </c>
      <c r="L15" s="417" t="n"/>
      <c r="M15" s="417" t="n"/>
      <c r="N15" s="433" t="n">
        <v>0</v>
      </c>
      <c r="O15" s="433" t="n">
        <v>0</v>
      </c>
      <c r="P15" s="433" t="n">
        <v>0</v>
      </c>
      <c r="Q15" s="417" t="n"/>
      <c r="R15" s="452" t="n">
        <v>31</v>
      </c>
      <c r="S15" s="433" t="inlineStr">
        <is>
          <t>0.00</t>
        </is>
      </c>
      <c r="T15" s="433" t="n">
        <v>0</v>
      </c>
      <c r="U15" s="417" t="n"/>
      <c r="V15" s="417" t="n"/>
      <c r="W15" s="417" t="n"/>
      <c r="X15" s="433" t="inlineStr">
        <is>
          <t>1,500,000</t>
        </is>
      </c>
      <c r="Y15" s="417" t="n"/>
      <c r="Z15" s="449" t="n"/>
      <c r="AA15" s="433" t="n">
        <v>0</v>
      </c>
      <c r="AB15" s="433" t="n">
        <v>0</v>
      </c>
      <c r="AC15" s="433" t="n">
        <v>375.112</v>
      </c>
      <c r="AD15" s="433" t="n">
        <v>0</v>
      </c>
      <c r="AE15" s="433" t="n">
        <v>0</v>
      </c>
      <c r="AF15" s="453" t="n">
        <v>867.6</v>
      </c>
      <c r="AG15" s="433" t="n">
        <v>4.035</v>
      </c>
      <c r="AH15" s="433" t="n">
        <v>0</v>
      </c>
      <c r="AI15" s="449" t="n"/>
      <c r="AJ15" s="433" t="n">
        <v>0</v>
      </c>
      <c r="AK15" s="455" t="n">
        <v>0</v>
      </c>
      <c r="AL15" s="455" t="n">
        <v>0</v>
      </c>
      <c r="AM15" s="458" t="n">
        <v>0</v>
      </c>
      <c r="AN15" s="455" t="n">
        <v>0</v>
      </c>
      <c r="AO15" s="455" t="n">
        <v>0</v>
      </c>
      <c r="AP15" s="455" t="n">
        <v>0</v>
      </c>
      <c r="AQ15" s="417" t="n"/>
      <c r="AR15" s="438" t="inlineStr">
        <is>
          <t>8.1</t>
        </is>
      </c>
      <c r="AS15" s="444">
        <f>VLOOKUP(C15,#REF!,16,0)</f>
        <v/>
      </c>
      <c r="AT15" s="444">
        <f>R15-AS15</f>
        <v/>
      </c>
    </row>
    <row r="16" hidden="1" ht="15.6" customHeight="1" s="1264">
      <c r="A16" s="433" t="n">
        <v>12</v>
      </c>
      <c r="B16" s="450" t="inlineStr">
        <is>
          <t>Đỗ Quang Đẩu</t>
        </is>
      </c>
      <c r="C16" s="435" t="inlineStr">
        <is>
          <t>Hoàng Lâm Gia Bảo</t>
        </is>
      </c>
      <c r="D16" s="434" t="inlineStr">
        <is>
          <t>DSXC</t>
        </is>
      </c>
      <c r="E16" s="451" t="inlineStr">
        <is>
          <t>44.77</t>
        </is>
      </c>
      <c r="F16" s="451" t="inlineStr">
        <is>
          <t>0.50</t>
        </is>
      </c>
      <c r="G16" s="433" t="inlineStr">
        <is>
          <t>28.77</t>
        </is>
      </c>
      <c r="H16" s="433" t="inlineStr">
        <is>
          <t>0.50</t>
        </is>
      </c>
      <c r="I16" s="433" t="n">
        <v>16</v>
      </c>
      <c r="J16" s="417" t="n"/>
      <c r="K16" s="433" t="n">
        <v>0</v>
      </c>
      <c r="L16" s="417" t="n"/>
      <c r="M16" s="417" t="n"/>
      <c r="N16" s="433" t="n">
        <v>0</v>
      </c>
      <c r="O16" s="433" t="n">
        <v>0</v>
      </c>
      <c r="P16" s="433" t="n">
        <v>0</v>
      </c>
      <c r="Q16" s="417" t="n"/>
      <c r="R16" s="452" t="n">
        <v>4</v>
      </c>
      <c r="S16" s="433" t="inlineStr">
        <is>
          <t>0.00</t>
        </is>
      </c>
      <c r="T16" s="433" t="n">
        <v>0</v>
      </c>
      <c r="U16" s="417" t="n"/>
      <c r="V16" s="449" t="n"/>
      <c r="W16" s="417" t="n"/>
      <c r="X16" s="417" t="n"/>
      <c r="Y16" s="417" t="n"/>
      <c r="Z16" s="449" t="n"/>
      <c r="AA16" s="417" t="n"/>
      <c r="AB16" s="433" t="n">
        <v>0</v>
      </c>
      <c r="AC16" s="433" t="n">
        <v>0</v>
      </c>
      <c r="AD16" s="417" t="n"/>
      <c r="AE16" s="433" t="n">
        <v>0</v>
      </c>
      <c r="AF16" s="453" t="n">
        <v>0</v>
      </c>
      <c r="AG16" s="433" t="n">
        <v>0</v>
      </c>
      <c r="AH16" s="433" t="n">
        <v>0</v>
      </c>
      <c r="AI16" s="449" t="n"/>
      <c r="AJ16" s="433" t="n">
        <v>0</v>
      </c>
      <c r="AK16" s="455" t="n">
        <v>0</v>
      </c>
      <c r="AL16" s="455" t="n">
        <v>0</v>
      </c>
      <c r="AM16" s="458" t="n">
        <v>0</v>
      </c>
      <c r="AN16" s="455" t="n">
        <v>0</v>
      </c>
      <c r="AO16" s="455" t="n">
        <v>0</v>
      </c>
      <c r="AP16" s="455" t="n">
        <v>0</v>
      </c>
      <c r="AQ16" s="417" t="n"/>
      <c r="AR16" s="438" t="inlineStr">
        <is>
          <t>16.93</t>
        </is>
      </c>
      <c r="AS16" s="444">
        <f>VLOOKUP(C16,#REF!,16,0)</f>
        <v/>
      </c>
      <c r="AT16" s="444">
        <f>R16-AS16</f>
        <v/>
      </c>
    </row>
    <row r="17" hidden="1" ht="31.2" customHeight="1" s="1264">
      <c r="A17" s="433" t="n">
        <v>13</v>
      </c>
      <c r="B17" s="450" t="inlineStr">
        <is>
          <t>Đỗ Quang Đẩu</t>
        </is>
      </c>
      <c r="C17" s="447" t="inlineStr">
        <is>
          <t>Hoàng Thanh Thủy</t>
        </is>
      </c>
      <c r="D17" s="434" t="inlineStr">
        <is>
          <t>DSXC</t>
        </is>
      </c>
      <c r="E17" s="451" t="inlineStr">
        <is>
          <t>262.37</t>
        </is>
      </c>
      <c r="F17" s="451" t="inlineStr">
        <is>
          <t>1.10</t>
        </is>
      </c>
      <c r="G17" s="433" t="inlineStr">
        <is>
          <t>246.37</t>
        </is>
      </c>
      <c r="H17" s="433" t="inlineStr">
        <is>
          <t>1.10</t>
        </is>
      </c>
      <c r="I17" s="433" t="n">
        <v>16</v>
      </c>
      <c r="J17" s="417" t="n"/>
      <c r="K17" s="433" t="n">
        <v>1</v>
      </c>
      <c r="L17" s="417" t="n"/>
      <c r="M17" s="417" t="n"/>
      <c r="N17" s="433" t="n">
        <v>0</v>
      </c>
      <c r="O17" s="433" t="n">
        <v>0</v>
      </c>
      <c r="P17" s="433" t="n">
        <v>0</v>
      </c>
      <c r="Q17" s="417" t="n"/>
      <c r="R17" s="452" t="n">
        <v>30</v>
      </c>
      <c r="S17" s="433" t="inlineStr">
        <is>
          <t>0.00</t>
        </is>
      </c>
      <c r="T17" s="433" t="n">
        <v>0</v>
      </c>
      <c r="U17" s="417" t="n"/>
      <c r="V17" s="417" t="n"/>
      <c r="W17" s="417" t="n"/>
      <c r="X17" s="417" t="n"/>
      <c r="Y17" s="417" t="n"/>
      <c r="Z17" s="449" t="n"/>
      <c r="AA17" s="433" t="n">
        <v>0</v>
      </c>
      <c r="AB17" s="433" t="n">
        <v>0</v>
      </c>
      <c r="AC17" s="433" t="inlineStr">
        <is>
          <t>3,697,588</t>
        </is>
      </c>
      <c r="AD17" s="433" t="n">
        <v>0</v>
      </c>
      <c r="AE17" s="433" t="n">
        <v>0</v>
      </c>
      <c r="AF17" s="453" t="inlineStr">
        <is>
          <t>1,723,400</t>
        </is>
      </c>
      <c r="AG17" s="433" t="n">
        <v>40.23</v>
      </c>
      <c r="AH17" s="433" t="n">
        <v>0</v>
      </c>
      <c r="AI17" s="449" t="n"/>
      <c r="AJ17" s="433" t="n">
        <v>100</v>
      </c>
      <c r="AK17" s="455" t="n">
        <v>0</v>
      </c>
      <c r="AL17" s="455" t="n">
        <v>0</v>
      </c>
      <c r="AM17" s="458" t="n">
        <v>100</v>
      </c>
      <c r="AN17" s="455" t="n">
        <v>0</v>
      </c>
      <c r="AO17" s="455" t="n">
        <v>0</v>
      </c>
      <c r="AP17" s="455" t="n">
        <v>0</v>
      </c>
      <c r="AQ17" s="459" t="inlineStr">
        <is>
          <t>Sai thao tác (Sai kênh bán HD1180947): 100.000đ</t>
        </is>
      </c>
      <c r="AR17" s="438" t="inlineStr">
        <is>
          <t>17.9</t>
        </is>
      </c>
      <c r="AS17" s="444">
        <f>VLOOKUP(C17,#REF!,16,0)</f>
        <v/>
      </c>
      <c r="AT17" s="444">
        <f>R17-AS17</f>
        <v/>
      </c>
    </row>
    <row r="18" hidden="1" ht="15.6" customHeight="1" s="1264">
      <c r="A18" s="433" t="n">
        <v>14</v>
      </c>
      <c r="B18" s="450" t="inlineStr">
        <is>
          <t>Đỗ Quang Đẩu</t>
        </is>
      </c>
      <c r="C18" s="447" t="inlineStr">
        <is>
          <t>Lê Thị Huyền Trân</t>
        </is>
      </c>
      <c r="D18" s="434" t="inlineStr">
        <is>
          <t>DSXC</t>
        </is>
      </c>
      <c r="E18" s="451" t="inlineStr">
        <is>
          <t>252.16</t>
        </is>
      </c>
      <c r="F18" s="451" t="inlineStr">
        <is>
          <t>8.08</t>
        </is>
      </c>
      <c r="G18" s="433" t="inlineStr">
        <is>
          <t>236.16</t>
        </is>
      </c>
      <c r="H18" s="433" t="inlineStr">
        <is>
          <t>8.08</t>
        </is>
      </c>
      <c r="I18" s="433" t="n">
        <v>16</v>
      </c>
      <c r="J18" s="417" t="n"/>
      <c r="K18" s="433" t="n">
        <v>6</v>
      </c>
      <c r="L18" s="417" t="n"/>
      <c r="M18" s="417" t="n"/>
      <c r="N18" s="433" t="n">
        <v>0</v>
      </c>
      <c r="O18" s="433" t="n">
        <v>0</v>
      </c>
      <c r="P18" s="433" t="n">
        <v>0</v>
      </c>
      <c r="Q18" s="417" t="n"/>
      <c r="R18" s="452" t="n">
        <v>30</v>
      </c>
      <c r="S18" s="433" t="inlineStr">
        <is>
          <t>0.00</t>
        </is>
      </c>
      <c r="T18" s="433" t="n">
        <v>0</v>
      </c>
      <c r="U18" s="417" t="n"/>
      <c r="V18" s="449" t="n"/>
      <c r="W18" s="417" t="n"/>
      <c r="X18" s="417" t="n"/>
      <c r="Y18" s="417" t="n"/>
      <c r="Z18" s="449" t="n"/>
      <c r="AA18" s="433" t="n">
        <v>0</v>
      </c>
      <c r="AB18" s="433" t="n">
        <v>0</v>
      </c>
      <c r="AC18" s="433" t="inlineStr">
        <is>
          <t>2,352,976</t>
        </is>
      </c>
      <c r="AD18" s="433" t="n">
        <v>0</v>
      </c>
      <c r="AE18" s="433" t="n">
        <v>0</v>
      </c>
      <c r="AF18" s="453" t="inlineStr">
        <is>
          <t>1,139,700</t>
        </is>
      </c>
      <c r="AG18" s="433" t="n">
        <v>37.807</v>
      </c>
      <c r="AH18" s="433" t="n">
        <v>160</v>
      </c>
      <c r="AI18" s="449" t="n"/>
      <c r="AJ18" s="433" t="n">
        <v>0</v>
      </c>
      <c r="AK18" s="455" t="n">
        <v>0</v>
      </c>
      <c r="AL18" s="455" t="n">
        <v>0</v>
      </c>
      <c r="AM18" s="455" t="n">
        <v>0</v>
      </c>
      <c r="AN18" s="455" t="n">
        <v>0</v>
      </c>
      <c r="AO18" s="455" t="n">
        <v>0</v>
      </c>
      <c r="AP18" s="455" t="n">
        <v>0</v>
      </c>
      <c r="AQ18" s="417" t="n"/>
      <c r="AR18" s="438" t="inlineStr">
        <is>
          <t>17.1</t>
        </is>
      </c>
      <c r="AS18" s="444">
        <f>VLOOKUP(C18,#REF!,16,0)</f>
        <v/>
      </c>
      <c r="AT18" s="444">
        <f>R18-AS18</f>
        <v/>
      </c>
    </row>
    <row r="19" hidden="1" ht="15.6" customHeight="1" s="1264">
      <c r="A19" s="433" t="n">
        <v>15</v>
      </c>
      <c r="B19" s="445" t="inlineStr">
        <is>
          <t>Minh Châu</t>
        </is>
      </c>
      <c r="C19" s="447" t="inlineStr">
        <is>
          <t>Thái Thùy Linh</t>
        </is>
      </c>
      <c r="D19" s="436" t="inlineStr">
        <is>
          <t>CHT</t>
        </is>
      </c>
      <c r="E19" s="438" t="inlineStr">
        <is>
          <t>202.49</t>
        </is>
      </c>
      <c r="F19" s="438" t="inlineStr">
        <is>
          <t>49.04</t>
        </is>
      </c>
      <c r="G19" s="433" t="inlineStr">
        <is>
          <t>197.49</t>
        </is>
      </c>
      <c r="H19" s="433" t="inlineStr">
        <is>
          <t>49.04</t>
        </is>
      </c>
      <c r="I19" s="460" t="n"/>
      <c r="J19" s="417" t="n"/>
      <c r="K19" s="433" t="n">
        <v>6</v>
      </c>
      <c r="L19" s="417" t="n"/>
      <c r="M19" s="417" t="n"/>
      <c r="N19" s="433" t="n">
        <v>0</v>
      </c>
      <c r="O19" s="433" t="n">
        <v>0</v>
      </c>
      <c r="P19" s="433" t="n">
        <v>0</v>
      </c>
      <c r="Q19" s="417" t="n"/>
      <c r="R19" s="433" t="n">
        <v>27</v>
      </c>
      <c r="S19" s="433" t="inlineStr">
        <is>
          <t>5.00</t>
        </is>
      </c>
      <c r="T19" s="433" t="n">
        <v>0</v>
      </c>
      <c r="U19" s="417" t="n"/>
      <c r="V19" s="446" t="inlineStr">
        <is>
          <t>1,500,000</t>
        </is>
      </c>
      <c r="W19" s="417" t="n"/>
      <c r="X19" s="417" t="n"/>
      <c r="Y19" s="417" t="n"/>
      <c r="Z19" s="417" t="n"/>
      <c r="AA19" s="461" t="n">
        <v>0</v>
      </c>
      <c r="AB19" s="458" t="n">
        <v>300</v>
      </c>
      <c r="AC19" s="461" t="n">
        <v>0</v>
      </c>
      <c r="AD19" s="455" t="n">
        <v>0</v>
      </c>
      <c r="AE19" s="455" t="n">
        <v>0</v>
      </c>
      <c r="AF19" s="462" t="inlineStr">
        <is>
          <t>1,446,150</t>
        </is>
      </c>
      <c r="AG19" s="455" t="n">
        <v>107.427</v>
      </c>
      <c r="AH19" s="455" t="n">
        <v>0</v>
      </c>
      <c r="AI19" s="458" t="n">
        <v>500</v>
      </c>
      <c r="AJ19" s="433" t="n">
        <v>0</v>
      </c>
      <c r="AK19" s="433" t="n">
        <v>0</v>
      </c>
      <c r="AL19" s="433" t="n">
        <v>0</v>
      </c>
      <c r="AM19" s="433" t="n">
        <v>0</v>
      </c>
      <c r="AN19" s="433" t="n">
        <v>0</v>
      </c>
      <c r="AO19" s="433" t="n">
        <v>0</v>
      </c>
      <c r="AP19" s="433" t="n">
        <v>0</v>
      </c>
      <c r="AQ19" s="417" t="n"/>
      <c r="AR19" s="438" t="inlineStr">
        <is>
          <t>16.1</t>
        </is>
      </c>
      <c r="AS19" s="444">
        <f>VLOOKUP(C19,#REF!,16,0)</f>
        <v/>
      </c>
      <c r="AT19" s="444">
        <f>R19-AS19</f>
        <v/>
      </c>
    </row>
    <row r="20" hidden="1" ht="15.6" customHeight="1" s="1264">
      <c r="A20" s="433" t="n">
        <v>16</v>
      </c>
      <c r="B20" s="445" t="inlineStr">
        <is>
          <t>Minh Châu</t>
        </is>
      </c>
      <c r="C20" s="435" t="inlineStr">
        <is>
          <t>Trịnh Thị Phượng</t>
        </is>
      </c>
      <c r="D20" s="448" t="inlineStr">
        <is>
          <t>DSCD</t>
        </is>
      </c>
      <c r="E20" s="438" t="inlineStr">
        <is>
          <t>0.00</t>
        </is>
      </c>
      <c r="F20" s="438" t="inlineStr">
        <is>
          <t>46.45</t>
        </is>
      </c>
      <c r="G20" s="433" t="inlineStr">
        <is>
          <t>0.00</t>
        </is>
      </c>
      <c r="H20" s="433" t="inlineStr">
        <is>
          <t>46.45</t>
        </is>
      </c>
      <c r="I20" s="460" t="n"/>
      <c r="J20" s="417" t="n"/>
      <c r="K20" s="433" t="n">
        <v>24</v>
      </c>
      <c r="L20" s="417" t="n"/>
      <c r="M20" s="417" t="n"/>
      <c r="N20" s="433" t="n">
        <v>0</v>
      </c>
      <c r="O20" s="433" t="n">
        <v>0</v>
      </c>
      <c r="P20" s="433" t="n">
        <v>0</v>
      </c>
      <c r="Q20" s="417" t="n"/>
      <c r="R20" s="433" t="n">
        <v>6</v>
      </c>
      <c r="S20" s="433" t="inlineStr">
        <is>
          <t>0.00</t>
        </is>
      </c>
      <c r="T20" s="433" t="n">
        <v>0</v>
      </c>
      <c r="U20" s="417" t="n"/>
      <c r="V20" s="449" t="n"/>
      <c r="W20" s="417" t="n"/>
      <c r="X20" s="433" t="n">
        <v>321.439</v>
      </c>
      <c r="Y20" s="417" t="n"/>
      <c r="Z20" s="417" t="n"/>
      <c r="AA20" s="461" t="n">
        <v>0</v>
      </c>
      <c r="AB20" s="461" t="n">
        <v>0</v>
      </c>
      <c r="AC20" s="461" t="n">
        <v>0</v>
      </c>
      <c r="AD20" s="463" t="n"/>
      <c r="AE20" s="455" t="inlineStr">
        <is>
          <t>1,301,447</t>
        </is>
      </c>
      <c r="AF20" s="462" t="n">
        <v>0</v>
      </c>
      <c r="AG20" s="455" t="n">
        <v>11.205</v>
      </c>
      <c r="AH20" s="455" t="n">
        <v>0</v>
      </c>
      <c r="AI20" s="464" t="n"/>
      <c r="AJ20" s="433" t="n">
        <v>0</v>
      </c>
      <c r="AK20" s="433" t="n">
        <v>0</v>
      </c>
      <c r="AL20" s="433" t="n">
        <v>0</v>
      </c>
      <c r="AM20" s="433" t="n">
        <v>0</v>
      </c>
      <c r="AN20" s="433" t="n">
        <v>0</v>
      </c>
      <c r="AO20" s="433" t="n">
        <v>0</v>
      </c>
      <c r="AP20" s="433" t="n">
        <v>0</v>
      </c>
      <c r="AQ20" s="417" t="n"/>
      <c r="AR20" s="438" t="inlineStr">
        <is>
          <t>15.93</t>
        </is>
      </c>
      <c r="AS20" s="444">
        <f>VLOOKUP(C20,#REF!,16,0)</f>
        <v/>
      </c>
      <c r="AT20" s="444">
        <f>R20-AS20</f>
        <v/>
      </c>
    </row>
    <row r="21" hidden="1" ht="46.8" customHeight="1" s="1264">
      <c r="A21" s="433" t="n">
        <v>17</v>
      </c>
      <c r="B21" s="445" t="inlineStr">
        <is>
          <t>Minh Châu</t>
        </is>
      </c>
      <c r="C21" s="435" t="inlineStr">
        <is>
          <t>Phan Công Vũ Tài</t>
        </is>
      </c>
      <c r="D21" s="434" t="inlineStr">
        <is>
          <t>DSXC</t>
        </is>
      </c>
      <c r="E21" s="438" t="inlineStr">
        <is>
          <t>69.75</t>
        </is>
      </c>
      <c r="F21" s="438" t="inlineStr">
        <is>
          <t>185.25</t>
        </is>
      </c>
      <c r="G21" s="433" t="inlineStr">
        <is>
          <t>53.75</t>
        </is>
      </c>
      <c r="H21" s="433" t="inlineStr">
        <is>
          <t>185.25</t>
        </is>
      </c>
      <c r="I21" s="465" t="n">
        <v>16</v>
      </c>
      <c r="J21" s="417" t="n"/>
      <c r="K21" s="433" t="n">
        <v>7</v>
      </c>
      <c r="L21" s="417" t="n"/>
      <c r="M21" s="417" t="n"/>
      <c r="N21" s="433" t="n">
        <v>0</v>
      </c>
      <c r="O21" s="433" t="n">
        <v>0</v>
      </c>
      <c r="P21" s="433" t="n">
        <v>0</v>
      </c>
      <c r="Q21" s="417" t="n"/>
      <c r="R21" s="433" t="n">
        <v>28</v>
      </c>
      <c r="S21" s="433" t="inlineStr">
        <is>
          <t>0.00</t>
        </is>
      </c>
      <c r="T21" s="433" t="n">
        <v>0</v>
      </c>
      <c r="U21" s="417" t="n"/>
      <c r="V21" s="449" t="n"/>
      <c r="W21" s="417" t="n"/>
      <c r="X21" s="433" t="inlineStr">
        <is>
          <t>1,285,714</t>
        </is>
      </c>
      <c r="Y21" s="417" t="n"/>
      <c r="Z21" s="417" t="n"/>
      <c r="AA21" s="461" t="n">
        <v>0</v>
      </c>
      <c r="AB21" s="461" t="n">
        <v>0</v>
      </c>
      <c r="AC21" s="461" t="n">
        <v>0</v>
      </c>
      <c r="AD21" s="455" t="inlineStr">
        <is>
          <t>4,000,000</t>
        </is>
      </c>
      <c r="AE21" s="455" t="inlineStr">
        <is>
          <t>2,145,059</t>
        </is>
      </c>
      <c r="AF21" s="462" t="inlineStr">
        <is>
          <t>4,854,450</t>
        </is>
      </c>
      <c r="AG21" s="455" t="n">
        <v>15.362</v>
      </c>
      <c r="AH21" s="455" t="n">
        <v>0</v>
      </c>
      <c r="AI21" s="464" t="n"/>
      <c r="AJ21" s="433" t="n">
        <v>190</v>
      </c>
      <c r="AK21" s="433" t="n">
        <v>0</v>
      </c>
      <c r="AL21" s="458" t="n">
        <v>0</v>
      </c>
      <c r="AM21" s="458" t="n">
        <v>100</v>
      </c>
      <c r="AN21" s="458" t="n">
        <v>0</v>
      </c>
      <c r="AO21" s="458" t="n">
        <v>90</v>
      </c>
      <c r="AP21" s="433" t="n">
        <v>0</v>
      </c>
      <c r="AQ21" s="466" t="inlineStr">
        <is>
          <t>Sai thao tác - xuất nhầm 2 HD chéo với nhau (HD1194853): 100.000đ 
Đối soát HD1133288</t>
        </is>
      </c>
      <c r="AR21" s="438" t="n">
        <v>24</v>
      </c>
      <c r="AS21" s="444">
        <f>VLOOKUP(C21,#REF!,16,0)</f>
        <v/>
      </c>
      <c r="AT21" s="444">
        <f>R21-AS21</f>
        <v/>
      </c>
    </row>
    <row r="22" hidden="1" ht="15.6" customHeight="1" s="1264">
      <c r="A22" s="433" t="n">
        <v>18</v>
      </c>
      <c r="B22" s="445" t="inlineStr">
        <is>
          <t>Minh Châu</t>
        </is>
      </c>
      <c r="C22" s="447" t="inlineStr">
        <is>
          <t>Đoàn Quốc Tâm</t>
        </is>
      </c>
      <c r="D22" s="434" t="inlineStr">
        <is>
          <t>DSXC</t>
        </is>
      </c>
      <c r="E22" s="438" t="inlineStr">
        <is>
          <t>283.54</t>
        </is>
      </c>
      <c r="F22" s="438" t="inlineStr">
        <is>
          <t>55.74</t>
        </is>
      </c>
      <c r="G22" s="433" t="inlineStr">
        <is>
          <t>265.04</t>
        </is>
      </c>
      <c r="H22" s="433" t="inlineStr">
        <is>
          <t>55.74</t>
        </is>
      </c>
      <c r="I22" s="465" t="n">
        <v>16</v>
      </c>
      <c r="J22" s="417" t="n"/>
      <c r="K22" s="433" t="n">
        <v>4</v>
      </c>
      <c r="L22" s="417" t="n"/>
      <c r="M22" s="417" t="n"/>
      <c r="N22" s="433" t="n">
        <v>0</v>
      </c>
      <c r="O22" s="433" t="n">
        <v>0</v>
      </c>
      <c r="P22" s="433" t="n">
        <v>0</v>
      </c>
      <c r="Q22" s="417" t="n"/>
      <c r="R22" s="433" t="n">
        <v>30</v>
      </c>
      <c r="S22" s="433" t="inlineStr">
        <is>
          <t>2.50</t>
        </is>
      </c>
      <c r="T22" s="433" t="n">
        <v>0</v>
      </c>
      <c r="U22" s="417" t="n"/>
      <c r="V22" s="449" t="n"/>
      <c r="W22" s="417" t="n"/>
      <c r="X22" s="417" t="n"/>
      <c r="Y22" s="417" t="n"/>
      <c r="Z22" s="417" t="n"/>
      <c r="AA22" s="461" t="n">
        <v>0</v>
      </c>
      <c r="AB22" s="461" t="n">
        <v>0</v>
      </c>
      <c r="AC22" s="461" t="n">
        <v>0</v>
      </c>
      <c r="AD22" s="455" t="inlineStr">
        <is>
          <t>1,000,000</t>
        </is>
      </c>
      <c r="AE22" s="455" t="n">
        <v>0</v>
      </c>
      <c r="AF22" s="462" t="inlineStr">
        <is>
          <t>3,048,900</t>
        </is>
      </c>
      <c r="AG22" s="455" t="n">
        <v>68.625</v>
      </c>
      <c r="AH22" s="455" t="n">
        <v>0</v>
      </c>
      <c r="AI22" s="463" t="n"/>
      <c r="AJ22" s="433" t="n">
        <v>0</v>
      </c>
      <c r="AK22" s="433" t="n">
        <v>0</v>
      </c>
      <c r="AL22" s="433" t="n">
        <v>0</v>
      </c>
      <c r="AM22" s="433" t="n">
        <v>0</v>
      </c>
      <c r="AN22" s="433" t="n">
        <v>0</v>
      </c>
      <c r="AO22" s="433" t="n">
        <v>0</v>
      </c>
      <c r="AP22" s="433" t="n">
        <v>0</v>
      </c>
      <c r="AQ22" s="417" t="n"/>
      <c r="AR22" s="438" t="inlineStr">
        <is>
          <t>16.41</t>
        </is>
      </c>
      <c r="AS22" s="444">
        <f>VLOOKUP(C22,#REF!,16,0)</f>
        <v/>
      </c>
      <c r="AT22" s="444">
        <f>R22-AS22</f>
        <v/>
      </c>
    </row>
    <row r="23" hidden="1" ht="31.2" customHeight="1" s="1264">
      <c r="A23" s="433" t="n">
        <v>19</v>
      </c>
      <c r="B23" s="445" t="inlineStr">
        <is>
          <t>Minh Châu</t>
        </is>
      </c>
      <c r="C23" s="447" t="inlineStr">
        <is>
          <t>Nguyễn Ngọc Thùy</t>
        </is>
      </c>
      <c r="D23" s="434" t="inlineStr">
        <is>
          <t>DSXC (TV)</t>
        </is>
      </c>
      <c r="E23" s="438" t="inlineStr">
        <is>
          <t>206.43</t>
        </is>
      </c>
      <c r="F23" s="438" t="inlineStr">
        <is>
          <t>32.22</t>
        </is>
      </c>
      <c r="G23" s="433" t="inlineStr">
        <is>
          <t>198.93</t>
        </is>
      </c>
      <c r="H23" s="433" t="inlineStr">
        <is>
          <t>32.22</t>
        </is>
      </c>
      <c r="I23" s="460" t="n"/>
      <c r="J23" s="417" t="n"/>
      <c r="K23" s="433" t="n">
        <v>24</v>
      </c>
      <c r="L23" s="417" t="n"/>
      <c r="M23" s="417" t="n"/>
      <c r="N23" s="433" t="n">
        <v>0</v>
      </c>
      <c r="O23" s="433" t="n">
        <v>0</v>
      </c>
      <c r="P23" s="433" t="n">
        <v>0</v>
      </c>
      <c r="Q23" s="417" t="n"/>
      <c r="R23" s="433" t="n">
        <v>28</v>
      </c>
      <c r="S23" s="433" t="inlineStr">
        <is>
          <t>7.50</t>
        </is>
      </c>
      <c r="T23" s="433" t="n">
        <v>0</v>
      </c>
      <c r="U23" s="417" t="n"/>
      <c r="V23" s="449" t="n"/>
      <c r="W23" s="417" t="n"/>
      <c r="X23" s="417" t="n"/>
      <c r="Y23" s="417" t="n"/>
      <c r="Z23" s="417" t="n"/>
      <c r="AA23" s="461" t="n">
        <v>0</v>
      </c>
      <c r="AB23" s="461" t="n">
        <v>0</v>
      </c>
      <c r="AC23" s="461" t="n">
        <v>0</v>
      </c>
      <c r="AD23" s="455" t="inlineStr">
        <is>
          <t>1,000,000</t>
        </is>
      </c>
      <c r="AE23" s="455" t="n">
        <v>0</v>
      </c>
      <c r="AF23" s="462" t="n">
        <v>380.88</v>
      </c>
      <c r="AG23" s="455" t="n">
        <v>0</v>
      </c>
      <c r="AH23" s="455" t="n">
        <v>0</v>
      </c>
      <c r="AI23" s="463" t="n"/>
      <c r="AJ23" s="433" t="n">
        <v>500</v>
      </c>
      <c r="AK23" s="433" t="n">
        <v>0</v>
      </c>
      <c r="AL23" s="433" t="n">
        <v>0</v>
      </c>
      <c r="AM23" s="433" t="n">
        <v>0</v>
      </c>
      <c r="AN23" s="433" t="n">
        <v>0</v>
      </c>
      <c r="AO23" s="433" t="n">
        <v>0</v>
      </c>
      <c r="AP23" s="458" t="n">
        <v>500</v>
      </c>
      <c r="AQ23" s="466" t="inlineStr">
        <is>
          <t>Khấu hao đồng phục</t>
        </is>
      </c>
      <c r="AR23" s="438" t="inlineStr">
        <is>
          <t>16.13</t>
        </is>
      </c>
      <c r="AS23" s="444">
        <f>VLOOKUP(C23,#REF!,16,0)</f>
        <v/>
      </c>
      <c r="AT23" s="444">
        <f>R23-AS23</f>
        <v/>
      </c>
    </row>
    <row r="24" ht="19.5" customHeight="1" s="1264">
      <c r="A24" s="433" t="n">
        <v>20</v>
      </c>
      <c r="B24" s="450" t="inlineStr">
        <is>
          <t>Nam Hòa</t>
        </is>
      </c>
      <c r="C24" s="435" t="inlineStr">
        <is>
          <t>Dương Thị Huỳnh Như</t>
        </is>
      </c>
      <c r="D24" s="434" t="inlineStr">
        <is>
          <t>DSCD (TV)</t>
        </is>
      </c>
      <c r="E24" s="438" t="inlineStr">
        <is>
          <t>0.92</t>
        </is>
      </c>
      <c r="F24" s="438" t="inlineStr">
        <is>
          <t>193.57</t>
        </is>
      </c>
      <c r="G24" s="433" t="inlineStr">
        <is>
          <t>0.92</t>
        </is>
      </c>
      <c r="H24" s="433" t="inlineStr">
        <is>
          <t>193.57</t>
        </is>
      </c>
      <c r="I24" s="417" t="n"/>
      <c r="J24" s="417" t="n"/>
      <c r="K24" s="433" t="n">
        <v>29</v>
      </c>
      <c r="L24" s="417" t="n"/>
      <c r="M24" s="417" t="n"/>
      <c r="N24" s="433" t="n">
        <v>0</v>
      </c>
      <c r="O24" s="433" t="n">
        <v>0</v>
      </c>
      <c r="P24" s="433" t="n">
        <v>0</v>
      </c>
      <c r="Q24" s="417" t="n"/>
      <c r="R24" s="433" t="n">
        <v>24</v>
      </c>
      <c r="S24" s="433" t="inlineStr">
        <is>
          <t>0.00</t>
        </is>
      </c>
      <c r="T24" s="433" t="n">
        <v>0</v>
      </c>
      <c r="U24" s="417" t="n"/>
      <c r="V24" s="449" t="n"/>
      <c r="W24" s="417" t="n"/>
      <c r="X24" s="433" t="inlineStr">
        <is>
          <t>1,285,714</t>
        </is>
      </c>
      <c r="Y24" s="417" t="n"/>
      <c r="Z24" s="417" t="n"/>
      <c r="AA24" s="433" t="n">
        <v>0</v>
      </c>
      <c r="AB24" s="433" t="n">
        <v>0</v>
      </c>
      <c r="AC24" s="433" t="n">
        <v>0</v>
      </c>
      <c r="AD24" s="433" t="n">
        <v>466.667</v>
      </c>
      <c r="AE24" s="433" t="n">
        <v>0</v>
      </c>
      <c r="AF24" s="453" t="n">
        <v>221.85</v>
      </c>
      <c r="AG24" s="433" t="n">
        <v>0</v>
      </c>
      <c r="AH24" s="433" t="n">
        <v>20</v>
      </c>
      <c r="AI24" s="449" t="n"/>
      <c r="AJ24" s="433" t="n">
        <v>0</v>
      </c>
      <c r="AK24" s="433" t="n">
        <v>0</v>
      </c>
      <c r="AL24" s="433" t="n">
        <v>0</v>
      </c>
      <c r="AM24" s="433" t="n">
        <v>0</v>
      </c>
      <c r="AN24" s="433" t="n">
        <v>0</v>
      </c>
      <c r="AO24" s="433" t="n">
        <v>0</v>
      </c>
      <c r="AP24" s="433" t="n">
        <v>0</v>
      </c>
      <c r="AQ24" s="417" t="n"/>
      <c r="AR24" s="457" t="n">
        <v>1646333333</v>
      </c>
      <c r="AS24" s="444">
        <f>VLOOKUP(C24,#REF!,16,0)</f>
        <v/>
      </c>
      <c r="AT24" s="444">
        <f>R24-AS24</f>
        <v/>
      </c>
    </row>
    <row r="25" ht="19.5" customHeight="1" s="1264">
      <c r="A25" s="433" t="n">
        <v>21</v>
      </c>
      <c r="B25" s="450" t="inlineStr">
        <is>
          <t>Nam Hòa</t>
        </is>
      </c>
      <c r="C25" s="447" t="inlineStr">
        <is>
          <t>Trần Thị Ánh Nguyệt</t>
        </is>
      </c>
      <c r="D25" s="448" t="inlineStr">
        <is>
          <t>DSCD</t>
        </is>
      </c>
      <c r="E25" s="438" t="inlineStr">
        <is>
          <t>18.21</t>
        </is>
      </c>
      <c r="F25" s="438" t="inlineStr">
        <is>
          <t>234.97</t>
        </is>
      </c>
      <c r="G25" s="433" t="inlineStr">
        <is>
          <t>10.21</t>
        </is>
      </c>
      <c r="H25" s="433" t="inlineStr">
        <is>
          <t>234.97</t>
        </is>
      </c>
      <c r="I25" s="433" t="n">
        <v>8</v>
      </c>
      <c r="J25" s="417" t="n"/>
      <c r="K25" s="433" t="n">
        <v>5</v>
      </c>
      <c r="L25" s="417" t="n"/>
      <c r="M25" s="417" t="n"/>
      <c r="N25" s="433" t="n">
        <v>0</v>
      </c>
      <c r="O25" s="433" t="n">
        <v>0</v>
      </c>
      <c r="P25" s="433" t="n">
        <v>0</v>
      </c>
      <c r="Q25" s="417" t="n"/>
      <c r="R25" s="433" t="n">
        <v>29</v>
      </c>
      <c r="S25" s="433" t="inlineStr">
        <is>
          <t>0.00</t>
        </is>
      </c>
      <c r="T25" s="433" t="n">
        <v>0</v>
      </c>
      <c r="U25" s="417" t="n"/>
      <c r="V25" s="449" t="n"/>
      <c r="W25" s="417" t="n"/>
      <c r="X25" s="433" t="inlineStr">
        <is>
          <t>1,500,000</t>
        </is>
      </c>
      <c r="Y25" s="417" t="n"/>
      <c r="Z25" s="417" t="n"/>
      <c r="AA25" s="433" t="n">
        <v>0</v>
      </c>
      <c r="AB25" s="433" t="n">
        <v>0</v>
      </c>
      <c r="AC25" s="433" t="n">
        <v>0</v>
      </c>
      <c r="AD25" s="433" t="inlineStr">
        <is>
          <t>1,600,000</t>
        </is>
      </c>
      <c r="AE25" s="433" t="n">
        <v>0</v>
      </c>
      <c r="AF25" s="453" t="inlineStr">
        <is>
          <t>2,444,050</t>
        </is>
      </c>
      <c r="AG25" s="433" t="n">
        <v>28.709</v>
      </c>
      <c r="AH25" s="433" t="n">
        <v>0</v>
      </c>
      <c r="AI25" s="458" t="n">
        <v>500</v>
      </c>
      <c r="AJ25" s="433" t="n">
        <v>0</v>
      </c>
      <c r="AK25" s="433" t="n">
        <v>0</v>
      </c>
      <c r="AL25" s="433" t="n">
        <v>0</v>
      </c>
      <c r="AM25" s="433" t="n">
        <v>0</v>
      </c>
      <c r="AN25" s="433" t="n">
        <v>0</v>
      </c>
      <c r="AO25" s="433" t="n">
        <v>0</v>
      </c>
      <c r="AP25" s="433" t="n">
        <v>0</v>
      </c>
      <c r="AQ25" s="417" t="n"/>
      <c r="AR25" s="438" t="inlineStr">
        <is>
          <t>11.45</t>
        </is>
      </c>
      <c r="AS25" s="444">
        <f>VLOOKUP(C25,#REF!,16,0)</f>
        <v/>
      </c>
      <c r="AT25" s="444">
        <f>R25-AS25</f>
        <v/>
      </c>
    </row>
    <row r="26" ht="19.5" customHeight="1" s="1264">
      <c r="A26" s="433" t="n">
        <v>22</v>
      </c>
      <c r="B26" s="450" t="inlineStr">
        <is>
          <t>Nam Hòa</t>
        </is>
      </c>
      <c r="C26" s="447" t="inlineStr">
        <is>
          <t>Đỗ Thị Kim Tiến</t>
        </is>
      </c>
      <c r="D26" s="434" t="inlineStr">
        <is>
          <t>DSCD (TV)</t>
        </is>
      </c>
      <c r="E26" s="438" t="inlineStr">
        <is>
          <t>20.11</t>
        </is>
      </c>
      <c r="F26" s="438" t="inlineStr">
        <is>
          <t>40.07</t>
        </is>
      </c>
      <c r="G26" s="433" t="inlineStr">
        <is>
          <t>20.11</t>
        </is>
      </c>
      <c r="H26" s="433" t="inlineStr">
        <is>
          <t>40.07</t>
        </is>
      </c>
      <c r="I26" s="417" t="n"/>
      <c r="J26" s="417" t="n"/>
      <c r="K26" s="433" t="n">
        <v>0</v>
      </c>
      <c r="L26" s="417" t="n"/>
      <c r="M26" s="417" t="n"/>
      <c r="N26" s="433" t="n">
        <v>0</v>
      </c>
      <c r="O26" s="433" t="n">
        <v>0</v>
      </c>
      <c r="P26" s="433" t="n">
        <v>0</v>
      </c>
      <c r="Q26" s="417" t="n"/>
      <c r="R26" s="433" t="n">
        <v>5</v>
      </c>
      <c r="S26" s="433" t="inlineStr">
        <is>
          <t>0.00</t>
        </is>
      </c>
      <c r="T26" s="433" t="n">
        <v>0</v>
      </c>
      <c r="U26" s="417" t="n"/>
      <c r="V26" s="449" t="n"/>
      <c r="W26" s="417" t="n"/>
      <c r="X26" s="433" t="n">
        <v>267.857</v>
      </c>
      <c r="Y26" s="417" t="n"/>
      <c r="Z26" s="417" t="n"/>
      <c r="AA26" s="433" t="n">
        <v>0</v>
      </c>
      <c r="AB26" s="433" t="n">
        <v>0</v>
      </c>
      <c r="AC26" s="433" t="n">
        <v>0</v>
      </c>
      <c r="AD26" s="433" t="n">
        <v>533.333</v>
      </c>
      <c r="AE26" s="433" t="n">
        <v>0</v>
      </c>
      <c r="AF26" s="453" t="n">
        <v>354.69</v>
      </c>
      <c r="AG26" s="433" t="n">
        <v>1.69</v>
      </c>
      <c r="AH26" s="433" t="n">
        <v>0</v>
      </c>
      <c r="AI26" s="449" t="n"/>
      <c r="AJ26" s="433" t="n">
        <v>100</v>
      </c>
      <c r="AK26" s="433" t="n">
        <v>0</v>
      </c>
      <c r="AL26" s="433" t="n">
        <v>0</v>
      </c>
      <c r="AM26" s="433" t="n">
        <v>100</v>
      </c>
      <c r="AN26" s="433" t="n">
        <v>0</v>
      </c>
      <c r="AO26" s="433" t="n">
        <v>0</v>
      </c>
      <c r="AP26" s="433" t="n">
        <v>0</v>
      </c>
      <c r="AQ26" s="466" t="inlineStr">
        <is>
          <t>Sai thao tác (Sai kênh bán HD1171985) : 100.000đ</t>
        </is>
      </c>
      <c r="AR26" s="438" t="inlineStr">
        <is>
          <t>12.12</t>
        </is>
      </c>
      <c r="AS26" s="444">
        <f>VLOOKUP(C26,#REF!,16,0)</f>
        <v/>
      </c>
      <c r="AT26" s="444">
        <f>R26-AS26</f>
        <v/>
      </c>
    </row>
    <row r="27" ht="19.5" customHeight="1" s="1264">
      <c r="A27" s="433" t="n">
        <v>23</v>
      </c>
      <c r="B27" s="450" t="inlineStr">
        <is>
          <t>Nam Hòa</t>
        </is>
      </c>
      <c r="C27" s="447" t="inlineStr">
        <is>
          <t>Bùi Thị Thanh Thủy</t>
        </is>
      </c>
      <c r="D27" s="434" t="inlineStr">
        <is>
          <t>DSXC (TV)</t>
        </is>
      </c>
      <c r="E27" s="438" t="inlineStr">
        <is>
          <t>306.98</t>
        </is>
      </c>
      <c r="F27" s="438" t="inlineStr">
        <is>
          <t>0.00</t>
        </is>
      </c>
      <c r="G27" s="433" t="inlineStr">
        <is>
          <t>290.98</t>
        </is>
      </c>
      <c r="H27" s="433" t="inlineStr">
        <is>
          <t>0.00</t>
        </is>
      </c>
      <c r="I27" s="433" t="n">
        <v>16</v>
      </c>
      <c r="J27" s="417" t="n"/>
      <c r="K27" s="433" t="n">
        <v>0</v>
      </c>
      <c r="L27" s="417" t="n"/>
      <c r="M27" s="417" t="n"/>
      <c r="N27" s="433" t="n">
        <v>0</v>
      </c>
      <c r="O27" s="433" t="n">
        <v>0</v>
      </c>
      <c r="P27" s="433" t="n">
        <v>0</v>
      </c>
      <c r="Q27" s="417" t="n"/>
      <c r="R27" s="433" t="n">
        <v>30</v>
      </c>
      <c r="S27" s="433" t="inlineStr">
        <is>
          <t>0.00</t>
        </is>
      </c>
      <c r="T27" s="433" t="n">
        <v>0</v>
      </c>
      <c r="U27" s="417" t="n"/>
      <c r="V27" s="449" t="n"/>
      <c r="W27" s="417" t="n"/>
      <c r="X27" s="417" t="n"/>
      <c r="Y27" s="417" t="n"/>
      <c r="Z27" s="417" t="n"/>
      <c r="AA27" s="433" t="n">
        <v>0</v>
      </c>
      <c r="AB27" s="433" t="n">
        <v>0</v>
      </c>
      <c r="AC27" s="433" t="n">
        <v>0</v>
      </c>
      <c r="AD27" s="433" t="inlineStr">
        <is>
          <t>1,000,000</t>
        </is>
      </c>
      <c r="AE27" s="433" t="n">
        <v>0</v>
      </c>
      <c r="AF27" s="453" t="n">
        <v>857.8</v>
      </c>
      <c r="AG27" s="433" t="n">
        <v>46.354</v>
      </c>
      <c r="AH27" s="433" t="n">
        <v>0</v>
      </c>
      <c r="AI27" s="449" t="n"/>
      <c r="AJ27" s="433" t="n">
        <v>255</v>
      </c>
      <c r="AK27" s="433" t="n">
        <v>0</v>
      </c>
      <c r="AL27" s="433" t="n">
        <v>0</v>
      </c>
      <c r="AM27" s="433" t="n">
        <v>0</v>
      </c>
      <c r="AN27" s="433" t="n">
        <v>0</v>
      </c>
      <c r="AO27" s="433" t="n">
        <v>255</v>
      </c>
      <c r="AP27" s="433" t="n">
        <v>0</v>
      </c>
      <c r="AQ27" s="466" t="inlineStr">
        <is>
          <t>Đối soát HD1147169</t>
        </is>
      </c>
      <c r="AR27" s="438" t="inlineStr">
        <is>
          <t>14.17</t>
        </is>
      </c>
      <c r="AS27" s="444">
        <f>VLOOKUP(C27,#REF!,16,0)</f>
        <v/>
      </c>
      <c r="AT27" s="444">
        <f>R27-AS27</f>
        <v/>
      </c>
    </row>
    <row r="28" ht="19.5" customHeight="1" s="1264">
      <c r="A28" s="433" t="n">
        <v>0</v>
      </c>
      <c r="B28" s="450" t="inlineStr">
        <is>
          <t>Nam Hòa</t>
        </is>
      </c>
      <c r="C28" s="435" t="inlineStr">
        <is>
          <t>Hoàng Lâm Gia Bảo</t>
        </is>
      </c>
      <c r="D28" s="434" t="inlineStr">
        <is>
          <t>DSXC</t>
        </is>
      </c>
      <c r="E28" s="438" t="inlineStr">
        <is>
          <t>0.00</t>
        </is>
      </c>
      <c r="F28" s="438" t="inlineStr">
        <is>
          <t>0.00</t>
        </is>
      </c>
      <c r="G28" s="433" t="inlineStr">
        <is>
          <t>0.00</t>
        </is>
      </c>
      <c r="H28" s="433" t="inlineStr">
        <is>
          <t>0.00</t>
        </is>
      </c>
      <c r="I28" s="417" t="n"/>
      <c r="J28" s="417" t="n"/>
      <c r="K28" s="433" t="n">
        <v>1</v>
      </c>
      <c r="L28" s="417" t="n"/>
      <c r="M28" s="417" t="n"/>
      <c r="N28" s="433" t="n">
        <v>0</v>
      </c>
      <c r="O28" s="433" t="n">
        <v>0</v>
      </c>
      <c r="P28" s="433" t="n">
        <v>0</v>
      </c>
      <c r="Q28" s="417" t="n"/>
      <c r="R28" s="433" t="n">
        <v>0</v>
      </c>
      <c r="S28" s="433" t="inlineStr">
        <is>
          <t>0.00</t>
        </is>
      </c>
      <c r="T28" s="433" t="n">
        <v>0</v>
      </c>
      <c r="U28" s="417" t="n"/>
      <c r="V28" s="449" t="n"/>
      <c r="W28" s="417" t="n"/>
      <c r="X28" s="417" t="n"/>
      <c r="Y28" s="417" t="n"/>
      <c r="Z28" s="417" t="n"/>
      <c r="AA28" s="417" t="n"/>
      <c r="AB28" s="433" t="n">
        <v>0</v>
      </c>
      <c r="AC28" s="433" t="n">
        <v>0</v>
      </c>
      <c r="AD28" s="417" t="n"/>
      <c r="AE28" s="433" t="n">
        <v>0</v>
      </c>
      <c r="AF28" s="453" t="n">
        <v>0</v>
      </c>
      <c r="AG28" s="433" t="n">
        <v>0</v>
      </c>
      <c r="AH28" s="433" t="n">
        <v>0</v>
      </c>
      <c r="AI28" s="449" t="n"/>
      <c r="AJ28" s="433" t="n">
        <v>0</v>
      </c>
      <c r="AK28" s="433" t="n">
        <v>0</v>
      </c>
      <c r="AL28" s="433" t="n">
        <v>0</v>
      </c>
      <c r="AM28" s="433" t="n">
        <v>0</v>
      </c>
      <c r="AN28" s="433" t="n">
        <v>0</v>
      </c>
      <c r="AO28" s="433" t="n">
        <v>0</v>
      </c>
      <c r="AP28" s="433" t="n">
        <v>0</v>
      </c>
      <c r="AQ28" s="417" t="n"/>
      <c r="AR28" s="438" t="inlineStr">
        <is>
          <t>16.93</t>
        </is>
      </c>
      <c r="AS28" s="444">
        <f>VLOOKUP(C28,#REF!,16,0)</f>
        <v/>
      </c>
      <c r="AT28" s="444">
        <f>R28-AS28</f>
        <v/>
      </c>
    </row>
    <row r="29" ht="19.5" customHeight="1" s="1264">
      <c r="A29" s="433" t="n">
        <v>0</v>
      </c>
      <c r="B29" s="450" t="inlineStr">
        <is>
          <t>Nam Hòa</t>
        </is>
      </c>
      <c r="C29" s="435" t="inlineStr">
        <is>
          <t>Nguyễn Thị Huyền Trang</t>
        </is>
      </c>
      <c r="D29" s="434" t="inlineStr">
        <is>
          <t>DSXC (TV)</t>
        </is>
      </c>
      <c r="E29" s="438" t="inlineStr">
        <is>
          <t>295.10</t>
        </is>
      </c>
      <c r="F29" s="438" t="inlineStr">
        <is>
          <t>7.75</t>
        </is>
      </c>
      <c r="G29" s="433" t="inlineStr">
        <is>
          <t>279.10</t>
        </is>
      </c>
      <c r="H29" s="433" t="inlineStr">
        <is>
          <t>7.75</t>
        </is>
      </c>
      <c r="I29" s="433" t="n">
        <v>16</v>
      </c>
      <c r="J29" s="417" t="n"/>
      <c r="K29" s="433" t="n">
        <v>1</v>
      </c>
      <c r="L29" s="417" t="n"/>
      <c r="M29" s="417" t="n"/>
      <c r="N29" s="433" t="n">
        <v>0</v>
      </c>
      <c r="O29" s="433" t="n">
        <v>0</v>
      </c>
      <c r="P29" s="433" t="n">
        <v>0</v>
      </c>
      <c r="Q29" s="417" t="n"/>
      <c r="R29" s="433" t="n">
        <v>30</v>
      </c>
      <c r="S29" s="433" t="inlineStr">
        <is>
          <t>0.00</t>
        </is>
      </c>
      <c r="T29" s="433" t="n">
        <v>0</v>
      </c>
      <c r="U29" s="417" t="n"/>
      <c r="V29" s="449" t="n"/>
      <c r="W29" s="417" t="n"/>
      <c r="X29" s="417" t="n"/>
      <c r="Y29" s="417" t="n"/>
      <c r="Z29" s="417" t="n"/>
      <c r="AA29" s="433" t="n">
        <v>0</v>
      </c>
      <c r="AB29" s="433" t="n">
        <v>0</v>
      </c>
      <c r="AC29" s="417" t="n"/>
      <c r="AD29" s="433" t="inlineStr">
        <is>
          <t>1,000,000</t>
        </is>
      </c>
      <c r="AE29" s="433" t="n">
        <v>0</v>
      </c>
      <c r="AF29" s="453" t="n">
        <v>751.7</v>
      </c>
      <c r="AG29" s="433" t="n">
        <v>35.008</v>
      </c>
      <c r="AH29" s="433" t="n">
        <v>0</v>
      </c>
      <c r="AI29" s="449" t="n"/>
      <c r="AJ29" s="433" t="n">
        <v>89</v>
      </c>
      <c r="AK29" s="433" t="n">
        <v>0</v>
      </c>
      <c r="AL29" s="433" t="n">
        <v>0</v>
      </c>
      <c r="AM29" s="433" t="n">
        <v>0</v>
      </c>
      <c r="AN29" s="433" t="n">
        <v>0</v>
      </c>
      <c r="AO29" s="433" t="n">
        <v>89</v>
      </c>
      <c r="AP29" s="433" t="n">
        <v>0</v>
      </c>
      <c r="AQ29" s="466" t="inlineStr">
        <is>
          <t>Đối soát HD1142672</t>
        </is>
      </c>
      <c r="AR29" s="438" t="inlineStr">
        <is>
          <t>14.13</t>
        </is>
      </c>
      <c r="AS29" s="444">
        <f>VLOOKUP(C29,#REF!,16,0)</f>
        <v/>
      </c>
      <c r="AT29" s="444">
        <f>R29-AS29</f>
        <v/>
      </c>
    </row>
    <row r="30" ht="19.5" customHeight="1" s="1264">
      <c r="A30" s="433" t="n">
        <v>0</v>
      </c>
      <c r="B30" s="450" t="inlineStr">
        <is>
          <t>Nam Hòa</t>
        </is>
      </c>
      <c r="C30" s="435" t="inlineStr">
        <is>
          <t>Phan Công Vũ Tài</t>
        </is>
      </c>
      <c r="D30" s="434" t="inlineStr">
        <is>
          <t>DSXC</t>
        </is>
      </c>
      <c r="E30" s="438" t="inlineStr">
        <is>
          <t>108.24</t>
        </is>
      </c>
      <c r="F30" s="438" t="inlineStr">
        <is>
          <t>7.08</t>
        </is>
      </c>
      <c r="G30" s="433" t="inlineStr">
        <is>
          <t>108.24</t>
        </is>
      </c>
      <c r="H30" s="433" t="inlineStr">
        <is>
          <t>7.08</t>
        </is>
      </c>
      <c r="I30" s="417" t="n"/>
      <c r="J30" s="417" t="n"/>
      <c r="K30" s="433" t="n">
        <v>0</v>
      </c>
      <c r="L30" s="417" t="n"/>
      <c r="M30" s="417" t="n"/>
      <c r="N30" s="433" t="n">
        <v>0</v>
      </c>
      <c r="O30" s="433" t="n">
        <v>0</v>
      </c>
      <c r="P30" s="433" t="n">
        <v>0</v>
      </c>
      <c r="Q30" s="417" t="n"/>
      <c r="R30" s="433" t="n">
        <v>16</v>
      </c>
      <c r="S30" s="433" t="inlineStr">
        <is>
          <t>0.00</t>
        </is>
      </c>
      <c r="T30" s="433" t="n">
        <v>0</v>
      </c>
      <c r="U30" s="417" t="n"/>
      <c r="V30" s="449" t="n"/>
      <c r="W30" s="417" t="n"/>
      <c r="X30" s="417" t="n"/>
      <c r="Y30" s="433" t="inlineStr">
        <is>
          <t>1,500,000</t>
        </is>
      </c>
      <c r="Z30" s="433" t="inlineStr">
        <is>
          <t>2,000,000</t>
        </is>
      </c>
      <c r="AA30" s="417" t="n"/>
      <c r="AB30" s="433" t="n">
        <v>0</v>
      </c>
      <c r="AC30" s="417" t="n"/>
      <c r="AD30" s="417" t="n"/>
      <c r="AE30" s="433" t="n">
        <v>0</v>
      </c>
      <c r="AF30" s="453" t="n">
        <v>0</v>
      </c>
      <c r="AG30" s="433" t="n">
        <v>15.362</v>
      </c>
      <c r="AH30" s="433" t="n">
        <v>0</v>
      </c>
      <c r="AI30" s="449" t="n"/>
      <c r="AJ30" s="433" t="n">
        <v>0</v>
      </c>
      <c r="AK30" s="433" t="n">
        <v>0</v>
      </c>
      <c r="AL30" s="433" t="n">
        <v>0</v>
      </c>
      <c r="AM30" s="433" t="n">
        <v>0</v>
      </c>
      <c r="AN30" s="433" t="n">
        <v>0</v>
      </c>
      <c r="AO30" s="433" t="n">
        <v>0</v>
      </c>
      <c r="AP30" s="433" t="n">
        <v>0</v>
      </c>
      <c r="AQ30" s="417" t="n"/>
      <c r="AR30" s="438" t="n">
        <v>24</v>
      </c>
      <c r="AS30" s="444">
        <f>VLOOKUP(C30,#REF!,16,0)</f>
        <v/>
      </c>
      <c r="AT30" s="444">
        <f>R30-AS30</f>
        <v/>
      </c>
    </row>
    <row r="31" ht="19.5" customHeight="1" s="1264">
      <c r="A31" s="433" t="n">
        <v>0</v>
      </c>
      <c r="B31" s="450" t="inlineStr">
        <is>
          <t>Nam Hòa</t>
        </is>
      </c>
      <c r="C31" s="447" t="inlineStr">
        <is>
          <t>Trần Linh Khải</t>
        </is>
      </c>
      <c r="D31" s="434" t="inlineStr">
        <is>
          <t>DSXC (TV)</t>
        </is>
      </c>
      <c r="E31" s="438" t="inlineStr">
        <is>
          <t>8.25</t>
        </is>
      </c>
      <c r="F31" s="438" t="inlineStr">
        <is>
          <t>0.00</t>
        </is>
      </c>
      <c r="G31" s="433" t="inlineStr">
        <is>
          <t>8.25</t>
        </is>
      </c>
      <c r="H31" s="433" t="inlineStr">
        <is>
          <t>0.00</t>
        </is>
      </c>
      <c r="I31" s="417" t="n"/>
      <c r="J31" s="417" t="n"/>
      <c r="K31" s="433" t="n">
        <v>0</v>
      </c>
      <c r="L31" s="417" t="n"/>
      <c r="M31" s="417" t="n"/>
      <c r="N31" s="433" t="n">
        <v>0</v>
      </c>
      <c r="O31" s="433" t="n">
        <v>0</v>
      </c>
      <c r="P31" s="433" t="n">
        <v>0</v>
      </c>
      <c r="Q31" s="417" t="n"/>
      <c r="R31" s="433" t="n">
        <v>1</v>
      </c>
      <c r="S31" s="433" t="inlineStr">
        <is>
          <t>0.00</t>
        </is>
      </c>
      <c r="T31" s="433" t="n">
        <v>0</v>
      </c>
      <c r="U31" s="417" t="n"/>
      <c r="V31" s="417" t="n"/>
      <c r="W31" s="417" t="n"/>
      <c r="X31" s="417" t="n"/>
      <c r="Y31" s="417" t="n"/>
      <c r="Z31" s="417" t="n"/>
      <c r="AA31" s="417" t="n"/>
      <c r="AB31" s="433" t="n">
        <v>0</v>
      </c>
      <c r="AC31" s="417" t="n"/>
      <c r="AD31" s="417" t="n"/>
      <c r="AE31" s="433" t="n">
        <v>0</v>
      </c>
      <c r="AF31" s="453" t="n">
        <v>0</v>
      </c>
      <c r="AG31" s="433" t="n">
        <v>0</v>
      </c>
      <c r="AH31" s="433" t="n">
        <v>0</v>
      </c>
      <c r="AI31" s="449" t="n"/>
      <c r="AJ31" s="433" t="n">
        <v>0</v>
      </c>
      <c r="AK31" s="433" t="n">
        <v>0</v>
      </c>
      <c r="AL31" s="433" t="n">
        <v>0</v>
      </c>
      <c r="AM31" s="433" t="n">
        <v>0</v>
      </c>
      <c r="AN31" s="433" t="n">
        <v>0</v>
      </c>
      <c r="AO31" s="433" t="n">
        <v>0</v>
      </c>
      <c r="AP31" s="433" t="n">
        <v>0</v>
      </c>
      <c r="AQ31" s="417" t="n"/>
      <c r="AR31" s="438" t="inlineStr">
        <is>
          <t>8.25</t>
        </is>
      </c>
      <c r="AS31" s="444">
        <f>VLOOKUP(C31,#REF!,16,0)</f>
        <v/>
      </c>
      <c r="AT31" s="444">
        <f>R31-AS31</f>
        <v/>
      </c>
    </row>
    <row r="32" hidden="1" ht="15.6" customHeight="1" s="1264">
      <c r="A32" s="433" t="n">
        <v>0</v>
      </c>
      <c r="B32" s="450" t="inlineStr">
        <is>
          <t>Nguyễn Chí Thanh</t>
        </is>
      </c>
      <c r="C32" s="447" t="inlineStr">
        <is>
          <t>Lê Thị Quỳnh Trâm</t>
        </is>
      </c>
      <c r="D32" s="445" t="inlineStr">
        <is>
          <t>Q.CHT</t>
        </is>
      </c>
      <c r="E32" s="438" t="inlineStr">
        <is>
          <t>242.40</t>
        </is>
      </c>
      <c r="F32" s="438" t="inlineStr">
        <is>
          <t>0.00</t>
        </is>
      </c>
      <c r="G32" s="433" t="inlineStr">
        <is>
          <t>242.40</t>
        </is>
      </c>
      <c r="H32" s="433" t="inlineStr">
        <is>
          <t>0.00</t>
        </is>
      </c>
      <c r="I32" s="417" t="n"/>
      <c r="J32" s="417" t="n"/>
      <c r="K32" s="433" t="n">
        <v>28</v>
      </c>
      <c r="L32" s="417" t="n"/>
      <c r="M32" s="417" t="n"/>
      <c r="N32" s="433" t="n">
        <v>0</v>
      </c>
      <c r="O32" s="433" t="n">
        <v>0</v>
      </c>
      <c r="P32" s="433" t="n">
        <v>0</v>
      </c>
      <c r="Q32" s="417" t="n"/>
      <c r="R32" s="433" t="n">
        <v>28</v>
      </c>
      <c r="S32" s="433" t="inlineStr">
        <is>
          <t>0.00</t>
        </is>
      </c>
      <c r="T32" s="433" t="n">
        <v>0</v>
      </c>
      <c r="U32" s="417" t="n"/>
      <c r="V32" s="446" t="n">
        <v>500</v>
      </c>
      <c r="W32" s="417" t="n"/>
      <c r="X32" s="417" t="n"/>
      <c r="Y32" s="417" t="n"/>
      <c r="Z32" s="417" t="n"/>
      <c r="AA32" s="433" t="n">
        <v>0</v>
      </c>
      <c r="AB32" s="433" t="n">
        <v>0</v>
      </c>
      <c r="AC32" s="417" t="n"/>
      <c r="AD32" s="417" t="n"/>
      <c r="AE32" s="433" t="n">
        <v>0</v>
      </c>
      <c r="AF32" s="453" t="n">
        <v>629.3</v>
      </c>
      <c r="AG32" s="433" t="n">
        <v>12.626</v>
      </c>
      <c r="AH32" s="433" t="n">
        <v>0</v>
      </c>
      <c r="AI32" s="449" t="n"/>
      <c r="AJ32" s="433" t="n">
        <v>0</v>
      </c>
      <c r="AK32" s="433" t="n">
        <v>0</v>
      </c>
      <c r="AL32" s="433" t="n">
        <v>0</v>
      </c>
      <c r="AM32" s="433" t="n">
        <v>0</v>
      </c>
      <c r="AN32" s="433" t="n">
        <v>0</v>
      </c>
      <c r="AO32" s="433" t="n">
        <v>0</v>
      </c>
      <c r="AP32" s="433" t="n">
        <v>0</v>
      </c>
      <c r="AQ32" s="417" t="n"/>
      <c r="AR32" s="438" t="inlineStr">
        <is>
          <t>14.17</t>
        </is>
      </c>
      <c r="AS32" s="444">
        <f>VLOOKUP(C32,#REF!,16,0)</f>
        <v/>
      </c>
      <c r="AT32" s="444">
        <f>R32-AS32</f>
        <v/>
      </c>
    </row>
    <row r="33" hidden="1" ht="15.6" customHeight="1" s="1264">
      <c r="A33" s="433" t="n">
        <v>0</v>
      </c>
      <c r="B33" s="450" t="inlineStr">
        <is>
          <t>Nguyễn Chí Thanh</t>
        </is>
      </c>
      <c r="C33" s="447" t="inlineStr">
        <is>
          <t>Nguyễn Thị Hồng Hạnh</t>
        </is>
      </c>
      <c r="D33" s="448" t="inlineStr">
        <is>
          <t>DSCD</t>
        </is>
      </c>
      <c r="E33" s="438" t="inlineStr">
        <is>
          <t>0.00</t>
        </is>
      </c>
      <c r="F33" s="438" t="inlineStr">
        <is>
          <t>219.36</t>
        </is>
      </c>
      <c r="G33" s="433" t="inlineStr">
        <is>
          <t>0.00</t>
        </is>
      </c>
      <c r="H33" s="433" t="inlineStr">
        <is>
          <t>219.36</t>
        </is>
      </c>
      <c r="I33" s="417" t="n"/>
      <c r="J33" s="417" t="n"/>
      <c r="K33" s="433" t="n">
        <v>30</v>
      </c>
      <c r="L33" s="417" t="n"/>
      <c r="M33" s="417" t="n"/>
      <c r="N33" s="433" t="n">
        <v>0</v>
      </c>
      <c r="O33" s="433" t="n">
        <v>0</v>
      </c>
      <c r="P33" s="433" t="n">
        <v>0</v>
      </c>
      <c r="Q33" s="417" t="n"/>
      <c r="R33" s="433" t="n">
        <v>28</v>
      </c>
      <c r="S33" s="433" t="inlineStr">
        <is>
          <t>0.00</t>
        </is>
      </c>
      <c r="T33" s="433" t="n">
        <v>0</v>
      </c>
      <c r="U33" s="417" t="n"/>
      <c r="V33" s="449" t="n"/>
      <c r="W33" s="417" t="n"/>
      <c r="X33" s="433" t="inlineStr">
        <is>
          <t>1,500,000</t>
        </is>
      </c>
      <c r="Y33" s="417" t="n"/>
      <c r="Z33" s="417" t="n"/>
      <c r="AA33" s="433" t="n">
        <v>0</v>
      </c>
      <c r="AB33" s="433" t="n">
        <v>0</v>
      </c>
      <c r="AC33" s="417" t="n"/>
      <c r="AD33" s="417" t="n"/>
      <c r="AE33" s="433" t="n">
        <v>0</v>
      </c>
      <c r="AF33" s="453" t="inlineStr">
        <is>
          <t>1,651,900</t>
        </is>
      </c>
      <c r="AG33" s="433" t="n">
        <v>9.105</v>
      </c>
      <c r="AH33" s="433" t="n">
        <v>0</v>
      </c>
      <c r="AI33" s="449" t="n"/>
      <c r="AJ33" s="433" t="n">
        <v>0</v>
      </c>
      <c r="AK33" s="433" t="n">
        <v>0</v>
      </c>
      <c r="AL33" s="433" t="n">
        <v>0</v>
      </c>
      <c r="AM33" s="433" t="n">
        <v>0</v>
      </c>
      <c r="AN33" s="433" t="n">
        <v>0</v>
      </c>
      <c r="AO33" s="433" t="n">
        <v>0</v>
      </c>
      <c r="AP33" s="433" t="n">
        <v>0</v>
      </c>
      <c r="AQ33" s="417" t="n"/>
      <c r="AR33" s="438" t="inlineStr">
        <is>
          <t>8.1</t>
        </is>
      </c>
      <c r="AS33" s="444">
        <f>VLOOKUP(C33,#REF!,16,0)</f>
        <v/>
      </c>
      <c r="AT33" s="444">
        <f>R33-AS33</f>
        <v/>
      </c>
    </row>
    <row r="34" hidden="1" ht="15.6" customHeight="1" s="1264">
      <c r="A34" s="433" t="n">
        <v>30</v>
      </c>
      <c r="B34" s="450" t="inlineStr">
        <is>
          <t>Nguyễn Chí Thanh</t>
        </is>
      </c>
      <c r="C34" s="447" t="inlineStr">
        <is>
          <t>Trần Hoàng Khánh</t>
        </is>
      </c>
      <c r="D34" s="448" t="inlineStr">
        <is>
          <t>DSCD</t>
        </is>
      </c>
      <c r="E34" s="438" t="inlineStr">
        <is>
          <t>23.83</t>
        </is>
      </c>
      <c r="F34" s="438" t="inlineStr">
        <is>
          <t>235.50</t>
        </is>
      </c>
      <c r="G34" s="433" t="inlineStr">
        <is>
          <t>7.83</t>
        </is>
      </c>
      <c r="H34" s="433" t="inlineStr">
        <is>
          <t>235.50</t>
        </is>
      </c>
      <c r="I34" s="433" t="n">
        <v>16</v>
      </c>
      <c r="J34" s="417" t="n"/>
      <c r="K34" s="433" t="n">
        <v>0</v>
      </c>
      <c r="L34" s="417" t="n"/>
      <c r="M34" s="417" t="n"/>
      <c r="N34" s="433" t="n">
        <v>0</v>
      </c>
      <c r="O34" s="433" t="n">
        <v>0</v>
      </c>
      <c r="P34" s="433" t="n">
        <v>0</v>
      </c>
      <c r="Q34" s="417" t="n"/>
      <c r="R34" s="433" t="n">
        <v>30</v>
      </c>
      <c r="S34" s="433" t="inlineStr">
        <is>
          <t>0.00</t>
        </is>
      </c>
      <c r="T34" s="433" t="n">
        <v>0</v>
      </c>
      <c r="U34" s="417" t="n"/>
      <c r="V34" s="449" t="n"/>
      <c r="W34" s="417" t="n"/>
      <c r="X34" s="433" t="inlineStr">
        <is>
          <t>1,500,000</t>
        </is>
      </c>
      <c r="Y34" s="417" t="n"/>
      <c r="Z34" s="417" t="n"/>
      <c r="AA34" s="433" t="n">
        <v>0</v>
      </c>
      <c r="AB34" s="433" t="n">
        <v>0</v>
      </c>
      <c r="AC34" s="417" t="n"/>
      <c r="AD34" s="433" t="n">
        <v>500</v>
      </c>
      <c r="AE34" s="433" t="n">
        <v>0</v>
      </c>
      <c r="AF34" s="453" t="inlineStr">
        <is>
          <t>2,122,400</t>
        </is>
      </c>
      <c r="AG34" s="433" t="n">
        <v>2.5</v>
      </c>
      <c r="AH34" s="433" t="n">
        <v>0</v>
      </c>
      <c r="AI34" s="449" t="n"/>
      <c r="AJ34" s="433" t="n">
        <v>38</v>
      </c>
      <c r="AK34" s="433" t="n">
        <v>0</v>
      </c>
      <c r="AL34" s="433" t="n">
        <v>0</v>
      </c>
      <c r="AM34" s="433" t="n">
        <v>0</v>
      </c>
      <c r="AN34" s="433" t="n">
        <v>0</v>
      </c>
      <c r="AO34" s="433" t="n">
        <v>38</v>
      </c>
      <c r="AP34" s="433" t="n">
        <v>0</v>
      </c>
      <c r="AQ34" s="466" t="inlineStr">
        <is>
          <t>Đối soát HD1167056</t>
        </is>
      </c>
      <c r="AR34" s="438" t="inlineStr">
        <is>
          <t>11.96</t>
        </is>
      </c>
      <c r="AS34" s="444">
        <f>VLOOKUP(C34,#REF!,16,0)</f>
        <v/>
      </c>
      <c r="AT34" s="444">
        <f>R34-AS34</f>
        <v/>
      </c>
    </row>
    <row r="35" hidden="1" ht="31.2" customHeight="1" s="1264">
      <c r="A35" s="433" t="n">
        <v>31</v>
      </c>
      <c r="B35" s="450" t="inlineStr">
        <is>
          <t>Nguyễn Chí Thanh</t>
        </is>
      </c>
      <c r="C35" s="447" t="inlineStr">
        <is>
          <t>Lý Thục Mi</t>
        </is>
      </c>
      <c r="D35" s="434" t="inlineStr">
        <is>
          <t>DSXC (TV)</t>
        </is>
      </c>
      <c r="E35" s="438" t="inlineStr">
        <is>
          <t>264.12</t>
        </is>
      </c>
      <c r="F35" s="438" t="inlineStr">
        <is>
          <t>0.00</t>
        </is>
      </c>
      <c r="G35" s="433" t="inlineStr">
        <is>
          <t>248.12</t>
        </is>
      </c>
      <c r="H35" s="433" t="inlineStr">
        <is>
          <t>0.00</t>
        </is>
      </c>
      <c r="I35" s="433" t="n">
        <v>16</v>
      </c>
      <c r="J35" s="417" t="n"/>
      <c r="K35" s="433" t="n">
        <v>0</v>
      </c>
      <c r="L35" s="417" t="n"/>
      <c r="M35" s="417" t="n"/>
      <c r="N35" s="433" t="n">
        <v>0</v>
      </c>
      <c r="O35" s="433" t="n">
        <v>0</v>
      </c>
      <c r="P35" s="433" t="n">
        <v>0</v>
      </c>
      <c r="Q35" s="417" t="n"/>
      <c r="R35" s="433" t="n">
        <v>30</v>
      </c>
      <c r="S35" s="433" t="inlineStr">
        <is>
          <t>0.00</t>
        </is>
      </c>
      <c r="T35" s="433" t="n">
        <v>0</v>
      </c>
      <c r="U35" s="417" t="n"/>
      <c r="V35" s="449" t="n"/>
      <c r="W35" s="417" t="n"/>
      <c r="X35" s="417" t="n"/>
      <c r="Y35" s="417" t="n"/>
      <c r="Z35" s="417" t="n"/>
      <c r="AA35" s="433" t="n">
        <v>0</v>
      </c>
      <c r="AB35" s="433" t="n">
        <v>0</v>
      </c>
      <c r="AC35" s="417" t="n"/>
      <c r="AD35" s="417" t="n"/>
      <c r="AE35" s="433" t="n">
        <v>0</v>
      </c>
      <c r="AF35" s="453" t="n">
        <v>0</v>
      </c>
      <c r="AG35" s="433" t="n">
        <v>0</v>
      </c>
      <c r="AH35" s="433" t="n">
        <v>0</v>
      </c>
      <c r="AI35" s="449" t="n"/>
      <c r="AJ35" s="433" t="n">
        <v>0</v>
      </c>
      <c r="AK35" s="433" t="n">
        <v>0</v>
      </c>
      <c r="AL35" s="433" t="n">
        <v>0</v>
      </c>
      <c r="AM35" s="433" t="n">
        <v>0</v>
      </c>
      <c r="AN35" s="433" t="n">
        <v>0</v>
      </c>
      <c r="AO35" s="433" t="n">
        <v>0</v>
      </c>
      <c r="AP35" s="433" t="n">
        <v>0</v>
      </c>
      <c r="AQ35" s="417" t="n"/>
      <c r="AR35" s="438" t="inlineStr">
        <is>
          <t>8.67</t>
        </is>
      </c>
      <c r="AS35" s="444">
        <f>VLOOKUP(C35,#REF!,16,0)</f>
        <v/>
      </c>
      <c r="AT35" s="444">
        <f>R35-AS35</f>
        <v/>
      </c>
    </row>
    <row r="36" hidden="1" ht="31.2" customHeight="1" s="1264">
      <c r="A36" s="433" t="n">
        <v>32</v>
      </c>
      <c r="B36" s="450" t="inlineStr">
        <is>
          <t>Nguyễn Chí Thanh</t>
        </is>
      </c>
      <c r="C36" s="435" t="inlineStr">
        <is>
          <t>Ngô Thị Ngọc Thủy</t>
        </is>
      </c>
      <c r="D36" s="434" t="inlineStr">
        <is>
          <t>DSXC (TV)</t>
        </is>
      </c>
      <c r="E36" s="438" t="inlineStr">
        <is>
          <t>8.00</t>
        </is>
      </c>
      <c r="F36" s="438" t="inlineStr">
        <is>
          <t>0.00</t>
        </is>
      </c>
      <c r="G36" s="433" t="inlineStr">
        <is>
          <t>8.00</t>
        </is>
      </c>
      <c r="H36" s="433" t="inlineStr">
        <is>
          <t>0.00</t>
        </is>
      </c>
      <c r="I36" s="417" t="n"/>
      <c r="J36" s="417" t="n"/>
      <c r="K36" s="433" t="n">
        <v>1</v>
      </c>
      <c r="L36" s="417" t="n"/>
      <c r="M36" s="417" t="n"/>
      <c r="N36" s="433" t="n">
        <v>0</v>
      </c>
      <c r="O36" s="433" t="n">
        <v>0</v>
      </c>
      <c r="P36" s="433" t="n">
        <v>0</v>
      </c>
      <c r="Q36" s="417" t="n"/>
      <c r="R36" s="433" t="n">
        <v>1</v>
      </c>
      <c r="S36" s="433" t="inlineStr">
        <is>
          <t>0.00</t>
        </is>
      </c>
      <c r="T36" s="433" t="n">
        <v>0</v>
      </c>
      <c r="U36" s="417" t="n"/>
      <c r="V36" s="449" t="n"/>
      <c r="W36" s="417" t="n"/>
      <c r="X36" s="417" t="n"/>
      <c r="Y36" s="417" t="n"/>
      <c r="Z36" s="417" t="n"/>
      <c r="AA36" s="417" t="n"/>
      <c r="AB36" s="433" t="n">
        <v>0</v>
      </c>
      <c r="AC36" s="417" t="n"/>
      <c r="AD36" s="417" t="n"/>
      <c r="AE36" s="433" t="n">
        <v>0</v>
      </c>
      <c r="AF36" s="453" t="n">
        <v>0</v>
      </c>
      <c r="AG36" s="433" t="n">
        <v>0</v>
      </c>
      <c r="AH36" s="433" t="n">
        <v>0</v>
      </c>
      <c r="AI36" s="449" t="n"/>
      <c r="AJ36" s="433" t="n">
        <v>0</v>
      </c>
      <c r="AK36" s="433" t="n">
        <v>0</v>
      </c>
      <c r="AL36" s="433" t="n">
        <v>0</v>
      </c>
      <c r="AM36" s="433" t="n">
        <v>0</v>
      </c>
      <c r="AN36" s="433" t="n">
        <v>0</v>
      </c>
      <c r="AO36" s="433" t="n">
        <v>0</v>
      </c>
      <c r="AP36" s="433" t="n">
        <v>0</v>
      </c>
      <c r="AQ36" s="417" t="n"/>
      <c r="AR36" s="438" t="inlineStr">
        <is>
          <t>10.03</t>
        </is>
      </c>
      <c r="AS36" s="444">
        <f>VLOOKUP(C36,#REF!,16,0)</f>
        <v/>
      </c>
      <c r="AT36" s="444">
        <f>R36-AS36</f>
        <v/>
      </c>
    </row>
    <row r="37" hidden="1" ht="15.6" customHeight="1" s="1264">
      <c r="A37" s="433" t="n">
        <v>33</v>
      </c>
      <c r="B37" s="450" t="inlineStr">
        <is>
          <t>Nguyễn Chí Thanh</t>
        </is>
      </c>
      <c r="C37" s="447" t="inlineStr">
        <is>
          <t>Đỗ Thị Phương Thảo</t>
        </is>
      </c>
      <c r="D37" s="434" t="inlineStr">
        <is>
          <t>DSXC</t>
        </is>
      </c>
      <c r="E37" s="438" t="inlineStr">
        <is>
          <t>265.36</t>
        </is>
      </c>
      <c r="F37" s="438" t="inlineStr">
        <is>
          <t>8.58</t>
        </is>
      </c>
      <c r="G37" s="433" t="inlineStr">
        <is>
          <t>249.36</t>
        </is>
      </c>
      <c r="H37" s="433" t="inlineStr">
        <is>
          <t>8.58</t>
        </is>
      </c>
      <c r="I37" s="433" t="n">
        <v>16</v>
      </c>
      <c r="J37" s="417" t="n"/>
      <c r="K37" s="433" t="n">
        <v>0</v>
      </c>
      <c r="L37" s="417" t="n"/>
      <c r="M37" s="417" t="n"/>
      <c r="N37" s="433" t="n">
        <v>0</v>
      </c>
      <c r="O37" s="433" t="n">
        <v>0</v>
      </c>
      <c r="P37" s="433" t="n">
        <v>0</v>
      </c>
      <c r="Q37" s="417" t="n"/>
      <c r="R37" s="433" t="n">
        <v>31</v>
      </c>
      <c r="S37" s="433" t="inlineStr">
        <is>
          <t>0.00</t>
        </is>
      </c>
      <c r="T37" s="433" t="n">
        <v>0</v>
      </c>
      <c r="U37" s="417" t="n"/>
      <c r="V37" s="417" t="n"/>
      <c r="W37" s="417" t="n"/>
      <c r="X37" s="417" t="n"/>
      <c r="Y37" s="417" t="n"/>
      <c r="Z37" s="417" t="n"/>
      <c r="AA37" s="433" t="n">
        <v>0</v>
      </c>
      <c r="AB37" s="433" t="n">
        <v>0</v>
      </c>
      <c r="AC37" s="417" t="n"/>
      <c r="AD37" s="417" t="n"/>
      <c r="AE37" s="433" t="n">
        <v>0</v>
      </c>
      <c r="AF37" s="453" t="inlineStr">
        <is>
          <t>1,511,400</t>
        </is>
      </c>
      <c r="AG37" s="433" t="n">
        <v>150.484</v>
      </c>
      <c r="AH37" s="433" t="n">
        <v>0</v>
      </c>
      <c r="AI37" s="449" t="n"/>
      <c r="AJ37" s="433" t="n">
        <v>0</v>
      </c>
      <c r="AK37" s="433" t="n">
        <v>0</v>
      </c>
      <c r="AL37" s="433" t="n">
        <v>0</v>
      </c>
      <c r="AM37" s="433" t="n">
        <v>0</v>
      </c>
      <c r="AN37" s="433" t="n">
        <v>0</v>
      </c>
      <c r="AO37" s="433" t="n">
        <v>0</v>
      </c>
      <c r="AP37" s="433" t="n">
        <v>0</v>
      </c>
      <c r="AQ37" s="417" t="n"/>
      <c r="AR37" s="438" t="inlineStr">
        <is>
          <t>12.23</t>
        </is>
      </c>
      <c r="AS37" s="444">
        <f>VLOOKUP(C37,#REF!,16,0)</f>
        <v/>
      </c>
      <c r="AT37" s="444">
        <f>R37-AS37</f>
        <v/>
      </c>
    </row>
    <row r="38" hidden="1" ht="15.6" customHeight="1" s="1264">
      <c r="A38" s="433" t="n">
        <v>34</v>
      </c>
      <c r="B38" s="445" t="inlineStr">
        <is>
          <t>Nguyễn Thị Thập</t>
        </is>
      </c>
      <c r="C38" s="435" t="inlineStr">
        <is>
          <t>Cù Thị Tường Vy</t>
        </is>
      </c>
      <c r="D38" s="436" t="inlineStr">
        <is>
          <t>CHT</t>
        </is>
      </c>
      <c r="E38" s="438" t="inlineStr">
        <is>
          <t>15.68</t>
        </is>
      </c>
      <c r="F38" s="438" t="inlineStr">
        <is>
          <t>0.00</t>
        </is>
      </c>
      <c r="G38" s="433" t="inlineStr">
        <is>
          <t>15.68</t>
        </is>
      </c>
      <c r="H38" s="433" t="inlineStr">
        <is>
          <t>0.00</t>
        </is>
      </c>
      <c r="I38" s="417" t="n"/>
      <c r="J38" s="417" t="n"/>
      <c r="K38" s="433" t="n">
        <v>5</v>
      </c>
      <c r="L38" s="417" t="n"/>
      <c r="M38" s="417" t="n"/>
      <c r="N38" s="433" t="n">
        <v>0</v>
      </c>
      <c r="O38" s="433" t="n">
        <v>0</v>
      </c>
      <c r="P38" s="433" t="n">
        <v>0</v>
      </c>
      <c r="Q38" s="417" t="n"/>
      <c r="R38" s="433" t="n">
        <v>1</v>
      </c>
      <c r="S38" s="433" t="inlineStr">
        <is>
          <t>0.00</t>
        </is>
      </c>
      <c r="T38" s="433" t="n">
        <v>0</v>
      </c>
      <c r="U38" s="417" t="n"/>
      <c r="V38" s="440" t="n"/>
      <c r="W38" s="417" t="n"/>
      <c r="X38" s="417" t="n"/>
      <c r="Y38" s="417" t="n"/>
      <c r="Z38" s="417" t="n"/>
      <c r="AA38" s="417" t="n"/>
      <c r="AB38" s="433" t="n">
        <v>300</v>
      </c>
      <c r="AC38" s="417" t="n"/>
      <c r="AD38" s="417" t="n"/>
      <c r="AE38" s="433" t="n">
        <v>0</v>
      </c>
      <c r="AF38" s="453" t="n">
        <v>0</v>
      </c>
      <c r="AG38" s="433" t="n">
        <v>0</v>
      </c>
      <c r="AH38" s="433" t="n">
        <v>0</v>
      </c>
      <c r="AI38" s="454" t="n">
        <v>500</v>
      </c>
      <c r="AJ38" s="433" t="n">
        <v>0</v>
      </c>
      <c r="AK38" s="433" t="n">
        <v>0</v>
      </c>
      <c r="AL38" s="433" t="n">
        <v>0</v>
      </c>
      <c r="AM38" s="433" t="n">
        <v>0</v>
      </c>
      <c r="AN38" s="433" t="n">
        <v>0</v>
      </c>
      <c r="AO38" s="433" t="n">
        <v>0</v>
      </c>
      <c r="AP38" s="433" t="n">
        <v>0</v>
      </c>
      <c r="AQ38" s="417" t="n"/>
      <c r="AR38" s="438" t="inlineStr">
        <is>
          <t>25.21</t>
        </is>
      </c>
      <c r="AS38" s="444">
        <f>VLOOKUP(C38,#REF!,16,0)</f>
        <v/>
      </c>
      <c r="AT38" s="444">
        <f>R38-AS38</f>
        <v/>
      </c>
    </row>
    <row r="39" hidden="1" ht="15.6" customHeight="1" s="1264">
      <c r="A39" s="433" t="n">
        <v>35</v>
      </c>
      <c r="B39" s="445" t="inlineStr">
        <is>
          <t>Nguyễn Thị Thập</t>
        </is>
      </c>
      <c r="C39" s="447" t="inlineStr">
        <is>
          <t>Triệu Thị Ngọc Lý</t>
        </is>
      </c>
      <c r="D39" s="436" t="inlineStr">
        <is>
          <t>CHT</t>
        </is>
      </c>
      <c r="E39" s="438" t="inlineStr">
        <is>
          <t>355.66</t>
        </is>
      </c>
      <c r="F39" s="438" t="inlineStr">
        <is>
          <t>42.22</t>
        </is>
      </c>
      <c r="G39" s="433" t="inlineStr">
        <is>
          <t>339.66</t>
        </is>
      </c>
      <c r="H39" s="433" t="inlineStr">
        <is>
          <t>42.22</t>
        </is>
      </c>
      <c r="I39" s="433" t="n">
        <v>16</v>
      </c>
      <c r="J39" s="417" t="n"/>
      <c r="K39" s="433" t="n">
        <v>28</v>
      </c>
      <c r="L39" s="417" t="n"/>
      <c r="M39" s="417" t="n"/>
      <c r="N39" s="433" t="n">
        <v>0</v>
      </c>
      <c r="O39" s="433" t="n">
        <v>0</v>
      </c>
      <c r="P39" s="433" t="n">
        <v>0</v>
      </c>
      <c r="Q39" s="417" t="n"/>
      <c r="R39" s="433" t="n">
        <v>31</v>
      </c>
      <c r="S39" s="433" t="inlineStr">
        <is>
          <t>0.00</t>
        </is>
      </c>
      <c r="T39" s="433" t="n">
        <v>0</v>
      </c>
      <c r="U39" s="417" t="n"/>
      <c r="V39" s="446" t="inlineStr">
        <is>
          <t>1,500,000</t>
        </is>
      </c>
      <c r="W39" s="417" t="n"/>
      <c r="X39" s="417" t="n"/>
      <c r="Y39" s="456" t="n"/>
      <c r="Z39" s="417" t="n"/>
      <c r="AA39" s="433" t="n">
        <v>170</v>
      </c>
      <c r="AB39" s="433" t="n">
        <v>300</v>
      </c>
      <c r="AC39" s="417" t="n"/>
      <c r="AD39" s="417" t="n"/>
      <c r="AE39" s="433" t="n">
        <v>0</v>
      </c>
      <c r="AF39" s="453" t="inlineStr">
        <is>
          <t>1,574,500</t>
        </is>
      </c>
      <c r="AG39" s="433" t="n">
        <v>31.259</v>
      </c>
      <c r="AH39" s="433" t="n">
        <v>0</v>
      </c>
      <c r="AI39" s="449" t="n"/>
      <c r="AJ39" s="433" t="n">
        <v>63.75</v>
      </c>
      <c r="AK39" s="433" t="n">
        <v>32.75</v>
      </c>
      <c r="AL39" s="433" t="n">
        <v>0</v>
      </c>
      <c r="AM39" s="433" t="n">
        <v>0</v>
      </c>
      <c r="AN39" s="433" t="n">
        <v>0</v>
      </c>
      <c r="AO39" s="433" t="n">
        <v>31</v>
      </c>
      <c r="AP39" s="433" t="n">
        <v>0</v>
      </c>
      <c r="AQ39" s="466" t="inlineStr">
        <is>
          <t>HD1167853</t>
        </is>
      </c>
      <c r="AR39" s="438" t="inlineStr">
        <is>
          <t>20.15</t>
        </is>
      </c>
      <c r="AS39" s="444">
        <f>VLOOKUP(C39,#REF!,16,0)</f>
        <v/>
      </c>
      <c r="AT39" s="444">
        <f>R39-AS39</f>
        <v/>
      </c>
    </row>
    <row r="40" hidden="1" ht="15.6" customHeight="1" s="1264">
      <c r="A40" s="433" t="n">
        <v>36</v>
      </c>
      <c r="B40" s="445" t="inlineStr">
        <is>
          <t>Nguyễn Thị Thập</t>
        </is>
      </c>
      <c r="C40" s="447" t="inlineStr">
        <is>
          <t>Cao Trọng Nhân</t>
        </is>
      </c>
      <c r="D40" s="448" t="inlineStr">
        <is>
          <t>DSCD</t>
        </is>
      </c>
      <c r="E40" s="438" t="inlineStr">
        <is>
          <t>40.73</t>
        </is>
      </c>
      <c r="F40" s="438" t="inlineStr">
        <is>
          <t>228.50</t>
        </is>
      </c>
      <c r="G40" s="433" t="inlineStr">
        <is>
          <t>40.73</t>
        </is>
      </c>
      <c r="H40" s="433" t="inlineStr">
        <is>
          <t>228.50</t>
        </is>
      </c>
      <c r="I40" s="417" t="n"/>
      <c r="J40" s="417" t="n"/>
      <c r="K40" s="433" t="n">
        <v>28</v>
      </c>
      <c r="L40" s="417" t="n"/>
      <c r="M40" s="417" t="n"/>
      <c r="N40" s="433" t="n">
        <v>0</v>
      </c>
      <c r="O40" s="433" t="n">
        <v>0</v>
      </c>
      <c r="P40" s="433" t="n">
        <v>0</v>
      </c>
      <c r="Q40" s="417" t="n"/>
      <c r="R40" s="433" t="n">
        <v>28</v>
      </c>
      <c r="S40" s="433" t="inlineStr">
        <is>
          <t>0.00</t>
        </is>
      </c>
      <c r="T40" s="433" t="n">
        <v>0</v>
      </c>
      <c r="U40" s="417" t="n"/>
      <c r="V40" s="449" t="n"/>
      <c r="W40" s="417" t="n"/>
      <c r="X40" s="433" t="inlineStr">
        <is>
          <t>1,500,000</t>
        </is>
      </c>
      <c r="Y40" s="417" t="n"/>
      <c r="Z40" s="417" t="n"/>
      <c r="AA40" s="433" t="n">
        <v>0</v>
      </c>
      <c r="AB40" s="433" t="n">
        <v>0</v>
      </c>
      <c r="AC40" s="417" t="n"/>
      <c r="AD40" s="433" t="n">
        <v>500</v>
      </c>
      <c r="AE40" s="433" t="inlineStr">
        <is>
          <t>1,347,392</t>
        </is>
      </c>
      <c r="AF40" s="453" t="inlineStr">
        <is>
          <t>2,214,100</t>
        </is>
      </c>
      <c r="AG40" s="433" t="n">
        <v>130.696</v>
      </c>
      <c r="AH40" s="433" t="n">
        <v>0</v>
      </c>
      <c r="AI40" s="449" t="n"/>
      <c r="AJ40" s="433" t="n">
        <v>32.75</v>
      </c>
      <c r="AK40" s="433" t="n">
        <v>32.75</v>
      </c>
      <c r="AL40" s="433" t="n">
        <v>0</v>
      </c>
      <c r="AM40" s="433" t="n">
        <v>0</v>
      </c>
      <c r="AN40" s="433" t="n">
        <v>0</v>
      </c>
      <c r="AO40" s="433" t="n">
        <v>0</v>
      </c>
      <c r="AP40" s="433" t="n">
        <v>0</v>
      </c>
      <c r="AQ40" s="417" t="n"/>
      <c r="AR40" s="438" t="inlineStr">
        <is>
          <t>23.99</t>
        </is>
      </c>
      <c r="AS40" s="444">
        <f>VLOOKUP(C40,#REF!,16,0)</f>
        <v/>
      </c>
      <c r="AT40" s="444">
        <f>R40-AS40</f>
        <v/>
      </c>
    </row>
    <row r="41" hidden="1" ht="15.6" customHeight="1" s="1264">
      <c r="A41" s="433" t="n">
        <v>37</v>
      </c>
      <c r="B41" s="445" t="inlineStr">
        <is>
          <t>Nguyễn Thị Thập</t>
        </is>
      </c>
      <c r="C41" s="447" t="inlineStr">
        <is>
          <t>Trần Thành Đạt</t>
        </is>
      </c>
      <c r="D41" s="448" t="inlineStr">
        <is>
          <t>DSCD</t>
        </is>
      </c>
      <c r="E41" s="438" t="inlineStr">
        <is>
          <t>12.59</t>
        </is>
      </c>
      <c r="F41" s="438" t="inlineStr">
        <is>
          <t>258.70</t>
        </is>
      </c>
      <c r="G41" s="433" t="inlineStr">
        <is>
          <t>12.59</t>
        </is>
      </c>
      <c r="H41" s="433" t="inlineStr">
        <is>
          <t>258.70</t>
        </is>
      </c>
      <c r="I41" s="417" t="n"/>
      <c r="J41" s="417" t="n"/>
      <c r="K41" s="433" t="n">
        <v>0</v>
      </c>
      <c r="L41" s="417" t="n"/>
      <c r="M41" s="417" t="n"/>
      <c r="N41" s="433" t="n">
        <v>0</v>
      </c>
      <c r="O41" s="433" t="n">
        <v>0</v>
      </c>
      <c r="P41" s="433" t="n">
        <v>0</v>
      </c>
      <c r="Q41" s="417" t="n"/>
      <c r="R41" s="433" t="n">
        <v>28</v>
      </c>
      <c r="S41" s="433" t="inlineStr">
        <is>
          <t>0.00</t>
        </is>
      </c>
      <c r="T41" s="433" t="n">
        <v>0</v>
      </c>
      <c r="U41" s="417" t="n"/>
      <c r="V41" s="449" t="n"/>
      <c r="W41" s="417" t="n"/>
      <c r="X41" s="433" t="inlineStr">
        <is>
          <t>1,500,000</t>
        </is>
      </c>
      <c r="Y41" s="417" t="n"/>
      <c r="Z41" s="417" t="n"/>
      <c r="AA41" s="433" t="n">
        <v>0</v>
      </c>
      <c r="AB41" s="433" t="n">
        <v>0</v>
      </c>
      <c r="AC41" s="417" t="n"/>
      <c r="AD41" s="417" t="n"/>
      <c r="AE41" s="433" t="n">
        <v>0</v>
      </c>
      <c r="AF41" s="453" t="inlineStr">
        <is>
          <t>1,922,350</t>
        </is>
      </c>
      <c r="AG41" s="433" t="n">
        <v>29.087</v>
      </c>
      <c r="AH41" s="433" t="n">
        <v>0</v>
      </c>
      <c r="AI41" s="456" t="n"/>
      <c r="AJ41" s="433" t="n">
        <v>32.75</v>
      </c>
      <c r="AK41" s="433" t="n">
        <v>32.75</v>
      </c>
      <c r="AL41" s="433" t="n">
        <v>0</v>
      </c>
      <c r="AM41" s="433" t="n">
        <v>0</v>
      </c>
      <c r="AN41" s="433" t="n">
        <v>0</v>
      </c>
      <c r="AO41" s="433" t="n">
        <v>0</v>
      </c>
      <c r="AP41" s="433" t="n">
        <v>0</v>
      </c>
      <c r="AQ41" s="417" t="n"/>
      <c r="AR41" s="438" t="inlineStr">
        <is>
          <t>11.47</t>
        </is>
      </c>
      <c r="AS41" s="444">
        <f>VLOOKUP(C41,#REF!,16,0)</f>
        <v/>
      </c>
      <c r="AT41" s="444">
        <f>R41-AS41</f>
        <v/>
      </c>
    </row>
    <row r="42" hidden="1" ht="15.6" customHeight="1" s="1264">
      <c r="A42" s="433" t="n">
        <v>38</v>
      </c>
      <c r="B42" s="445" t="inlineStr">
        <is>
          <t>Nguyễn Thị Thập</t>
        </is>
      </c>
      <c r="C42" s="435" t="inlineStr">
        <is>
          <t>Hoàng Lâm Gia Bảo</t>
        </is>
      </c>
      <c r="D42" s="434" t="inlineStr">
        <is>
          <t>DSXC</t>
        </is>
      </c>
      <c r="E42" s="438" t="inlineStr">
        <is>
          <t>42.37</t>
        </is>
      </c>
      <c r="F42" s="438" t="inlineStr">
        <is>
          <t>0.00</t>
        </is>
      </c>
      <c r="G42" s="433" t="inlineStr">
        <is>
          <t>42.37</t>
        </is>
      </c>
      <c r="H42" s="433" t="inlineStr">
        <is>
          <t>0.00</t>
        </is>
      </c>
      <c r="I42" s="417" t="n"/>
      <c r="J42" s="417" t="n"/>
      <c r="K42" s="433" t="n">
        <v>2</v>
      </c>
      <c r="L42" s="417" t="n"/>
      <c r="M42" s="417" t="n"/>
      <c r="N42" s="433" t="n">
        <v>0</v>
      </c>
      <c r="O42" s="433" t="n">
        <v>0</v>
      </c>
      <c r="P42" s="433" t="n">
        <v>0</v>
      </c>
      <c r="Q42" s="417" t="n"/>
      <c r="R42" s="433" t="n">
        <v>7</v>
      </c>
      <c r="S42" s="433" t="inlineStr">
        <is>
          <t>0.00</t>
        </is>
      </c>
      <c r="T42" s="433" t="n">
        <v>0</v>
      </c>
      <c r="U42" s="417" t="n"/>
      <c r="V42" s="449" t="n"/>
      <c r="W42" s="417" t="n"/>
      <c r="X42" s="417" t="n"/>
      <c r="Y42" s="417" t="n"/>
      <c r="Z42" s="417" t="n"/>
      <c r="AA42" s="417" t="n"/>
      <c r="AB42" s="433" t="n">
        <v>0</v>
      </c>
      <c r="AC42" s="417" t="n"/>
      <c r="AD42" s="417" t="n"/>
      <c r="AE42" s="433" t="n">
        <v>0</v>
      </c>
      <c r="AF42" s="453" t="n">
        <v>0</v>
      </c>
      <c r="AG42" s="433" t="n">
        <v>0</v>
      </c>
      <c r="AH42" s="433" t="n">
        <v>0</v>
      </c>
      <c r="AI42" s="417" t="n"/>
      <c r="AJ42" s="433" t="n">
        <v>0</v>
      </c>
      <c r="AK42" s="433" t="n">
        <v>0</v>
      </c>
      <c r="AL42" s="433" t="n">
        <v>0</v>
      </c>
      <c r="AM42" s="433" t="n">
        <v>0</v>
      </c>
      <c r="AN42" s="433" t="n">
        <v>0</v>
      </c>
      <c r="AO42" s="433" t="n">
        <v>0</v>
      </c>
      <c r="AP42" s="433" t="n">
        <v>0</v>
      </c>
      <c r="AQ42" s="417" t="n"/>
      <c r="AR42" s="438" t="inlineStr">
        <is>
          <t>16.93</t>
        </is>
      </c>
      <c r="AS42" s="444">
        <f>VLOOKUP(C42,#REF!,16,0)</f>
        <v/>
      </c>
      <c r="AT42" s="444">
        <f>R42-AS42</f>
        <v/>
      </c>
    </row>
    <row r="43" hidden="1" ht="15.6" customHeight="1" s="1264">
      <c r="A43" s="433" t="n">
        <v>39</v>
      </c>
      <c r="B43" s="445" t="inlineStr">
        <is>
          <t>Nguyễn Thị Thập</t>
        </is>
      </c>
      <c r="C43" s="447" t="inlineStr">
        <is>
          <t>Nguyễn Trí Nghĩa</t>
        </is>
      </c>
      <c r="D43" s="434" t="inlineStr">
        <is>
          <t>DSXC</t>
        </is>
      </c>
      <c r="E43" s="438" t="inlineStr">
        <is>
          <t>100.03</t>
        </is>
      </c>
      <c r="F43" s="438" t="inlineStr">
        <is>
          <t>15.90</t>
        </is>
      </c>
      <c r="G43" s="433" t="inlineStr">
        <is>
          <t>100.03</t>
        </is>
      </c>
      <c r="H43" s="433" t="inlineStr">
        <is>
          <t>15.90</t>
        </is>
      </c>
      <c r="I43" s="417" t="n"/>
      <c r="J43" s="417" t="n"/>
      <c r="K43" s="433" t="n">
        <v>0</v>
      </c>
      <c r="L43" s="417" t="n"/>
      <c r="M43" s="417" t="n"/>
      <c r="N43" s="433" t="n">
        <v>0</v>
      </c>
      <c r="O43" s="433" t="n">
        <v>0</v>
      </c>
      <c r="P43" s="433" t="n">
        <v>0</v>
      </c>
      <c r="Q43" s="417" t="n"/>
      <c r="R43" s="433" t="n">
        <v>15</v>
      </c>
      <c r="S43" s="433" t="inlineStr">
        <is>
          <t>0.00</t>
        </is>
      </c>
      <c r="T43" s="433" t="n">
        <v>0</v>
      </c>
      <c r="U43" s="417" t="n"/>
      <c r="V43" s="449" t="n"/>
      <c r="W43" s="417" t="n"/>
      <c r="X43" s="417" t="n"/>
      <c r="Y43" s="417" t="n"/>
      <c r="Z43" s="417" t="n"/>
      <c r="AA43" s="433" t="n">
        <v>0</v>
      </c>
      <c r="AB43" s="433" t="n">
        <v>0</v>
      </c>
      <c r="AC43" s="417" t="n"/>
      <c r="AD43" s="417" t="n"/>
      <c r="AE43" s="433" t="n">
        <v>0</v>
      </c>
      <c r="AF43" s="453" t="n">
        <v>609.4349999999999</v>
      </c>
      <c r="AG43" s="433" t="n">
        <v>13.341</v>
      </c>
      <c r="AH43" s="433" t="n">
        <v>0</v>
      </c>
      <c r="AI43" s="417" t="n"/>
      <c r="AJ43" s="433" t="n">
        <v>163.35</v>
      </c>
      <c r="AK43" s="433" t="n">
        <v>32.75</v>
      </c>
      <c r="AL43" s="433" t="n">
        <v>0</v>
      </c>
      <c r="AM43" s="433" t="n">
        <v>0</v>
      </c>
      <c r="AN43" s="433" t="n">
        <v>0</v>
      </c>
      <c r="AO43" s="433" t="n">
        <v>130.6</v>
      </c>
      <c r="AP43" s="433" t="n">
        <v>0</v>
      </c>
      <c r="AQ43" s="466" t="inlineStr">
        <is>
          <t>Đối soát HD1144176,HD1163287</t>
        </is>
      </c>
      <c r="AR43" s="438" t="inlineStr">
        <is>
          <t>15.56</t>
        </is>
      </c>
      <c r="AS43" s="444">
        <f>VLOOKUP(C43,#REF!,16,0)</f>
        <v/>
      </c>
      <c r="AT43" s="444">
        <f>R43-AS43</f>
        <v/>
      </c>
    </row>
    <row r="44" hidden="1" ht="15.6" customHeight="1" s="1264">
      <c r="A44" s="433" t="n">
        <v>40</v>
      </c>
      <c r="B44" s="445" t="inlineStr">
        <is>
          <t>Nguyễn Thị Thập</t>
        </is>
      </c>
      <c r="C44" s="435" t="inlineStr">
        <is>
          <t>Phan Công Vũ Tài</t>
        </is>
      </c>
      <c r="D44" s="434" t="inlineStr">
        <is>
          <t>DSXC</t>
        </is>
      </c>
      <c r="E44" s="438" t="inlineStr">
        <is>
          <t>11.42</t>
        </is>
      </c>
      <c r="F44" s="438" t="inlineStr">
        <is>
          <t>0.00</t>
        </is>
      </c>
      <c r="G44" s="433" t="inlineStr">
        <is>
          <t>11.42</t>
        </is>
      </c>
      <c r="H44" s="433" t="inlineStr">
        <is>
          <t>0.00</t>
        </is>
      </c>
      <c r="I44" s="417" t="n"/>
      <c r="J44" s="417" t="n"/>
      <c r="K44" s="433" t="n">
        <v>0</v>
      </c>
      <c r="L44" s="417" t="n"/>
      <c r="M44" s="417" t="n"/>
      <c r="N44" s="433" t="n">
        <v>0</v>
      </c>
      <c r="O44" s="433" t="n">
        <v>0</v>
      </c>
      <c r="P44" s="433" t="n">
        <v>0</v>
      </c>
      <c r="Q44" s="417" t="n"/>
      <c r="R44" s="433" t="n">
        <v>2</v>
      </c>
      <c r="S44" s="433" t="inlineStr">
        <is>
          <t>0.00</t>
        </is>
      </c>
      <c r="T44" s="433" t="n">
        <v>0</v>
      </c>
      <c r="U44" s="417" t="n"/>
      <c r="V44" s="449" t="n"/>
      <c r="W44" s="417" t="n"/>
      <c r="X44" s="417" t="n"/>
      <c r="Y44" s="417" t="n"/>
      <c r="Z44" s="417" t="n"/>
      <c r="AA44" s="417" t="n"/>
      <c r="AB44" s="433" t="n">
        <v>0</v>
      </c>
      <c r="AC44" s="417" t="n"/>
      <c r="AD44" s="417" t="n"/>
      <c r="AE44" s="433" t="n">
        <v>0</v>
      </c>
      <c r="AF44" s="453" t="n">
        <v>0</v>
      </c>
      <c r="AG44" s="433" t="n">
        <v>15.362</v>
      </c>
      <c r="AH44" s="433" t="n">
        <v>0</v>
      </c>
      <c r="AI44" s="417" t="n"/>
      <c r="AJ44" s="433" t="n">
        <v>0</v>
      </c>
      <c r="AK44" s="433" t="n">
        <v>0</v>
      </c>
      <c r="AL44" s="433" t="n">
        <v>0</v>
      </c>
      <c r="AM44" s="433" t="n">
        <v>0</v>
      </c>
      <c r="AN44" s="433" t="n">
        <v>0</v>
      </c>
      <c r="AO44" s="433" t="n">
        <v>0</v>
      </c>
      <c r="AP44" s="433" t="n">
        <v>0</v>
      </c>
      <c r="AQ44" s="417" t="n"/>
      <c r="AR44" s="438" t="n">
        <v>24</v>
      </c>
      <c r="AS44" s="444">
        <f>VLOOKUP(C44,#REF!,16,0)</f>
        <v/>
      </c>
      <c r="AT44" s="444">
        <f>R44-AS44</f>
        <v/>
      </c>
    </row>
    <row r="45" hidden="1" ht="15.6" customHeight="1" s="1264">
      <c r="A45" s="433" t="n">
        <v>41</v>
      </c>
      <c r="B45" s="445" t="inlineStr">
        <is>
          <t>Nguyễn Thị Thập</t>
        </is>
      </c>
      <c r="C45" s="447" t="inlineStr">
        <is>
          <t>Bùi Thị Bích Trâm</t>
        </is>
      </c>
      <c r="D45" s="467" t="inlineStr">
        <is>
          <t>DSHV</t>
        </is>
      </c>
      <c r="E45" s="438" t="inlineStr">
        <is>
          <t>178.17</t>
        </is>
      </c>
      <c r="F45" s="438" t="inlineStr">
        <is>
          <t>0.00</t>
        </is>
      </c>
      <c r="G45" s="433" t="inlineStr">
        <is>
          <t>178.17</t>
        </is>
      </c>
      <c r="H45" s="433" t="inlineStr">
        <is>
          <t>0.00</t>
        </is>
      </c>
      <c r="I45" s="417" t="n"/>
      <c r="J45" s="417" t="n"/>
      <c r="K45" s="433" t="n">
        <v>0</v>
      </c>
      <c r="L45" s="417" t="n"/>
      <c r="M45" s="417" t="n"/>
      <c r="N45" s="433" t="n">
        <v>0</v>
      </c>
      <c r="O45" s="433" t="n">
        <v>0</v>
      </c>
      <c r="P45" s="433" t="n">
        <v>0</v>
      </c>
      <c r="Q45" s="417" t="n"/>
      <c r="R45" s="433" t="n">
        <v>15</v>
      </c>
      <c r="S45" s="433" t="inlineStr">
        <is>
          <t>0.00</t>
        </is>
      </c>
      <c r="T45" s="433" t="n">
        <v>0</v>
      </c>
      <c r="U45" s="417" t="n"/>
      <c r="V45" s="417" t="n"/>
      <c r="W45" s="417" t="n"/>
      <c r="X45" s="417" t="n"/>
      <c r="Y45" s="417" t="n"/>
      <c r="Z45" s="417" t="n"/>
      <c r="AA45" s="433" t="n">
        <v>0</v>
      </c>
      <c r="AB45" s="433" t="n">
        <v>0</v>
      </c>
      <c r="AC45" s="433" t="n">
        <v>0</v>
      </c>
      <c r="AD45" s="417" t="n"/>
      <c r="AE45" s="433" t="n">
        <v>0</v>
      </c>
      <c r="AF45" s="453" t="n">
        <v>0</v>
      </c>
      <c r="AG45" s="433" t="n">
        <v>0</v>
      </c>
      <c r="AH45" s="433" t="n">
        <v>0</v>
      </c>
      <c r="AI45" s="433" t="inlineStr">
        <is>
          <t>1,200,000</t>
        </is>
      </c>
      <c r="AJ45" s="433" t="n">
        <v>0</v>
      </c>
      <c r="AK45" s="433" t="n">
        <v>0</v>
      </c>
      <c r="AL45" s="433" t="n">
        <v>0</v>
      </c>
      <c r="AM45" s="433" t="n">
        <v>0</v>
      </c>
      <c r="AN45" s="433" t="n">
        <v>0</v>
      </c>
      <c r="AO45" s="433" t="n">
        <v>0</v>
      </c>
      <c r="AP45" s="433" t="n">
        <v>0</v>
      </c>
      <c r="AQ45" s="417" t="n"/>
      <c r="AR45" s="438" t="inlineStr">
        <is>
          <t>8.28</t>
        </is>
      </c>
      <c r="AS45" s="444">
        <f>VLOOKUP(C45,#REF!,16,0)</f>
        <v/>
      </c>
      <c r="AT45" s="444">
        <f>R45-AS45</f>
        <v/>
      </c>
    </row>
    <row r="46" hidden="1" ht="15.6" customHeight="1" s="1264">
      <c r="A46" s="433" t="n">
        <v>42</v>
      </c>
      <c r="B46" s="468" t="inlineStr">
        <is>
          <t>Nguyễn Văn Quá</t>
        </is>
      </c>
      <c r="C46" s="447" t="inlineStr">
        <is>
          <t>Võ Ngọc Giàu Sang</t>
        </is>
      </c>
      <c r="D46" s="436" t="inlineStr">
        <is>
          <t>CHT</t>
        </is>
      </c>
      <c r="E46" s="438" t="inlineStr">
        <is>
          <t>187.86</t>
        </is>
      </c>
      <c r="F46" s="438" t="inlineStr">
        <is>
          <t>0.00</t>
        </is>
      </c>
      <c r="G46" s="433" t="inlineStr">
        <is>
          <t>187.86</t>
        </is>
      </c>
      <c r="H46" s="433" t="inlineStr">
        <is>
          <t>0.00</t>
        </is>
      </c>
      <c r="I46" s="417" t="n"/>
      <c r="J46" s="417" t="n"/>
      <c r="K46" s="433" t="n">
        <v>26</v>
      </c>
      <c r="L46" s="417" t="n"/>
      <c r="M46" s="417" t="n"/>
      <c r="N46" s="433" t="n">
        <v>0</v>
      </c>
      <c r="O46" s="433" t="n">
        <v>0</v>
      </c>
      <c r="P46" s="433" t="n">
        <v>0</v>
      </c>
      <c r="Q46" s="417" t="n"/>
      <c r="R46" s="433" t="n">
        <v>24</v>
      </c>
      <c r="S46" s="433" t="inlineStr">
        <is>
          <t>0.00</t>
        </is>
      </c>
      <c r="T46" s="433" t="n">
        <v>0</v>
      </c>
      <c r="U46" s="417" t="n"/>
      <c r="V46" s="446" t="inlineStr">
        <is>
          <t>1,500,000</t>
        </is>
      </c>
      <c r="W46" s="417" t="n"/>
      <c r="X46" s="417" t="n"/>
      <c r="Y46" s="417" t="n"/>
      <c r="Z46" s="417" t="n"/>
      <c r="AA46" s="433" t="n">
        <v>0</v>
      </c>
      <c r="AB46" s="433" t="n">
        <v>0</v>
      </c>
      <c r="AC46" s="433" t="n">
        <v>0</v>
      </c>
      <c r="AD46" s="433" t="n">
        <v>0</v>
      </c>
      <c r="AE46" s="433" t="n">
        <v>0</v>
      </c>
      <c r="AF46" s="453" t="inlineStr">
        <is>
          <t>1,313,900</t>
        </is>
      </c>
      <c r="AG46" s="433" t="n">
        <v>7.827</v>
      </c>
      <c r="AH46" s="433" t="n">
        <v>0</v>
      </c>
      <c r="AI46" s="433" t="inlineStr">
        <is>
          <t>1,108,000</t>
        </is>
      </c>
      <c r="AJ46" s="433" t="n">
        <v>0</v>
      </c>
      <c r="AK46" s="433" t="n">
        <v>0</v>
      </c>
      <c r="AL46" s="433" t="n">
        <v>0</v>
      </c>
      <c r="AM46" s="433" t="n">
        <v>0</v>
      </c>
      <c r="AN46" s="433" t="n">
        <v>0</v>
      </c>
      <c r="AO46" s="433" t="n">
        <v>0</v>
      </c>
      <c r="AP46" s="433" t="n">
        <v>0</v>
      </c>
      <c r="AQ46" s="417" t="n"/>
      <c r="AR46" s="438" t="n">
        <v>14</v>
      </c>
      <c r="AS46" s="444">
        <f>VLOOKUP(C46,#REF!,16,0)</f>
        <v/>
      </c>
      <c r="AT46" s="444">
        <f>R46-AS46</f>
        <v/>
      </c>
    </row>
    <row r="47" hidden="1" ht="15.6" customHeight="1" s="1264">
      <c r="A47" s="433" t="n">
        <v>43</v>
      </c>
      <c r="B47" s="468" t="inlineStr">
        <is>
          <t>Nguyễn Văn Quá</t>
        </is>
      </c>
      <c r="C47" s="447" t="inlineStr">
        <is>
          <t>Hồ Ngọc Lý</t>
        </is>
      </c>
      <c r="D47" s="448" t="inlineStr">
        <is>
          <t>DSCD</t>
        </is>
      </c>
      <c r="E47" s="438" t="inlineStr">
        <is>
          <t>8.93</t>
        </is>
      </c>
      <c r="F47" s="438" t="inlineStr">
        <is>
          <t>205.99</t>
        </is>
      </c>
      <c r="G47" s="433" t="inlineStr">
        <is>
          <t>8.93</t>
        </is>
      </c>
      <c r="H47" s="433" t="inlineStr">
        <is>
          <t>205.99</t>
        </is>
      </c>
      <c r="I47" s="417" t="n"/>
      <c r="J47" s="417" t="n"/>
      <c r="K47" s="433" t="n">
        <v>28</v>
      </c>
      <c r="L47" s="417" t="n"/>
      <c r="M47" s="417" t="n"/>
      <c r="N47" s="433" t="n">
        <v>0</v>
      </c>
      <c r="O47" s="433" t="n">
        <v>0</v>
      </c>
      <c r="P47" s="433" t="n">
        <v>0</v>
      </c>
      <c r="Q47" s="417" t="n"/>
      <c r="R47" s="433" t="n">
        <v>27</v>
      </c>
      <c r="S47" s="433" t="inlineStr">
        <is>
          <t>0.00</t>
        </is>
      </c>
      <c r="T47" s="433" t="n">
        <v>0</v>
      </c>
      <c r="U47" s="417" t="n"/>
      <c r="V47" s="449" t="n"/>
      <c r="W47" s="417" t="n"/>
      <c r="X47" s="433" t="inlineStr">
        <is>
          <t>1,392,857</t>
        </is>
      </c>
      <c r="Y47" s="417" t="n"/>
      <c r="Z47" s="417" t="n"/>
      <c r="AA47" s="433" t="n">
        <v>0</v>
      </c>
      <c r="AB47" s="433" t="n">
        <v>0</v>
      </c>
      <c r="AC47" s="433" t="n">
        <v>0</v>
      </c>
      <c r="AD47" s="433" t="inlineStr">
        <is>
          <t>1,000,000</t>
        </is>
      </c>
      <c r="AE47" s="433" t="n">
        <v>0</v>
      </c>
      <c r="AF47" s="453" t="inlineStr">
        <is>
          <t>2,337,900</t>
        </is>
      </c>
      <c r="AG47" s="433" t="n">
        <v>6.74</v>
      </c>
      <c r="AH47" s="433" t="n">
        <v>0</v>
      </c>
      <c r="AI47" s="433" t="inlineStr">
        <is>
          <t>1,062,400</t>
        </is>
      </c>
      <c r="AJ47" s="433" t="n">
        <v>109</v>
      </c>
      <c r="AK47" s="433" t="n">
        <v>0</v>
      </c>
      <c r="AL47" s="433" t="n">
        <v>0</v>
      </c>
      <c r="AM47" s="433" t="n">
        <v>0</v>
      </c>
      <c r="AN47" s="433" t="n">
        <v>0</v>
      </c>
      <c r="AO47" s="433" t="n">
        <v>109</v>
      </c>
      <c r="AP47" s="433" t="n">
        <v>0</v>
      </c>
      <c r="AQ47" s="466" t="inlineStr">
        <is>
          <t>Đối soát HD1133420, HD1139361</t>
        </is>
      </c>
      <c r="AR47" s="438" t="inlineStr">
        <is>
          <t>10.29</t>
        </is>
      </c>
      <c r="AS47" s="444">
        <f>VLOOKUP(C47,#REF!,16,0)</f>
        <v/>
      </c>
      <c r="AT47" s="444">
        <f>R47-AS47</f>
        <v/>
      </c>
    </row>
    <row r="48" hidden="1" ht="15.6" customHeight="1" s="1264">
      <c r="A48" s="433" t="n">
        <v>44</v>
      </c>
      <c r="B48" s="468" t="inlineStr">
        <is>
          <t>Nguyễn Văn Quá</t>
        </is>
      </c>
      <c r="C48" s="447" t="inlineStr">
        <is>
          <t>Nguyễn Thị Thu Huyền</t>
        </is>
      </c>
      <c r="D48" s="448" t="inlineStr">
        <is>
          <t>DSCD</t>
        </is>
      </c>
      <c r="E48" s="438" t="inlineStr">
        <is>
          <t>76.74</t>
        </is>
      </c>
      <c r="F48" s="438" t="inlineStr">
        <is>
          <t>214.29</t>
        </is>
      </c>
      <c r="G48" s="433" t="inlineStr">
        <is>
          <t>76.74</t>
        </is>
      </c>
      <c r="H48" s="433" t="inlineStr">
        <is>
          <t>214.29</t>
        </is>
      </c>
      <c r="I48" s="417" t="n"/>
      <c r="J48" s="417" t="n"/>
      <c r="K48" s="433" t="n">
        <v>0</v>
      </c>
      <c r="L48" s="417" t="n"/>
      <c r="M48" s="417" t="n"/>
      <c r="N48" s="433" t="n">
        <v>0</v>
      </c>
      <c r="O48" s="433" t="n">
        <v>0</v>
      </c>
      <c r="P48" s="433" t="n">
        <v>0</v>
      </c>
      <c r="Q48" s="417" t="n"/>
      <c r="R48" s="433" t="n">
        <v>27</v>
      </c>
      <c r="S48" s="433" t="inlineStr">
        <is>
          <t>0.00</t>
        </is>
      </c>
      <c r="T48" s="433" t="n">
        <v>0</v>
      </c>
      <c r="U48" s="417" t="n"/>
      <c r="V48" s="449" t="n"/>
      <c r="W48" s="417" t="n"/>
      <c r="X48" s="433" t="inlineStr">
        <is>
          <t>1,339,286</t>
        </is>
      </c>
      <c r="Y48" s="417" t="n"/>
      <c r="Z48" s="417" t="n"/>
      <c r="AA48" s="433" t="n">
        <v>0</v>
      </c>
      <c r="AB48" s="433" t="n">
        <v>0</v>
      </c>
      <c r="AC48" s="433" t="n">
        <v>0</v>
      </c>
      <c r="AD48" s="433" t="inlineStr">
        <is>
          <t>1,000,000</t>
        </is>
      </c>
      <c r="AE48" s="433" t="n">
        <v>0</v>
      </c>
      <c r="AF48" s="453" t="inlineStr">
        <is>
          <t>2,493,200</t>
        </is>
      </c>
      <c r="AG48" s="433" t="n">
        <v>7.545</v>
      </c>
      <c r="AH48" s="433" t="n">
        <v>0</v>
      </c>
      <c r="AI48" s="433" t="inlineStr">
        <is>
          <t>1,150,800</t>
        </is>
      </c>
      <c r="AJ48" s="433" t="n">
        <v>34</v>
      </c>
      <c r="AK48" s="433" t="n">
        <v>0</v>
      </c>
      <c r="AL48" s="433" t="n">
        <v>0</v>
      </c>
      <c r="AM48" s="433" t="n">
        <v>0</v>
      </c>
      <c r="AN48" s="433" t="n">
        <v>0</v>
      </c>
      <c r="AO48" s="433" t="n">
        <v>34</v>
      </c>
      <c r="AP48" s="433" t="n">
        <v>0</v>
      </c>
      <c r="AQ48" s="466" t="inlineStr">
        <is>
          <t>Đối soát HD1176334</t>
        </is>
      </c>
      <c r="AR48" s="438" t="inlineStr">
        <is>
          <t>16.62</t>
        </is>
      </c>
      <c r="AS48" s="444">
        <f>VLOOKUP(C48,#REF!,16,0)</f>
        <v/>
      </c>
      <c r="AT48" s="444">
        <f>R48-AS48</f>
        <v/>
      </c>
    </row>
    <row r="49" hidden="1" ht="15.6" customHeight="1" s="1264">
      <c r="A49" s="433" t="n">
        <v>45</v>
      </c>
      <c r="B49" s="468" t="inlineStr">
        <is>
          <t>Nguyễn Văn Quá</t>
        </is>
      </c>
      <c r="C49" s="447" t="inlineStr">
        <is>
          <t>Nguyễn Thị Hương Giang</t>
        </is>
      </c>
      <c r="D49" s="434" t="inlineStr">
        <is>
          <t>DSXC</t>
        </is>
      </c>
      <c r="E49" s="438" t="inlineStr">
        <is>
          <t>216.52</t>
        </is>
      </c>
      <c r="F49" s="438" t="inlineStr">
        <is>
          <t>0.00</t>
        </is>
      </c>
      <c r="G49" s="433" t="inlineStr">
        <is>
          <t>216.52</t>
        </is>
      </c>
      <c r="H49" s="433" t="inlineStr">
        <is>
          <t>0.00</t>
        </is>
      </c>
      <c r="I49" s="417" t="n"/>
      <c r="J49" s="417" t="n"/>
      <c r="K49" s="433" t="n">
        <v>0</v>
      </c>
      <c r="L49" s="417" t="n"/>
      <c r="M49" s="417" t="n"/>
      <c r="N49" s="433" t="n">
        <v>0</v>
      </c>
      <c r="O49" s="433" t="n">
        <v>0</v>
      </c>
      <c r="P49" s="433" t="n">
        <v>0</v>
      </c>
      <c r="Q49" s="417" t="n"/>
      <c r="R49" s="433" t="n">
        <v>28</v>
      </c>
      <c r="S49" s="433" t="inlineStr">
        <is>
          <t>0.00</t>
        </is>
      </c>
      <c r="T49" s="433" t="n">
        <v>0</v>
      </c>
      <c r="U49" s="417" t="n"/>
      <c r="V49" s="449" t="n"/>
      <c r="W49" s="417" t="n"/>
      <c r="X49" s="417" t="n"/>
      <c r="Y49" s="417" t="n"/>
      <c r="Z49" s="417" t="n"/>
      <c r="AA49" s="433" t="n">
        <v>0</v>
      </c>
      <c r="AB49" s="433" t="n">
        <v>0</v>
      </c>
      <c r="AC49" s="433" t="n">
        <v>0</v>
      </c>
      <c r="AD49" s="433" t="n">
        <v>500</v>
      </c>
      <c r="AE49" s="433" t="n">
        <v>0</v>
      </c>
      <c r="AF49" s="453" t="inlineStr">
        <is>
          <t>1,875,900</t>
        </is>
      </c>
      <c r="AG49" s="433" t="n">
        <v>24.405</v>
      </c>
      <c r="AH49" s="433" t="n">
        <v>0</v>
      </c>
      <c r="AI49" s="433" t="inlineStr">
        <is>
          <t>1,135,200</t>
        </is>
      </c>
      <c r="AJ49" s="433" t="n">
        <v>0</v>
      </c>
      <c r="AK49" s="433" t="n">
        <v>0</v>
      </c>
      <c r="AL49" s="433" t="n">
        <v>0</v>
      </c>
      <c r="AM49" s="433" t="n">
        <v>0</v>
      </c>
      <c r="AN49" s="433" t="n">
        <v>0</v>
      </c>
      <c r="AO49" s="433" t="n">
        <v>0</v>
      </c>
      <c r="AP49" s="433" t="n">
        <v>0</v>
      </c>
      <c r="AQ49" s="417" t="n"/>
      <c r="AR49" s="438" t="inlineStr">
        <is>
          <t>8.27</t>
        </is>
      </c>
      <c r="AS49" s="444">
        <f>VLOOKUP(C49,#REF!,16,0)</f>
        <v/>
      </c>
      <c r="AT49" s="444">
        <f>R49-AS49</f>
        <v/>
      </c>
    </row>
    <row r="50" hidden="1" ht="15.6" customHeight="1" s="1264">
      <c r="A50" s="433" t="n">
        <v>46</v>
      </c>
      <c r="B50" s="469" t="inlineStr">
        <is>
          <t>Rạch Bùng Binh</t>
        </is>
      </c>
      <c r="C50" s="435" t="inlineStr">
        <is>
          <t>Cù Thị Tường Vy</t>
        </is>
      </c>
      <c r="D50" s="436" t="inlineStr">
        <is>
          <t>CHT</t>
        </is>
      </c>
      <c r="E50" s="438" t="inlineStr">
        <is>
          <t>258.01</t>
        </is>
      </c>
      <c r="F50" s="438" t="inlineStr">
        <is>
          <t>4.31</t>
        </is>
      </c>
      <c r="G50" s="433" t="inlineStr">
        <is>
          <t>258.01</t>
        </is>
      </c>
      <c r="H50" s="433" t="inlineStr">
        <is>
          <t>4.31</t>
        </is>
      </c>
      <c r="I50" s="417" t="n"/>
      <c r="J50" s="417" t="n"/>
      <c r="K50" s="433" t="n">
        <v>26</v>
      </c>
      <c r="L50" s="417" t="n"/>
      <c r="M50" s="417" t="n"/>
      <c r="N50" s="433" t="n">
        <v>0</v>
      </c>
      <c r="O50" s="433" t="n">
        <v>0</v>
      </c>
      <c r="P50" s="433" t="n">
        <v>0</v>
      </c>
      <c r="Q50" s="417" t="n"/>
      <c r="R50" s="433" t="n">
        <v>23</v>
      </c>
      <c r="S50" s="433" t="inlineStr">
        <is>
          <t>0.00</t>
        </is>
      </c>
      <c r="T50" s="433" t="n">
        <v>0</v>
      </c>
      <c r="U50" s="417" t="n"/>
      <c r="V50" s="446" t="inlineStr">
        <is>
          <t>2,000,000</t>
        </is>
      </c>
      <c r="W50" s="417" t="n"/>
      <c r="X50" s="417" t="n"/>
      <c r="Y50" s="417" t="n"/>
      <c r="Z50" s="417" t="n"/>
      <c r="AA50" s="433" t="n">
        <v>0</v>
      </c>
      <c r="AB50" s="433" t="n">
        <v>150</v>
      </c>
      <c r="AC50" s="433" t="n">
        <v>0</v>
      </c>
      <c r="AD50" s="433" t="n">
        <v>0</v>
      </c>
      <c r="AE50" s="433" t="inlineStr">
        <is>
          <t>1,186,872</t>
        </is>
      </c>
      <c r="AF50" s="453" t="inlineStr">
        <is>
          <t>1,776,600</t>
        </is>
      </c>
      <c r="AG50" s="433" t="n">
        <v>0</v>
      </c>
      <c r="AH50" s="433" t="n">
        <v>100</v>
      </c>
      <c r="AI50" s="417" t="n"/>
      <c r="AJ50" s="433" t="n">
        <v>88.5</v>
      </c>
      <c r="AK50" s="433" t="n">
        <v>88.5</v>
      </c>
      <c r="AL50" s="433" t="n">
        <v>0</v>
      </c>
      <c r="AM50" s="433" t="n">
        <v>0</v>
      </c>
      <c r="AN50" s="433" t="n">
        <v>0</v>
      </c>
      <c r="AO50" s="433" t="n">
        <v>0</v>
      </c>
      <c r="AP50" s="433" t="n">
        <v>0</v>
      </c>
      <c r="AQ50" s="417" t="n"/>
      <c r="AR50" s="438" t="inlineStr">
        <is>
          <t>25.21</t>
        </is>
      </c>
      <c r="AS50" s="444">
        <f>VLOOKUP(C50,#REF!,16,0)</f>
        <v/>
      </c>
      <c r="AT50" s="444">
        <f>R50-AS50</f>
        <v/>
      </c>
    </row>
    <row r="51" hidden="1" ht="15.6" customHeight="1" s="1264">
      <c r="A51" s="433" t="n">
        <v>47</v>
      </c>
      <c r="B51" s="469" t="inlineStr">
        <is>
          <t>Rạch Bùng Binh</t>
        </is>
      </c>
      <c r="C51" s="447" t="inlineStr">
        <is>
          <t>Huỳnh Thị Huệ Hiền</t>
        </is>
      </c>
      <c r="D51" s="448" t="inlineStr">
        <is>
          <t>DSCD</t>
        </is>
      </c>
      <c r="E51" s="438" t="inlineStr">
        <is>
          <t>8.96</t>
        </is>
      </c>
      <c r="F51" s="438" t="inlineStr">
        <is>
          <t>206.47</t>
        </is>
      </c>
      <c r="G51" s="433" t="inlineStr">
        <is>
          <t>8.96</t>
        </is>
      </c>
      <c r="H51" s="433" t="inlineStr">
        <is>
          <t>206.47</t>
        </is>
      </c>
      <c r="I51" s="417" t="n"/>
      <c r="J51" s="417" t="n"/>
      <c r="K51" s="433" t="n">
        <v>25</v>
      </c>
      <c r="L51" s="417" t="n"/>
      <c r="M51" s="417" t="n"/>
      <c r="N51" s="433" t="n">
        <v>0</v>
      </c>
      <c r="O51" s="433" t="n">
        <v>0</v>
      </c>
      <c r="P51" s="433" t="n">
        <v>0</v>
      </c>
      <c r="Q51" s="417" t="n"/>
      <c r="R51" s="433" t="n">
        <v>26</v>
      </c>
      <c r="S51" s="433" t="inlineStr">
        <is>
          <t>0.00</t>
        </is>
      </c>
      <c r="T51" s="433" t="n">
        <v>0</v>
      </c>
      <c r="U51" s="417" t="n"/>
      <c r="V51" s="449" t="n"/>
      <c r="W51" s="417" t="n"/>
      <c r="X51" s="433" t="inlineStr">
        <is>
          <t>1,392,857</t>
        </is>
      </c>
      <c r="Y51" s="417" t="n"/>
      <c r="Z51" s="417" t="n"/>
      <c r="AA51" s="433" t="n">
        <v>0</v>
      </c>
      <c r="AB51" s="433" t="n">
        <v>0</v>
      </c>
      <c r="AC51" s="433" t="n">
        <v>0</v>
      </c>
      <c r="AD51" s="433" t="n">
        <v>500</v>
      </c>
      <c r="AE51" s="433" t="n">
        <v>0</v>
      </c>
      <c r="AF51" s="453" t="inlineStr">
        <is>
          <t>2,191,150</t>
        </is>
      </c>
      <c r="AG51" s="433" t="n">
        <v>9.675000000000001</v>
      </c>
      <c r="AH51" s="433" t="n">
        <v>0</v>
      </c>
      <c r="AI51" s="417" t="n"/>
      <c r="AJ51" s="433" t="n">
        <v>134.5</v>
      </c>
      <c r="AK51" s="433" t="n">
        <v>88.5</v>
      </c>
      <c r="AL51" s="433" t="n">
        <v>0</v>
      </c>
      <c r="AM51" s="433" t="n">
        <v>0</v>
      </c>
      <c r="AN51" s="433" t="n">
        <v>0</v>
      </c>
      <c r="AO51" s="433" t="n">
        <v>46</v>
      </c>
      <c r="AP51" s="433" t="n">
        <v>0</v>
      </c>
      <c r="AQ51" s="466" t="inlineStr">
        <is>
          <t>Đối soát HD1169832</t>
        </is>
      </c>
      <c r="AR51" s="438" t="inlineStr">
        <is>
          <t>9.55</t>
        </is>
      </c>
      <c r="AS51" s="444">
        <f>VLOOKUP(C51,#REF!,16,0)</f>
        <v/>
      </c>
      <c r="AT51" s="444">
        <f>R51-AS51</f>
        <v/>
      </c>
    </row>
    <row r="52" hidden="1" ht="31.2" customHeight="1" s="1264">
      <c r="A52" s="454" t="n">
        <v>48</v>
      </c>
      <c r="B52" s="469" t="inlineStr">
        <is>
          <t>Rạch Bùng Binh</t>
        </is>
      </c>
      <c r="C52" s="447" t="inlineStr">
        <is>
          <t>Nguyễn Thị Phúc Lộc</t>
        </is>
      </c>
      <c r="D52" s="434" t="inlineStr">
        <is>
          <t>DSCD (TV)</t>
        </is>
      </c>
      <c r="E52" s="438" t="inlineStr">
        <is>
          <t>80.20</t>
        </is>
      </c>
      <c r="F52" s="438" t="inlineStr">
        <is>
          <t>0.00</t>
        </is>
      </c>
      <c r="G52" s="433" t="inlineStr">
        <is>
          <t>80.20</t>
        </is>
      </c>
      <c r="H52" s="433" t="inlineStr">
        <is>
          <t>0.00</t>
        </is>
      </c>
      <c r="I52" s="417" t="n"/>
      <c r="J52" s="417" t="n"/>
      <c r="K52" s="433" t="n">
        <v>7</v>
      </c>
      <c r="L52" s="417" t="n"/>
      <c r="M52" s="417" t="n"/>
      <c r="N52" s="433" t="n">
        <v>0</v>
      </c>
      <c r="O52" s="433" t="n">
        <v>0</v>
      </c>
      <c r="P52" s="433" t="n">
        <v>0</v>
      </c>
      <c r="Q52" s="417" t="n"/>
      <c r="R52" s="433" t="n">
        <v>10</v>
      </c>
      <c r="S52" s="433" t="inlineStr">
        <is>
          <t>0.00</t>
        </is>
      </c>
      <c r="T52" s="433" t="n">
        <v>0</v>
      </c>
      <c r="U52" s="417" t="n"/>
      <c r="V52" s="417" t="n"/>
      <c r="W52" s="417" t="n"/>
      <c r="X52" s="433" t="inlineStr">
        <is>
          <t>1,339,286</t>
        </is>
      </c>
      <c r="Y52" s="417" t="n"/>
      <c r="Z52" s="417" t="n"/>
      <c r="AA52" s="417" t="n"/>
      <c r="AB52" s="433" t="n">
        <v>0</v>
      </c>
      <c r="AC52" s="417" t="n"/>
      <c r="AD52" s="433" t="n">
        <v>233.333</v>
      </c>
      <c r="AE52" s="433" t="n">
        <v>0</v>
      </c>
      <c r="AF52" s="433" t="n">
        <v>0</v>
      </c>
      <c r="AG52" s="433" t="n">
        <v>0</v>
      </c>
      <c r="AH52" s="433" t="n">
        <v>0</v>
      </c>
      <c r="AI52" s="417" t="n"/>
      <c r="AJ52" s="433" t="n">
        <v>500</v>
      </c>
      <c r="AK52" s="433" t="n">
        <v>0</v>
      </c>
      <c r="AL52" s="433" t="n">
        <v>0</v>
      </c>
      <c r="AM52" s="433" t="n">
        <v>0</v>
      </c>
      <c r="AN52" s="433" t="n">
        <v>0</v>
      </c>
      <c r="AO52" s="433" t="n">
        <v>0</v>
      </c>
      <c r="AP52" s="433" t="n">
        <v>500</v>
      </c>
      <c r="AQ52" s="417" t="n"/>
      <c r="AR52" s="438" t="inlineStr">
        <is>
          <t>8.82</t>
        </is>
      </c>
      <c r="AS52" s="444">
        <f>VLOOKUP(C52,#REF!,16,0)</f>
        <v/>
      </c>
      <c r="AT52" s="444">
        <f>R52-AS52</f>
        <v/>
      </c>
    </row>
    <row r="53" hidden="1" ht="31.2" customHeight="1" s="1264">
      <c r="A53" s="433" t="n">
        <v>49</v>
      </c>
      <c r="B53" s="469" t="inlineStr">
        <is>
          <t>Rạch Bùng Binh</t>
        </is>
      </c>
      <c r="C53" s="435" t="inlineStr">
        <is>
          <t>Ngô Thị Ngọc Thủy</t>
        </is>
      </c>
      <c r="D53" s="434" t="inlineStr">
        <is>
          <t>DSXC (TV)</t>
        </is>
      </c>
      <c r="E53" s="438" t="inlineStr">
        <is>
          <t>169.61</t>
        </is>
      </c>
      <c r="F53" s="438" t="inlineStr">
        <is>
          <t>56.18</t>
        </is>
      </c>
      <c r="G53" s="433" t="inlineStr">
        <is>
          <t>169.61</t>
        </is>
      </c>
      <c r="H53" s="433" t="inlineStr">
        <is>
          <t>56.18</t>
        </is>
      </c>
      <c r="I53" s="417" t="n"/>
      <c r="J53" s="417" t="n"/>
      <c r="K53" s="433" t="n">
        <v>0</v>
      </c>
      <c r="L53" s="417" t="n"/>
      <c r="M53" s="417" t="n"/>
      <c r="N53" s="433" t="n">
        <v>0</v>
      </c>
      <c r="O53" s="433" t="n">
        <v>0</v>
      </c>
      <c r="P53" s="433" t="n">
        <v>0</v>
      </c>
      <c r="Q53" s="417" t="n"/>
      <c r="R53" s="433" t="n">
        <v>27</v>
      </c>
      <c r="S53" s="433" t="inlineStr">
        <is>
          <t>0.00</t>
        </is>
      </c>
      <c r="T53" s="433" t="n">
        <v>0</v>
      </c>
      <c r="U53" s="417" t="n"/>
      <c r="V53" s="449" t="n"/>
      <c r="W53" s="417" t="n"/>
      <c r="X53" s="417" t="n"/>
      <c r="Y53" s="417" t="n"/>
      <c r="Z53" s="417" t="n"/>
      <c r="AA53" s="433" t="n">
        <v>0</v>
      </c>
      <c r="AB53" s="433" t="n">
        <v>0</v>
      </c>
      <c r="AC53" s="433" t="n">
        <v>0</v>
      </c>
      <c r="AD53" s="433" t="inlineStr">
        <is>
          <t>1,000,000</t>
        </is>
      </c>
      <c r="AE53" s="433" t="n">
        <v>0</v>
      </c>
      <c r="AF53" s="453" t="inlineStr">
        <is>
          <t>1,590,500</t>
        </is>
      </c>
      <c r="AG53" s="433" t="n">
        <v>0</v>
      </c>
      <c r="AH53" s="433" t="n">
        <v>140</v>
      </c>
      <c r="AI53" s="417" t="n"/>
      <c r="AJ53" s="433" t="n">
        <v>614</v>
      </c>
      <c r="AK53" s="433" t="n">
        <v>0</v>
      </c>
      <c r="AL53" s="433" t="n">
        <v>0</v>
      </c>
      <c r="AM53" s="433" t="n">
        <v>0</v>
      </c>
      <c r="AN53" s="433" t="n">
        <v>0</v>
      </c>
      <c r="AO53" s="433" t="n">
        <v>614</v>
      </c>
      <c r="AP53" s="433" t="n">
        <v>0</v>
      </c>
      <c r="AQ53" s="466" t="inlineStr">
        <is>
          <t>Đối soát 1157386, HD 1152876, HD1176087,HD1176039, HD1152936</t>
        </is>
      </c>
      <c r="AR53" s="438" t="inlineStr">
        <is>
          <t>10.03</t>
        </is>
      </c>
      <c r="AS53" s="444">
        <f>VLOOKUP(C53,#REF!,16,0)</f>
        <v/>
      </c>
      <c r="AT53" s="444">
        <f>R53-AS53</f>
        <v/>
      </c>
    </row>
    <row r="54" hidden="1" ht="15.6" customHeight="1" s="1264">
      <c r="A54" s="433" t="n">
        <v>50</v>
      </c>
      <c r="B54" s="469" t="inlineStr">
        <is>
          <t>Rạch Bùng Binh</t>
        </is>
      </c>
      <c r="C54" s="435" t="inlineStr">
        <is>
          <t>Phan Công Vũ Tài</t>
        </is>
      </c>
      <c r="D54" s="434" t="inlineStr">
        <is>
          <t>DSXC</t>
        </is>
      </c>
      <c r="E54" s="438" t="inlineStr">
        <is>
          <t>32.70</t>
        </is>
      </c>
      <c r="F54" s="438" t="inlineStr">
        <is>
          <t>0.00</t>
        </is>
      </c>
      <c r="G54" s="433" t="inlineStr">
        <is>
          <t>32.70</t>
        </is>
      </c>
      <c r="H54" s="433" t="inlineStr">
        <is>
          <t>0.00</t>
        </is>
      </c>
      <c r="I54" s="417" t="n"/>
      <c r="J54" s="417" t="n"/>
      <c r="K54" s="433" t="n">
        <v>1</v>
      </c>
      <c r="L54" s="417" t="n"/>
      <c r="M54" s="417" t="n"/>
      <c r="N54" s="433" t="n">
        <v>0</v>
      </c>
      <c r="O54" s="433" t="n">
        <v>0</v>
      </c>
      <c r="P54" s="433" t="n">
        <v>0</v>
      </c>
      <c r="Q54" s="417" t="n"/>
      <c r="R54" s="433" t="n">
        <v>4</v>
      </c>
      <c r="S54" s="433" t="inlineStr">
        <is>
          <t>0.00</t>
        </is>
      </c>
      <c r="T54" s="433" t="n">
        <v>0</v>
      </c>
      <c r="U54" s="417" t="n"/>
      <c r="V54" s="449" t="n"/>
      <c r="W54" s="417" t="n"/>
      <c r="X54" s="417" t="n"/>
      <c r="Y54" s="417" t="n"/>
      <c r="Z54" s="417" t="n"/>
      <c r="AA54" s="417" t="n"/>
      <c r="AB54" s="433" t="n">
        <v>0</v>
      </c>
      <c r="AC54" s="433" t="n">
        <v>0</v>
      </c>
      <c r="AD54" s="417" t="n"/>
      <c r="AE54" s="433" t="n">
        <v>0</v>
      </c>
      <c r="AF54" s="453" t="n">
        <v>0</v>
      </c>
      <c r="AG54" s="433" t="n">
        <v>15.362</v>
      </c>
      <c r="AH54" s="433" t="n">
        <v>0</v>
      </c>
      <c r="AI54" s="456" t="n"/>
      <c r="AJ54" s="433" t="n">
        <v>0</v>
      </c>
      <c r="AK54" s="433" t="n">
        <v>0</v>
      </c>
      <c r="AL54" s="433" t="n">
        <v>0</v>
      </c>
      <c r="AM54" s="433" t="n">
        <v>0</v>
      </c>
      <c r="AN54" s="433" t="n">
        <v>0</v>
      </c>
      <c r="AO54" s="433" t="n">
        <v>0</v>
      </c>
      <c r="AP54" s="433" t="n">
        <v>0</v>
      </c>
      <c r="AQ54" s="417" t="n"/>
      <c r="AR54" s="438" t="n">
        <v>24</v>
      </c>
      <c r="AS54" s="444">
        <f>VLOOKUP(C54,#REF!,16,0)</f>
        <v/>
      </c>
      <c r="AT54" s="444">
        <f>R54-AS54</f>
        <v/>
      </c>
    </row>
    <row r="55" hidden="1" ht="15.6" customHeight="1" s="1264">
      <c r="A55" s="433" t="n">
        <v>51</v>
      </c>
      <c r="B55" s="469" t="inlineStr">
        <is>
          <t>Rạch Bùng Binh</t>
        </is>
      </c>
      <c r="C55" s="447" t="inlineStr">
        <is>
          <t>Phạm Nguyễn Ngọc Quyền Trân</t>
        </is>
      </c>
      <c r="D55" s="434" t="inlineStr">
        <is>
          <t>DSXC</t>
        </is>
      </c>
      <c r="E55" s="438" t="inlineStr">
        <is>
          <t>251.72</t>
        </is>
      </c>
      <c r="F55" s="438" t="inlineStr">
        <is>
          <t>10.23</t>
        </is>
      </c>
      <c r="G55" s="433" t="inlineStr">
        <is>
          <t>251.72</t>
        </is>
      </c>
      <c r="H55" s="433" t="inlineStr">
        <is>
          <t>10.23</t>
        </is>
      </c>
      <c r="I55" s="417" t="n"/>
      <c r="J55" s="417" t="n"/>
      <c r="K55" s="433" t="n">
        <v>1</v>
      </c>
      <c r="L55" s="417" t="n"/>
      <c r="M55" s="417" t="n"/>
      <c r="N55" s="433" t="n">
        <v>0</v>
      </c>
      <c r="O55" s="433" t="n">
        <v>0</v>
      </c>
      <c r="P55" s="433" t="n">
        <v>0</v>
      </c>
      <c r="Q55" s="417" t="n"/>
      <c r="R55" s="433" t="n">
        <v>27</v>
      </c>
      <c r="S55" s="433" t="inlineStr">
        <is>
          <t>0.00</t>
        </is>
      </c>
      <c r="T55" s="433" t="n">
        <v>0</v>
      </c>
      <c r="U55" s="417" t="n"/>
      <c r="V55" s="449" t="n"/>
      <c r="W55" s="417" t="n"/>
      <c r="X55" s="456" t="n"/>
      <c r="Y55" s="417" t="n"/>
      <c r="Z55" s="417" t="n"/>
      <c r="AA55" s="433" t="n">
        <v>0</v>
      </c>
      <c r="AB55" s="433" t="n">
        <v>0</v>
      </c>
      <c r="AC55" s="433" t="n">
        <v>0</v>
      </c>
      <c r="AD55" s="417" t="n"/>
      <c r="AE55" s="433" t="n">
        <v>0</v>
      </c>
      <c r="AF55" s="453" t="inlineStr">
        <is>
          <t>1,392,300</t>
        </is>
      </c>
      <c r="AG55" s="433" t="n">
        <v>223.268</v>
      </c>
      <c r="AH55" s="433" t="n">
        <v>0</v>
      </c>
      <c r="AI55" s="417" t="n"/>
      <c r="AJ55" s="433" t="n">
        <v>76.90000000000001</v>
      </c>
      <c r="AK55" s="433" t="n">
        <v>0</v>
      </c>
      <c r="AL55" s="433" t="n">
        <v>0</v>
      </c>
      <c r="AM55" s="433" t="n">
        <v>0</v>
      </c>
      <c r="AN55" s="433" t="n">
        <v>0</v>
      </c>
      <c r="AO55" s="433" t="n">
        <v>76.90000000000001</v>
      </c>
      <c r="AP55" s="433" t="n">
        <v>0</v>
      </c>
      <c r="AQ55" s="466" t="inlineStr">
        <is>
          <t>Đối soát HD1135328, HD1168963</t>
        </is>
      </c>
      <c r="AR55" s="438" t="inlineStr">
        <is>
          <t>16.13</t>
        </is>
      </c>
      <c r="AS55" s="444">
        <f>VLOOKUP(C55,#REF!,16,0)</f>
        <v/>
      </c>
      <c r="AT55" s="444">
        <f>R55-AS55</f>
        <v/>
      </c>
    </row>
    <row r="56" hidden="1" ht="15.75" customHeight="1" s="1264">
      <c r="A56" s="433" t="n">
        <v>52</v>
      </c>
      <c r="B56" s="470" t="inlineStr">
        <is>
          <t>Lê Bình</t>
        </is>
      </c>
      <c r="C56" s="435" t="inlineStr">
        <is>
          <t>Hồ Thị Minh Hòa</t>
        </is>
      </c>
      <c r="D56" s="436" t="inlineStr">
        <is>
          <t>CHT</t>
        </is>
      </c>
      <c r="E56" s="438" t="inlineStr">
        <is>
          <t>272.06</t>
        </is>
      </c>
      <c r="F56" s="438" t="inlineStr">
        <is>
          <t>6.88</t>
        </is>
      </c>
      <c r="G56" s="433" t="inlineStr">
        <is>
          <t>272.06</t>
        </is>
      </c>
      <c r="H56" s="433" t="inlineStr">
        <is>
          <t>6.88</t>
        </is>
      </c>
      <c r="I56" s="417" t="n"/>
      <c r="J56" s="417" t="n"/>
      <c r="K56" s="433" t="n">
        <v>0</v>
      </c>
      <c r="L56" s="417" t="n"/>
      <c r="M56" s="417" t="n"/>
      <c r="N56" s="433" t="n">
        <v>0</v>
      </c>
      <c r="O56" s="433" t="n">
        <v>0</v>
      </c>
      <c r="P56" s="433" t="n">
        <v>0</v>
      </c>
      <c r="Q56" s="417" t="n"/>
      <c r="R56" s="433" t="n">
        <v>28</v>
      </c>
      <c r="S56" s="433" t="inlineStr">
        <is>
          <t>0.00</t>
        </is>
      </c>
      <c r="T56" s="433" t="n">
        <v>0</v>
      </c>
      <c r="U56" s="417" t="n"/>
      <c r="V56" s="446" t="inlineStr">
        <is>
          <t>1,500,000</t>
        </is>
      </c>
      <c r="W56" s="417" t="n"/>
      <c r="X56" s="417" t="n"/>
      <c r="Y56" s="417" t="n"/>
      <c r="Z56" s="417" t="n"/>
      <c r="AA56" s="433" t="n">
        <v>45</v>
      </c>
      <c r="AB56" s="433" t="n">
        <v>0</v>
      </c>
      <c r="AC56" s="433" t="n">
        <v>0</v>
      </c>
      <c r="AD56" s="456" t="n"/>
      <c r="AE56" s="433" t="n">
        <v>0</v>
      </c>
      <c r="AF56" s="453" t="inlineStr">
        <is>
          <t>1,265,850</t>
        </is>
      </c>
      <c r="AG56" s="433" t="n">
        <v>0</v>
      </c>
      <c r="AH56" s="433" t="n">
        <v>60</v>
      </c>
      <c r="AI56" s="417" t="n"/>
      <c r="AJ56" s="433" t="n">
        <v>0</v>
      </c>
      <c r="AK56" s="433" t="n">
        <v>0</v>
      </c>
      <c r="AL56" s="433" t="n">
        <v>0</v>
      </c>
      <c r="AM56" s="433" t="n">
        <v>0</v>
      </c>
      <c r="AN56" s="433" t="n">
        <v>0</v>
      </c>
      <c r="AO56" s="433" t="n">
        <v>0</v>
      </c>
      <c r="AP56" s="433" t="n">
        <v>0</v>
      </c>
      <c r="AQ56" s="417" t="n"/>
      <c r="AR56" s="438" t="inlineStr">
        <is>
          <t>16.13</t>
        </is>
      </c>
      <c r="AS56" s="444">
        <f>VLOOKUP(C56,#REF!,16,0)</f>
        <v/>
      </c>
      <c r="AT56" s="444">
        <f>R56-AS56</f>
        <v/>
      </c>
    </row>
    <row r="57" hidden="1" ht="15.75" customHeight="1" s="1264">
      <c r="A57" s="433" t="n">
        <v>53</v>
      </c>
      <c r="B57" s="470" t="inlineStr">
        <is>
          <t>Lê Bình</t>
        </is>
      </c>
      <c r="C57" s="435" t="inlineStr">
        <is>
          <t>Nguyễn Trần Ngọc Phương</t>
        </is>
      </c>
      <c r="D57" s="445" t="inlineStr">
        <is>
          <t>Q.CHT</t>
        </is>
      </c>
      <c r="E57" s="438" t="inlineStr">
        <is>
          <t>10.00</t>
        </is>
      </c>
      <c r="F57" s="438" t="inlineStr">
        <is>
          <t>0.00</t>
        </is>
      </c>
      <c r="G57" s="433" t="inlineStr">
        <is>
          <t>10.00</t>
        </is>
      </c>
      <c r="H57" s="433" t="inlineStr">
        <is>
          <t>0.00</t>
        </is>
      </c>
      <c r="I57" s="417" t="n"/>
      <c r="J57" s="417" t="n"/>
      <c r="K57" s="433" t="n">
        <v>30</v>
      </c>
      <c r="L57" s="417" t="n"/>
      <c r="M57" s="417" t="n"/>
      <c r="N57" s="433" t="n">
        <v>0</v>
      </c>
      <c r="O57" s="433" t="n">
        <v>0</v>
      </c>
      <c r="P57" s="433" t="n">
        <v>0</v>
      </c>
      <c r="Q57" s="417" t="n"/>
      <c r="R57" s="433" t="n">
        <v>1</v>
      </c>
      <c r="S57" s="433" t="inlineStr">
        <is>
          <t>0.00</t>
        </is>
      </c>
      <c r="T57" s="433" t="n">
        <v>0</v>
      </c>
      <c r="U57" s="417" t="n"/>
      <c r="V57" s="440" t="n"/>
      <c r="W57" s="417" t="n"/>
      <c r="X57" s="417" t="n"/>
      <c r="Y57" s="417" t="n"/>
      <c r="Z57" s="417" t="n"/>
      <c r="AA57" s="417" t="n"/>
      <c r="AB57" s="433" t="n">
        <v>0</v>
      </c>
      <c r="AC57" s="433" t="n">
        <v>0</v>
      </c>
      <c r="AD57" s="417" t="n"/>
      <c r="AE57" s="433" t="n">
        <v>0</v>
      </c>
      <c r="AF57" s="453" t="n">
        <v>0</v>
      </c>
      <c r="AG57" s="433" t="n">
        <v>6.601</v>
      </c>
      <c r="AH57" s="433" t="n">
        <v>0</v>
      </c>
      <c r="AI57" s="417" t="n"/>
      <c r="AJ57" s="433" t="n">
        <v>0</v>
      </c>
      <c r="AK57" s="433" t="n">
        <v>0</v>
      </c>
      <c r="AL57" s="433" t="n">
        <v>0</v>
      </c>
      <c r="AM57" s="433" t="n">
        <v>0</v>
      </c>
      <c r="AN57" s="433" t="n">
        <v>0</v>
      </c>
      <c r="AO57" s="433" t="n">
        <v>0</v>
      </c>
      <c r="AP57" s="433" t="n">
        <v>0</v>
      </c>
      <c r="AQ57" s="417" t="n"/>
      <c r="AR57" s="438" t="inlineStr">
        <is>
          <t>11.23</t>
        </is>
      </c>
      <c r="AS57" s="444">
        <f>VLOOKUP(C57,#REF!,16,0)</f>
        <v/>
      </c>
      <c r="AT57" s="444">
        <f>R57-AS57</f>
        <v/>
      </c>
    </row>
    <row r="58" hidden="1" ht="15.75" customHeight="1" s="1264">
      <c r="A58" s="433" t="n">
        <v>54</v>
      </c>
      <c r="B58" s="470" t="inlineStr">
        <is>
          <t>Lê Bình</t>
        </is>
      </c>
      <c r="C58" s="447" t="inlineStr">
        <is>
          <t>Lê Thị Xuyến</t>
        </is>
      </c>
      <c r="D58" s="434" t="inlineStr">
        <is>
          <t>DSCD (TV)</t>
        </is>
      </c>
      <c r="E58" s="438" t="inlineStr">
        <is>
          <t>32.39</t>
        </is>
      </c>
      <c r="F58" s="438" t="inlineStr">
        <is>
          <t>243.48</t>
        </is>
      </c>
      <c r="G58" s="433" t="inlineStr">
        <is>
          <t>16.39</t>
        </is>
      </c>
      <c r="H58" s="433" t="inlineStr">
        <is>
          <t>243.48</t>
        </is>
      </c>
      <c r="I58" s="433" t="n">
        <v>16</v>
      </c>
      <c r="J58" s="417" t="n"/>
      <c r="K58" s="433" t="n">
        <v>27</v>
      </c>
      <c r="L58" s="417" t="n"/>
      <c r="M58" s="417" t="n"/>
      <c r="N58" s="433" t="n">
        <v>0</v>
      </c>
      <c r="O58" s="433" t="n">
        <v>0</v>
      </c>
      <c r="P58" s="433" t="n">
        <v>0</v>
      </c>
      <c r="Q58" s="417" t="n"/>
      <c r="R58" s="433" t="n">
        <v>30</v>
      </c>
      <c r="S58" s="433" t="inlineStr">
        <is>
          <t>0.00</t>
        </is>
      </c>
      <c r="T58" s="433" t="n">
        <v>0</v>
      </c>
      <c r="U58" s="417" t="n"/>
      <c r="V58" s="449" t="n"/>
      <c r="W58" s="417" t="n"/>
      <c r="X58" s="433" t="inlineStr">
        <is>
          <t>1,500,000</t>
        </is>
      </c>
      <c r="Y58" s="417" t="n"/>
      <c r="Z58" s="417" t="n"/>
      <c r="AA58" s="433" t="n">
        <v>0</v>
      </c>
      <c r="AB58" s="433" t="n">
        <v>0</v>
      </c>
      <c r="AC58" s="433" t="n">
        <v>0</v>
      </c>
      <c r="AD58" s="433" t="inlineStr">
        <is>
          <t>1,400,000</t>
        </is>
      </c>
      <c r="AE58" s="433" t="n">
        <v>0</v>
      </c>
      <c r="AF58" s="453" t="n">
        <v>846.9</v>
      </c>
      <c r="AG58" s="433" t="n">
        <v>955</v>
      </c>
      <c r="AH58" s="433" t="n">
        <v>0</v>
      </c>
      <c r="AI58" s="417" t="n"/>
      <c r="AJ58" s="433" t="n">
        <v>500</v>
      </c>
      <c r="AK58" s="433" t="n">
        <v>0</v>
      </c>
      <c r="AL58" s="433" t="n">
        <v>0</v>
      </c>
      <c r="AM58" s="433" t="n">
        <v>0</v>
      </c>
      <c r="AN58" s="433" t="n">
        <v>0</v>
      </c>
      <c r="AO58" s="433" t="n">
        <v>0</v>
      </c>
      <c r="AP58" s="433" t="n">
        <v>500</v>
      </c>
      <c r="AQ58" s="466" t="inlineStr">
        <is>
          <t>Khấu hao đồng phục</t>
        </is>
      </c>
      <c r="AR58" s="438" t="inlineStr">
        <is>
          <t>12.19</t>
        </is>
      </c>
      <c r="AS58" s="444">
        <f>VLOOKUP(C58,#REF!,16,0)</f>
        <v/>
      </c>
      <c r="AT58" s="444">
        <f>R58-AS58</f>
        <v/>
      </c>
    </row>
    <row r="59" hidden="1" ht="15.75" customHeight="1" s="1264">
      <c r="A59" s="433" t="n">
        <v>55</v>
      </c>
      <c r="B59" s="470" t="inlineStr">
        <is>
          <t>Lê Bình</t>
        </is>
      </c>
      <c r="C59" s="447" t="inlineStr">
        <is>
          <t>Đinh Hoài Bảo</t>
        </is>
      </c>
      <c r="D59" s="434" t="inlineStr">
        <is>
          <t>DSCD (TV)</t>
        </is>
      </c>
      <c r="E59" s="438" t="inlineStr">
        <is>
          <t>4.17</t>
        </is>
      </c>
      <c r="F59" s="438" t="inlineStr">
        <is>
          <t>217.89</t>
        </is>
      </c>
      <c r="G59" s="433" t="inlineStr">
        <is>
          <t>4.17</t>
        </is>
      </c>
      <c r="H59" s="433" t="inlineStr">
        <is>
          <t>217.89</t>
        </is>
      </c>
      <c r="I59" s="417" t="n"/>
      <c r="J59" s="417" t="n"/>
      <c r="K59" s="433" t="n">
        <v>0</v>
      </c>
      <c r="L59" s="417" t="n"/>
      <c r="M59" s="417" t="n"/>
      <c r="N59" s="433" t="n">
        <v>0</v>
      </c>
      <c r="O59" s="433" t="n">
        <v>0</v>
      </c>
      <c r="P59" s="433" t="n">
        <v>0</v>
      </c>
      <c r="Q59" s="417" t="n"/>
      <c r="R59" s="433" t="n">
        <v>27</v>
      </c>
      <c r="S59" s="433" t="inlineStr">
        <is>
          <t>0.00</t>
        </is>
      </c>
      <c r="T59" s="433" t="n">
        <v>0</v>
      </c>
      <c r="U59" s="417" t="n"/>
      <c r="V59" s="449" t="n"/>
      <c r="W59" s="417" t="n"/>
      <c r="X59" s="433" t="inlineStr">
        <is>
          <t>1,446,429</t>
        </is>
      </c>
      <c r="Y59" s="417" t="n"/>
      <c r="Z59" s="417" t="n"/>
      <c r="AA59" s="433" t="n">
        <v>0</v>
      </c>
      <c r="AB59" s="433" t="n">
        <v>0</v>
      </c>
      <c r="AC59" s="433" t="n">
        <v>0</v>
      </c>
      <c r="AD59" s="433" t="inlineStr">
        <is>
          <t>2,000,000</t>
        </is>
      </c>
      <c r="AE59" s="433" t="n">
        <v>0</v>
      </c>
      <c r="AF59" s="453" t="inlineStr">
        <is>
          <t>1,106,640</t>
        </is>
      </c>
      <c r="AG59" s="433" t="n">
        <v>0</v>
      </c>
      <c r="AH59" s="433" t="n">
        <v>20</v>
      </c>
      <c r="AI59" s="417" t="n"/>
      <c r="AJ59" s="433" t="n">
        <v>100</v>
      </c>
      <c r="AK59" s="433" t="n">
        <v>0</v>
      </c>
      <c r="AL59" s="433" t="n">
        <v>0</v>
      </c>
      <c r="AM59" s="433" t="n">
        <v>100</v>
      </c>
      <c r="AN59" s="433" t="n">
        <v>0</v>
      </c>
      <c r="AO59" s="433" t="n">
        <v>0</v>
      </c>
      <c r="AP59" s="433" t="n">
        <v>0</v>
      </c>
      <c r="AQ59" s="466" t="inlineStr">
        <is>
          <t>Sai thao tác (Sai kênh bán HD1175699) : 100.000đ</t>
        </is>
      </c>
      <c r="AR59" s="438" t="inlineStr">
        <is>
          <t>11.69</t>
        </is>
      </c>
      <c r="AS59" s="444">
        <f>VLOOKUP(C59,#REF!,16,0)</f>
        <v/>
      </c>
      <c r="AT59" s="444">
        <f>R59-AS59</f>
        <v/>
      </c>
    </row>
    <row r="60" hidden="1" ht="15.75" customHeight="1" s="1264">
      <c r="A60" s="433" t="n">
        <v>56</v>
      </c>
      <c r="B60" s="470" t="inlineStr">
        <is>
          <t>Lê Bình</t>
        </is>
      </c>
      <c r="C60" s="435" t="inlineStr">
        <is>
          <t>Hoàng Lâm Gia Bảo</t>
        </is>
      </c>
      <c r="D60" s="434" t="inlineStr">
        <is>
          <t>DSXC</t>
        </is>
      </c>
      <c r="E60" s="438" t="inlineStr">
        <is>
          <t>179.62</t>
        </is>
      </c>
      <c r="F60" s="438" t="inlineStr">
        <is>
          <t>1.35</t>
        </is>
      </c>
      <c r="G60" s="433" t="inlineStr">
        <is>
          <t>179.62</t>
        </is>
      </c>
      <c r="H60" s="433" t="inlineStr">
        <is>
          <t>1.35</t>
        </is>
      </c>
      <c r="I60" s="417" t="n"/>
      <c r="J60" s="417" t="n"/>
      <c r="K60" s="433" t="n">
        <v>0</v>
      </c>
      <c r="L60" s="417" t="n"/>
      <c r="M60" s="417" t="n"/>
      <c r="N60" s="433" t="n">
        <v>0</v>
      </c>
      <c r="O60" s="433" t="n">
        <v>0</v>
      </c>
      <c r="P60" s="433" t="n">
        <v>0</v>
      </c>
      <c r="Q60" s="417" t="n"/>
      <c r="R60" s="433" t="n">
        <v>20</v>
      </c>
      <c r="S60" s="433" t="inlineStr">
        <is>
          <t>0.00</t>
        </is>
      </c>
      <c r="T60" s="433" t="n">
        <v>0</v>
      </c>
      <c r="U60" s="417" t="n"/>
      <c r="V60" s="449" t="n"/>
      <c r="W60" s="417" t="n"/>
      <c r="X60" s="417" t="n"/>
      <c r="Y60" s="417" t="n"/>
      <c r="Z60" s="417" t="n"/>
      <c r="AA60" s="433" t="n">
        <v>0</v>
      </c>
      <c r="AB60" s="433" t="n">
        <v>0</v>
      </c>
      <c r="AC60" s="433" t="n">
        <v>0</v>
      </c>
      <c r="AD60" s="417" t="n"/>
      <c r="AE60" s="433" t="n">
        <v>955.682</v>
      </c>
      <c r="AF60" s="453" t="inlineStr">
        <is>
          <t>1,187,050</t>
        </is>
      </c>
      <c r="AG60" s="433" t="n">
        <v>0</v>
      </c>
      <c r="AH60" s="433" t="n">
        <v>40</v>
      </c>
      <c r="AI60" s="417" t="n"/>
      <c r="AJ60" s="433" t="n">
        <v>123</v>
      </c>
      <c r="AK60" s="433" t="n">
        <v>0</v>
      </c>
      <c r="AL60" s="433" t="n">
        <v>0</v>
      </c>
      <c r="AM60" s="433" t="n">
        <v>100</v>
      </c>
      <c r="AN60" s="433" t="n">
        <v>0</v>
      </c>
      <c r="AO60" s="433" t="n">
        <v>23</v>
      </c>
      <c r="AP60" s="433" t="n">
        <v>0</v>
      </c>
      <c r="AQ60" s="466" t="inlineStr">
        <is>
          <t>Sai thao tác (Sai kênh bán HD1180912) : 100.000đ
Đối soát HD1169130: 23.000</t>
        </is>
      </c>
      <c r="AR60" s="438" t="inlineStr">
        <is>
          <t>16.93</t>
        </is>
      </c>
      <c r="AS60" s="444">
        <f>VLOOKUP(C60,#REF!,16,0)</f>
        <v/>
      </c>
      <c r="AT60" s="444">
        <f>R60-AS60</f>
        <v/>
      </c>
    </row>
    <row r="61" hidden="1" ht="15.75" customHeight="1" s="1264">
      <c r="A61" s="433" t="n">
        <v>57</v>
      </c>
      <c r="B61" s="470" t="inlineStr">
        <is>
          <t>Lê Bình</t>
        </is>
      </c>
      <c r="C61" s="435" t="inlineStr">
        <is>
          <t>Nguyễn Thị Huyền Trang</t>
        </is>
      </c>
      <c r="D61" s="434" t="inlineStr">
        <is>
          <t>DSXC (TV)</t>
        </is>
      </c>
      <c r="E61" s="438" t="inlineStr">
        <is>
          <t>11.25</t>
        </is>
      </c>
      <c r="F61" s="438" t="inlineStr">
        <is>
          <t>0.00</t>
        </is>
      </c>
      <c r="G61" s="433" t="inlineStr">
        <is>
          <t>11.25</t>
        </is>
      </c>
      <c r="H61" s="433" t="inlineStr">
        <is>
          <t>0.00</t>
        </is>
      </c>
      <c r="I61" s="417" t="n"/>
      <c r="J61" s="417" t="n"/>
      <c r="K61" s="433" t="n">
        <v>0</v>
      </c>
      <c r="L61" s="417" t="n"/>
      <c r="M61" s="417" t="n"/>
      <c r="N61" s="433" t="n">
        <v>0</v>
      </c>
      <c r="O61" s="433" t="n">
        <v>0</v>
      </c>
      <c r="P61" s="433" t="n">
        <v>0</v>
      </c>
      <c r="Q61" s="417" t="n"/>
      <c r="R61" s="433" t="n">
        <v>1</v>
      </c>
      <c r="S61" s="433" t="inlineStr">
        <is>
          <t>0.00</t>
        </is>
      </c>
      <c r="T61" s="433" t="n">
        <v>0</v>
      </c>
      <c r="U61" s="417" t="n"/>
      <c r="V61" s="449" t="n"/>
      <c r="W61" s="417" t="n"/>
      <c r="X61" s="417" t="n"/>
      <c r="Y61" s="417" t="n"/>
      <c r="Z61" s="417" t="n"/>
      <c r="AA61" s="417" t="n"/>
      <c r="AB61" s="433" t="n">
        <v>0</v>
      </c>
      <c r="AC61" s="433" t="n">
        <v>0</v>
      </c>
      <c r="AD61" s="417" t="n"/>
      <c r="AE61" s="433" t="n">
        <v>0</v>
      </c>
      <c r="AF61" s="453" t="n">
        <v>0</v>
      </c>
      <c r="AG61" s="433" t="n">
        <v>35.008</v>
      </c>
      <c r="AH61" s="433" t="n">
        <v>0</v>
      </c>
      <c r="AI61" s="417" t="n"/>
      <c r="AJ61" s="433" t="n">
        <v>0</v>
      </c>
      <c r="AK61" s="433" t="n">
        <v>0</v>
      </c>
      <c r="AL61" s="433" t="n">
        <v>0</v>
      </c>
      <c r="AM61" s="433" t="n">
        <v>0</v>
      </c>
      <c r="AN61" s="433" t="n">
        <v>0</v>
      </c>
      <c r="AO61" s="433" t="n">
        <v>0</v>
      </c>
      <c r="AP61" s="433" t="n">
        <v>0</v>
      </c>
      <c r="AQ61" s="417" t="n"/>
      <c r="AR61" s="438" t="inlineStr">
        <is>
          <t>14.13</t>
        </is>
      </c>
      <c r="AS61" s="444">
        <f>VLOOKUP(C61,#REF!,16,0)</f>
        <v/>
      </c>
      <c r="AT61" s="444">
        <f>R61-AS61</f>
        <v/>
      </c>
    </row>
    <row r="62" hidden="1" ht="15.75" customHeight="1" s="1264">
      <c r="A62" s="433" t="n">
        <v>58</v>
      </c>
      <c r="B62" s="470" t="inlineStr">
        <is>
          <t>Lê Bình</t>
        </is>
      </c>
      <c r="C62" s="435" t="inlineStr">
        <is>
          <t>Phạm Nguyễn Ngọc Quý</t>
        </is>
      </c>
      <c r="D62" s="434" t="inlineStr">
        <is>
          <t>DSXC</t>
        </is>
      </c>
      <c r="E62" s="438" t="inlineStr">
        <is>
          <t>8.62</t>
        </is>
      </c>
      <c r="F62" s="438" t="inlineStr">
        <is>
          <t>0.00</t>
        </is>
      </c>
      <c r="G62" s="433" t="inlineStr">
        <is>
          <t>8.62</t>
        </is>
      </c>
      <c r="H62" s="433" t="inlineStr">
        <is>
          <t>0.00</t>
        </is>
      </c>
      <c r="I62" s="417" t="n"/>
      <c r="J62" s="417" t="n"/>
      <c r="K62" s="433" t="n">
        <v>2</v>
      </c>
      <c r="L62" s="417" t="n"/>
      <c r="M62" s="417" t="n"/>
      <c r="N62" s="433" t="n">
        <v>0</v>
      </c>
      <c r="O62" s="433" t="n">
        <v>0</v>
      </c>
      <c r="P62" s="433" t="n">
        <v>0</v>
      </c>
      <c r="Q62" s="417" t="n"/>
      <c r="R62" s="433" t="n">
        <v>1</v>
      </c>
      <c r="S62" s="433" t="inlineStr">
        <is>
          <t>0.00</t>
        </is>
      </c>
      <c r="T62" s="433" t="n">
        <v>0</v>
      </c>
      <c r="U62" s="417" t="n"/>
      <c r="V62" s="417" t="n"/>
      <c r="W62" s="417" t="n"/>
      <c r="X62" s="417" t="n"/>
      <c r="Y62" s="417" t="n"/>
      <c r="Z62" s="417" t="n"/>
      <c r="AA62" s="417" t="n"/>
      <c r="AB62" s="433" t="n">
        <v>0</v>
      </c>
      <c r="AC62" s="433" t="n">
        <v>0</v>
      </c>
      <c r="AD62" s="417" t="n"/>
      <c r="AE62" s="433" t="n">
        <v>0</v>
      </c>
      <c r="AF62" s="453" t="n">
        <v>0</v>
      </c>
      <c r="AG62" s="433" t="n">
        <v>18.3</v>
      </c>
      <c r="AH62" s="433" t="n">
        <v>0</v>
      </c>
      <c r="AI62" s="417" t="n"/>
      <c r="AJ62" s="433" t="n">
        <v>0</v>
      </c>
      <c r="AK62" s="433" t="n">
        <v>0</v>
      </c>
      <c r="AL62" s="433" t="n">
        <v>0</v>
      </c>
      <c r="AM62" s="433" t="n">
        <v>0</v>
      </c>
      <c r="AN62" s="433" t="n">
        <v>0</v>
      </c>
      <c r="AO62" s="433" t="n">
        <v>0</v>
      </c>
      <c r="AP62" s="433" t="n">
        <v>0</v>
      </c>
      <c r="AQ62" s="417" t="n"/>
      <c r="AR62" s="438" t="inlineStr">
        <is>
          <t>11.17</t>
        </is>
      </c>
      <c r="AS62" s="444">
        <f>VLOOKUP(C62,#REF!,16,0)</f>
        <v/>
      </c>
      <c r="AT62" s="444">
        <f>R62-AS62</f>
        <v/>
      </c>
    </row>
    <row r="63" hidden="1" ht="15.75" customHeight="1" s="1264">
      <c r="A63" s="433" t="n">
        <v>59</v>
      </c>
      <c r="B63" s="470" t="inlineStr">
        <is>
          <t>Lê Bình</t>
        </is>
      </c>
      <c r="C63" s="447" t="inlineStr">
        <is>
          <t>Trần Thị Phương Thùy</t>
        </is>
      </c>
      <c r="D63" s="467" t="inlineStr">
        <is>
          <t>DSHV</t>
        </is>
      </c>
      <c r="E63" s="438" t="inlineStr">
        <is>
          <t>231.60</t>
        </is>
      </c>
      <c r="F63" s="438" t="inlineStr">
        <is>
          <t>16.95</t>
        </is>
      </c>
      <c r="G63" s="433" t="inlineStr">
        <is>
          <t>223.60</t>
        </is>
      </c>
      <c r="H63" s="433" t="inlineStr">
        <is>
          <t>16.95</t>
        </is>
      </c>
      <c r="I63" s="433" t="n">
        <v>8</v>
      </c>
      <c r="J63" s="417" t="n"/>
      <c r="K63" s="433" t="n">
        <v>6</v>
      </c>
      <c r="L63" s="417" t="n"/>
      <c r="M63" s="417" t="n"/>
      <c r="N63" s="433" t="n">
        <v>0</v>
      </c>
      <c r="O63" s="433" t="n">
        <v>0</v>
      </c>
      <c r="P63" s="433" t="n">
        <v>0</v>
      </c>
      <c r="Q63" s="417" t="n"/>
      <c r="R63" s="433" t="n">
        <v>29</v>
      </c>
      <c r="S63" s="433" t="inlineStr">
        <is>
          <t>0.00</t>
        </is>
      </c>
      <c r="T63" s="433" t="n">
        <v>0</v>
      </c>
      <c r="U63" s="417" t="n"/>
      <c r="V63" s="417" t="n"/>
      <c r="W63" s="417" t="n"/>
      <c r="X63" s="417" t="n"/>
      <c r="Y63" s="417" t="n"/>
      <c r="Z63" s="417" t="n"/>
      <c r="AA63" s="433" t="n">
        <v>0</v>
      </c>
      <c r="AB63" s="433" t="n">
        <v>0</v>
      </c>
      <c r="AC63" s="433" t="n">
        <v>0</v>
      </c>
      <c r="AD63" s="417" t="n"/>
      <c r="AE63" s="433" t="n">
        <v>0</v>
      </c>
      <c r="AF63" s="453" t="n">
        <v>0</v>
      </c>
      <c r="AG63" s="433" t="n">
        <v>0</v>
      </c>
      <c r="AH63" s="433" t="n">
        <v>0</v>
      </c>
      <c r="AI63" s="417" t="n"/>
      <c r="AJ63" s="433" t="n">
        <v>0</v>
      </c>
      <c r="AK63" s="433" t="n">
        <v>0</v>
      </c>
      <c r="AL63" s="433" t="n">
        <v>0</v>
      </c>
      <c r="AM63" s="433" t="n">
        <v>0</v>
      </c>
      <c r="AN63" s="433" t="n">
        <v>0</v>
      </c>
      <c r="AO63" s="433" t="n">
        <v>0</v>
      </c>
      <c r="AP63" s="433" t="n">
        <v>0</v>
      </c>
      <c r="AQ63" s="417" t="n"/>
      <c r="AR63" s="438" t="inlineStr">
        <is>
          <t>11.72</t>
        </is>
      </c>
      <c r="AS63" s="444">
        <f>VLOOKUP(C63,#REF!,16,0)</f>
        <v/>
      </c>
      <c r="AT63" s="444">
        <f>R63-AS63</f>
        <v/>
      </c>
    </row>
    <row r="64" hidden="1" ht="27.75" customHeight="1" s="1264">
      <c r="A64" s="433" t="n">
        <v>60</v>
      </c>
      <c r="B64" s="445" t="inlineStr">
        <is>
          <t>Đường Láng</t>
        </is>
      </c>
      <c r="C64" s="447" t="inlineStr">
        <is>
          <t>Hứa Thị Kim Thoa</t>
        </is>
      </c>
      <c r="D64" s="436" t="inlineStr">
        <is>
          <t>CHT</t>
        </is>
      </c>
      <c r="E64" s="438" t="inlineStr">
        <is>
          <t>170.92</t>
        </is>
      </c>
      <c r="F64" s="438" t="inlineStr">
        <is>
          <t>47.16</t>
        </is>
      </c>
      <c r="G64" s="433" t="inlineStr">
        <is>
          <t>165.92</t>
        </is>
      </c>
      <c r="H64" s="433" t="inlineStr">
        <is>
          <t>47.16</t>
        </is>
      </c>
      <c r="I64" s="417" t="n"/>
      <c r="J64" s="417" t="n"/>
      <c r="K64" s="433" t="n">
        <v>31</v>
      </c>
      <c r="L64" s="417" t="n"/>
      <c r="M64" s="417" t="n"/>
      <c r="N64" s="433" t="n">
        <v>0</v>
      </c>
      <c r="O64" s="433" t="n">
        <v>0</v>
      </c>
      <c r="P64" s="433" t="n">
        <v>0</v>
      </c>
      <c r="Q64" s="417" t="n"/>
      <c r="R64" s="433" t="n">
        <v>23</v>
      </c>
      <c r="S64" s="433" t="inlineStr">
        <is>
          <t>5.00</t>
        </is>
      </c>
      <c r="T64" s="433" t="n">
        <v>0</v>
      </c>
      <c r="U64" s="417" t="n"/>
      <c r="V64" s="446" t="inlineStr">
        <is>
          <t>2,000,000</t>
        </is>
      </c>
      <c r="W64" s="417" t="n"/>
      <c r="X64" s="417" t="n"/>
      <c r="Y64" s="417" t="n"/>
      <c r="Z64" s="417" t="n"/>
      <c r="AA64" s="417" t="n"/>
      <c r="AB64" s="433" t="n">
        <v>0</v>
      </c>
      <c r="AC64" s="433" t="n">
        <v>0</v>
      </c>
      <c r="AD64" s="433" t="n">
        <v>0</v>
      </c>
      <c r="AE64" s="433" t="inlineStr">
        <is>
          <t>2,751,929</t>
        </is>
      </c>
      <c r="AF64" s="453" t="n">
        <v>472.75</v>
      </c>
      <c r="AG64" s="433" t="n">
        <v>14.636</v>
      </c>
      <c r="AH64" s="433" t="n">
        <v>0</v>
      </c>
      <c r="AI64" s="417" t="n"/>
      <c r="AJ64" s="433" t="n">
        <v>296.052</v>
      </c>
      <c r="AK64" s="433" t="n">
        <v>0</v>
      </c>
      <c r="AL64" s="433" t="n">
        <v>0</v>
      </c>
      <c r="AM64" s="433" t="n">
        <v>0</v>
      </c>
      <c r="AN64" s="433" t="n">
        <v>0</v>
      </c>
      <c r="AO64" s="433" t="n">
        <v>296.052</v>
      </c>
      <c r="AP64" s="433" t="n">
        <v>0</v>
      </c>
      <c r="AQ64" s="466" t="inlineStr">
        <is>
          <t>Đối soát HD1131659, HD1140403, HD1157179</t>
        </is>
      </c>
      <c r="AR64" s="438" t="inlineStr">
        <is>
          <t>12.56</t>
        </is>
      </c>
      <c r="AS64" s="444">
        <f>VLOOKUP(C64,#REF!,16,0)</f>
        <v/>
      </c>
      <c r="AT64" s="444">
        <f>R64-AS64</f>
        <v/>
      </c>
    </row>
    <row r="65" hidden="1" ht="27.75" customHeight="1" s="1264">
      <c r="A65" s="433" t="n">
        <v>61</v>
      </c>
      <c r="B65" s="445" t="inlineStr">
        <is>
          <t>Đường Láng</t>
        </is>
      </c>
      <c r="C65" s="447" t="inlineStr">
        <is>
          <t>Lê Thị Soạn</t>
        </is>
      </c>
      <c r="D65" s="448" t="inlineStr">
        <is>
          <t>DSCD</t>
        </is>
      </c>
      <c r="E65" s="438" t="inlineStr">
        <is>
          <t>21.00</t>
        </is>
      </c>
      <c r="F65" s="438" t="inlineStr">
        <is>
          <t>247.77</t>
        </is>
      </c>
      <c r="G65" s="433" t="inlineStr">
        <is>
          <t>0.00</t>
        </is>
      </c>
      <c r="H65" s="433" t="inlineStr">
        <is>
          <t>247.77</t>
        </is>
      </c>
      <c r="I65" s="433" t="n">
        <v>16</v>
      </c>
      <c r="J65" s="417" t="n"/>
      <c r="K65" s="433" t="n">
        <v>6</v>
      </c>
      <c r="L65" s="417" t="n"/>
      <c r="M65" s="417" t="n"/>
      <c r="N65" s="433" t="n">
        <v>0</v>
      </c>
      <c r="O65" s="433" t="n">
        <v>0</v>
      </c>
      <c r="P65" s="433" t="n">
        <v>0</v>
      </c>
      <c r="Q65" s="417" t="n"/>
      <c r="R65" s="433" t="n">
        <v>31</v>
      </c>
      <c r="S65" s="433" t="inlineStr">
        <is>
          <t>5.00</t>
        </is>
      </c>
      <c r="T65" s="433" t="n">
        <v>0</v>
      </c>
      <c r="U65" s="417" t="n"/>
      <c r="V65" s="449" t="n"/>
      <c r="W65" s="417" t="n"/>
      <c r="X65" s="433" t="inlineStr">
        <is>
          <t>1,500,000</t>
        </is>
      </c>
      <c r="Y65" s="417" t="n"/>
      <c r="Z65" s="417" t="n"/>
      <c r="AA65" s="433" t="n">
        <v>324</v>
      </c>
      <c r="AB65" s="433" t="n">
        <v>0</v>
      </c>
      <c r="AC65" s="433" t="n">
        <v>0</v>
      </c>
      <c r="AD65" s="433" t="inlineStr">
        <is>
          <t>1,650,000</t>
        </is>
      </c>
      <c r="AE65" s="433" t="n">
        <v>0</v>
      </c>
      <c r="AF65" s="453" t="inlineStr">
        <is>
          <t>6,729,100</t>
        </is>
      </c>
      <c r="AG65" s="433" t="n">
        <v>36.876</v>
      </c>
      <c r="AH65" s="433" t="n">
        <v>0</v>
      </c>
      <c r="AI65" s="417" t="n"/>
      <c r="AJ65" s="433" t="n">
        <v>617.016</v>
      </c>
      <c r="AK65" s="433" t="n">
        <v>0</v>
      </c>
      <c r="AL65" s="433" t="n">
        <v>0</v>
      </c>
      <c r="AM65" s="433" t="n">
        <v>0</v>
      </c>
      <c r="AN65" s="433" t="n">
        <v>0</v>
      </c>
      <c r="AO65" s="433" t="n">
        <v>617.016</v>
      </c>
      <c r="AP65" s="433" t="n">
        <v>0</v>
      </c>
      <c r="AQ65" s="466" t="inlineStr">
        <is>
          <t>Đối soát HD1133571, HD1142074, HD1132281, HD1164962, HD1152215, HD1149076, HD1164912, HD1154922, HD1158019, HD1164551, HD1167363, HD1169357, HD1176958, HD1166028</t>
        </is>
      </c>
      <c r="AR65" s="438" t="inlineStr">
        <is>
          <t>8.08</t>
        </is>
      </c>
      <c r="AS65" s="444">
        <f>VLOOKUP(C65,#REF!,16,0)</f>
        <v/>
      </c>
      <c r="AT65" s="444">
        <f>R65-AS65</f>
        <v/>
      </c>
    </row>
    <row r="66" hidden="1" ht="27.75" customHeight="1" s="1264">
      <c r="A66" s="433" t="n">
        <v>62</v>
      </c>
      <c r="B66" s="445" t="inlineStr">
        <is>
          <t>Đường Láng</t>
        </is>
      </c>
      <c r="C66" s="447" t="inlineStr">
        <is>
          <t>Nguyễn Thị Mai Duyên</t>
        </is>
      </c>
      <c r="D66" s="434" t="inlineStr">
        <is>
          <t>DSXC</t>
        </is>
      </c>
      <c r="E66" s="438" t="inlineStr">
        <is>
          <t>216.41</t>
        </is>
      </c>
      <c r="F66" s="438" t="inlineStr">
        <is>
          <t>77.34</t>
        </is>
      </c>
      <c r="G66" s="433" t="inlineStr">
        <is>
          <t>211.41</t>
        </is>
      </c>
      <c r="H66" s="433" t="inlineStr">
        <is>
          <t>77.34</t>
        </is>
      </c>
      <c r="I66" s="417" t="n"/>
      <c r="J66" s="417" t="n"/>
      <c r="K66" s="433" t="n">
        <v>22</v>
      </c>
      <c r="L66" s="417" t="n"/>
      <c r="M66" s="417" t="n"/>
      <c r="N66" s="433" t="n">
        <v>0</v>
      </c>
      <c r="O66" s="433" t="n">
        <v>0</v>
      </c>
      <c r="P66" s="433" t="n">
        <v>0</v>
      </c>
      <c r="Q66" s="417" t="n"/>
      <c r="R66" s="433" t="n">
        <v>28</v>
      </c>
      <c r="S66" s="433" t="inlineStr">
        <is>
          <t>5.00</t>
        </is>
      </c>
      <c r="T66" s="433" t="n">
        <v>0</v>
      </c>
      <c r="U66" s="417" t="n"/>
      <c r="V66" s="449" t="n"/>
      <c r="W66" s="417" t="n"/>
      <c r="X66" s="417" t="n"/>
      <c r="Y66" s="417" t="n"/>
      <c r="Z66" s="417" t="n"/>
      <c r="AA66" s="417" t="n"/>
      <c r="AB66" s="433" t="n">
        <v>0</v>
      </c>
      <c r="AC66" s="433" t="n">
        <v>0</v>
      </c>
      <c r="AD66" s="433" t="inlineStr">
        <is>
          <t>1,350,000</t>
        </is>
      </c>
      <c r="AE66" s="433" t="n">
        <v>0</v>
      </c>
      <c r="AF66" s="453" t="inlineStr">
        <is>
          <t>4,105,900</t>
        </is>
      </c>
      <c r="AG66" s="433" t="n">
        <v>124.767</v>
      </c>
      <c r="AH66" s="433" t="n">
        <v>0</v>
      </c>
      <c r="AI66" s="417" t="n"/>
      <c r="AJ66" s="433" t="n">
        <v>778.511</v>
      </c>
      <c r="AK66" s="433" t="n">
        <v>0</v>
      </c>
      <c r="AL66" s="433" t="n">
        <v>0</v>
      </c>
      <c r="AM66" s="433" t="n">
        <v>0</v>
      </c>
      <c r="AN66" s="433" t="n">
        <v>0</v>
      </c>
      <c r="AO66" s="433" t="n">
        <v>778.511</v>
      </c>
      <c r="AP66" s="433" t="n">
        <v>0</v>
      </c>
      <c r="AQ66" s="466" t="inlineStr">
        <is>
          <t>Đối soát HD1131905, HD1140362, HD1133521, HD1153161, HD1152999, HD1167344, HD1179737, HD1178453</t>
        </is>
      </c>
      <c r="AR66" s="438" t="inlineStr">
        <is>
          <t>17.56</t>
        </is>
      </c>
      <c r="AS66" s="444">
        <f>VLOOKUP(C66,#REF!,16,0)</f>
        <v/>
      </c>
      <c r="AT66" s="444">
        <f>R66-AS66</f>
        <v/>
      </c>
    </row>
    <row r="67" hidden="1" ht="27.75" customHeight="1" s="1264">
      <c r="A67" s="433" t="n">
        <v>63</v>
      </c>
      <c r="B67" s="445" t="inlineStr">
        <is>
          <t>Đường Láng</t>
        </is>
      </c>
      <c r="C67" s="447" t="inlineStr">
        <is>
          <t>Nguyễn Thị Tâm</t>
        </is>
      </c>
      <c r="D67" s="434" t="inlineStr">
        <is>
          <t>DSXC</t>
        </is>
      </c>
      <c r="E67" s="438" t="inlineStr">
        <is>
          <t>117.18</t>
        </is>
      </c>
      <c r="F67" s="438" t="inlineStr">
        <is>
          <t>176.26</t>
        </is>
      </c>
      <c r="G67" s="433" t="inlineStr">
        <is>
          <t>112.18</t>
        </is>
      </c>
      <c r="H67" s="433" t="inlineStr">
        <is>
          <t>176.26</t>
        </is>
      </c>
      <c r="I67" s="417" t="n"/>
      <c r="J67" s="417" t="n"/>
      <c r="K67" s="433" t="n">
        <v>4</v>
      </c>
      <c r="L67" s="417" t="n"/>
      <c r="M67" s="417" t="n"/>
      <c r="N67" s="433" t="n">
        <v>0</v>
      </c>
      <c r="O67" s="433" t="n">
        <v>0</v>
      </c>
      <c r="P67" s="433" t="n">
        <v>0</v>
      </c>
      <c r="Q67" s="417" t="n"/>
      <c r="R67" s="433" t="n">
        <v>28</v>
      </c>
      <c r="S67" s="433" t="inlineStr">
        <is>
          <t>5.00</t>
        </is>
      </c>
      <c r="T67" s="433" t="n">
        <v>0</v>
      </c>
      <c r="U67" s="417" t="n"/>
      <c r="V67" s="449" t="n"/>
      <c r="W67" s="417" t="n"/>
      <c r="X67" s="417" t="n"/>
      <c r="Y67" s="417" t="n"/>
      <c r="Z67" s="417" t="n"/>
      <c r="AA67" s="433" t="n">
        <v>184</v>
      </c>
      <c r="AB67" s="433" t="n">
        <v>0</v>
      </c>
      <c r="AC67" s="433" t="n">
        <v>0</v>
      </c>
      <c r="AD67" s="433" t="inlineStr">
        <is>
          <t>1,150,000</t>
        </is>
      </c>
      <c r="AE67" s="433" t="n">
        <v>0</v>
      </c>
      <c r="AF67" s="453" t="inlineStr">
        <is>
          <t>5,186,750</t>
        </is>
      </c>
      <c r="AG67" s="433" t="n">
        <v>23.664</v>
      </c>
      <c r="AH67" s="433" t="n">
        <v>0</v>
      </c>
      <c r="AI67" s="417" t="n"/>
      <c r="AJ67" s="433" t="n">
        <v>280.701</v>
      </c>
      <c r="AK67" s="433" t="n">
        <v>0</v>
      </c>
      <c r="AL67" s="433" t="n">
        <v>0</v>
      </c>
      <c r="AM67" s="433" t="n">
        <v>0</v>
      </c>
      <c r="AN67" s="433" t="n">
        <v>0</v>
      </c>
      <c r="AO67" s="433" t="n">
        <v>280.701</v>
      </c>
      <c r="AP67" s="433" t="n">
        <v>0</v>
      </c>
      <c r="AQ67" s="466" t="inlineStr">
        <is>
          <t>Đối soát HD1141553, HD1144912, HD1149586, HD1154529, HD1150500, HD1165062, HD1178247, HD1166873, HD1175496</t>
        </is>
      </c>
      <c r="AR67" s="438" t="inlineStr">
        <is>
          <t>17.33</t>
        </is>
      </c>
      <c r="AS67" s="444">
        <f>VLOOKUP(C67,#REF!,16,0)</f>
        <v/>
      </c>
      <c r="AT67" s="444">
        <f>R67-AS67</f>
        <v/>
      </c>
    </row>
    <row r="68" hidden="1" ht="27.75" customHeight="1" s="1264">
      <c r="A68" s="433" t="n">
        <v>64</v>
      </c>
      <c r="B68" s="445" t="inlineStr">
        <is>
          <t>Đường Láng</t>
        </is>
      </c>
      <c r="C68" s="447" t="inlineStr">
        <is>
          <t>Trần Ngọc Dung</t>
        </is>
      </c>
      <c r="D68" s="434" t="inlineStr">
        <is>
          <t>DSXC</t>
        </is>
      </c>
      <c r="E68" s="438" t="inlineStr">
        <is>
          <t>216.68</t>
        </is>
      </c>
      <c r="F68" s="438" t="inlineStr">
        <is>
          <t>41.13</t>
        </is>
      </c>
      <c r="G68" s="433" t="inlineStr">
        <is>
          <t>211.68</t>
        </is>
      </c>
      <c r="H68" s="433" t="inlineStr">
        <is>
          <t>41.13</t>
        </is>
      </c>
      <c r="I68" s="417" t="n"/>
      <c r="J68" s="417" t="n"/>
      <c r="K68" s="433" t="n">
        <v>1</v>
      </c>
      <c r="L68" s="417" t="n"/>
      <c r="M68" s="417" t="n"/>
      <c r="N68" s="433" t="n">
        <v>0</v>
      </c>
      <c r="O68" s="433" t="n">
        <v>0</v>
      </c>
      <c r="P68" s="433" t="n">
        <v>0</v>
      </c>
      <c r="Q68" s="417" t="n"/>
      <c r="R68" s="433" t="n">
        <v>26</v>
      </c>
      <c r="S68" s="433" t="inlineStr">
        <is>
          <t>5.00</t>
        </is>
      </c>
      <c r="T68" s="433" t="n">
        <v>0</v>
      </c>
      <c r="U68" s="417" t="n"/>
      <c r="V68" s="449" t="n"/>
      <c r="W68" s="417" t="n"/>
      <c r="X68" s="417" t="n"/>
      <c r="Y68" s="417" t="n"/>
      <c r="Z68" s="417" t="n"/>
      <c r="AA68" s="417" t="n"/>
      <c r="AB68" s="433" t="n">
        <v>0</v>
      </c>
      <c r="AC68" s="433" t="n">
        <v>0</v>
      </c>
      <c r="AD68" s="417" t="n"/>
      <c r="AE68" s="433" t="n">
        <v>0</v>
      </c>
      <c r="AF68" s="453" t="inlineStr">
        <is>
          <t>1,520,650</t>
        </is>
      </c>
      <c r="AG68" s="433" t="n">
        <v>170.114</v>
      </c>
      <c r="AH68" s="433" t="n">
        <v>0</v>
      </c>
      <c r="AI68" s="433" t="n">
        <v>500</v>
      </c>
      <c r="AJ68" s="433" t="n">
        <v>540.631</v>
      </c>
      <c r="AK68" s="433" t="n">
        <v>0</v>
      </c>
      <c r="AL68" s="433" t="n">
        <v>0</v>
      </c>
      <c r="AM68" s="433" t="n">
        <v>0</v>
      </c>
      <c r="AN68" s="433" t="n">
        <v>0</v>
      </c>
      <c r="AO68" s="433" t="n">
        <v>540.631</v>
      </c>
      <c r="AP68" s="433" t="n">
        <v>0</v>
      </c>
      <c r="AQ68" s="466" t="inlineStr">
        <is>
          <t>Đối soát HD1139700, HD1134931, HD1130696, HD1144058, HD1154996, HD1161144, HD1160702</t>
        </is>
      </c>
      <c r="AR68" s="438" t="inlineStr">
        <is>
          <t>25.98</t>
        </is>
      </c>
      <c r="AS68" s="444">
        <f>VLOOKUP(C68,#REF!,16,0)</f>
        <v/>
      </c>
      <c r="AT68" s="444">
        <f>R68-AS68</f>
        <v/>
      </c>
    </row>
    <row r="69" hidden="1" ht="15.6" customHeight="1" s="1264">
      <c r="A69" s="433" t="n">
        <v>65</v>
      </c>
      <c r="B69" s="469" t="inlineStr">
        <is>
          <t>Hàng Bông</t>
        </is>
      </c>
      <c r="C69" s="447" t="inlineStr">
        <is>
          <t>Đinh Thị Lan Anh</t>
        </is>
      </c>
      <c r="D69" s="436" t="inlineStr">
        <is>
          <t>CHT</t>
        </is>
      </c>
      <c r="E69" s="438" t="inlineStr">
        <is>
          <t>262.85</t>
        </is>
      </c>
      <c r="F69" s="438" t="inlineStr">
        <is>
          <t>12.98</t>
        </is>
      </c>
      <c r="G69" s="433" t="inlineStr">
        <is>
          <t>241.85</t>
        </is>
      </c>
      <c r="H69" s="433" t="inlineStr">
        <is>
          <t>12.98</t>
        </is>
      </c>
      <c r="I69" s="433" t="n">
        <v>16</v>
      </c>
      <c r="J69" s="417" t="n"/>
      <c r="K69" s="433" t="n">
        <v>24</v>
      </c>
      <c r="L69" s="417" t="n"/>
      <c r="M69" s="417" t="n"/>
      <c r="N69" s="433" t="n">
        <v>0</v>
      </c>
      <c r="O69" s="433" t="n">
        <v>0</v>
      </c>
      <c r="P69" s="433" t="n">
        <v>0</v>
      </c>
      <c r="Q69" s="417" t="n"/>
      <c r="R69" s="433" t="n">
        <v>30</v>
      </c>
      <c r="S69" s="433" t="inlineStr">
        <is>
          <t>5.00</t>
        </is>
      </c>
      <c r="T69" s="433" t="n">
        <v>0</v>
      </c>
      <c r="U69" s="417" t="n"/>
      <c r="V69" s="446" t="inlineStr">
        <is>
          <t>2,000,000</t>
        </is>
      </c>
      <c r="W69" s="417" t="n"/>
      <c r="X69" s="417" t="n"/>
      <c r="Y69" s="417" t="n"/>
      <c r="Z69" s="417" t="n"/>
      <c r="AA69" s="417" t="n"/>
      <c r="AB69" s="433" t="n">
        <v>0</v>
      </c>
      <c r="AC69" s="433" t="n">
        <v>0</v>
      </c>
      <c r="AD69" s="433" t="n">
        <v>650</v>
      </c>
      <c r="AE69" s="433" t="inlineStr">
        <is>
          <t>3,556,950</t>
        </is>
      </c>
      <c r="AF69" s="453" t="inlineStr">
        <is>
          <t>5,423,800</t>
        </is>
      </c>
      <c r="AG69" s="433" t="n">
        <v>23.983</v>
      </c>
      <c r="AH69" s="433" t="n">
        <v>0</v>
      </c>
      <c r="AI69" s="417" t="n"/>
      <c r="AJ69" s="433" t="n">
        <v>0</v>
      </c>
      <c r="AK69" s="433" t="n">
        <v>0</v>
      </c>
      <c r="AL69" s="433" t="n">
        <v>0</v>
      </c>
      <c r="AM69" s="433" t="n">
        <v>0</v>
      </c>
      <c r="AN69" s="433" t="n">
        <v>0</v>
      </c>
      <c r="AO69" s="433" t="n">
        <v>0</v>
      </c>
      <c r="AP69" s="433" t="n">
        <v>0</v>
      </c>
      <c r="AQ69" s="417" t="n"/>
      <c r="AR69" s="438" t="inlineStr">
        <is>
          <t>11.28</t>
        </is>
      </c>
      <c r="AS69" s="444">
        <f>VLOOKUP(C69,#REF!,16,0)</f>
        <v/>
      </c>
      <c r="AT69" s="444">
        <f>R69-AS69</f>
        <v/>
      </c>
    </row>
    <row r="70" hidden="1" ht="15.6" customHeight="1" s="1264">
      <c r="A70" s="433" t="n">
        <v>66</v>
      </c>
      <c r="B70" s="469" t="inlineStr">
        <is>
          <t>Hàng Bông</t>
        </is>
      </c>
      <c r="C70" s="447" t="inlineStr">
        <is>
          <t>Nguyễn Mạnh Tuấn</t>
        </is>
      </c>
      <c r="D70" s="448" t="inlineStr">
        <is>
          <t>DSCD</t>
        </is>
      </c>
      <c r="E70" s="438" t="inlineStr">
        <is>
          <t>29.45</t>
        </is>
      </c>
      <c r="F70" s="438" t="inlineStr">
        <is>
          <t>195.06</t>
        </is>
      </c>
      <c r="G70" s="433" t="inlineStr">
        <is>
          <t>24.45</t>
        </is>
      </c>
      <c r="H70" s="433" t="inlineStr">
        <is>
          <t>195.06</t>
        </is>
      </c>
      <c r="I70" s="417" t="n"/>
      <c r="J70" s="417" t="n"/>
      <c r="K70" s="433" t="n">
        <v>1</v>
      </c>
      <c r="L70" s="417" t="n"/>
      <c r="M70" s="417" t="n"/>
      <c r="N70" s="433" t="n">
        <v>0</v>
      </c>
      <c r="O70" s="433" t="n">
        <v>0</v>
      </c>
      <c r="P70" s="433" t="n">
        <v>0</v>
      </c>
      <c r="Q70" s="417" t="n"/>
      <c r="R70" s="433" t="n">
        <v>26</v>
      </c>
      <c r="S70" s="433" t="inlineStr">
        <is>
          <t>5.00</t>
        </is>
      </c>
      <c r="T70" s="433" t="n">
        <v>0</v>
      </c>
      <c r="U70" s="417" t="n"/>
      <c r="V70" s="449" t="n"/>
      <c r="W70" s="417" t="n"/>
      <c r="X70" s="433" t="inlineStr">
        <is>
          <t>1,285,714</t>
        </is>
      </c>
      <c r="Y70" s="417" t="n"/>
      <c r="Z70" s="417" t="n"/>
      <c r="AA70" s="417" t="n"/>
      <c r="AB70" s="433" t="n">
        <v>0</v>
      </c>
      <c r="AC70" s="433" t="n">
        <v>0</v>
      </c>
      <c r="AD70" s="433" t="n">
        <v>100</v>
      </c>
      <c r="AE70" s="433" t="n">
        <v>0</v>
      </c>
      <c r="AF70" s="453" t="inlineStr">
        <is>
          <t>4,697,300</t>
        </is>
      </c>
      <c r="AG70" s="433" t="n">
        <v>78.869</v>
      </c>
      <c r="AH70" s="433" t="n">
        <v>0</v>
      </c>
      <c r="AI70" s="417" t="n"/>
      <c r="AJ70" s="433" t="n">
        <v>88.90000000000001</v>
      </c>
      <c r="AK70" s="433" t="n">
        <v>0</v>
      </c>
      <c r="AL70" s="433" t="n">
        <v>0</v>
      </c>
      <c r="AM70" s="433" t="n">
        <v>0</v>
      </c>
      <c r="AN70" s="433" t="n">
        <v>0</v>
      </c>
      <c r="AO70" s="433" t="n">
        <v>88.90000000000001</v>
      </c>
      <c r="AP70" s="433" t="n">
        <v>0</v>
      </c>
      <c r="AQ70" s="466" t="inlineStr">
        <is>
          <t>Đối soát HD1181233, HD1172143</t>
        </is>
      </c>
      <c r="AR70" s="438" t="inlineStr">
        <is>
          <t>10.87</t>
        </is>
      </c>
      <c r="AS70" s="444">
        <f>VLOOKUP(C70,#REF!,16,0)</f>
        <v/>
      </c>
      <c r="AT70" s="444">
        <f>R70-AS70</f>
        <v/>
      </c>
    </row>
    <row r="71" hidden="1" ht="15.6" customHeight="1" s="1264">
      <c r="A71" s="433" t="n">
        <v>67</v>
      </c>
      <c r="B71" s="469" t="inlineStr">
        <is>
          <t>Hàng Bông</t>
        </is>
      </c>
      <c r="C71" s="447" t="inlineStr">
        <is>
          <t>Vũ Thanh Hằng</t>
        </is>
      </c>
      <c r="D71" s="434" t="inlineStr">
        <is>
          <t>DSXC</t>
        </is>
      </c>
      <c r="E71" s="438" t="inlineStr">
        <is>
          <t>207.67</t>
        </is>
      </c>
      <c r="F71" s="438" t="inlineStr">
        <is>
          <t>29.92</t>
        </is>
      </c>
      <c r="G71" s="433" t="inlineStr">
        <is>
          <t>202.67</t>
        </is>
      </c>
      <c r="H71" s="433" t="inlineStr">
        <is>
          <t>29.92</t>
        </is>
      </c>
      <c r="I71" s="417" t="n"/>
      <c r="J71" s="417" t="n"/>
      <c r="K71" s="433" t="n">
        <v>9</v>
      </c>
      <c r="L71" s="417" t="n"/>
      <c r="M71" s="417" t="n"/>
      <c r="N71" s="433" t="n">
        <v>0</v>
      </c>
      <c r="O71" s="433" t="n">
        <v>0</v>
      </c>
      <c r="P71" s="433" t="n">
        <v>0</v>
      </c>
      <c r="Q71" s="417" t="n"/>
      <c r="R71" s="433" t="n">
        <v>28</v>
      </c>
      <c r="S71" s="433" t="inlineStr">
        <is>
          <t>5.00</t>
        </is>
      </c>
      <c r="T71" s="433" t="n">
        <v>0</v>
      </c>
      <c r="U71" s="417" t="n"/>
      <c r="V71" s="449" t="n"/>
      <c r="W71" s="417" t="n"/>
      <c r="X71" s="417" t="n"/>
      <c r="Y71" s="417" t="n"/>
      <c r="Z71" s="417" t="n"/>
      <c r="AA71" s="417" t="n"/>
      <c r="AB71" s="433" t="n">
        <v>0</v>
      </c>
      <c r="AC71" s="433" t="n">
        <v>0</v>
      </c>
      <c r="AD71" s="433" t="inlineStr">
        <is>
          <t>2,150,000</t>
        </is>
      </c>
      <c r="AE71" s="433" t="inlineStr">
        <is>
          <t>4,119,839</t>
        </is>
      </c>
      <c r="AF71" s="453" t="inlineStr">
        <is>
          <t>6,838,500</t>
        </is>
      </c>
      <c r="AG71" s="433" t="n">
        <v>27.571</v>
      </c>
      <c r="AH71" s="433" t="n">
        <v>0</v>
      </c>
      <c r="AI71" s="417" t="n"/>
      <c r="AJ71" s="433" t="n">
        <v>101.2</v>
      </c>
      <c r="AK71" s="433" t="n">
        <v>0</v>
      </c>
      <c r="AL71" s="433" t="n">
        <v>0</v>
      </c>
      <c r="AM71" s="433" t="n">
        <v>0</v>
      </c>
      <c r="AN71" s="433" t="n">
        <v>0</v>
      </c>
      <c r="AO71" s="433" t="n">
        <v>101.2</v>
      </c>
      <c r="AP71" s="433" t="n">
        <v>0</v>
      </c>
      <c r="AQ71" s="466" t="inlineStr">
        <is>
          <t>Đối soát HD1155478</t>
        </is>
      </c>
      <c r="AR71" s="438" t="inlineStr">
        <is>
          <t>11.38</t>
        </is>
      </c>
      <c r="AS71" s="444">
        <f>VLOOKUP(C71,#REF!,16,0)</f>
        <v/>
      </c>
      <c r="AT71" s="444">
        <f>R71-AS71</f>
        <v/>
      </c>
    </row>
    <row r="72" hidden="1" ht="15.6" customHeight="1" s="1264">
      <c r="A72" s="433" t="n">
        <v>68</v>
      </c>
      <c r="B72" s="469" t="inlineStr">
        <is>
          <t>Hàng Bông</t>
        </is>
      </c>
      <c r="C72" s="447" t="inlineStr">
        <is>
          <t>Đinh Thị Khánh Ly</t>
        </is>
      </c>
      <c r="D72" s="434" t="inlineStr">
        <is>
          <t>DSXC</t>
        </is>
      </c>
      <c r="E72" s="438" t="inlineStr">
        <is>
          <t>172.93</t>
        </is>
      </c>
      <c r="F72" s="438" t="inlineStr">
        <is>
          <t>72.39</t>
        </is>
      </c>
      <c r="G72" s="433" t="inlineStr">
        <is>
          <t>167.93</t>
        </is>
      </c>
      <c r="H72" s="433" t="inlineStr">
        <is>
          <t>72.39</t>
        </is>
      </c>
      <c r="I72" s="417" t="n"/>
      <c r="J72" s="417" t="n"/>
      <c r="K72" s="433" t="n">
        <v>0</v>
      </c>
      <c r="L72" s="417" t="n"/>
      <c r="M72" s="417" t="n"/>
      <c r="N72" s="433" t="n">
        <v>0</v>
      </c>
      <c r="O72" s="433" t="n">
        <v>0</v>
      </c>
      <c r="P72" s="433" t="n">
        <v>0</v>
      </c>
      <c r="Q72" s="417" t="n"/>
      <c r="R72" s="433" t="n">
        <v>27</v>
      </c>
      <c r="S72" s="433" t="inlineStr">
        <is>
          <t>5.00</t>
        </is>
      </c>
      <c r="T72" s="433" t="n">
        <v>0</v>
      </c>
      <c r="U72" s="417" t="n"/>
      <c r="V72" s="417" t="n"/>
      <c r="W72" s="417" t="n"/>
      <c r="X72" s="417" t="n"/>
      <c r="Y72" s="417" t="n"/>
      <c r="Z72" s="417" t="n"/>
      <c r="AA72" s="433" t="n">
        <v>0</v>
      </c>
      <c r="AB72" s="433" t="n">
        <v>0</v>
      </c>
      <c r="AC72" s="433" t="n">
        <v>292.335</v>
      </c>
      <c r="AD72" s="433" t="n">
        <v>950</v>
      </c>
      <c r="AE72" s="433" t="inlineStr">
        <is>
          <t>3,917,023</t>
        </is>
      </c>
      <c r="AF72" s="453" t="inlineStr">
        <is>
          <t>7,370,500</t>
        </is>
      </c>
      <c r="AG72" s="433" t="n">
        <v>104.556</v>
      </c>
      <c r="AH72" s="433" t="n">
        <v>120</v>
      </c>
      <c r="AI72" s="417" t="n"/>
      <c r="AJ72" s="433" t="n">
        <v>358</v>
      </c>
      <c r="AK72" s="433" t="n">
        <v>0</v>
      </c>
      <c r="AL72" s="433" t="n">
        <v>0</v>
      </c>
      <c r="AM72" s="433" t="n">
        <v>0</v>
      </c>
      <c r="AN72" s="433" t="n">
        <v>0</v>
      </c>
      <c r="AO72" s="433" t="n">
        <v>358</v>
      </c>
      <c r="AP72" s="433" t="n">
        <v>0</v>
      </c>
      <c r="AQ72" s="466" t="inlineStr">
        <is>
          <t>Đối soát HD1159992, HD1169265</t>
        </is>
      </c>
      <c r="AR72" s="438" t="inlineStr">
        <is>
          <t>12.12</t>
        </is>
      </c>
      <c r="AS72" s="444">
        <f>VLOOKUP(C72,#REF!,16,0)</f>
        <v/>
      </c>
      <c r="AT72" s="444">
        <f>R72-AS72</f>
        <v/>
      </c>
    </row>
    <row r="73" hidden="1" ht="31.2" customHeight="1" s="1264">
      <c r="A73" s="433" t="n">
        <v>69</v>
      </c>
      <c r="B73" s="469" t="inlineStr">
        <is>
          <t>Hàng Bông</t>
        </is>
      </c>
      <c r="C73" s="447" t="inlineStr">
        <is>
          <t>Đỗ Thu Huệ</t>
        </is>
      </c>
      <c r="D73" s="434" t="inlineStr">
        <is>
          <t>DSXC (TV)</t>
        </is>
      </c>
      <c r="E73" s="438" t="inlineStr">
        <is>
          <t>124.53</t>
        </is>
      </c>
      <c r="F73" s="438" t="inlineStr">
        <is>
          <t>0.00</t>
        </is>
      </c>
      <c r="G73" s="433" t="inlineStr">
        <is>
          <t>112.03</t>
        </is>
      </c>
      <c r="H73" s="433" t="inlineStr">
        <is>
          <t>0.00</t>
        </is>
      </c>
      <c r="I73" s="417" t="n"/>
      <c r="J73" s="417" t="n"/>
      <c r="K73" s="433" t="n">
        <v>0</v>
      </c>
      <c r="L73" s="417" t="n"/>
      <c r="M73" s="417" t="n"/>
      <c r="N73" s="433" t="n">
        <v>0</v>
      </c>
      <c r="O73" s="433" t="n">
        <v>0</v>
      </c>
      <c r="P73" s="433" t="n">
        <v>0</v>
      </c>
      <c r="Q73" s="417" t="n"/>
      <c r="R73" s="433" t="n">
        <v>14</v>
      </c>
      <c r="S73" s="433" t="inlineStr">
        <is>
          <t>12.50</t>
        </is>
      </c>
      <c r="T73" s="433" t="n">
        <v>0</v>
      </c>
      <c r="U73" s="417" t="n"/>
      <c r="V73" s="449" t="n"/>
      <c r="W73" s="417" t="n"/>
      <c r="X73" s="417" t="n"/>
      <c r="Y73" s="417" t="n"/>
      <c r="Z73" s="417" t="n"/>
      <c r="AA73" s="417" t="n"/>
      <c r="AB73" s="433" t="n">
        <v>0</v>
      </c>
      <c r="AC73" s="433" t="n">
        <v>0</v>
      </c>
      <c r="AD73" s="417" t="n"/>
      <c r="AE73" s="433" t="n">
        <v>0</v>
      </c>
      <c r="AF73" s="453" t="n">
        <v>0</v>
      </c>
      <c r="AG73" s="433" t="n">
        <v>0</v>
      </c>
      <c r="AH73" s="433" t="n">
        <v>0</v>
      </c>
      <c r="AI73" s="417" t="n"/>
      <c r="AJ73" s="433" t="n">
        <v>0</v>
      </c>
      <c r="AK73" s="433" t="n">
        <v>0</v>
      </c>
      <c r="AL73" s="433" t="n">
        <v>0</v>
      </c>
      <c r="AM73" s="433" t="n">
        <v>0</v>
      </c>
      <c r="AN73" s="433" t="n">
        <v>0</v>
      </c>
      <c r="AO73" s="433" t="n">
        <v>0</v>
      </c>
      <c r="AP73" s="433" t="n">
        <v>0</v>
      </c>
      <c r="AQ73" s="417" t="n"/>
      <c r="AR73" s="438" t="inlineStr">
        <is>
          <t>8.3</t>
        </is>
      </c>
      <c r="AS73" s="444">
        <f>VLOOKUP(C73,#REF!,16,0)</f>
        <v/>
      </c>
      <c r="AT73" s="444">
        <f>R73-AS73</f>
        <v/>
      </c>
    </row>
    <row r="74" hidden="1" ht="15.6" customHeight="1" s="1264">
      <c r="A74" s="417" t="n"/>
      <c r="B74" s="417" t="n"/>
      <c r="C74" s="417" t="n"/>
      <c r="D74" s="417" t="n"/>
      <c r="E74" s="417" t="n"/>
      <c r="F74" s="438" t="inlineStr">
        <is>
          <t>0.00</t>
        </is>
      </c>
      <c r="G74" s="433" t="inlineStr">
        <is>
          <t>0.00</t>
        </is>
      </c>
      <c r="H74" s="433" t="inlineStr">
        <is>
          <t>0.00</t>
        </is>
      </c>
      <c r="I74" s="433" t="e">
        <v>#N/A</v>
      </c>
      <c r="J74" s="417" t="n"/>
      <c r="K74" s="433" t="n">
        <v>0</v>
      </c>
      <c r="L74" s="417" t="n"/>
      <c r="M74" s="417" t="n"/>
      <c r="N74" s="433" t="n">
        <v>0</v>
      </c>
      <c r="O74" s="433" t="n">
        <v>0</v>
      </c>
      <c r="P74" s="433" t="n">
        <v>0</v>
      </c>
      <c r="Q74" s="417" t="n"/>
      <c r="R74" s="433" t="n">
        <v>0</v>
      </c>
      <c r="S74" s="433" t="inlineStr">
        <is>
          <t>0.00</t>
        </is>
      </c>
      <c r="T74" s="433" t="n">
        <v>0</v>
      </c>
      <c r="U74" s="417" t="n"/>
      <c r="V74" s="449" t="n"/>
      <c r="W74" s="417" t="n"/>
      <c r="X74" s="417" t="n"/>
      <c r="Y74" s="417" t="n"/>
      <c r="Z74" s="417" t="n"/>
      <c r="AA74" s="417" t="n"/>
      <c r="AB74" s="433" t="n">
        <v>0</v>
      </c>
      <c r="AC74" s="433" t="n"/>
      <c r="AD74" s="417" t="n"/>
      <c r="AE74" s="433" t="n">
        <v>0</v>
      </c>
      <c r="AF74" s="453" t="n">
        <v>0</v>
      </c>
      <c r="AG74" s="433" t="n">
        <v>0</v>
      </c>
      <c r="AH74" s="433" t="n">
        <v>0</v>
      </c>
      <c r="AI74" s="417" t="n"/>
      <c r="AJ74" s="433" t="n">
        <v>0</v>
      </c>
      <c r="AK74" s="433" t="n">
        <v>0</v>
      </c>
      <c r="AL74" s="433" t="n">
        <v>0</v>
      </c>
      <c r="AM74" s="433" t="n">
        <v>0</v>
      </c>
      <c r="AN74" s="433" t="n">
        <v>0</v>
      </c>
      <c r="AO74" s="433" t="n">
        <v>0</v>
      </c>
      <c r="AP74" s="433" t="n">
        <v>0</v>
      </c>
      <c r="AQ74" s="417" t="n"/>
      <c r="AR74" s="438" t="n">
        <v>0</v>
      </c>
      <c r="AS74" s="444" t="n"/>
      <c r="AT74" s="471" t="n"/>
    </row>
    <row r="75" hidden="1" ht="15.6" customHeight="1" s="1264">
      <c r="A75" s="417" t="n"/>
      <c r="B75" s="417" t="n"/>
      <c r="C75" s="417" t="n"/>
      <c r="D75" s="417" t="n"/>
      <c r="E75" s="417" t="n"/>
      <c r="F75" s="438" t="inlineStr">
        <is>
          <t>0.00</t>
        </is>
      </c>
      <c r="G75" s="433" t="inlineStr">
        <is>
          <t>0.00</t>
        </is>
      </c>
      <c r="H75" s="433" t="inlineStr">
        <is>
          <t>0.00</t>
        </is>
      </c>
      <c r="I75" s="433" t="e">
        <v>#N/A</v>
      </c>
      <c r="J75" s="417" t="n"/>
      <c r="K75" s="433" t="n">
        <v>0</v>
      </c>
      <c r="L75" s="417" t="n"/>
      <c r="M75" s="417" t="n"/>
      <c r="N75" s="433" t="n">
        <v>0</v>
      </c>
      <c r="O75" s="433" t="n">
        <v>0</v>
      </c>
      <c r="P75" s="433" t="n">
        <v>0</v>
      </c>
      <c r="Q75" s="417" t="n"/>
      <c r="R75" s="433" t="n">
        <v>0</v>
      </c>
      <c r="S75" s="433" t="inlineStr">
        <is>
          <t>0.00</t>
        </is>
      </c>
      <c r="T75" s="433" t="n">
        <v>0</v>
      </c>
      <c r="U75" s="417" t="n"/>
      <c r="V75" s="449" t="n"/>
      <c r="W75" s="417" t="n"/>
      <c r="X75" s="417" t="n"/>
      <c r="Y75" s="417" t="n"/>
      <c r="Z75" s="417" t="n"/>
      <c r="AA75" s="417" t="n"/>
      <c r="AB75" s="433" t="n">
        <v>0</v>
      </c>
      <c r="AC75" s="433" t="n"/>
      <c r="AD75" s="417" t="n"/>
      <c r="AE75" s="433" t="n">
        <v>0</v>
      </c>
      <c r="AF75" s="453" t="n">
        <v>0</v>
      </c>
      <c r="AG75" s="433" t="n">
        <v>0</v>
      </c>
      <c r="AH75" s="433" t="n">
        <v>0</v>
      </c>
      <c r="AI75" s="417" t="n"/>
      <c r="AJ75" s="433" t="n">
        <v>0</v>
      </c>
      <c r="AK75" s="433" t="n">
        <v>0</v>
      </c>
      <c r="AL75" s="433" t="n">
        <v>0</v>
      </c>
      <c r="AM75" s="433" t="n">
        <v>0</v>
      </c>
      <c r="AN75" s="433" t="n">
        <v>0</v>
      </c>
      <c r="AO75" s="433" t="n">
        <v>0</v>
      </c>
      <c r="AP75" s="433" t="n">
        <v>0</v>
      </c>
      <c r="AQ75" s="417" t="n"/>
      <c r="AR75" s="438" t="n">
        <v>0</v>
      </c>
      <c r="AS75" s="444" t="n"/>
      <c r="AT75" s="471" t="n"/>
    </row>
    <row r="76" hidden="1" ht="15.6" customHeight="1" s="1264">
      <c r="A76" s="417" t="n"/>
      <c r="B76" s="417" t="n"/>
      <c r="C76" s="417" t="n"/>
      <c r="D76" s="417" t="n"/>
      <c r="E76" s="417" t="n"/>
      <c r="F76" s="438" t="inlineStr">
        <is>
          <t>0.00</t>
        </is>
      </c>
      <c r="G76" s="433" t="inlineStr">
        <is>
          <t>0.00</t>
        </is>
      </c>
      <c r="H76" s="433" t="inlineStr">
        <is>
          <t>0.00</t>
        </is>
      </c>
      <c r="I76" s="433" t="e">
        <v>#N/A</v>
      </c>
      <c r="J76" s="417" t="n"/>
      <c r="K76" s="433" t="n">
        <v>0</v>
      </c>
      <c r="L76" s="417" t="n"/>
      <c r="M76" s="417" t="n"/>
      <c r="N76" s="433" t="n">
        <v>0</v>
      </c>
      <c r="O76" s="433" t="n">
        <v>0</v>
      </c>
      <c r="P76" s="433" t="n">
        <v>0</v>
      </c>
      <c r="Q76" s="417" t="n"/>
      <c r="R76" s="433" t="n">
        <v>0</v>
      </c>
      <c r="S76" s="433" t="inlineStr">
        <is>
          <t>0.00</t>
        </is>
      </c>
      <c r="T76" s="433" t="n">
        <v>0</v>
      </c>
      <c r="U76" s="417" t="n"/>
      <c r="V76" s="449" t="n"/>
      <c r="W76" s="417" t="n"/>
      <c r="X76" s="417" t="n"/>
      <c r="Y76" s="417" t="n"/>
      <c r="Z76" s="417" t="n"/>
      <c r="AA76" s="417" t="n"/>
      <c r="AB76" s="433" t="n">
        <v>0</v>
      </c>
      <c r="AC76" s="433" t="n"/>
      <c r="AD76" s="417" t="n"/>
      <c r="AE76" s="433" t="n">
        <v>0</v>
      </c>
      <c r="AF76" s="453" t="n">
        <v>0</v>
      </c>
      <c r="AG76" s="433" t="n">
        <v>0</v>
      </c>
      <c r="AH76" s="433" t="n">
        <v>0</v>
      </c>
      <c r="AI76" s="417" t="n"/>
      <c r="AJ76" s="433" t="n">
        <v>0</v>
      </c>
      <c r="AK76" s="433" t="n">
        <v>0</v>
      </c>
      <c r="AL76" s="433" t="n">
        <v>0</v>
      </c>
      <c r="AM76" s="433" t="n">
        <v>0</v>
      </c>
      <c r="AN76" s="433" t="n">
        <v>0</v>
      </c>
      <c r="AO76" s="433" t="n">
        <v>0</v>
      </c>
      <c r="AP76" s="433" t="n">
        <v>0</v>
      </c>
      <c r="AQ76" s="417" t="n"/>
      <c r="AR76" s="438" t="n">
        <v>0</v>
      </c>
      <c r="AS76" s="444" t="n"/>
      <c r="AT76" s="471" t="n"/>
    </row>
    <row r="77" hidden="1" ht="15.6" customHeight="1" s="1264">
      <c r="A77" s="417" t="n"/>
      <c r="B77" s="417" t="n"/>
      <c r="C77" s="417" t="n"/>
      <c r="D77" s="417" t="n"/>
      <c r="E77" s="417" t="n"/>
      <c r="F77" s="438" t="inlineStr">
        <is>
          <t>0.00</t>
        </is>
      </c>
      <c r="G77" s="433" t="inlineStr">
        <is>
          <t>0.00</t>
        </is>
      </c>
      <c r="H77" s="433" t="inlineStr">
        <is>
          <t>0.00</t>
        </is>
      </c>
      <c r="I77" s="433" t="e">
        <v>#N/A</v>
      </c>
      <c r="J77" s="417" t="n"/>
      <c r="K77" s="433" t="n">
        <v>0</v>
      </c>
      <c r="L77" s="417" t="n"/>
      <c r="M77" s="417" t="n"/>
      <c r="N77" s="433" t="n">
        <v>0</v>
      </c>
      <c r="O77" s="433" t="n">
        <v>0</v>
      </c>
      <c r="P77" s="433" t="n">
        <v>0</v>
      </c>
      <c r="Q77" s="417" t="n"/>
      <c r="R77" s="433" t="n">
        <v>0</v>
      </c>
      <c r="S77" s="433" t="inlineStr">
        <is>
          <t>0.00</t>
        </is>
      </c>
      <c r="T77" s="433" t="n">
        <v>0</v>
      </c>
      <c r="U77" s="417" t="n"/>
      <c r="V77" s="449" t="n"/>
      <c r="W77" s="417" t="n"/>
      <c r="X77" s="417" t="n"/>
      <c r="Y77" s="417" t="n"/>
      <c r="Z77" s="417" t="n"/>
      <c r="AA77" s="417" t="n"/>
      <c r="AB77" s="433" t="n">
        <v>0</v>
      </c>
      <c r="AC77" s="433" t="n"/>
      <c r="AD77" s="417" t="n"/>
      <c r="AE77" s="433" t="n">
        <v>0</v>
      </c>
      <c r="AF77" s="453" t="n">
        <v>0</v>
      </c>
      <c r="AG77" s="433" t="n">
        <v>0</v>
      </c>
      <c r="AH77" s="433" t="n">
        <v>0</v>
      </c>
      <c r="AI77" s="417" t="n"/>
      <c r="AJ77" s="433" t="n">
        <v>0</v>
      </c>
      <c r="AK77" s="433" t="n">
        <v>0</v>
      </c>
      <c r="AL77" s="433" t="n">
        <v>0</v>
      </c>
      <c r="AM77" s="433" t="n">
        <v>0</v>
      </c>
      <c r="AN77" s="433" t="n">
        <v>0</v>
      </c>
      <c r="AO77" s="433" t="n">
        <v>0</v>
      </c>
      <c r="AP77" s="433" t="n">
        <v>0</v>
      </c>
      <c r="AQ77" s="417" t="n"/>
      <c r="AR77" s="438" t="n">
        <v>0</v>
      </c>
      <c r="AS77" s="444" t="n"/>
      <c r="AT77" s="471" t="n"/>
    </row>
    <row r="78" hidden="1" ht="15.6" customHeight="1" s="1264">
      <c r="A78" s="417" t="n"/>
      <c r="B78" s="417" t="n"/>
      <c r="C78" s="417" t="n"/>
      <c r="D78" s="417" t="n"/>
      <c r="E78" s="417" t="n"/>
      <c r="F78" s="438" t="inlineStr">
        <is>
          <t>0.00</t>
        </is>
      </c>
      <c r="G78" s="433" t="inlineStr">
        <is>
          <t>0.00</t>
        </is>
      </c>
      <c r="H78" s="433" t="inlineStr">
        <is>
          <t>0.00</t>
        </is>
      </c>
      <c r="I78" s="433" t="e">
        <v>#N/A</v>
      </c>
      <c r="J78" s="417" t="n"/>
      <c r="K78" s="433" t="n">
        <v>0</v>
      </c>
      <c r="L78" s="417" t="n"/>
      <c r="M78" s="417" t="n"/>
      <c r="N78" s="433" t="n">
        <v>0</v>
      </c>
      <c r="O78" s="433" t="n">
        <v>0</v>
      </c>
      <c r="P78" s="433" t="n">
        <v>0</v>
      </c>
      <c r="Q78" s="417" t="n"/>
      <c r="R78" s="433" t="n">
        <v>0</v>
      </c>
      <c r="S78" s="433" t="inlineStr">
        <is>
          <t>0.00</t>
        </is>
      </c>
      <c r="T78" s="433" t="n">
        <v>0</v>
      </c>
      <c r="U78" s="417" t="n"/>
      <c r="V78" s="449" t="n"/>
      <c r="W78" s="417" t="n"/>
      <c r="X78" s="417" t="n"/>
      <c r="Y78" s="417" t="n"/>
      <c r="Z78" s="417" t="n"/>
      <c r="AA78" s="417" t="n"/>
      <c r="AB78" s="433" t="n">
        <v>0</v>
      </c>
      <c r="AC78" s="433" t="n"/>
      <c r="AD78" s="417" t="n"/>
      <c r="AE78" s="433" t="n">
        <v>0</v>
      </c>
      <c r="AF78" s="453" t="n">
        <v>0</v>
      </c>
      <c r="AG78" s="433" t="n">
        <v>0</v>
      </c>
      <c r="AH78" s="433" t="n">
        <v>0</v>
      </c>
      <c r="AI78" s="417" t="n"/>
      <c r="AJ78" s="433" t="n">
        <v>0</v>
      </c>
      <c r="AK78" s="433" t="n">
        <v>0</v>
      </c>
      <c r="AL78" s="433" t="n">
        <v>0</v>
      </c>
      <c r="AM78" s="433" t="n">
        <v>0</v>
      </c>
      <c r="AN78" s="433" t="n">
        <v>0</v>
      </c>
      <c r="AO78" s="433" t="n">
        <v>0</v>
      </c>
      <c r="AP78" s="433" t="n">
        <v>0</v>
      </c>
      <c r="AQ78" s="417" t="n"/>
      <c r="AR78" s="438" t="n">
        <v>0</v>
      </c>
      <c r="AS78" s="444" t="n"/>
      <c r="AT78" s="471" t="n"/>
    </row>
    <row r="79" hidden="1" ht="15.6" customHeight="1" s="1264">
      <c r="A79" s="417" t="n"/>
      <c r="B79" s="417" t="n"/>
      <c r="C79" s="417" t="n"/>
      <c r="D79" s="417" t="n"/>
      <c r="E79" s="417" t="n"/>
      <c r="F79" s="438" t="inlineStr">
        <is>
          <t>0.00</t>
        </is>
      </c>
      <c r="G79" s="433" t="inlineStr">
        <is>
          <t>0.00</t>
        </is>
      </c>
      <c r="H79" s="433" t="inlineStr">
        <is>
          <t>0.00</t>
        </is>
      </c>
      <c r="I79" s="433" t="e">
        <v>#N/A</v>
      </c>
      <c r="J79" s="417" t="n"/>
      <c r="K79" s="433" t="n">
        <v>0</v>
      </c>
      <c r="L79" s="417" t="n"/>
      <c r="M79" s="417" t="n"/>
      <c r="N79" s="433" t="n">
        <v>0</v>
      </c>
      <c r="O79" s="433" t="n">
        <v>0</v>
      </c>
      <c r="P79" s="433" t="n">
        <v>0</v>
      </c>
      <c r="Q79" s="417" t="n"/>
      <c r="R79" s="433" t="n">
        <v>0</v>
      </c>
      <c r="S79" s="433" t="inlineStr">
        <is>
          <t>0.00</t>
        </is>
      </c>
      <c r="T79" s="433" t="n">
        <v>0</v>
      </c>
      <c r="U79" s="417" t="n"/>
      <c r="V79" s="449" t="n"/>
      <c r="W79" s="417" t="n"/>
      <c r="X79" s="417" t="n"/>
      <c r="Y79" s="417" t="n"/>
      <c r="Z79" s="417" t="n"/>
      <c r="AA79" s="417" t="n"/>
      <c r="AB79" s="433" t="n">
        <v>0</v>
      </c>
      <c r="AC79" s="433" t="n"/>
      <c r="AD79" s="417" t="n"/>
      <c r="AE79" s="433" t="n">
        <v>0</v>
      </c>
      <c r="AF79" s="453" t="n">
        <v>0</v>
      </c>
      <c r="AG79" s="433" t="n">
        <v>0</v>
      </c>
      <c r="AH79" s="433" t="n">
        <v>0</v>
      </c>
      <c r="AI79" s="417" t="n"/>
      <c r="AJ79" s="433" t="n">
        <v>0</v>
      </c>
      <c r="AK79" s="433" t="n">
        <v>0</v>
      </c>
      <c r="AL79" s="433" t="n">
        <v>0</v>
      </c>
      <c r="AM79" s="433" t="n">
        <v>0</v>
      </c>
      <c r="AN79" s="433" t="n">
        <v>0</v>
      </c>
      <c r="AO79" s="433" t="n">
        <v>0</v>
      </c>
      <c r="AP79" s="433" t="n">
        <v>0</v>
      </c>
      <c r="AQ79" s="417" t="n"/>
      <c r="AR79" s="438" t="n">
        <v>0</v>
      </c>
      <c r="AS79" s="444" t="n"/>
      <c r="AT79" s="471" t="n"/>
    </row>
    <row r="80" hidden="1" ht="15.6" customHeight="1" s="1264">
      <c r="A80" s="417" t="n"/>
      <c r="B80" s="417" t="n"/>
      <c r="C80" s="417" t="n"/>
      <c r="D80" s="417" t="n"/>
      <c r="E80" s="417" t="n"/>
      <c r="F80" s="438" t="inlineStr">
        <is>
          <t>0.00</t>
        </is>
      </c>
      <c r="G80" s="433" t="inlineStr">
        <is>
          <t>0.00</t>
        </is>
      </c>
      <c r="H80" s="433" t="inlineStr">
        <is>
          <t>0.00</t>
        </is>
      </c>
      <c r="I80" s="433" t="e">
        <v>#N/A</v>
      </c>
      <c r="J80" s="417" t="n"/>
      <c r="K80" s="433" t="n">
        <v>0</v>
      </c>
      <c r="L80" s="417" t="n"/>
      <c r="M80" s="417" t="n"/>
      <c r="N80" s="433" t="n">
        <v>0</v>
      </c>
      <c r="O80" s="433" t="n">
        <v>0</v>
      </c>
      <c r="P80" s="433" t="n">
        <v>0</v>
      </c>
      <c r="Q80" s="417" t="n"/>
      <c r="R80" s="433" t="n">
        <v>0</v>
      </c>
      <c r="S80" s="433" t="inlineStr">
        <is>
          <t>0.00</t>
        </is>
      </c>
      <c r="T80" s="433" t="n">
        <v>0</v>
      </c>
      <c r="U80" s="417" t="n"/>
      <c r="V80" s="449" t="n"/>
      <c r="W80" s="417" t="n"/>
      <c r="X80" s="417" t="n"/>
      <c r="Y80" s="417" t="n"/>
      <c r="Z80" s="417" t="n"/>
      <c r="AA80" s="417" t="n"/>
      <c r="AB80" s="433" t="n">
        <v>0</v>
      </c>
      <c r="AC80" s="433" t="n"/>
      <c r="AD80" s="417" t="n"/>
      <c r="AE80" s="433" t="n">
        <v>0</v>
      </c>
      <c r="AF80" s="453" t="n">
        <v>0</v>
      </c>
      <c r="AG80" s="433" t="n">
        <v>0</v>
      </c>
      <c r="AH80" s="433" t="n">
        <v>0</v>
      </c>
      <c r="AI80" s="417" t="n"/>
      <c r="AJ80" s="433" t="n">
        <v>0</v>
      </c>
      <c r="AK80" s="433" t="n">
        <v>0</v>
      </c>
      <c r="AL80" s="433" t="n">
        <v>0</v>
      </c>
      <c r="AM80" s="433" t="n">
        <v>0</v>
      </c>
      <c r="AN80" s="433" t="n">
        <v>0</v>
      </c>
      <c r="AO80" s="433" t="n">
        <v>0</v>
      </c>
      <c r="AP80" s="433" t="n">
        <v>0</v>
      </c>
      <c r="AQ80" s="417" t="n"/>
      <c r="AR80" s="438" t="n">
        <v>0</v>
      </c>
      <c r="AS80" s="444" t="n"/>
      <c r="AT80" s="471" t="n"/>
    </row>
    <row r="81" hidden="1" ht="15.6" customHeight="1" s="1264">
      <c r="A81" s="417" t="n"/>
      <c r="B81" s="417" t="n"/>
      <c r="C81" s="417" t="n"/>
      <c r="D81" s="417" t="n"/>
      <c r="E81" s="417" t="n"/>
      <c r="F81" s="438" t="inlineStr">
        <is>
          <t>0.00</t>
        </is>
      </c>
      <c r="G81" s="433" t="inlineStr">
        <is>
          <t>0.00</t>
        </is>
      </c>
      <c r="H81" s="433" t="inlineStr">
        <is>
          <t>0.00</t>
        </is>
      </c>
      <c r="I81" s="433" t="e">
        <v>#N/A</v>
      </c>
      <c r="J81" s="417" t="n"/>
      <c r="K81" s="433" t="n">
        <v>0</v>
      </c>
      <c r="L81" s="417" t="n"/>
      <c r="M81" s="417" t="n"/>
      <c r="N81" s="433" t="n">
        <v>0</v>
      </c>
      <c r="O81" s="433" t="n">
        <v>0</v>
      </c>
      <c r="P81" s="433" t="n">
        <v>0</v>
      </c>
      <c r="Q81" s="417" t="n"/>
      <c r="R81" s="433" t="n">
        <v>0</v>
      </c>
      <c r="S81" s="433" t="inlineStr">
        <is>
          <t>0.00</t>
        </is>
      </c>
      <c r="T81" s="433" t="n">
        <v>0</v>
      </c>
      <c r="U81" s="417" t="n"/>
      <c r="V81" s="449" t="n"/>
      <c r="W81" s="417" t="n"/>
      <c r="X81" s="417" t="n"/>
      <c r="Y81" s="417" t="n"/>
      <c r="Z81" s="417" t="n"/>
      <c r="AA81" s="417" t="n"/>
      <c r="AB81" s="433" t="n">
        <v>0</v>
      </c>
      <c r="AC81" s="433" t="n"/>
      <c r="AD81" s="417" t="n"/>
      <c r="AE81" s="433" t="n">
        <v>0</v>
      </c>
      <c r="AF81" s="453" t="n">
        <v>0</v>
      </c>
      <c r="AG81" s="433" t="n">
        <v>0</v>
      </c>
      <c r="AH81" s="433" t="n">
        <v>0</v>
      </c>
      <c r="AI81" s="417" t="n"/>
      <c r="AJ81" s="433" t="n">
        <v>0</v>
      </c>
      <c r="AK81" s="433" t="n">
        <v>0</v>
      </c>
      <c r="AL81" s="433" t="n">
        <v>0</v>
      </c>
      <c r="AM81" s="433" t="n">
        <v>0</v>
      </c>
      <c r="AN81" s="433" t="n">
        <v>0</v>
      </c>
      <c r="AO81" s="433" t="n">
        <v>0</v>
      </c>
      <c r="AP81" s="433" t="n">
        <v>0</v>
      </c>
      <c r="AQ81" s="417" t="n"/>
      <c r="AR81" s="438" t="n">
        <v>0</v>
      </c>
      <c r="AS81" s="444" t="n"/>
      <c r="AT81" s="471" t="n"/>
    </row>
    <row r="82" ht="15.6" customHeight="1" s="1264">
      <c r="A82" s="417" t="n"/>
      <c r="B82" s="417" t="n"/>
      <c r="C82" s="417" t="n"/>
      <c r="D82" s="417" t="n"/>
      <c r="E82" s="417" t="n"/>
      <c r="F82" s="417" t="n"/>
      <c r="G82" s="417" t="n"/>
      <c r="H82" s="417" t="n"/>
      <c r="I82" s="417" t="n"/>
      <c r="J82" s="417" t="n"/>
      <c r="K82" s="417" t="n"/>
      <c r="L82" s="417" t="n"/>
      <c r="M82" s="417" t="n"/>
      <c r="N82" s="417" t="n"/>
      <c r="O82" s="417" t="n"/>
      <c r="P82" s="417" t="n"/>
      <c r="Q82" s="417" t="n"/>
      <c r="R82" s="472" t="n"/>
      <c r="S82" s="417" t="n"/>
      <c r="T82" s="417" t="n"/>
      <c r="U82" s="417" t="n"/>
      <c r="V82" s="417" t="n"/>
      <c r="W82" s="417" t="n"/>
      <c r="X82" s="417" t="n"/>
      <c r="Y82" s="417" t="n"/>
      <c r="Z82" s="417" t="n"/>
      <c r="AA82" s="417" t="n"/>
      <c r="AB82" s="417" t="n"/>
      <c r="AC82" s="417" t="n"/>
      <c r="AD82" s="417" t="n"/>
      <c r="AE82" s="417" t="n"/>
      <c r="AF82" s="417" t="n"/>
      <c r="AG82" s="417" t="n"/>
      <c r="AH82" s="417" t="n"/>
      <c r="AI82" s="417" t="n"/>
      <c r="AJ82" s="417" t="n"/>
      <c r="AK82" s="417" t="n"/>
      <c r="AL82" s="417" t="n"/>
      <c r="AM82" s="417" t="n"/>
      <c r="AN82" s="417" t="n"/>
      <c r="AO82" s="417" t="n"/>
      <c r="AP82" s="417" t="n"/>
      <c r="AQ82" s="417" t="n"/>
      <c r="AR82" s="417" t="n"/>
      <c r="AS82" s="473" t="n"/>
      <c r="AT82" s="471" t="n"/>
    </row>
    <row r="83" ht="31.2" customHeight="1" s="1264">
      <c r="A83" s="417" t="n"/>
      <c r="B83" s="417" t="n"/>
      <c r="C83" s="456" t="n"/>
      <c r="D83" s="438" t="inlineStr">
        <is>
          <t>Tổng</t>
        </is>
      </c>
      <c r="E83" s="474" t="n">
        <v>8.192</v>
      </c>
      <c r="F83" s="474" t="n">
        <v>4.921</v>
      </c>
      <c r="G83" s="475" t="n">
        <v>7.824</v>
      </c>
      <c r="H83" s="475" t="n">
        <v>4.921</v>
      </c>
      <c r="I83" s="475" t="e">
        <v>#N/A</v>
      </c>
      <c r="J83" s="475" t="n">
        <v>0</v>
      </c>
      <c r="K83" s="475" t="n">
        <v>628</v>
      </c>
      <c r="L83" s="475" t="n">
        <v>0</v>
      </c>
      <c r="M83" s="475" t="n">
        <v>0</v>
      </c>
      <c r="N83" s="475" t="n">
        <v>0</v>
      </c>
      <c r="O83" s="475" t="n">
        <v>0</v>
      </c>
      <c r="P83" s="475" t="n">
        <v>0</v>
      </c>
      <c r="Q83" s="475" t="n">
        <v>0</v>
      </c>
      <c r="R83" s="476" t="n">
        <v>1.442</v>
      </c>
      <c r="S83" s="475" t="n">
        <v>73</v>
      </c>
      <c r="T83" s="475" t="n">
        <v>0</v>
      </c>
      <c r="U83" s="475" t="n">
        <v>0</v>
      </c>
      <c r="V83" s="475" t="inlineStr">
        <is>
          <t>16,000,000</t>
        </is>
      </c>
      <c r="W83" s="475" t="n">
        <v>0</v>
      </c>
      <c r="X83" s="475" t="inlineStr">
        <is>
          <t>27,428,582</t>
        </is>
      </c>
      <c r="Y83" s="475" t="inlineStr">
        <is>
          <t>1,500,000</t>
        </is>
      </c>
      <c r="Z83" s="475" t="inlineStr">
        <is>
          <t>2,000,000</t>
        </is>
      </c>
      <c r="AA83" s="475" t="n">
        <v>723</v>
      </c>
      <c r="AB83" s="475" t="inlineStr">
        <is>
          <t>1,650,000</t>
        </is>
      </c>
      <c r="AC83" s="475" t="inlineStr">
        <is>
          <t>9,739,907</t>
        </is>
      </c>
      <c r="AD83" s="475" t="inlineStr">
        <is>
          <t>34,166,667</t>
        </is>
      </c>
      <c r="AE83" s="475" t="inlineStr">
        <is>
          <t>23,754,990</t>
        </is>
      </c>
      <c r="AF83" s="475" t="inlineStr">
        <is>
          <t>105,271,755</t>
        </is>
      </c>
      <c r="AG83" s="475" t="inlineStr">
        <is>
          <t>1,879,270</t>
        </is>
      </c>
      <c r="AH83" s="475" t="n">
        <v>660</v>
      </c>
      <c r="AI83" s="475" t="inlineStr">
        <is>
          <t>8,656,400</t>
        </is>
      </c>
      <c r="AJ83" s="475" t="inlineStr">
        <is>
          <t>7,005,511</t>
        </is>
      </c>
      <c r="AK83" s="475" t="n">
        <v>308</v>
      </c>
      <c r="AL83" s="475" t="n">
        <v>0</v>
      </c>
      <c r="AM83" s="475" t="n">
        <v>600</v>
      </c>
      <c r="AN83" s="475" t="n">
        <v>0</v>
      </c>
      <c r="AO83" s="477" t="n"/>
      <c r="AP83" s="475" t="inlineStr">
        <is>
          <t>1,500,000</t>
        </is>
      </c>
      <c r="AQ83" s="417" t="n"/>
      <c r="AR83" s="417" t="n"/>
      <c r="AS83" s="473" t="n"/>
      <c r="AT83" s="471" t="n"/>
    </row>
    <row r="84" ht="15.6" customHeight="1" s="1264">
      <c r="A84" s="417" t="n"/>
      <c r="B84" s="417" t="n"/>
      <c r="C84" s="417" t="n"/>
      <c r="D84" s="417" t="n"/>
      <c r="E84" s="417" t="n"/>
      <c r="F84" s="417" t="n"/>
      <c r="G84" s="417" t="n"/>
      <c r="H84" s="417" t="n"/>
      <c r="I84" s="417" t="n"/>
      <c r="J84" s="417" t="n"/>
      <c r="K84" s="417" t="n"/>
      <c r="L84" s="417" t="n"/>
      <c r="M84" s="417" t="n"/>
      <c r="N84" s="417" t="n"/>
      <c r="O84" s="417" t="n"/>
      <c r="P84" s="417" t="n"/>
      <c r="Q84" s="417" t="n"/>
      <c r="R84" s="472" t="n"/>
      <c r="S84" s="417" t="n"/>
      <c r="T84" s="417" t="n"/>
      <c r="U84" s="417" t="n"/>
      <c r="V84" s="417" t="n"/>
      <c r="W84" s="417" t="n"/>
      <c r="X84" s="417" t="n"/>
      <c r="Y84" s="417" t="n"/>
      <c r="Z84" s="417" t="n"/>
      <c r="AA84" s="417" t="n"/>
      <c r="AB84" s="417" t="n"/>
      <c r="AC84" s="417" t="n"/>
      <c r="AD84" s="417" t="n"/>
      <c r="AE84" s="417" t="n"/>
      <c r="AF84" s="417" t="n"/>
      <c r="AG84" s="417" t="n"/>
      <c r="AH84" s="417" t="n"/>
      <c r="AI84" s="417" t="n"/>
      <c r="AJ84" s="417" t="n"/>
      <c r="AK84" s="417" t="n"/>
      <c r="AL84" s="417" t="n"/>
      <c r="AM84" s="417" t="n"/>
      <c r="AN84" s="417" t="n"/>
      <c r="AO84" s="417" t="n"/>
      <c r="AP84" s="417" t="n"/>
      <c r="AQ84" s="417" t="n"/>
      <c r="AR84" s="417" t="n"/>
      <c r="AS84" s="473" t="n"/>
      <c r="AT84" s="471" t="n"/>
    </row>
    <row r="85">
      <c r="A85" s="417" t="n"/>
      <c r="B85" s="417" t="n"/>
      <c r="C85" s="417" t="n"/>
      <c r="D85" s="417" t="n"/>
      <c r="E85" s="417" t="n"/>
      <c r="F85" s="417" t="n"/>
      <c r="G85" s="417" t="n"/>
      <c r="H85" s="417" t="n"/>
      <c r="I85" s="417" t="n"/>
      <c r="J85" s="417" t="n"/>
      <c r="K85" s="417" t="n"/>
      <c r="L85" s="417" t="n"/>
      <c r="M85" s="417" t="n"/>
      <c r="N85" s="417" t="n"/>
      <c r="O85" s="417" t="n"/>
      <c r="P85" s="417" t="n"/>
      <c r="Q85" s="417" t="n"/>
      <c r="R85" s="472" t="n"/>
      <c r="S85" s="417" t="n"/>
      <c r="T85" s="417" t="n"/>
      <c r="U85" s="417" t="n"/>
      <c r="V85" s="417" t="n"/>
      <c r="W85" s="417" t="n"/>
      <c r="X85" s="417" t="n"/>
      <c r="Y85" s="417" t="n"/>
      <c r="Z85" s="417" t="n"/>
      <c r="AA85" s="417" t="n"/>
      <c r="AB85" s="417" t="n"/>
      <c r="AC85" s="417" t="n"/>
      <c r="AD85" s="417" t="n"/>
      <c r="AE85" s="417" t="n"/>
      <c r="AF85" s="417" t="n"/>
      <c r="AG85" s="417" t="n"/>
      <c r="AH85" s="417" t="n"/>
      <c r="AI85" s="417" t="n"/>
      <c r="AJ85" s="417" t="n"/>
      <c r="AK85" s="417" t="n"/>
      <c r="AL85" s="417" t="n"/>
      <c r="AM85" s="417" t="n"/>
      <c r="AN85" s="417" t="n"/>
      <c r="AO85" s="417" t="n"/>
      <c r="AP85" s="417" t="n"/>
      <c r="AQ85" s="417" t="n"/>
      <c r="AR85" s="417" t="n"/>
      <c r="AS85" s="417" t="n"/>
    </row>
    <row r="86" ht="15.6" customHeight="1" s="1264">
      <c r="A86" s="417" t="n"/>
      <c r="B86" s="417" t="n"/>
      <c r="C86" s="417" t="n"/>
      <c r="D86" s="417" t="n"/>
      <c r="E86" s="466" t="n"/>
      <c r="F86" s="417" t="n"/>
      <c r="G86" s="433" t="n"/>
      <c r="H86" s="478" t="n"/>
      <c r="I86" s="433" t="n"/>
      <c r="J86" s="417" t="n"/>
      <c r="K86" s="417" t="n"/>
      <c r="L86" s="417" t="n"/>
      <c r="M86" s="417" t="n"/>
      <c r="N86" s="417" t="n"/>
      <c r="O86" s="417" t="n"/>
      <c r="P86" s="417" t="n"/>
      <c r="Q86" s="417" t="n"/>
      <c r="R86" s="472" t="n"/>
      <c r="S86" s="417" t="n"/>
      <c r="T86" s="417" t="n"/>
      <c r="U86" s="417" t="n"/>
      <c r="V86" s="417" t="n"/>
      <c r="W86" s="417" t="n"/>
      <c r="X86" s="417" t="n"/>
      <c r="Y86" s="417" t="n"/>
      <c r="Z86" s="417" t="n"/>
      <c r="AA86" s="417" t="n"/>
      <c r="AB86" s="417" t="n"/>
      <c r="AC86" s="417" t="n"/>
      <c r="AD86" s="417" t="n"/>
      <c r="AE86" s="417" t="n"/>
      <c r="AF86" s="417" t="n"/>
      <c r="AG86" s="417" t="n"/>
      <c r="AH86" s="417" t="n"/>
      <c r="AI86" s="417" t="n"/>
      <c r="AJ86" s="417" t="n"/>
      <c r="AK86" s="417" t="n"/>
      <c r="AL86" s="417" t="n"/>
      <c r="AM86" s="417" t="n"/>
      <c r="AN86" s="417" t="n"/>
      <c r="AO86" s="417" t="n"/>
      <c r="AP86" s="417" t="n"/>
      <c r="AQ86" s="417" t="n"/>
      <c r="AR86" s="417" t="n"/>
      <c r="AS86" s="417" t="n"/>
    </row>
  </sheetData>
  <autoFilter ref="A4:AT81">
    <filterColumn colId="1" hiddenButton="0" showButton="1">
      <filters>
        <filter val="Nam Hòa"/>
      </filters>
    </filterColumn>
  </autoFilter>
  <mergeCells count="4">
    <mergeCell ref="G3:Q3"/>
    <mergeCell ref="AK3:AP3"/>
    <mergeCell ref="R3:AI3"/>
    <mergeCell ref="E3:F3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2"/>
  <sheetViews>
    <sheetView topLeftCell="A56" zoomScale="70" zoomScaleNormal="70" workbookViewId="0">
      <selection activeCell="F79" sqref="F79"/>
    </sheetView>
  </sheetViews>
  <sheetFormatPr baseColWidth="8" defaultColWidth="14.44140625" defaultRowHeight="15" customHeight="1"/>
  <cols>
    <col width="14.88671875" customWidth="1" style="51" min="1" max="1"/>
    <col width="21.33203125" customWidth="1" style="51" min="2" max="2"/>
    <col width="29.109375" customWidth="1" style="51" min="3" max="3"/>
    <col width="22.33203125" customWidth="1" style="51" min="4" max="4"/>
    <col width="19.44140625" customWidth="1" style="51" min="5" max="6"/>
    <col width="44.88671875" customWidth="1" style="51" min="7" max="7"/>
    <col width="66.109375" customWidth="1" style="51" min="8" max="8"/>
    <col width="6.5546875" customWidth="1" style="51" min="9" max="9"/>
    <col width="14.44140625" customWidth="1" style="51" min="10" max="16384"/>
  </cols>
  <sheetData>
    <row r="1" ht="37.5" customHeight="1" s="1264">
      <c r="A1" s="258" t="inlineStr">
        <is>
          <t>BỘ PHẬN</t>
        </is>
      </c>
      <c r="B1" s="258" t="inlineStr">
        <is>
          <t xml:space="preserve">ĐI TỪ TÀI KHOẢN </t>
        </is>
      </c>
      <c r="C1" s="258" t="inlineStr">
        <is>
          <t>Họ tên</t>
        </is>
      </c>
      <c r="D1" s="258" t="inlineStr">
        <is>
          <t>Số TK</t>
        </is>
      </c>
      <c r="E1" s="258" t="inlineStr">
        <is>
          <t>Ngân hàng</t>
        </is>
      </c>
      <c r="F1" s="259" t="inlineStr">
        <is>
          <t>Số tiền thanh toán</t>
        </is>
      </c>
      <c r="G1" s="258" t="inlineStr">
        <is>
          <t>Nội dung thanh toán</t>
        </is>
      </c>
      <c r="H1" s="260" t="n"/>
      <c r="I1" s="260" t="n"/>
      <c r="J1" s="260" t="n"/>
      <c r="K1" s="260" t="n"/>
      <c r="L1" s="260" t="n"/>
      <c r="M1" s="260" t="n"/>
      <c r="N1" s="260" t="n"/>
      <c r="O1" s="260" t="n"/>
      <c r="P1" s="260" t="n"/>
      <c r="Q1" s="260" t="n"/>
      <c r="R1" s="260" t="n"/>
      <c r="S1" s="260" t="n"/>
      <c r="T1" s="260" t="n"/>
      <c r="U1" s="260" t="n"/>
      <c r="V1" s="260" t="n"/>
      <c r="W1" s="260" t="n"/>
      <c r="X1" s="260" t="n"/>
      <c r="Y1" s="260" t="n"/>
    </row>
    <row r="2" ht="21.75" customHeight="1" s="1264">
      <c r="A2" s="261" t="inlineStr">
        <is>
          <t>MEDIGO</t>
        </is>
      </c>
      <c r="B2" s="262" t="n"/>
      <c r="C2" s="262" t="n"/>
      <c r="D2" s="262" t="n"/>
      <c r="E2" s="262" t="n"/>
      <c r="F2" s="262" t="n"/>
      <c r="G2" s="262" t="n"/>
      <c r="H2" s="260" t="n"/>
      <c r="I2" s="260" t="n"/>
      <c r="J2" s="260" t="n"/>
      <c r="K2" s="260" t="n"/>
      <c r="L2" s="260" t="n"/>
      <c r="M2" s="260" t="n"/>
      <c r="N2" s="260" t="n"/>
      <c r="O2" s="260" t="n"/>
      <c r="P2" s="260" t="n"/>
      <c r="Q2" s="260" t="n"/>
      <c r="R2" s="260" t="n"/>
      <c r="S2" s="260" t="n"/>
      <c r="T2" s="260" t="n"/>
      <c r="U2" s="260" t="n"/>
      <c r="V2" s="260" t="n"/>
      <c r="W2" s="260" t="n"/>
      <c r="X2" s="260" t="n"/>
      <c r="Y2" s="260" t="n"/>
    </row>
    <row r="3" ht="21.75" customHeight="1" s="1264">
      <c r="A3" s="51" t="inlineStr">
        <is>
          <t xml:space="preserve">BOD - </t>
        </is>
      </c>
      <c r="B3" s="51" t="inlineStr">
        <is>
          <t>Medigo 015</t>
        </is>
      </c>
      <c r="C3" s="51" t="inlineStr">
        <is>
          <t>Le Huu Ha</t>
        </is>
      </c>
      <c r="D3" s="263">
        <f>VLOOKUP($C3,#REF!,7,0)</f>
        <v/>
      </c>
      <c r="E3" s="263">
        <f>VLOOKUP($C3,#REF!,8,0)</f>
        <v/>
      </c>
      <c r="F3" s="1547">
        <f>VLOOKUP($C3,#REF!,62,0)</f>
        <v/>
      </c>
      <c r="G3" s="51" t="inlineStr">
        <is>
          <t xml:space="preserve">Medigo TT Luong T8.2026 -  BOD - </t>
        </is>
      </c>
      <c r="H3" s="265">
        <f>G3&amp;" "&amp;C3</f>
        <v/>
      </c>
      <c r="I3" s="51" t="n">
        <v>1</v>
      </c>
      <c r="K3" s="51">
        <f>VLOOKUP($C3,#REF!,1,0)</f>
        <v/>
      </c>
      <c r="L3" s="51">
        <f>VLOOKUP($C3,#REF!,#REF!,0)</f>
        <v/>
      </c>
    </row>
    <row r="4" ht="21.75" customHeight="1" s="1264">
      <c r="A4" s="51" t="inlineStr">
        <is>
          <t xml:space="preserve">BOD - </t>
        </is>
      </c>
      <c r="B4" s="51" t="inlineStr">
        <is>
          <t>Medigo 015</t>
        </is>
      </c>
      <c r="C4" s="51" t="inlineStr">
        <is>
          <t>Tran Thi Minh Phuong</t>
        </is>
      </c>
      <c r="D4" s="263">
        <f>VLOOKUP($C4,#REF!,7,0)</f>
        <v/>
      </c>
      <c r="E4" s="263">
        <f>VLOOKUP($C4,#REF!,8,0)</f>
        <v/>
      </c>
      <c r="F4" s="1547">
        <f>VLOOKUP($C4,#REF!,62,0)</f>
        <v/>
      </c>
      <c r="G4" s="51" t="inlineStr">
        <is>
          <t xml:space="preserve">Medigo TT Luong T8.2026 -  BOD - </t>
        </is>
      </c>
      <c r="H4" s="265">
        <f>G4&amp;" "&amp;C4</f>
        <v/>
      </c>
      <c r="I4" s="51" t="n">
        <v>2</v>
      </c>
      <c r="K4" s="51">
        <f>VLOOKUP($C4,#REF!,1,0)</f>
        <v/>
      </c>
    </row>
    <row r="6" ht="21.75" customHeight="1" s="1264">
      <c r="A6" s="51" t="inlineStr">
        <is>
          <t xml:space="preserve">P BOD - </t>
        </is>
      </c>
      <c r="B6" s="51" t="inlineStr">
        <is>
          <t>Medigo 015</t>
        </is>
      </c>
      <c r="C6" s="266" t="inlineStr">
        <is>
          <t>Nguyen Thi Thuy Na</t>
        </is>
      </c>
      <c r="D6" s="263">
        <f>VLOOKUP($C6,#REF!,7,0)</f>
        <v/>
      </c>
      <c r="E6" s="263">
        <f>VLOOKUP($C6,#REF!,8,0)</f>
        <v/>
      </c>
      <c r="F6" s="1547">
        <f>VLOOKUP($C6,#REF!,62,0)</f>
        <v/>
      </c>
      <c r="G6" s="51" t="inlineStr">
        <is>
          <t xml:space="preserve">Medigo TT Luong T8.2026 -  P.BOD -  </t>
        </is>
      </c>
      <c r="H6" s="265">
        <f>G6&amp;" "&amp;C6</f>
        <v/>
      </c>
      <c r="I6" s="51" t="n">
        <v>3</v>
      </c>
      <c r="K6" s="51">
        <f>VLOOKUP($C6,#REF!,1,0)</f>
        <v/>
      </c>
    </row>
    <row r="7" ht="21.75" customFormat="1" customHeight="1" s="257">
      <c r="A7" s="257" t="inlineStr">
        <is>
          <t xml:space="preserve">P.HCNS - </t>
        </is>
      </c>
      <c r="B7" s="257" t="inlineStr">
        <is>
          <t>Medigo 015</t>
        </is>
      </c>
      <c r="C7" s="257" t="inlineStr">
        <is>
          <t>Nguyen Thi Thu Van</t>
        </is>
      </c>
      <c r="D7" s="263">
        <f>VLOOKUP($C7,#REF!,7,0)</f>
        <v/>
      </c>
      <c r="E7" s="263">
        <f>VLOOKUP($C7,#REF!,8,0)</f>
        <v/>
      </c>
      <c r="F7" s="1547">
        <f>VLOOKUP($C7,#REF!,62,0)</f>
        <v/>
      </c>
      <c r="G7" s="51" t="inlineStr">
        <is>
          <t xml:space="preserve">Medigo TT Luong T8.2026 -  P.HCNS -  </t>
        </is>
      </c>
      <c r="H7" s="267">
        <f>G7&amp;" "&amp;C7</f>
        <v/>
      </c>
      <c r="I7" s="51" t="n">
        <v>4</v>
      </c>
      <c r="K7" s="51">
        <f>VLOOKUP($C7,#REF!,1,0)</f>
        <v/>
      </c>
    </row>
    <row r="8" ht="21.75" customHeight="1" s="1264">
      <c r="A8" s="51" t="inlineStr">
        <is>
          <t xml:space="preserve">P.IT - </t>
        </is>
      </c>
      <c r="B8" s="51" t="inlineStr">
        <is>
          <t>Medigo 015</t>
        </is>
      </c>
      <c r="C8" s="51" t="inlineStr">
        <is>
          <t>Nguyen Thanh Tai</t>
        </is>
      </c>
      <c r="D8" s="263">
        <f>VLOOKUP($C8,#REF!,7,0)</f>
        <v/>
      </c>
      <c r="E8" s="263">
        <f>VLOOKUP($C8,#REF!,8,0)</f>
        <v/>
      </c>
      <c r="F8" s="1547">
        <f>VLOOKUP($C8,#REF!,62,0)</f>
        <v/>
      </c>
      <c r="G8" s="51" t="inlineStr">
        <is>
          <t xml:space="preserve">Medigo TT Luong T8.2026 -  P.IT -  </t>
        </is>
      </c>
      <c r="H8" s="265">
        <f>G8&amp;" "&amp;C8</f>
        <v/>
      </c>
      <c r="I8" s="51" t="n">
        <v>5</v>
      </c>
      <c r="K8" s="51">
        <f>VLOOKUP($C8,#REF!,1,0)</f>
        <v/>
      </c>
    </row>
    <row r="9" ht="21.75" customHeight="1" s="1264">
      <c r="A9" s="51" t="inlineStr">
        <is>
          <t xml:space="preserve">P.IT - </t>
        </is>
      </c>
      <c r="B9" s="51" t="inlineStr">
        <is>
          <t>Medigo 015</t>
        </is>
      </c>
      <c r="C9" s="51" t="inlineStr">
        <is>
          <t>Huynh Quang Toan</t>
        </is>
      </c>
      <c r="D9" s="263">
        <f>VLOOKUP($C9,#REF!,7,0)</f>
        <v/>
      </c>
      <c r="E9" s="263">
        <f>VLOOKUP($C9,#REF!,8,0)</f>
        <v/>
      </c>
      <c r="F9" s="1547">
        <f>VLOOKUP($C9,#REF!,62,0)</f>
        <v/>
      </c>
      <c r="G9" s="51" t="inlineStr">
        <is>
          <t xml:space="preserve">Medigo TT Luong T8.2026 -  P.IT -  </t>
        </is>
      </c>
      <c r="H9" s="265">
        <f>G9&amp;" "&amp;C9</f>
        <v/>
      </c>
      <c r="I9" s="51" t="n">
        <v>6</v>
      </c>
      <c r="K9" s="51">
        <f>VLOOKUP($C9,#REF!,1,0)</f>
        <v/>
      </c>
    </row>
    <row r="10" ht="21.75" customHeight="1" s="1264">
      <c r="A10" s="51" t="inlineStr">
        <is>
          <t xml:space="preserve">P.IT - </t>
        </is>
      </c>
      <c r="B10" s="51" t="inlineStr">
        <is>
          <t>Medigo 015</t>
        </is>
      </c>
      <c r="C10" s="51" t="inlineStr">
        <is>
          <t>To Ngoc Thien Phu</t>
        </is>
      </c>
      <c r="D10" s="263">
        <f>VLOOKUP($C10,#REF!,7,0)</f>
        <v/>
      </c>
      <c r="E10" s="263">
        <f>VLOOKUP($C10,#REF!,8,0)</f>
        <v/>
      </c>
      <c r="F10" s="1547">
        <f>VLOOKUP($C10,#REF!,62,0)</f>
        <v/>
      </c>
      <c r="G10" s="51" t="inlineStr">
        <is>
          <t xml:space="preserve">Medigo TT Luong T8.2026 -  P.IT -  </t>
        </is>
      </c>
      <c r="H10" s="265">
        <f>G10&amp;" "&amp;C10</f>
        <v/>
      </c>
      <c r="I10" s="51" t="n">
        <v>7</v>
      </c>
      <c r="K10" s="51">
        <f>VLOOKUP($C10,#REF!,1,0)</f>
        <v/>
      </c>
    </row>
    <row r="11" ht="21.75" customHeight="1" s="1264">
      <c r="A11" s="51" t="inlineStr">
        <is>
          <t xml:space="preserve">P.IT - </t>
        </is>
      </c>
      <c r="B11" s="51" t="inlineStr">
        <is>
          <t>Medigo 015</t>
        </is>
      </c>
      <c r="C11" s="51" t="inlineStr">
        <is>
          <t>Hoang Le Thanh Vuong</t>
        </is>
      </c>
      <c r="D11" s="263">
        <f>VLOOKUP($C11,#REF!,7,0)</f>
        <v/>
      </c>
      <c r="E11" s="263">
        <f>VLOOKUP($C11,#REF!,8,0)</f>
        <v/>
      </c>
      <c r="F11" s="1547">
        <f>VLOOKUP($C11,#REF!,62,0)</f>
        <v/>
      </c>
      <c r="G11" s="51" t="inlineStr">
        <is>
          <t xml:space="preserve">Medigo TT Luong T8.2026 -  P.IT -  </t>
        </is>
      </c>
      <c r="H11" s="265">
        <f>G11&amp;" "&amp;C11</f>
        <v/>
      </c>
      <c r="I11" s="51" t="n">
        <v>8</v>
      </c>
      <c r="K11" s="51">
        <f>VLOOKUP($C11,#REF!,1,0)</f>
        <v/>
      </c>
    </row>
    <row r="12" ht="21.75" customHeight="1" s="1264">
      <c r="A12" s="51" t="inlineStr">
        <is>
          <t xml:space="preserve">P.IT - </t>
        </is>
      </c>
      <c r="B12" s="51" t="inlineStr">
        <is>
          <t>Medigo 015</t>
        </is>
      </c>
      <c r="C12" s="266" t="inlineStr">
        <is>
          <t>Nguyen Tuan Vinh</t>
        </is>
      </c>
      <c r="D12" s="263">
        <f>VLOOKUP($C12,#REF!,7,0)</f>
        <v/>
      </c>
      <c r="E12" s="263">
        <f>VLOOKUP($C12,#REF!,8,0)</f>
        <v/>
      </c>
      <c r="F12" s="1547">
        <f>VLOOKUP($C12,#REF!,62,0)</f>
        <v/>
      </c>
      <c r="G12" s="51" t="inlineStr">
        <is>
          <t xml:space="preserve">Medigo TT Luong T8.2026 -  P.IT -  </t>
        </is>
      </c>
      <c r="H12" s="265">
        <f>G12&amp;" "&amp;C12</f>
        <v/>
      </c>
      <c r="I12" s="51" t="n">
        <v>9</v>
      </c>
      <c r="K12" s="51">
        <f>VLOOKUP($C12,#REF!,1,0)</f>
        <v/>
      </c>
    </row>
    <row r="13" ht="21.75" customHeight="1" s="1264">
      <c r="A13" s="51" t="inlineStr">
        <is>
          <t xml:space="preserve">P.PD - </t>
        </is>
      </c>
      <c r="B13" s="51" t="inlineStr">
        <is>
          <t>Medigo 015</t>
        </is>
      </c>
      <c r="C13" s="268" t="inlineStr">
        <is>
          <t>Nguyen Hoang Nguyen Dan</t>
        </is>
      </c>
      <c r="D13" s="263">
        <f>VLOOKUP($C13,#REF!,7,0)</f>
        <v/>
      </c>
      <c r="E13" s="263">
        <f>VLOOKUP($C13,#REF!,8,0)</f>
        <v/>
      </c>
      <c r="F13" s="1548">
        <f>VLOOKUP($C13,#REF!,62,0)</f>
        <v/>
      </c>
      <c r="G13" s="51" t="inlineStr">
        <is>
          <t xml:space="preserve">Medigo TT Luong T8.2026 -  P.PD -  </t>
        </is>
      </c>
      <c r="H13" s="265">
        <f>G13&amp;" "&amp;C13</f>
        <v/>
      </c>
      <c r="I13" s="51" t="n">
        <v>10</v>
      </c>
      <c r="K13" s="51">
        <f>VLOOKUP($C13,#REF!,1,0)</f>
        <v/>
      </c>
    </row>
    <row r="14" ht="21.75" customHeight="1" s="1264">
      <c r="A14" s="51" t="inlineStr">
        <is>
          <t xml:space="preserve">P.PD - </t>
        </is>
      </c>
      <c r="B14" s="51" t="inlineStr">
        <is>
          <t>Medigo 015</t>
        </is>
      </c>
      <c r="C14" s="51" t="inlineStr">
        <is>
          <t>Nguyen Van Toan</t>
        </is>
      </c>
      <c r="D14" s="263">
        <f>VLOOKUP($C14,#REF!,7,0)</f>
        <v/>
      </c>
      <c r="E14" s="263">
        <f>VLOOKUP($C14,#REF!,8,0)</f>
        <v/>
      </c>
      <c r="F14" s="1547">
        <f>VLOOKUP($C14,#REF!,62,0)</f>
        <v/>
      </c>
      <c r="G14" s="51" t="inlineStr">
        <is>
          <t xml:space="preserve">Medigo TT Luong T8.2026 -  P.PD -  </t>
        </is>
      </c>
      <c r="H14" s="265">
        <f>G14&amp;" "&amp;C14</f>
        <v/>
      </c>
      <c r="I14" s="51">
        <f>1+I13</f>
        <v/>
      </c>
      <c r="K14" s="51">
        <f>VLOOKUP($C14,#REF!,1,0)</f>
        <v/>
      </c>
    </row>
    <row r="15" ht="21.75" customHeight="1" s="1264">
      <c r="A15" s="51" t="inlineStr">
        <is>
          <t xml:space="preserve">P.ADMIN-CSKH - </t>
        </is>
      </c>
      <c r="B15" s="51" t="inlineStr">
        <is>
          <t>Medigo 015</t>
        </is>
      </c>
      <c r="C15" s="51" t="inlineStr">
        <is>
          <t>Le Phu Qui</t>
        </is>
      </c>
      <c r="D15" s="263">
        <f>VLOOKUP($C15,#REF!,7,0)</f>
        <v/>
      </c>
      <c r="E15" s="263">
        <f>VLOOKUP($C15,#REF!,8,0)</f>
        <v/>
      </c>
      <c r="F15" s="1547">
        <f>VLOOKUP($C15,#REF!,62,0)</f>
        <v/>
      </c>
      <c r="G15" s="51" t="inlineStr">
        <is>
          <t xml:space="preserve">Medigo TT Luong T8.2026 -  P.ADMIN-CSKH -  </t>
        </is>
      </c>
      <c r="H15" s="265">
        <f>G15&amp;" "&amp;C15</f>
        <v/>
      </c>
      <c r="I15" s="51">
        <f>1+I14</f>
        <v/>
      </c>
      <c r="K15" s="51">
        <f>VLOOKUP($C15,#REF!,1,0)</f>
        <v/>
      </c>
    </row>
    <row r="16" ht="21.75" customHeight="1" s="1264">
      <c r="A16" s="51" t="inlineStr">
        <is>
          <t xml:space="preserve">P.ADMIN-CSKH - </t>
        </is>
      </c>
      <c r="B16" s="51" t="inlineStr">
        <is>
          <t>Medigo 015</t>
        </is>
      </c>
      <c r="C16" s="51" t="inlineStr">
        <is>
          <t>Luu Thanh Tuyen</t>
        </is>
      </c>
      <c r="D16" s="263">
        <f>VLOOKUP($C16,#REF!,7,0)</f>
        <v/>
      </c>
      <c r="E16" s="263">
        <f>VLOOKUP($C16,#REF!,8,0)</f>
        <v/>
      </c>
      <c r="F16" s="1547">
        <f>VLOOKUP($C16,#REF!,62,0)</f>
        <v/>
      </c>
      <c r="G16" s="51" t="inlineStr">
        <is>
          <t xml:space="preserve">Medigo TT Luong T8.2026 -  P.ADMIN-CSKH -  </t>
        </is>
      </c>
      <c r="H16" s="265">
        <f>G16&amp;" "&amp;C16</f>
        <v/>
      </c>
      <c r="I16" s="51">
        <f>1+I15</f>
        <v/>
      </c>
      <c r="K16" s="51">
        <f>VLOOKUP($C16,#REF!,1,0)</f>
        <v/>
      </c>
    </row>
    <row r="17" ht="21.75" customHeight="1" s="1264">
      <c r="A17" s="51" t="inlineStr">
        <is>
          <t xml:space="preserve">P.ADMIN-CSKH - </t>
        </is>
      </c>
      <c r="B17" s="51" t="inlineStr">
        <is>
          <t>Medigo 015</t>
        </is>
      </c>
      <c r="C17" s="51" t="inlineStr">
        <is>
          <t>Nguyen Ho Phuong Anh</t>
        </is>
      </c>
      <c r="D17" s="263">
        <f>VLOOKUP($C17,#REF!,7,0)</f>
        <v/>
      </c>
      <c r="E17" s="263">
        <f>VLOOKUP($C17,#REF!,8,0)</f>
        <v/>
      </c>
      <c r="F17" s="1547">
        <f>VLOOKUP($C17,#REF!,62,0)</f>
        <v/>
      </c>
      <c r="G17" s="51" t="inlineStr">
        <is>
          <t xml:space="preserve">Medigo TT Luong T8.2026 -  P.ADMIN-CSKH -  </t>
        </is>
      </c>
      <c r="H17" s="265">
        <f>G17&amp;" "&amp;C17</f>
        <v/>
      </c>
      <c r="I17" s="51">
        <f>1+I16</f>
        <v/>
      </c>
      <c r="K17" s="51">
        <f>VLOOKUP($C17,#REF!,1,0)</f>
        <v/>
      </c>
    </row>
    <row r="18" ht="21.75" customHeight="1" s="1264">
      <c r="A18" s="51" t="inlineStr">
        <is>
          <t xml:space="preserve">P.ADMIN-CSKH - </t>
        </is>
      </c>
      <c r="B18" s="51" t="inlineStr">
        <is>
          <t>Medigo 015</t>
        </is>
      </c>
      <c r="C18" s="51" t="inlineStr">
        <is>
          <t>Nguyen Thi Ngoc Han</t>
        </is>
      </c>
      <c r="D18" s="263">
        <f>VLOOKUP($C18,#REF!,7,0)</f>
        <v/>
      </c>
      <c r="E18" s="263">
        <f>VLOOKUP($C18,#REF!,8,0)</f>
        <v/>
      </c>
      <c r="F18" s="1547">
        <f>VLOOKUP($C18,#REF!,62,0)</f>
        <v/>
      </c>
      <c r="G18" s="51" t="inlineStr">
        <is>
          <t xml:space="preserve">Medigo TT Luong T8.2026 -  P.ADMIN-CSKH -  </t>
        </is>
      </c>
      <c r="H18" s="265">
        <f>G18&amp;" "&amp;C18</f>
        <v/>
      </c>
      <c r="I18" s="51">
        <f>1+I17</f>
        <v/>
      </c>
      <c r="K18" s="51">
        <f>VLOOKUP($C18,#REF!,1,0)</f>
        <v/>
      </c>
    </row>
    <row r="19" ht="21.75" customHeight="1" s="1264">
      <c r="A19" s="51" t="inlineStr">
        <is>
          <t xml:space="preserve">P.ADMIN-CSKH - </t>
        </is>
      </c>
      <c r="B19" s="51" t="inlineStr">
        <is>
          <t>Medigo 015</t>
        </is>
      </c>
      <c r="C19" s="51" t="inlineStr">
        <is>
          <t>Vo Thi Dieu Hien</t>
        </is>
      </c>
      <c r="D19" s="263">
        <f>VLOOKUP($C19,#REF!,7,0)</f>
        <v/>
      </c>
      <c r="E19" s="263">
        <f>VLOOKUP($C19,#REF!,8,0)</f>
        <v/>
      </c>
      <c r="F19" s="1547">
        <f>VLOOKUP($C19,#REF!,62,0)</f>
        <v/>
      </c>
      <c r="G19" s="51" t="inlineStr">
        <is>
          <t xml:space="preserve">Medigo TT Luong T8.2026 -  P.ADMIN-CSKH -  </t>
        </is>
      </c>
      <c r="H19" s="265">
        <f>G19&amp;" "&amp;C19</f>
        <v/>
      </c>
      <c r="I19" s="51">
        <f>1+I18</f>
        <v/>
      </c>
      <c r="K19" s="51">
        <f>VLOOKUP($C19,#REF!,1,0)</f>
        <v/>
      </c>
    </row>
    <row r="20" ht="21.75" customHeight="1" s="1264">
      <c r="A20" s="51" t="inlineStr">
        <is>
          <t xml:space="preserve">P.ADMIN-CSKH - </t>
        </is>
      </c>
      <c r="B20" s="51" t="inlineStr">
        <is>
          <t>Medigo 015</t>
        </is>
      </c>
      <c r="C20" s="51" t="inlineStr">
        <is>
          <t>Vo Tan Truong</t>
        </is>
      </c>
      <c r="D20" s="263">
        <f>VLOOKUP($C20,#REF!,7,0)</f>
        <v/>
      </c>
      <c r="E20" s="263">
        <f>VLOOKUP($C20,#REF!,8,0)</f>
        <v/>
      </c>
      <c r="F20" s="1547">
        <f>VLOOKUP($C20,#REF!,62,0)</f>
        <v/>
      </c>
      <c r="G20" s="51" t="inlineStr">
        <is>
          <t xml:space="preserve">Medigo TT Luong T8.2026 -  P.ADMIN-CSKH -  </t>
        </is>
      </c>
      <c r="H20" s="265">
        <f>G20&amp;" "&amp;C20</f>
        <v/>
      </c>
      <c r="I20" s="51">
        <f>1+I19</f>
        <v/>
      </c>
      <c r="K20" s="51">
        <f>VLOOKUP($C20,#REF!,1,0)</f>
        <v/>
      </c>
    </row>
    <row r="21" ht="21.75" customHeight="1" s="1264">
      <c r="A21" s="51" t="inlineStr">
        <is>
          <t xml:space="preserve">P.ADMIN-CSKH - </t>
        </is>
      </c>
      <c r="B21" s="51" t="inlineStr">
        <is>
          <t>Medigo 015</t>
        </is>
      </c>
      <c r="C21" s="51" t="inlineStr">
        <is>
          <t>Tran Thi Tam Nhung</t>
        </is>
      </c>
      <c r="D21" s="263">
        <f>VLOOKUP($C21,#REF!,7,0)</f>
        <v/>
      </c>
      <c r="E21" s="263">
        <f>VLOOKUP($C21,#REF!,8,0)</f>
        <v/>
      </c>
      <c r="F21" s="1547">
        <f>VLOOKUP($C21,#REF!,62,0)</f>
        <v/>
      </c>
      <c r="G21" s="51" t="inlineStr">
        <is>
          <t xml:space="preserve">Medigo TT Luong T8.2026 -  P.ADMIN-CSKH -  </t>
        </is>
      </c>
      <c r="H21" s="265">
        <f>G21&amp;" "&amp;C21</f>
        <v/>
      </c>
      <c r="I21" s="51">
        <f>1+I20</f>
        <v/>
      </c>
      <c r="K21" s="51">
        <f>VLOOKUP($C21,#REF!,1,0)</f>
        <v/>
      </c>
    </row>
    <row r="22" ht="21.75" customHeight="1" s="1264">
      <c r="A22" s="51" t="inlineStr">
        <is>
          <t xml:space="preserve">P.BD·- </t>
        </is>
      </c>
      <c r="B22" s="51" t="inlineStr">
        <is>
          <t>Medigo 015</t>
        </is>
      </c>
      <c r="C22" s="51" t="inlineStr">
        <is>
          <t>Nguyen Thi Cam Binh</t>
        </is>
      </c>
      <c r="D22" s="263">
        <f>VLOOKUP($C22,#REF!,7,0)</f>
        <v/>
      </c>
      <c r="E22" s="263">
        <f>VLOOKUP($C22,#REF!,8,0)</f>
        <v/>
      </c>
      <c r="F22" s="1547">
        <f>VLOOKUP($C22,#REF!,62,0)</f>
        <v/>
      </c>
      <c r="G22" s="51" t="inlineStr">
        <is>
          <t xml:space="preserve">Medigo TT Luong T8.2026 -  P.BD -  </t>
        </is>
      </c>
      <c r="H22" s="265">
        <f>G22&amp;" "&amp;C22</f>
        <v/>
      </c>
      <c r="I22" s="51">
        <f>1+I21</f>
        <v/>
      </c>
      <c r="K22" s="51">
        <f>VLOOKUP($C22,#REF!,1,0)</f>
        <v/>
      </c>
    </row>
    <row r="23" ht="21.75" customHeight="1" s="1264">
      <c r="A23" s="51" t="inlineStr">
        <is>
          <t xml:space="preserve">P.KT - </t>
        </is>
      </c>
      <c r="B23" s="51" t="inlineStr">
        <is>
          <t>Medigo 015</t>
        </is>
      </c>
      <c r="C23" s="51" t="inlineStr">
        <is>
          <t>Nguyen Cao Nhan</t>
        </is>
      </c>
      <c r="D23" s="263">
        <f>VLOOKUP($C23,#REF!,7,0)</f>
        <v/>
      </c>
      <c r="E23" s="263">
        <f>VLOOKUP($C23,#REF!,8,0)</f>
        <v/>
      </c>
      <c r="F23" s="1547">
        <f>VLOOKUP($C23,#REF!,62,0)</f>
        <v/>
      </c>
      <c r="G23" s="51" t="inlineStr">
        <is>
          <t xml:space="preserve">Medigo TT Luong T8.2026 -  P.KT -  </t>
        </is>
      </c>
      <c r="H23" s="265">
        <f>G23&amp;" "&amp;C23</f>
        <v/>
      </c>
      <c r="I23" s="51">
        <f>1+I22</f>
        <v/>
      </c>
      <c r="K23" s="51">
        <f>VLOOKUP($C23,#REF!,1,0)</f>
        <v/>
      </c>
    </row>
    <row r="24" ht="21.75" customHeight="1" s="1264">
      <c r="A24" s="51" t="inlineStr">
        <is>
          <t xml:space="preserve">P.KT - </t>
        </is>
      </c>
      <c r="B24" s="51" t="inlineStr">
        <is>
          <t>Medigo 015</t>
        </is>
      </c>
      <c r="C24" s="51" t="inlineStr">
        <is>
          <t>Dang Thi Que Anh</t>
        </is>
      </c>
      <c r="D24" s="263">
        <f>VLOOKUP($C24,#REF!,7,0)</f>
        <v/>
      </c>
      <c r="E24" s="263">
        <f>VLOOKUP($C24,#REF!,8,0)</f>
        <v/>
      </c>
      <c r="F24" s="1547">
        <f>VLOOKUP($C24,#REF!,62,0)</f>
        <v/>
      </c>
      <c r="G24" s="51" t="inlineStr">
        <is>
          <t xml:space="preserve">Medigo TT Luong T8.2026 -  P.KT -  </t>
        </is>
      </c>
      <c r="H24" s="265">
        <f>G24&amp;" "&amp;C24</f>
        <v/>
      </c>
      <c r="I24" s="51">
        <f>1+I23</f>
        <v/>
      </c>
      <c r="K24" s="51">
        <f>VLOOKUP($C24,#REF!,1,0)</f>
        <v/>
      </c>
    </row>
    <row r="25" ht="21.75" customHeight="1" s="1264">
      <c r="A25" s="51" t="inlineStr">
        <is>
          <t xml:space="preserve">P.KT - </t>
        </is>
      </c>
      <c r="B25" s="51" t="inlineStr">
        <is>
          <t>Medigo 015</t>
        </is>
      </c>
      <c r="C25" s="51" t="inlineStr">
        <is>
          <t>Nguyen Thi Anh Hong</t>
        </is>
      </c>
      <c r="D25" s="263">
        <f>VLOOKUP($C25,#REF!,7,0)</f>
        <v/>
      </c>
      <c r="E25" s="263">
        <f>VLOOKUP($C25,#REF!,8,0)</f>
        <v/>
      </c>
      <c r="F25" s="1547">
        <f>VLOOKUP($C25,#REF!,62,0)</f>
        <v/>
      </c>
      <c r="G25" s="51" t="inlineStr">
        <is>
          <t xml:space="preserve">Medigo TT Luong T8.2026 -  P.KT -  </t>
        </is>
      </c>
      <c r="H25" s="265">
        <f>G25&amp;" "&amp;C25</f>
        <v/>
      </c>
      <c r="I25" s="51">
        <f>1+I24</f>
        <v/>
      </c>
      <c r="K25" s="51">
        <f>VLOOKUP($C25,#REF!,1,0)</f>
        <v/>
      </c>
    </row>
    <row r="26" ht="21.75" customHeight="1" s="1264">
      <c r="A26" s="51" t="inlineStr">
        <is>
          <t xml:space="preserve">P.KT - </t>
        </is>
      </c>
      <c r="B26" s="51" t="inlineStr">
        <is>
          <t>Medigo 015</t>
        </is>
      </c>
      <c r="C26" s="51" t="inlineStr">
        <is>
          <t>Phan Thi Kim Hien</t>
        </is>
      </c>
      <c r="D26" s="263">
        <f>VLOOKUP($C26,#REF!,7,0)</f>
        <v/>
      </c>
      <c r="E26" s="263">
        <f>VLOOKUP($C26,#REF!,8,0)</f>
        <v/>
      </c>
      <c r="F26" s="1547">
        <f>VLOOKUP($C26,#REF!,62,0)</f>
        <v/>
      </c>
      <c r="G26" s="51" t="inlineStr">
        <is>
          <t xml:space="preserve">Medigo TT Luong T8.2026 -  P.KT -  </t>
        </is>
      </c>
      <c r="H26" s="265">
        <f>G26&amp;" "&amp;C26</f>
        <v/>
      </c>
      <c r="I26" s="51">
        <f>1+I25</f>
        <v/>
      </c>
      <c r="K26" s="51">
        <f>VLOOKUP($C26,#REF!,1,0)</f>
        <v/>
      </c>
    </row>
    <row r="27" ht="21.75" customHeight="1" s="1264">
      <c r="A27" s="51" t="inlineStr">
        <is>
          <t xml:space="preserve">P.KT - </t>
        </is>
      </c>
      <c r="B27" s="51" t="inlineStr">
        <is>
          <t>Medigo 015</t>
        </is>
      </c>
      <c r="C27" s="51" t="inlineStr">
        <is>
          <t>Le Thi Phuong Thao</t>
        </is>
      </c>
      <c r="D27" s="263">
        <f>VLOOKUP($C27,#REF!,7,0)</f>
        <v/>
      </c>
      <c r="E27" s="263">
        <f>VLOOKUP($C27,#REF!,8,0)</f>
        <v/>
      </c>
      <c r="F27" s="1547">
        <f>VLOOKUP($C27,#REF!,62,0)</f>
        <v/>
      </c>
      <c r="G27" s="51" t="inlineStr">
        <is>
          <t xml:space="preserve">Medigo TT Luong T8.2026 -  P.KT -  </t>
        </is>
      </c>
      <c r="H27" s="265">
        <f>G27&amp;" "&amp;C27</f>
        <v/>
      </c>
      <c r="I27" s="51">
        <f>1+I26</f>
        <v/>
      </c>
      <c r="K27" s="51">
        <f>VLOOKUP($C27,#REF!,1,0)</f>
        <v/>
      </c>
    </row>
    <row r="28" ht="21.75" customHeight="1" s="1264">
      <c r="A28" s="51" t="inlineStr">
        <is>
          <t xml:space="preserve">P.MAR - </t>
        </is>
      </c>
      <c r="B28" s="51" t="inlineStr">
        <is>
          <t>Medigo 015</t>
        </is>
      </c>
      <c r="C28" s="51" t="inlineStr">
        <is>
          <t>Huynh Tan Nhan</t>
        </is>
      </c>
      <c r="D28" s="263">
        <f>VLOOKUP($C28,#REF!,7,0)</f>
        <v/>
      </c>
      <c r="E28" s="263">
        <f>VLOOKUP($C28,#REF!,8,0)</f>
        <v/>
      </c>
      <c r="F28" s="1547">
        <f>VLOOKUP($C28,#REF!,62,0)</f>
        <v/>
      </c>
      <c r="G28" s="51" t="inlineStr">
        <is>
          <t xml:space="preserve">Medigo TT Luong T8.2026 -  P.MAR -  </t>
        </is>
      </c>
      <c r="H28" s="265">
        <f>G28&amp;" "&amp;C28</f>
        <v/>
      </c>
      <c r="I28" s="51">
        <f>1+I27</f>
        <v/>
      </c>
      <c r="K28" s="51">
        <f>VLOOKUP($C28,#REF!,1,0)</f>
        <v/>
      </c>
    </row>
    <row r="29" ht="21.75" customHeight="1" s="1264">
      <c r="A29" s="51" t="inlineStr">
        <is>
          <t xml:space="preserve">P.MAR - </t>
        </is>
      </c>
      <c r="B29" s="51" t="inlineStr">
        <is>
          <t>Medigo 015</t>
        </is>
      </c>
      <c r="C29" s="51" t="inlineStr">
        <is>
          <t>Nguyen Thi Kim Ngoc</t>
        </is>
      </c>
      <c r="D29" s="263">
        <f>VLOOKUP($C29,#REF!,7,0)</f>
        <v/>
      </c>
      <c r="E29" s="263">
        <f>VLOOKUP($C29,#REF!,8,0)</f>
        <v/>
      </c>
      <c r="F29" s="1547">
        <f>VLOOKUP($C29,#REF!,62,0)</f>
        <v/>
      </c>
      <c r="G29" s="51" t="inlineStr">
        <is>
          <t xml:space="preserve">Medigo TT Luong T8.2026 -  P.MAR -  </t>
        </is>
      </c>
      <c r="H29" s="265">
        <f>G29&amp;" "&amp;C29</f>
        <v/>
      </c>
      <c r="I29" s="51">
        <f>1+I28</f>
        <v/>
      </c>
      <c r="K29" s="51">
        <f>VLOOKUP($C29,#REF!,1,0)</f>
        <v/>
      </c>
    </row>
    <row r="30" ht="21.75" customHeight="1" s="1264">
      <c r="A30" s="51" t="inlineStr">
        <is>
          <t xml:space="preserve">P.MAR - </t>
        </is>
      </c>
      <c r="B30" s="51" t="inlineStr">
        <is>
          <t>Medigo 015</t>
        </is>
      </c>
      <c r="C30" s="51" t="inlineStr">
        <is>
          <t>Le Thi Phuong Anh</t>
        </is>
      </c>
      <c r="D30" s="263">
        <f>VLOOKUP($C30,#REF!,7,0)</f>
        <v/>
      </c>
      <c r="E30" s="263">
        <f>VLOOKUP($C30,#REF!,8,0)</f>
        <v/>
      </c>
      <c r="F30" s="1547">
        <f>VLOOKUP($C30,#REF!,62,0)</f>
        <v/>
      </c>
      <c r="G30" s="51" t="inlineStr">
        <is>
          <t xml:space="preserve">Medigo TT Luong T8.2026 -  P.MAR -  </t>
        </is>
      </c>
      <c r="H30" s="265">
        <f>G30&amp;" "&amp;C30</f>
        <v/>
      </c>
      <c r="I30" s="51">
        <f>1+I29</f>
        <v/>
      </c>
      <c r="K30" s="51">
        <f>VLOOKUP($C30,#REF!,1,0)</f>
        <v/>
      </c>
    </row>
    <row r="31" ht="21.75" customHeight="1" s="1264">
      <c r="A31" s="51" t="inlineStr">
        <is>
          <t xml:space="preserve">P.MAR - </t>
        </is>
      </c>
      <c r="B31" s="51" t="inlineStr">
        <is>
          <t>Medigo 015</t>
        </is>
      </c>
      <c r="C31" s="51" t="inlineStr">
        <is>
          <t>Lai Thi Bich Chau</t>
        </is>
      </c>
      <c r="D31" s="263">
        <f>VLOOKUP($C31,#REF!,7,0)</f>
        <v/>
      </c>
      <c r="E31" s="263">
        <f>VLOOKUP($C31,#REF!,8,0)</f>
        <v/>
      </c>
      <c r="F31" s="1547">
        <f>VLOOKUP($C31,#REF!,62,0)</f>
        <v/>
      </c>
      <c r="G31" s="51" t="inlineStr">
        <is>
          <t xml:space="preserve">Medigo TT Luong T8.2026 -  P.MAR -  </t>
        </is>
      </c>
      <c r="H31" s="265">
        <f>G31&amp;" "&amp;C31</f>
        <v/>
      </c>
      <c r="I31" s="51">
        <f>1+#REF!</f>
        <v/>
      </c>
      <c r="K31" s="51">
        <f>VLOOKUP($C31,#REF!,1,0)</f>
        <v/>
      </c>
    </row>
    <row r="32" ht="29.25" customHeight="1" s="1264">
      <c r="D32" s="263" t="n"/>
      <c r="F32" s="270">
        <f>SUM(F3:F31)</f>
        <v/>
      </c>
      <c r="H32" s="265" t="n"/>
      <c r="J32" s="271">
        <f>F32-#REF!</f>
        <v/>
      </c>
    </row>
    <row r="33" ht="15.75" customHeight="1" s="1264">
      <c r="A33" s="272" t="inlineStr">
        <is>
          <t>MEDIGO_CTV</t>
        </is>
      </c>
      <c r="D33" s="263" t="n"/>
      <c r="F33" s="271" t="n"/>
      <c r="H33" s="265" t="n"/>
    </row>
    <row r="34" ht="23.25" customHeight="1" s="1264">
      <c r="A34" s="51" t="inlineStr">
        <is>
          <t xml:space="preserve">BS.ONL - </t>
        </is>
      </c>
      <c r="B34" s="51" t="inlineStr">
        <is>
          <t>Medigo 015</t>
        </is>
      </c>
      <c r="C34" s="263" t="inlineStr">
        <is>
          <t>Truong Vinh Thai</t>
        </is>
      </c>
      <c r="D34" s="263">
        <f>VLOOKUP($C34,#REF!,7,0)</f>
        <v/>
      </c>
      <c r="E34" s="263">
        <f>VLOOKUP($C34,#REF!,8,0)</f>
        <v/>
      </c>
      <c r="F34" s="1547">
        <f>VLOOKUP($C34,#REF!,62,0)</f>
        <v/>
      </c>
      <c r="G34" s="51" t="inlineStr">
        <is>
          <t xml:space="preserve">Medigo TT Luong T8.2026 -  BS.ONL - </t>
        </is>
      </c>
      <c r="H34" s="265">
        <f>G34&amp;" "&amp;C34</f>
        <v/>
      </c>
      <c r="K34" s="51">
        <f>VLOOKUP($C34,#REF!,1,0)</f>
        <v/>
      </c>
    </row>
    <row r="35" ht="15.75" customHeight="1" s="1264">
      <c r="D35" s="263" t="n"/>
      <c r="F35" s="274">
        <f>SUM(F34)</f>
        <v/>
      </c>
      <c r="H35" s="265" t="n"/>
    </row>
    <row r="36" ht="15.75" customHeight="1" s="1264"/>
    <row r="37" ht="15.75" customHeight="1" s="1264"/>
    <row r="38" ht="15" customHeight="1" s="1264">
      <c r="A38" s="261" t="inlineStr">
        <is>
          <t>BÁC SĨ ONLINE</t>
        </is>
      </c>
    </row>
    <row r="39" ht="24" customHeight="1" s="1264">
      <c r="A39" s="51" t="inlineStr">
        <is>
          <t xml:space="preserve">BS.ONL - </t>
        </is>
      </c>
      <c r="B39" s="51" t="inlineStr">
        <is>
          <t>Medigo 015</t>
        </is>
      </c>
      <c r="C39" s="51" t="inlineStr">
        <is>
          <t>Vo Tran Minh Tri</t>
        </is>
      </c>
      <c r="D39" s="275" t="inlineStr">
        <is>
          <t>trivtm</t>
        </is>
      </c>
      <c r="E39" s="276" t="inlineStr">
        <is>
          <t>Vietinbank</t>
        </is>
      </c>
      <c r="F39" s="277">
        <f>VLOOKUP($C39,#REF!,62,0)</f>
        <v/>
      </c>
      <c r="G39" s="51" t="inlineStr">
        <is>
          <t xml:space="preserve">Medigo TT Luong T8.2026 -  BS.ONL - </t>
        </is>
      </c>
      <c r="H39" s="265">
        <f>G39&amp;" "&amp;C39</f>
        <v/>
      </c>
      <c r="K39" s="51">
        <f>VLOOKUP($C39,#REF!,1,0)</f>
        <v/>
      </c>
    </row>
    <row r="40" ht="24" customHeight="1" s="1264">
      <c r="A40" s="51" t="inlineStr">
        <is>
          <t xml:space="preserve">BS.ONL - </t>
        </is>
      </c>
      <c r="B40" s="51" t="inlineStr">
        <is>
          <t>Medigo 015</t>
        </is>
      </c>
      <c r="C40" s="51" t="inlineStr">
        <is>
          <t>Le Thi Thu Huong</t>
        </is>
      </c>
      <c r="D40" s="275" t="inlineStr">
        <is>
          <t>108872596477</t>
        </is>
      </c>
      <c r="E40" s="276" t="inlineStr">
        <is>
          <t>Vietinbank</t>
        </is>
      </c>
      <c r="F40" s="277">
        <f>VLOOKUP($C40,#REF!,62,0)</f>
        <v/>
      </c>
      <c r="G40" s="51" t="inlineStr">
        <is>
          <t xml:space="preserve">Medigo TT Luong T8.2026 -  BS.ONL - </t>
        </is>
      </c>
      <c r="H40" s="265">
        <f>G40&amp;" "&amp;C40</f>
        <v/>
      </c>
      <c r="K40" s="51">
        <f>VLOOKUP($C40,#REF!,1,0)</f>
        <v/>
      </c>
    </row>
    <row r="41" ht="24" customHeight="1" s="1264">
      <c r="A41" s="51" t="inlineStr">
        <is>
          <t xml:space="preserve">BS.ONL - </t>
        </is>
      </c>
      <c r="B41" s="51" t="inlineStr">
        <is>
          <t>Medigo 015</t>
        </is>
      </c>
      <c r="C41" s="51" t="inlineStr">
        <is>
          <t>Luong To Quyen</t>
        </is>
      </c>
      <c r="D41" s="278" t="inlineStr">
        <is>
          <t>0071001317398</t>
        </is>
      </c>
      <c r="E41" s="48" t="inlineStr">
        <is>
          <t>VCB</t>
        </is>
      </c>
      <c r="F41" s="277">
        <f>VLOOKUP($C41,#REF!,62,0)</f>
        <v/>
      </c>
      <c r="G41" s="51" t="inlineStr">
        <is>
          <t xml:space="preserve">Medigo TT Luong T8.2026 -  BS.ONL - </t>
        </is>
      </c>
      <c r="H41" s="265">
        <f>G41&amp;" "&amp;C41</f>
        <v/>
      </c>
      <c r="K41" s="51">
        <f>VLOOKUP($C41,#REF!,1,0)</f>
        <v/>
      </c>
    </row>
    <row r="42" ht="24" customHeight="1" s="1264">
      <c r="A42" s="51" t="inlineStr">
        <is>
          <t xml:space="preserve">BS.ONL - </t>
        </is>
      </c>
      <c r="B42" s="51" t="inlineStr">
        <is>
          <t>Medigo 015</t>
        </is>
      </c>
      <c r="C42" s="51" t="inlineStr">
        <is>
          <t>Luong Thi Cam Nhung</t>
        </is>
      </c>
      <c r="D42" s="278" t="inlineStr">
        <is>
          <t>10329028616</t>
        </is>
      </c>
      <c r="E42" s="48" t="inlineStr">
        <is>
          <t>TP Bank</t>
        </is>
      </c>
      <c r="F42" s="277">
        <f>VLOOKUP($C42,#REF!,62,0)</f>
        <v/>
      </c>
      <c r="G42" s="51" t="inlineStr">
        <is>
          <t xml:space="preserve">Medigo TT Luong T8.2026 -  BS.ONL - </t>
        </is>
      </c>
      <c r="H42" s="265">
        <f>G42&amp;" "&amp;C42</f>
        <v/>
      </c>
      <c r="K42" s="51">
        <f>VLOOKUP($C42,#REF!,1,0)</f>
        <v/>
      </c>
    </row>
    <row r="43" ht="24" customHeight="1" s="1264">
      <c r="A43" s="51" t="inlineStr">
        <is>
          <t xml:space="preserve">BS.ONL - </t>
        </is>
      </c>
      <c r="B43" s="51" t="inlineStr">
        <is>
          <t>Medigo 015</t>
        </is>
      </c>
      <c r="C43" s="51" t="inlineStr">
        <is>
          <t>Le Thi Thuy Ngan</t>
        </is>
      </c>
      <c r="D43" s="278" t="inlineStr">
        <is>
          <t>0511000416577</t>
        </is>
      </c>
      <c r="E43" s="48" t="inlineStr">
        <is>
          <t>VCB</t>
        </is>
      </c>
      <c r="F43" s="277">
        <f>VLOOKUP($C43,#REF!,62,0)</f>
        <v/>
      </c>
      <c r="G43" s="51" t="inlineStr">
        <is>
          <t xml:space="preserve">Medigo TT Luong T8.2026 -  BS.ONL - </t>
        </is>
      </c>
      <c r="H43" s="265">
        <f>G43&amp;" "&amp;C43</f>
        <v/>
      </c>
      <c r="K43" s="51">
        <f>VLOOKUP($C43,#REF!,1,0)</f>
        <v/>
      </c>
    </row>
    <row r="44" ht="24" customHeight="1" s="1264">
      <c r="A44" s="51" t="inlineStr">
        <is>
          <t xml:space="preserve">BS.ONL - </t>
        </is>
      </c>
      <c r="B44" s="51" t="inlineStr">
        <is>
          <t>Medigo 015</t>
        </is>
      </c>
      <c r="C44" s="51" t="inlineStr">
        <is>
          <t>Pham Thi Ngoc Dung</t>
        </is>
      </c>
      <c r="D44" s="278" t="inlineStr">
        <is>
          <t>1961347</t>
        </is>
      </c>
      <c r="E44" s="48" t="inlineStr">
        <is>
          <t>ACB</t>
        </is>
      </c>
      <c r="F44" s="277">
        <f>VLOOKUP($C44,#REF!,62,0)</f>
        <v/>
      </c>
      <c r="G44" s="51" t="inlineStr">
        <is>
          <t xml:space="preserve">Medigo TT Luong T8.2026 -  BS.ONL - </t>
        </is>
      </c>
      <c r="H44" s="265">
        <f>G44&amp;" "&amp;C44</f>
        <v/>
      </c>
      <c r="K44" s="51">
        <f>VLOOKUP($C44,#REF!,1,0)</f>
        <v/>
      </c>
    </row>
    <row r="45" ht="24" customHeight="1" s="1264">
      <c r="A45" s="51" t="inlineStr">
        <is>
          <t xml:space="preserve">BS.ONL - </t>
        </is>
      </c>
      <c r="B45" s="51" t="inlineStr">
        <is>
          <t>Medigo 015</t>
        </is>
      </c>
      <c r="C45" s="51" t="inlineStr">
        <is>
          <t>Vo Duy Tam</t>
        </is>
      </c>
      <c r="D45" s="278" t="inlineStr">
        <is>
          <t>1600190310893</t>
        </is>
      </c>
      <c r="E45" s="279" t="inlineStr">
        <is>
          <t>MBbank</t>
        </is>
      </c>
      <c r="F45" s="277">
        <f>VLOOKUP($C45,#REF!,62,0)</f>
        <v/>
      </c>
      <c r="G45" s="51" t="inlineStr">
        <is>
          <t xml:space="preserve">Medigo TT Luong T8.2026 -  BS.ONL - </t>
        </is>
      </c>
      <c r="H45" s="265">
        <f>G45&amp;" "&amp;C45</f>
        <v/>
      </c>
      <c r="K45" s="51">
        <f>VLOOKUP($C45,#REF!,1,0)</f>
        <v/>
      </c>
    </row>
    <row r="46" ht="24" customHeight="1" s="1264">
      <c r="A46" s="51" t="inlineStr">
        <is>
          <t xml:space="preserve">BS.ONL - </t>
        </is>
      </c>
      <c r="B46" s="51" t="inlineStr">
        <is>
          <t>Medigo 015</t>
        </is>
      </c>
      <c r="C46" s="51" t="inlineStr">
        <is>
          <t>Duong Tan Thanh</t>
        </is>
      </c>
      <c r="D46" s="278" t="inlineStr">
        <is>
          <t>0360470758888</t>
        </is>
      </c>
      <c r="E46" s="48" t="inlineStr">
        <is>
          <t>MBbank</t>
        </is>
      </c>
      <c r="F46" s="277">
        <f>VLOOKUP($C46,#REF!,62,0)</f>
        <v/>
      </c>
      <c r="G46" s="51" t="inlineStr">
        <is>
          <t xml:space="preserve">Medigo TT Luong T8.2026 -  BS.ONL - </t>
        </is>
      </c>
      <c r="H46" s="265">
        <f>G46&amp;" "&amp;C46</f>
        <v/>
      </c>
      <c r="K46" s="51">
        <f>VLOOKUP($C46,#REF!,1,0)</f>
        <v/>
      </c>
    </row>
    <row r="47" ht="24" customHeight="1" s="1264">
      <c r="A47" s="51" t="inlineStr">
        <is>
          <t xml:space="preserve">BS.ONL - </t>
        </is>
      </c>
      <c r="B47" s="51" t="inlineStr">
        <is>
          <t>Medigo 015</t>
        </is>
      </c>
      <c r="C47" s="51" t="inlineStr">
        <is>
          <t>Do Thi Lam Oanh</t>
        </is>
      </c>
      <c r="D47" s="278" t="inlineStr">
        <is>
          <t>1540106953005</t>
        </is>
      </c>
      <c r="E47" s="48" t="inlineStr">
        <is>
          <t>MB bank</t>
        </is>
      </c>
      <c r="F47" s="277">
        <f>VLOOKUP($C47,#REF!,62,0)</f>
        <v/>
      </c>
      <c r="G47" s="51" t="inlineStr">
        <is>
          <t xml:space="preserve">Medigo TT Luong T8.2026 -  BS.ONL - </t>
        </is>
      </c>
      <c r="H47" s="265">
        <f>G47&amp;" "&amp;C47</f>
        <v/>
      </c>
      <c r="K47" s="51">
        <f>VLOOKUP($C47,#REF!,1,0)</f>
        <v/>
      </c>
    </row>
    <row r="48" ht="24" customHeight="1" s="1264">
      <c r="A48" s="51" t="inlineStr">
        <is>
          <t xml:space="preserve">BS.ONL - </t>
        </is>
      </c>
      <c r="B48" s="51" t="inlineStr">
        <is>
          <t>Medigo 015</t>
        </is>
      </c>
      <c r="C48" s="51" t="inlineStr">
        <is>
          <t>Nguyen Thanh Hoang Loc</t>
        </is>
      </c>
      <c r="D48" s="278" t="inlineStr">
        <is>
          <t>0891000658962</t>
        </is>
      </c>
      <c r="E48" s="48" t="inlineStr">
        <is>
          <t>VCB</t>
        </is>
      </c>
      <c r="F48" s="277">
        <f>VLOOKUP($C48,#REF!,62,0)</f>
        <v/>
      </c>
      <c r="G48" s="51" t="inlineStr">
        <is>
          <t xml:space="preserve">Medigo TT Luong T8.2026 -  BS.ONL - </t>
        </is>
      </c>
      <c r="H48" s="265">
        <f>G48&amp;" "&amp;C48</f>
        <v/>
      </c>
      <c r="K48" s="51">
        <f>VLOOKUP($C48,#REF!,1,0)</f>
        <v/>
      </c>
    </row>
    <row r="49" ht="24" customHeight="1" s="1264">
      <c r="A49" s="51" t="inlineStr">
        <is>
          <t xml:space="preserve">BS.ONL - </t>
        </is>
      </c>
      <c r="B49" s="51" t="inlineStr">
        <is>
          <t>Medigo 015</t>
        </is>
      </c>
      <c r="C49" s="51" t="inlineStr">
        <is>
          <t>Tran Thi Thu Ha</t>
        </is>
      </c>
      <c r="D49" s="278" t="inlineStr">
        <is>
          <t>173167865</t>
        </is>
      </c>
      <c r="E49" s="48" t="inlineStr">
        <is>
          <t>VP bank</t>
        </is>
      </c>
      <c r="F49" s="277">
        <f>VLOOKUP($C49,#REF!,62,0)</f>
        <v/>
      </c>
      <c r="G49" s="51" t="inlineStr">
        <is>
          <t xml:space="preserve">Medigo TT Luong T8.2026 -  BS.ONL - </t>
        </is>
      </c>
      <c r="H49" s="265">
        <f>G49&amp;" "&amp;C49</f>
        <v/>
      </c>
      <c r="K49" s="51">
        <f>VLOOKUP($C49,#REF!,1,0)</f>
        <v/>
      </c>
    </row>
    <row r="50" ht="24" customHeight="1" s="1264">
      <c r="A50" s="51" t="inlineStr">
        <is>
          <t xml:space="preserve">BS.ONL - </t>
        </is>
      </c>
      <c r="B50" s="51" t="inlineStr">
        <is>
          <t>Medigo 015</t>
        </is>
      </c>
      <c r="C50" s="51" t="inlineStr">
        <is>
          <t>Do Thai Phuong Ngoc</t>
        </is>
      </c>
      <c r="D50" s="278" t="inlineStr">
        <is>
          <t>0071000610531</t>
        </is>
      </c>
      <c r="E50" s="48" t="inlineStr">
        <is>
          <t>VCB</t>
        </is>
      </c>
      <c r="F50" s="277">
        <f>VLOOKUP($C50,#REF!,62,0)</f>
        <v/>
      </c>
      <c r="G50" s="51" t="inlineStr">
        <is>
          <t xml:space="preserve">Medigo TT Luong T8.2026 -  BS.ONL - </t>
        </is>
      </c>
      <c r="H50" s="265">
        <f>G50&amp;" "&amp;C50</f>
        <v/>
      </c>
      <c r="K50" s="51">
        <f>VLOOKUP($C50,#REF!,1,0)</f>
        <v/>
      </c>
    </row>
    <row r="51" ht="24" customHeight="1" s="1264">
      <c r="A51" s="51" t="inlineStr">
        <is>
          <t xml:space="preserve">BS.ONL - </t>
        </is>
      </c>
      <c r="B51" s="51" t="inlineStr">
        <is>
          <t>Medigo 015</t>
        </is>
      </c>
      <c r="C51" s="51" t="inlineStr">
        <is>
          <t>Trần Phước Duy Bảo</t>
        </is>
      </c>
      <c r="D51" s="278" t="inlineStr">
        <is>
          <t>1600179050294</t>
        </is>
      </c>
      <c r="E51" s="48" t="inlineStr">
        <is>
          <t>MB Bank</t>
        </is>
      </c>
      <c r="F51" s="277">
        <f>VLOOKUP($C51,#REF!,62,0)</f>
        <v/>
      </c>
      <c r="G51" s="51" t="inlineStr">
        <is>
          <t xml:space="preserve">Medigo TT Luong T8.2026 -  BS.ONL - </t>
        </is>
      </c>
      <c r="H51" s="265">
        <f>G51&amp;" "&amp;C51</f>
        <v/>
      </c>
      <c r="K51" s="51">
        <f>VLOOKUP($C51,#REF!,1,0)</f>
        <v/>
      </c>
    </row>
    <row r="52" ht="24" customHeight="1" s="1264">
      <c r="A52" s="51" t="inlineStr">
        <is>
          <t xml:space="preserve">BS.ONL - </t>
        </is>
      </c>
      <c r="B52" s="51" t="inlineStr">
        <is>
          <t>Medigo 015</t>
        </is>
      </c>
      <c r="C52" s="51" t="inlineStr">
        <is>
          <t>Pham Anh Khoa</t>
        </is>
      </c>
      <c r="D52" s="51" t="inlineStr">
        <is>
          <t>0921000723052</t>
        </is>
      </c>
      <c r="E52" s="51" t="inlineStr">
        <is>
          <t>Vietcombank</t>
        </is>
      </c>
      <c r="F52" s="277">
        <f>VLOOKUP($C52,#REF!,62,0)</f>
        <v/>
      </c>
      <c r="G52" s="51" t="inlineStr">
        <is>
          <t xml:space="preserve">Medigo TT Luong T8.2026 -  BS.ONL - </t>
        </is>
      </c>
      <c r="H52" s="265">
        <f>G52&amp;" "&amp;C52</f>
        <v/>
      </c>
      <c r="K52" s="51">
        <f>VLOOKUP($C52,#REF!,1,0)</f>
        <v/>
      </c>
    </row>
    <row r="53" ht="24" customHeight="1" s="1264">
      <c r="A53" s="51" t="inlineStr">
        <is>
          <t xml:space="preserve">BS.ONL - </t>
        </is>
      </c>
      <c r="B53" s="51" t="inlineStr">
        <is>
          <t>Medigo 015</t>
        </is>
      </c>
      <c r="C53" s="51" t="inlineStr">
        <is>
          <t>Truong Vinh Thai</t>
        </is>
      </c>
      <c r="D53" s="278" t="inlineStr">
        <is>
          <t>1028950088</t>
        </is>
      </c>
      <c r="E53" s="48" t="inlineStr">
        <is>
          <t>VCB</t>
        </is>
      </c>
      <c r="F53" s="277">
        <f>VLOOKUP($C53,#REF!,62,0)</f>
        <v/>
      </c>
      <c r="G53" s="51" t="inlineStr">
        <is>
          <t xml:space="preserve">Medigo TT Luong T8.2026 -  BS.ONL - </t>
        </is>
      </c>
      <c r="H53" s="265">
        <f>G53&amp;" "&amp;C53</f>
        <v/>
      </c>
      <c r="K53" s="51">
        <f>VLOOKUP($C53,#REF!,1,0)</f>
        <v/>
      </c>
    </row>
    <row r="54" ht="24" customHeight="1" s="1264">
      <c r="A54" s="51" t="inlineStr">
        <is>
          <t xml:space="preserve">BS.ONL - </t>
        </is>
      </c>
      <c r="B54" s="51" t="inlineStr">
        <is>
          <t>Medigo 015</t>
        </is>
      </c>
      <c r="C54" s="51" t="inlineStr">
        <is>
          <t>Nguyen Ly Nhat Tam</t>
        </is>
      </c>
      <c r="D54" s="278" t="inlineStr">
        <is>
          <t>0331000463292</t>
        </is>
      </c>
      <c r="E54" s="48" t="inlineStr">
        <is>
          <t>VCB</t>
        </is>
      </c>
      <c r="F54" s="277">
        <f>VLOOKUP($C54,#REF!,62,0)</f>
        <v/>
      </c>
      <c r="G54" s="51" t="inlineStr">
        <is>
          <t xml:space="preserve">Medigo TT Luong T8.2026 -  BS.ONL - </t>
        </is>
      </c>
      <c r="H54" s="265">
        <f>G54&amp;" "&amp;C54</f>
        <v/>
      </c>
      <c r="K54" s="51">
        <f>VLOOKUP($C54,#REF!,1,0)</f>
        <v/>
      </c>
    </row>
    <row r="55" ht="24" customHeight="1" s="1264">
      <c r="A55" s="51" t="inlineStr">
        <is>
          <t xml:space="preserve">BS.ONL - </t>
        </is>
      </c>
      <c r="B55" s="51" t="inlineStr">
        <is>
          <t>Medigo 015</t>
        </is>
      </c>
      <c r="C55" s="263" t="inlineStr">
        <is>
          <t>Bon Dong Thai Hien</t>
        </is>
      </c>
      <c r="D55" s="278" t="inlineStr">
        <is>
          <t>100115911</t>
        </is>
      </c>
      <c r="E55" s="48" t="inlineStr">
        <is>
          <t>Eximbank</t>
        </is>
      </c>
      <c r="F55" s="277">
        <f>VLOOKUP($C55,#REF!,62,0)</f>
        <v/>
      </c>
      <c r="G55" s="51" t="inlineStr">
        <is>
          <t xml:space="preserve">Medigo TT Luong T8.2026 -  BS.ONL - </t>
        </is>
      </c>
      <c r="H55" s="265">
        <f>G55&amp;" "&amp;C55</f>
        <v/>
      </c>
      <c r="K55" s="51">
        <f>VLOOKUP($C55,#REF!,1,0)</f>
        <v/>
      </c>
    </row>
    <row r="56" ht="24" customHeight="1" s="1264">
      <c r="A56" s="51" t="inlineStr">
        <is>
          <t xml:space="preserve">BS.ONL - </t>
        </is>
      </c>
      <c r="B56" s="51" t="inlineStr">
        <is>
          <t>Medigo 015</t>
        </is>
      </c>
      <c r="C56" s="51" t="inlineStr">
        <is>
          <t>Le Cong Thai</t>
        </is>
      </c>
      <c r="D56" s="275" t="inlineStr">
        <is>
          <t>30373047</t>
        </is>
      </c>
      <c r="E56" s="276" t="inlineStr">
        <is>
          <t>ACB</t>
        </is>
      </c>
      <c r="F56" s="277">
        <f>VLOOKUP($C56,#REF!,62,0)</f>
        <v/>
      </c>
      <c r="G56" s="51" t="inlineStr">
        <is>
          <t xml:space="preserve">Medigo TT Luong T8.2026 -  BS.ONL - </t>
        </is>
      </c>
      <c r="H56" s="265">
        <f>G56&amp;" "&amp;C56</f>
        <v/>
      </c>
      <c r="K56" s="51">
        <f>VLOOKUP($C56,#REF!,1,0)</f>
        <v/>
      </c>
    </row>
    <row r="57" ht="24" customHeight="1" s="1264">
      <c r="A57" s="51" t="inlineStr">
        <is>
          <t xml:space="preserve">BS.ONL - </t>
        </is>
      </c>
      <c r="B57" s="51" t="inlineStr">
        <is>
          <t>Medigo 015</t>
        </is>
      </c>
      <c r="C57" s="51" t="inlineStr">
        <is>
          <t>Tran Thi Kieu My</t>
        </is>
      </c>
      <c r="D57" s="275" t="inlineStr">
        <is>
          <t>2040108751001</t>
        </is>
      </c>
      <c r="E57" s="276" t="inlineStr">
        <is>
          <t>MB Bank</t>
        </is>
      </c>
      <c r="F57" s="277">
        <f>VLOOKUP($C57,#REF!,62,0)</f>
        <v/>
      </c>
      <c r="G57" s="51" t="inlineStr">
        <is>
          <t xml:space="preserve">Medigo TT Luong T8.2026 -  BS.ONL - </t>
        </is>
      </c>
      <c r="H57" s="265">
        <f>G57&amp;" "&amp;C57</f>
        <v/>
      </c>
      <c r="K57" s="51">
        <f>VLOOKUP($C57,#REF!,1,0)</f>
        <v/>
      </c>
    </row>
    <row r="58" ht="24" customHeight="1" s="1264">
      <c r="A58" s="51" t="inlineStr">
        <is>
          <t xml:space="preserve">BS.ONL - </t>
        </is>
      </c>
      <c r="B58" s="51" t="inlineStr">
        <is>
          <t>Medigo 015</t>
        </is>
      </c>
      <c r="C58" s="51" t="inlineStr">
        <is>
          <t>Le Khanh Trang</t>
        </is>
      </c>
      <c r="D58" s="278" t="inlineStr">
        <is>
          <t>109005517964</t>
        </is>
      </c>
      <c r="E58" s="48" t="inlineStr">
        <is>
          <t>Vietinbank</t>
        </is>
      </c>
      <c r="F58" s="277">
        <f>VLOOKUP($C58,#REF!,62,0)</f>
        <v/>
      </c>
      <c r="G58" s="51" t="inlineStr">
        <is>
          <t xml:space="preserve">Medigo TT Luong T8.2026 -  BS.ONL - </t>
        </is>
      </c>
      <c r="H58" s="265">
        <f>G58&amp;" "&amp;C58</f>
        <v/>
      </c>
      <c r="K58" s="51">
        <f>VLOOKUP($C58,#REF!,1,0)</f>
        <v/>
      </c>
    </row>
    <row r="59" ht="24" customHeight="1" s="1264">
      <c r="A59" s="51" t="inlineStr">
        <is>
          <t xml:space="preserve">BS.ONL - </t>
        </is>
      </c>
      <c r="B59" s="51" t="inlineStr">
        <is>
          <t>Medigo 015</t>
        </is>
      </c>
      <c r="C59" s="51" t="inlineStr">
        <is>
          <t>Nguyen Thuy Thuy Duong</t>
        </is>
      </c>
      <c r="D59" s="278" t="inlineStr">
        <is>
          <t>3466927061994</t>
        </is>
      </c>
      <c r="E59" s="48" t="inlineStr">
        <is>
          <t>MB Bank</t>
        </is>
      </c>
      <c r="F59" s="277">
        <f>VLOOKUP($C59,#REF!,62,0)</f>
        <v/>
      </c>
      <c r="G59" s="51" t="inlineStr">
        <is>
          <t xml:space="preserve">Medigo TT Luong T8.2026 -  BS.ONL - </t>
        </is>
      </c>
      <c r="H59" s="265">
        <f>G59&amp;" "&amp;C59</f>
        <v/>
      </c>
      <c r="K59" s="51">
        <f>VLOOKUP($C59,#REF!,1,0)</f>
        <v/>
      </c>
    </row>
    <row r="60" ht="24" customHeight="1" s="1264">
      <c r="A60" s="51" t="inlineStr">
        <is>
          <t xml:space="preserve">BS.ONL - </t>
        </is>
      </c>
      <c r="B60" s="51" t="inlineStr">
        <is>
          <t>Medigo 015</t>
        </is>
      </c>
      <c r="C60" s="51" t="inlineStr">
        <is>
          <t>Ho Duc Ha</t>
        </is>
      </c>
      <c r="D60" s="278" t="inlineStr">
        <is>
          <t>102869279221</t>
        </is>
      </c>
      <c r="E60" s="48" t="inlineStr">
        <is>
          <t>Vietinbank</t>
        </is>
      </c>
      <c r="F60" s="277">
        <f>VLOOKUP($C60,#REF!,62,0)</f>
        <v/>
      </c>
      <c r="G60" s="51" t="inlineStr">
        <is>
          <t xml:space="preserve">Medigo TT Luong T8.2026 -  BS.ONL - </t>
        </is>
      </c>
      <c r="H60" s="265">
        <f>G60&amp;" "&amp;C60</f>
        <v/>
      </c>
      <c r="K60" s="51">
        <f>VLOOKUP($C60,#REF!,1,0)</f>
        <v/>
      </c>
    </row>
    <row r="61" ht="24" customHeight="1" s="1264">
      <c r="A61" s="51" t="inlineStr">
        <is>
          <t xml:space="preserve">BS.ONL - </t>
        </is>
      </c>
      <c r="B61" s="51" t="inlineStr">
        <is>
          <t>Medigo 015</t>
        </is>
      </c>
      <c r="C61" s="51" t="inlineStr">
        <is>
          <t>Huynh Nhu Huynh</t>
        </is>
      </c>
      <c r="D61" s="278" t="inlineStr">
        <is>
          <t>0111000375684</t>
        </is>
      </c>
      <c r="E61" s="48" t="inlineStr">
        <is>
          <t>Vietcombank</t>
        </is>
      </c>
      <c r="F61" s="277">
        <f>VLOOKUP($C61,#REF!,62,0)</f>
        <v/>
      </c>
      <c r="G61" s="51" t="inlineStr">
        <is>
          <t xml:space="preserve">Medigo TT Luong T8.2026 -  BS.ONL - </t>
        </is>
      </c>
      <c r="H61" s="265">
        <f>G61&amp;" "&amp;C61</f>
        <v/>
      </c>
      <c r="K61" s="51">
        <f>VLOOKUP($C61,#REF!,1,0)</f>
        <v/>
      </c>
    </row>
    <row r="62" ht="27" customHeight="1" s="1264">
      <c r="A62" s="51" t="inlineStr">
        <is>
          <t xml:space="preserve">BS.ONL - </t>
        </is>
      </c>
      <c r="B62" s="51" t="inlineStr">
        <is>
          <t>Medigo 015</t>
        </is>
      </c>
      <c r="C62" s="51" t="inlineStr">
        <is>
          <t>Pham Hong Toan</t>
        </is>
      </c>
      <c r="D62" s="275" t="inlineStr">
        <is>
          <t>101872881861</t>
        </is>
      </c>
      <c r="E62" s="276" t="inlineStr">
        <is>
          <t>Vietinbank</t>
        </is>
      </c>
      <c r="F62" s="277">
        <f>VLOOKUP($C62,#REF!,62,0)</f>
        <v/>
      </c>
      <c r="G62" s="51" t="inlineStr">
        <is>
          <t xml:space="preserve">Medigo TT Luong T8.2026 -  BS.ONL - </t>
        </is>
      </c>
      <c r="H62" s="265">
        <f>G62&amp;" "&amp;C62</f>
        <v/>
      </c>
      <c r="K62" s="51">
        <f>VLOOKUP($C62,#REF!,1,0)</f>
        <v/>
      </c>
    </row>
    <row r="63" ht="27" customHeight="1" s="1264">
      <c r="A63" s="51" t="inlineStr">
        <is>
          <t xml:space="preserve">BS.ONL - </t>
        </is>
      </c>
      <c r="B63" s="51" t="inlineStr">
        <is>
          <t>Medigo 015</t>
        </is>
      </c>
      <c r="C63" s="51" t="inlineStr">
        <is>
          <t>Pham Hoang Vu</t>
        </is>
      </c>
      <c r="D63" s="275" t="inlineStr">
        <is>
          <t>0010148837002</t>
        </is>
      </c>
      <c r="E63" s="276" t="inlineStr">
        <is>
          <t>MB Bank</t>
        </is>
      </c>
      <c r="F63" s="277">
        <f>VLOOKUP($C63,#REF!,62,0)</f>
        <v/>
      </c>
      <c r="G63" s="51" t="inlineStr">
        <is>
          <t xml:space="preserve">Medigo TT Luong T8.2026 -  BS.ONL - </t>
        </is>
      </c>
      <c r="H63" s="265">
        <f>G63&amp;" "&amp;C63</f>
        <v/>
      </c>
      <c r="K63" s="51">
        <f>VLOOKUP($C63,#REF!,1,0)</f>
        <v/>
      </c>
    </row>
    <row r="64" ht="27" customHeight="1" s="1264">
      <c r="A64" s="51" t="inlineStr">
        <is>
          <t xml:space="preserve">BS.ONL - </t>
        </is>
      </c>
      <c r="B64" s="51" t="inlineStr">
        <is>
          <t>Medigo 015</t>
        </is>
      </c>
      <c r="C64" s="51" t="inlineStr">
        <is>
          <t>Nguyen Huynh Quang Tin</t>
        </is>
      </c>
      <c r="D64" s="275" t="inlineStr">
        <is>
          <t>1013264128</t>
        </is>
      </c>
      <c r="E64" s="276" t="inlineStr">
        <is>
          <t>Vietcombank</t>
        </is>
      </c>
      <c r="F64" s="277">
        <f>VLOOKUP($C64,#REF!,62,0)</f>
        <v/>
      </c>
      <c r="G64" s="51" t="inlineStr">
        <is>
          <t xml:space="preserve">Medigo TT Luong T8.2026 -  BS.ONL - </t>
        </is>
      </c>
      <c r="H64" s="265">
        <f>G64&amp;" "&amp;C64</f>
        <v/>
      </c>
      <c r="K64" s="51">
        <f>VLOOKUP($C64,#REF!,1,0)</f>
        <v/>
      </c>
    </row>
    <row r="65" ht="27" customHeight="1" s="1264">
      <c r="A65" s="51" t="inlineStr">
        <is>
          <t xml:space="preserve">BS.ONL - </t>
        </is>
      </c>
      <c r="B65" s="51" t="inlineStr">
        <is>
          <t>Medigo 015</t>
        </is>
      </c>
      <c r="C65" s="51" t="inlineStr">
        <is>
          <t>Le Thi Kieu Trinh</t>
        </is>
      </c>
      <c r="D65" s="275" t="inlineStr">
        <is>
          <t>1035692744</t>
        </is>
      </c>
      <c r="E65" s="276" t="inlineStr">
        <is>
          <t>Vietcombank</t>
        </is>
      </c>
      <c r="F65" s="277">
        <f>VLOOKUP($C65,#REF!,62,0)</f>
        <v/>
      </c>
      <c r="G65" s="51" t="inlineStr">
        <is>
          <t xml:space="preserve">Medigo TT Luong T8.2026 -  BS.ONL - </t>
        </is>
      </c>
      <c r="H65" s="265">
        <f>G65&amp;" "&amp;C65</f>
        <v/>
      </c>
      <c r="K65" s="51">
        <f>VLOOKUP($C65,#REF!,1,0)</f>
        <v/>
      </c>
    </row>
    <row r="66" ht="27" customHeight="1" s="1264">
      <c r="A66" s="51" t="inlineStr">
        <is>
          <t xml:space="preserve">BS.ONL - </t>
        </is>
      </c>
      <c r="B66" s="51" t="inlineStr">
        <is>
          <t>Medigo 015</t>
        </is>
      </c>
      <c r="C66" s="51" t="inlineStr">
        <is>
          <t>Tran Thi Quynh</t>
        </is>
      </c>
      <c r="D66" s="275" t="inlineStr">
        <is>
          <t>0868082514</t>
        </is>
      </c>
      <c r="E66" s="276" t="inlineStr">
        <is>
          <t>MB Bank</t>
        </is>
      </c>
      <c r="F66" s="277">
        <f>VLOOKUP($C66,#REF!,62,0)</f>
        <v/>
      </c>
      <c r="G66" s="51" t="inlineStr">
        <is>
          <t xml:space="preserve">Medigo TT Luong T8.2026 -  BS.ONL - </t>
        </is>
      </c>
      <c r="H66" s="265">
        <f>G66&amp;" "&amp;C66</f>
        <v/>
      </c>
      <c r="K66" s="51">
        <f>VLOOKUP($C66,#REF!,1,0)</f>
        <v/>
      </c>
    </row>
    <row r="67" ht="27" customHeight="1" s="1264">
      <c r="A67" s="51" t="inlineStr">
        <is>
          <t xml:space="preserve">BS.ONL - </t>
        </is>
      </c>
      <c r="B67" s="51" t="inlineStr">
        <is>
          <t>Medigo 015</t>
        </is>
      </c>
      <c r="C67" s="51" t="inlineStr">
        <is>
          <t>Dinh Thi Thu Trang</t>
        </is>
      </c>
      <c r="D67" s="275" t="inlineStr">
        <is>
          <t>0984890769</t>
        </is>
      </c>
      <c r="E67" s="276" t="inlineStr">
        <is>
          <t>Vietinbank</t>
        </is>
      </c>
      <c r="F67" s="277">
        <f>VLOOKUP($C67,#REF!,62,0)</f>
        <v/>
      </c>
      <c r="G67" s="51" t="inlineStr">
        <is>
          <t xml:space="preserve">Medigo TT Luong T8.2026 -  BS.ONL - </t>
        </is>
      </c>
      <c r="H67" s="265">
        <f>G67&amp;" "&amp;C67</f>
        <v/>
      </c>
      <c r="K67" s="51">
        <f>VLOOKUP($C67,#REF!,1,0)</f>
        <v/>
      </c>
    </row>
    <row r="68" ht="27" customHeight="1" s="1264">
      <c r="A68" s="51" t="inlineStr">
        <is>
          <t xml:space="preserve">BS.ONL - </t>
        </is>
      </c>
      <c r="B68" s="51" t="inlineStr">
        <is>
          <t>Medigo 015</t>
        </is>
      </c>
      <c r="C68" s="51" t="inlineStr">
        <is>
          <t>Phan Minh Van</t>
        </is>
      </c>
      <c r="D68" s="275" t="inlineStr">
        <is>
          <t>6460205790265</t>
        </is>
      </c>
      <c r="E68" s="276" t="inlineStr">
        <is>
          <t>Agribank</t>
        </is>
      </c>
      <c r="F68" s="277">
        <f>VLOOKUP($C68,#REF!,62,0)</f>
        <v/>
      </c>
      <c r="G68" s="51" t="inlineStr">
        <is>
          <t xml:space="preserve">Medigo TT Luong T8.2026 -  BS.ONL - </t>
        </is>
      </c>
      <c r="H68" s="265">
        <f>G68&amp;" "&amp;C68</f>
        <v/>
      </c>
      <c r="K68" s="51">
        <f>VLOOKUP($C68,#REF!,1,0)</f>
        <v/>
      </c>
    </row>
    <row r="69" ht="27" customHeight="1" s="1264">
      <c r="A69" s="51" t="inlineStr">
        <is>
          <t xml:space="preserve">BS.ONL - </t>
        </is>
      </c>
      <c r="B69" s="51" t="inlineStr">
        <is>
          <t>Medigo 015</t>
        </is>
      </c>
      <c r="C69" s="51" t="inlineStr">
        <is>
          <t>Nguyen Thi Kim Thu</t>
        </is>
      </c>
      <c r="D69" s="275" t="inlineStr">
        <is>
          <t>1016404957</t>
        </is>
      </c>
      <c r="E69" s="276" t="inlineStr">
        <is>
          <t>Vietcombank</t>
        </is>
      </c>
      <c r="F69" s="277">
        <f>VLOOKUP($C69,#REF!,62,0)</f>
        <v/>
      </c>
      <c r="G69" s="51" t="inlineStr">
        <is>
          <t xml:space="preserve">Medigo TT Luong T8.2026 -  BS.ONL - </t>
        </is>
      </c>
      <c r="H69" s="265">
        <f>G69&amp;" "&amp;C69</f>
        <v/>
      </c>
      <c r="K69" s="51">
        <f>VLOOKUP($C69,#REF!,1,0)</f>
        <v/>
      </c>
    </row>
    <row r="70" ht="27" customHeight="1" s="1264">
      <c r="A70" s="51" t="inlineStr">
        <is>
          <t xml:space="preserve">BS.ONL - </t>
        </is>
      </c>
      <c r="B70" s="51" t="inlineStr">
        <is>
          <t>Medigo 015</t>
        </is>
      </c>
      <c r="C70" s="51" t="inlineStr">
        <is>
          <t>Nguyen Thi Huong</t>
        </is>
      </c>
      <c r="D70" s="275" t="inlineStr">
        <is>
          <t>1890400997</t>
        </is>
      </c>
      <c r="E70" s="276" t="inlineStr">
        <is>
          <t>BIDV</t>
        </is>
      </c>
      <c r="F70" s="277">
        <f>VLOOKUP($C70,#REF!,62,0)</f>
        <v/>
      </c>
      <c r="G70" s="51" t="inlineStr">
        <is>
          <t xml:space="preserve">Medigo TT Luong T8.2026 -  BS.ONL - </t>
        </is>
      </c>
      <c r="H70" s="265">
        <f>G70&amp;" "&amp;C70</f>
        <v/>
      </c>
      <c r="K70" s="51">
        <f>VLOOKUP($C70,#REF!,1,0)</f>
        <v/>
      </c>
    </row>
    <row r="71" ht="27" customHeight="1" s="1264">
      <c r="A71" s="51" t="inlineStr">
        <is>
          <t xml:space="preserve">BS.ONL - </t>
        </is>
      </c>
      <c r="B71" s="51" t="inlineStr">
        <is>
          <t>Medigo 015</t>
        </is>
      </c>
      <c r="C71" s="51" t="inlineStr">
        <is>
          <t>Nguyen Hong Thai</t>
        </is>
      </c>
      <c r="D71" s="275" t="inlineStr">
        <is>
          <t>1900117101995</t>
        </is>
      </c>
      <c r="E71" s="276" t="inlineStr">
        <is>
          <t>MB Bank</t>
        </is>
      </c>
      <c r="F71" s="277">
        <f>VLOOKUP($C71,#REF!,62,0)</f>
        <v/>
      </c>
      <c r="G71" s="51" t="inlineStr">
        <is>
          <t xml:space="preserve">Medigo TT Luong T8.2026 -  BS.ONL - </t>
        </is>
      </c>
      <c r="H71" s="265">
        <f>G71&amp;" "&amp;C71</f>
        <v/>
      </c>
      <c r="K71" s="51">
        <f>VLOOKUP($C71,#REF!,1,0)</f>
        <v/>
      </c>
    </row>
    <row r="72" ht="24" customHeight="1" s="1264">
      <c r="A72" s="51" t="inlineStr">
        <is>
          <t xml:space="preserve">BS.ONL - </t>
        </is>
      </c>
      <c r="B72" s="51" t="inlineStr">
        <is>
          <t>Medigo 015</t>
        </is>
      </c>
      <c r="C72" s="51" t="inlineStr">
        <is>
          <t>Ho Thi Kieu Thu</t>
        </is>
      </c>
      <c r="D72" s="275" t="inlineStr">
        <is>
          <t>19034597379016</t>
        </is>
      </c>
      <c r="E72" s="276" t="inlineStr">
        <is>
          <t>Techcombank</t>
        </is>
      </c>
      <c r="F72" s="277">
        <f>VLOOKUP($C72,#REF!,62,0)</f>
        <v/>
      </c>
      <c r="G72" s="51" t="inlineStr">
        <is>
          <t xml:space="preserve">Medigo TT Luong T8.2026 -  BS.ONL - </t>
        </is>
      </c>
      <c r="H72" s="265">
        <f>G72&amp;" "&amp;C72</f>
        <v/>
      </c>
      <c r="K72" s="51">
        <f>VLOOKUP($C72,#REF!,1,0)</f>
        <v/>
      </c>
    </row>
    <row r="73" ht="24" customHeight="1" s="1264">
      <c r="A73" s="51" t="inlineStr">
        <is>
          <t xml:space="preserve">BS.ONL - </t>
        </is>
      </c>
      <c r="B73" s="51" t="inlineStr">
        <is>
          <t>Medigo 015</t>
        </is>
      </c>
      <c r="C73" s="51" t="inlineStr">
        <is>
          <t>Nguyen Trong Nguyen</t>
        </is>
      </c>
      <c r="D73" s="275" t="inlineStr">
        <is>
          <t>6510254167327</t>
        </is>
      </c>
      <c r="E73" s="276" t="inlineStr">
        <is>
          <t>Agribank</t>
        </is>
      </c>
      <c r="F73" s="277">
        <f>VLOOKUP($C73,#REF!,62,0)</f>
        <v/>
      </c>
      <c r="G73" s="51" t="inlineStr">
        <is>
          <t xml:space="preserve">Medigo TT Luong T8.2026 -  BS.ONL - </t>
        </is>
      </c>
      <c r="H73" s="265">
        <f>G73&amp;" "&amp;C73</f>
        <v/>
      </c>
      <c r="K73" s="51">
        <f>VLOOKUP($C73,#REF!,1,0)</f>
        <v/>
      </c>
    </row>
    <row r="74" ht="24" customHeight="1" s="1264">
      <c r="A74" s="51" t="inlineStr">
        <is>
          <t xml:space="preserve">BS.ONL - </t>
        </is>
      </c>
      <c r="B74" s="51" t="inlineStr">
        <is>
          <t>Medigo 015</t>
        </is>
      </c>
      <c r="C74" s="51" t="inlineStr">
        <is>
          <t>Tran Xuan Sinh</t>
        </is>
      </c>
      <c r="D74" s="275" t="inlineStr">
        <is>
          <t xml:space="preserve"> 105869367754</t>
        </is>
      </c>
      <c r="E74" s="276" t="inlineStr">
        <is>
          <t>Vietinbank</t>
        </is>
      </c>
      <c r="F74" s="277">
        <f>VLOOKUP($C74,#REF!,62,0)</f>
        <v/>
      </c>
      <c r="G74" s="51" t="inlineStr">
        <is>
          <t xml:space="preserve">Medigo TT Luong T8.2026 -  BS.ONL - </t>
        </is>
      </c>
      <c r="H74" s="265">
        <f>G74&amp;" "&amp;C74</f>
        <v/>
      </c>
      <c r="K74" s="51">
        <f>VLOOKUP($C74,#REF!,1,0)</f>
        <v/>
      </c>
    </row>
    <row r="75" ht="24" customHeight="1" s="1264">
      <c r="A75" s="51" t="inlineStr">
        <is>
          <t xml:space="preserve">BS.ONL - </t>
        </is>
      </c>
      <c r="B75" s="51" t="inlineStr">
        <is>
          <t>Medigo 015</t>
        </is>
      </c>
      <c r="C75" s="51" t="inlineStr">
        <is>
          <t>Tran Ngoc Anh Thuy</t>
        </is>
      </c>
      <c r="D75" s="275" t="inlineStr">
        <is>
          <t>6502043674</t>
        </is>
      </c>
      <c r="E75" s="276" t="inlineStr">
        <is>
          <t>Ngân hàng BIDV</t>
        </is>
      </c>
      <c r="F75" s="277">
        <f>VLOOKUP($C75,#REF!,62,0)</f>
        <v/>
      </c>
      <c r="G75" s="51" t="inlineStr">
        <is>
          <t xml:space="preserve">Medigo TT Luong T8.2026 -  BS.ONL - </t>
        </is>
      </c>
      <c r="H75" s="265">
        <f>G75&amp;" "&amp;C75</f>
        <v/>
      </c>
      <c r="K75" s="51">
        <f>VLOOKUP($C75,#REF!,1,0)</f>
        <v/>
      </c>
    </row>
    <row r="76" ht="24" customHeight="1" s="1264">
      <c r="A76" s="51" t="inlineStr">
        <is>
          <t xml:space="preserve">BS.ONL - </t>
        </is>
      </c>
      <c r="B76" s="51" t="inlineStr">
        <is>
          <t>Medigo 015</t>
        </is>
      </c>
      <c r="C76" s="51" t="inlineStr">
        <is>
          <t>Le Thanh Tuyen</t>
        </is>
      </c>
      <c r="D76" s="275" t="inlineStr">
        <is>
          <t>0363412108</t>
        </is>
      </c>
      <c r="E76" s="276" t="inlineStr">
        <is>
          <t>Ngân hàng phương đông (OCB)</t>
        </is>
      </c>
      <c r="F76" s="277">
        <f>VLOOKUP($C76,#REF!,62,0)</f>
        <v/>
      </c>
      <c r="G76" s="51" t="inlineStr">
        <is>
          <t xml:space="preserve">Medigo TT Luong T8.2026 -  BS.ONL - </t>
        </is>
      </c>
      <c r="H76" s="265">
        <f>G76&amp;" "&amp;C76</f>
        <v/>
      </c>
      <c r="K76" s="51">
        <f>VLOOKUP($C76,#REF!,1,0)</f>
        <v/>
      </c>
    </row>
    <row r="77" ht="24" customHeight="1" s="1264">
      <c r="A77" s="51" t="inlineStr">
        <is>
          <t xml:space="preserve">BS.ONL - </t>
        </is>
      </c>
      <c r="B77" s="51" t="inlineStr">
        <is>
          <t>Medigo 015</t>
        </is>
      </c>
      <c r="C77" s="51" t="inlineStr">
        <is>
          <t>Le Thi Bich Nhi</t>
        </is>
      </c>
      <c r="D77" s="275" t="inlineStr">
        <is>
          <t>180704070003910</t>
        </is>
      </c>
      <c r="E77" s="276" t="inlineStr">
        <is>
          <t>HD Bank</t>
        </is>
      </c>
      <c r="F77" s="277">
        <f>VLOOKUP($C77,#REF!,62,0)</f>
        <v/>
      </c>
      <c r="G77" s="51" t="inlineStr">
        <is>
          <t xml:space="preserve">Medigo TT Luong T8.2026 -  BS.ONL - </t>
        </is>
      </c>
      <c r="H77" s="265">
        <f>G77&amp;" "&amp;C77</f>
        <v/>
      </c>
      <c r="K77" s="51">
        <f>VLOOKUP($C77,#REF!,1,0)</f>
        <v/>
      </c>
    </row>
    <row r="78" ht="24" customHeight="1" s="1264">
      <c r="A78" s="51" t="inlineStr">
        <is>
          <t xml:space="preserve">BS.ONL - </t>
        </is>
      </c>
      <c r="B78" s="51" t="inlineStr">
        <is>
          <t>Nguyễn Thanh Quang</t>
        </is>
      </c>
      <c r="C78" s="51" t="inlineStr">
        <is>
          <t>Nguyen Thanh Quang</t>
        </is>
      </c>
      <c r="D78" s="275" t="inlineStr">
        <is>
          <t>'0171003479036</t>
        </is>
      </c>
      <c r="E78" s="276" t="inlineStr">
        <is>
          <t>Vietcombank</t>
        </is>
      </c>
      <c r="F78" s="277">
        <f>VLOOKUP($C78,#REF!,62,0)</f>
        <v/>
      </c>
      <c r="G78" s="51" t="inlineStr">
        <is>
          <t xml:space="preserve">Medigo TT Luong T8.2026 -  BS.ONL - </t>
        </is>
      </c>
      <c r="H78" s="265">
        <f>G78&amp;" "&amp;C78</f>
        <v/>
      </c>
      <c r="K78" s="51">
        <f>VLOOKUP($C78,#REF!,1,0)</f>
        <v/>
      </c>
    </row>
    <row r="79" ht="24" customHeight="1" s="1264">
      <c r="A79" s="51" t="inlineStr">
        <is>
          <t xml:space="preserve">BS.ONL - </t>
        </is>
      </c>
      <c r="B79" s="51" t="inlineStr">
        <is>
          <t>Nguyễn Hoàng Quý</t>
        </is>
      </c>
      <c r="C79" s="51" t="inlineStr">
        <is>
          <t>Nguyen Hoang Quy</t>
        </is>
      </c>
      <c r="D79" s="275" t="inlineStr">
        <is>
          <t>7705205084155</t>
        </is>
      </c>
      <c r="E79" s="276" t="inlineStr">
        <is>
          <t>ngân hàng Agribank chi nhánh Giồng Riềng</t>
        </is>
      </c>
      <c r="F79" s="277">
        <f>VLOOKUP($C79,#REF!,62,0)</f>
        <v/>
      </c>
      <c r="G79" s="51" t="inlineStr">
        <is>
          <t xml:space="preserve">Medigo TT Luong T8.2026 -  BS.ONL - </t>
        </is>
      </c>
      <c r="H79" s="265">
        <f>G79&amp;" "&amp;C79</f>
        <v/>
      </c>
      <c r="K79" s="51">
        <f>VLOOKUP($C79,#REF!,1,0)</f>
        <v/>
      </c>
    </row>
    <row r="80" ht="24" customHeight="1" s="1264">
      <c r="A80" s="51" t="inlineStr">
        <is>
          <t xml:space="preserve">BS.ONL - </t>
        </is>
      </c>
      <c r="B80" s="51" t="inlineStr">
        <is>
          <t>Lê Quốc Minh</t>
        </is>
      </c>
      <c r="C80" s="51" t="inlineStr">
        <is>
          <t>Le Quoc Minh</t>
        </is>
      </c>
      <c r="D80" s="275" t="inlineStr">
        <is>
          <t xml:space="preserve">291098171298 </t>
        </is>
      </c>
      <c r="E80" s="276" t="inlineStr">
        <is>
          <t>MB bank</t>
        </is>
      </c>
      <c r="F80" s="277">
        <f>VLOOKUP($C80,#REF!,62,0)</f>
        <v/>
      </c>
      <c r="G80" s="51" t="inlineStr">
        <is>
          <t xml:space="preserve">Medigo TT Luong T8.2026 -  BS.ONL - </t>
        </is>
      </c>
      <c r="H80" s="265">
        <f>G80&amp;" "&amp;C80</f>
        <v/>
      </c>
      <c r="K80" s="51">
        <f>VLOOKUP($C80,#REF!,1,0)</f>
        <v/>
      </c>
    </row>
    <row r="81" ht="27" customHeight="1" s="1264">
      <c r="D81" s="263" t="n"/>
      <c r="F81" s="274">
        <f>SUM(F39:F77)</f>
        <v/>
      </c>
      <c r="K81" s="51">
        <f>VLOOKUP($C81,#REF!,1,0)</f>
        <v/>
      </c>
    </row>
    <row r="82" ht="15.75" customHeight="1" s="1264">
      <c r="A82" s="54" t="n"/>
      <c r="D82" s="263" t="n"/>
      <c r="F82" s="270">
        <f>F81+F35+F32</f>
        <v/>
      </c>
    </row>
    <row r="83" ht="15.75" customHeight="1" s="1264">
      <c r="D83" s="263" t="n"/>
    </row>
    <row r="84" ht="15.75" customHeight="1" s="1264">
      <c r="A84" s="55" t="inlineStr">
        <is>
          <t>MED SERVICE</t>
        </is>
      </c>
      <c r="B84" s="280" t="n"/>
      <c r="C84" s="280" t="n"/>
      <c r="D84" s="281" t="n"/>
      <c r="E84" s="280" t="n"/>
      <c r="F84" s="280" t="n"/>
      <c r="G84" s="280" t="n"/>
      <c r="H84" s="280" t="n"/>
      <c r="I84" s="280" t="n"/>
      <c r="J84" s="280" t="n"/>
      <c r="K84" s="280" t="n"/>
      <c r="L84" s="280" t="n"/>
      <c r="M84" s="280" t="n"/>
      <c r="N84" s="280" t="n"/>
      <c r="O84" s="280" t="n"/>
      <c r="P84" s="280" t="n"/>
      <c r="Q84" s="280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</row>
    <row r="85" ht="24" customHeight="1" s="1264">
      <c r="A85" s="51" t="inlineStr">
        <is>
          <t xml:space="preserve">P.CHUOI NHA THUOC - </t>
        </is>
      </c>
      <c r="B85" s="51" t="inlineStr">
        <is>
          <t>Med Service 018</t>
        </is>
      </c>
      <c r="C85" s="51" t="inlineStr">
        <is>
          <t>Le Thi Quy Ngoc</t>
        </is>
      </c>
      <c r="D85" s="263">
        <f>VLOOKUP($C85,Med!#REF!,7,0)</f>
        <v/>
      </c>
      <c r="E85" s="263">
        <f>VLOOKUP($C85,Med!#REF!,8,0)</f>
        <v/>
      </c>
      <c r="F85" s="271">
        <f>VLOOKUP($C85,Med!$C$14:$CG$92,86,0)</f>
        <v/>
      </c>
      <c r="G85" s="51" t="inlineStr">
        <is>
          <t xml:space="preserve">Med TT Luong T8.2026 P.CHUOI NHA THUOC  - </t>
        </is>
      </c>
      <c r="H85" s="265">
        <f>G85&amp;" "&amp;C85</f>
        <v/>
      </c>
    </row>
    <row r="86" ht="24" customHeight="1" s="1264">
      <c r="A86" s="51" t="inlineStr">
        <is>
          <t xml:space="preserve">P.CHUOI NHA THUOC - </t>
        </is>
      </c>
      <c r="B86" s="51" t="inlineStr">
        <is>
          <t>Med Service 018</t>
        </is>
      </c>
      <c r="C86" s="51" t="inlineStr">
        <is>
          <t>Le Thu Ha</t>
        </is>
      </c>
      <c r="D86" s="263">
        <f>VLOOKUP($C86,Med!#REF!,7,0)</f>
        <v/>
      </c>
      <c r="E86" s="263">
        <f>VLOOKUP($C86,Med!#REF!,8,0)</f>
        <v/>
      </c>
      <c r="F86" s="271">
        <f>VLOOKUP($C86,Med!$C$14:$CG$92,86,0)</f>
        <v/>
      </c>
      <c r="G86" s="51" t="inlineStr">
        <is>
          <t xml:space="preserve">Med TT Luong T8.2026 P.CHUOI NHA THUOC  - </t>
        </is>
      </c>
      <c r="H86" s="265">
        <f>G86&amp;" "&amp;C86</f>
        <v/>
      </c>
    </row>
    <row r="87" ht="24" customHeight="1" s="1264">
      <c r="A87" s="51" t="inlineStr">
        <is>
          <t xml:space="preserve">P.CHUOI NHA THUOC - </t>
        </is>
      </c>
      <c r="B87" s="51" t="inlineStr">
        <is>
          <t>Med Service 018</t>
        </is>
      </c>
      <c r="C87" s="51" t="inlineStr">
        <is>
          <t>Nguyen Tuan Nghia</t>
        </is>
      </c>
      <c r="D87" s="263">
        <f>VLOOKUP($C87,Med!#REF!,7,0)</f>
        <v/>
      </c>
      <c r="E87" s="263">
        <f>VLOOKUP($C87,Med!#REF!,8,0)</f>
        <v/>
      </c>
      <c r="F87" s="271">
        <f>VLOOKUP($C87,Med!$C$14:$CG$92,86,0)</f>
        <v/>
      </c>
      <c r="G87" s="51" t="inlineStr">
        <is>
          <t xml:space="preserve">Med TT Luong T8.2026 P.CHUOI NHA THUOC  - </t>
        </is>
      </c>
      <c r="H87" s="282">
        <f>G87&amp;" "&amp;C87</f>
        <v/>
      </c>
      <c r="I87" s="283" t="n"/>
      <c r="J87" s="283" t="n"/>
      <c r="K87" s="283" t="n"/>
      <c r="L87" s="283" t="n"/>
      <c r="M87" s="283" t="n"/>
      <c r="N87" s="283" t="n"/>
      <c r="O87" s="283" t="n"/>
      <c r="P87" s="283" t="n"/>
      <c r="Q87" s="283" t="n"/>
      <c r="R87" s="283" t="n"/>
      <c r="S87" s="283" t="n"/>
      <c r="T87" s="283" t="n"/>
      <c r="U87" s="283" t="n"/>
      <c r="V87" s="283" t="n"/>
      <c r="W87" s="283" t="n"/>
      <c r="X87" s="283" t="n"/>
      <c r="Y87" s="283" t="n"/>
      <c r="Z87" s="283" t="n"/>
    </row>
    <row r="88" ht="24" customHeight="1" s="1264">
      <c r="A88" s="51" t="inlineStr">
        <is>
          <t xml:space="preserve">P.CHUOI NHA THUOC - </t>
        </is>
      </c>
      <c r="B88" s="51" t="inlineStr">
        <is>
          <t>Med Service 018</t>
        </is>
      </c>
      <c r="C88" s="51" t="inlineStr">
        <is>
          <t>Duong Thi Van Trang</t>
        </is>
      </c>
      <c r="D88" s="263">
        <f>VLOOKUP($C88,Med!#REF!,7,0)</f>
        <v/>
      </c>
      <c r="E88" s="263">
        <f>VLOOKUP($C88,Med!#REF!,8,0)</f>
        <v/>
      </c>
      <c r="F88" s="271">
        <f>VLOOKUP($C88,Med!$C$14:$CG$92,86,0)</f>
        <v/>
      </c>
      <c r="G88" s="51" t="inlineStr">
        <is>
          <t xml:space="preserve">Med TT Luong T8.2026 P.CHUOI NHA THUOC  - </t>
        </is>
      </c>
      <c r="H88" s="265">
        <f>G88&amp;" "&amp;C88</f>
        <v/>
      </c>
    </row>
    <row r="89" ht="21" customHeight="1" s="1264">
      <c r="A89" s="51" t="inlineStr">
        <is>
          <t xml:space="preserve">P.CHUOI NHA THUOC - </t>
        </is>
      </c>
      <c r="B89" s="51" t="inlineStr">
        <is>
          <t>Med Service 018</t>
        </is>
      </c>
      <c r="C89" s="51" t="inlineStr">
        <is>
          <t>Huynh Ngoc Anh</t>
        </is>
      </c>
      <c r="D89" s="263">
        <f>VLOOKUP($C89,Med!#REF!,7,0)</f>
        <v/>
      </c>
      <c r="E89" s="263">
        <f>VLOOKUP($C89,Med!#REF!,8,0)</f>
        <v/>
      </c>
      <c r="F89" s="271">
        <f>VLOOKUP($C89,Med!$C$14:$CG$92,86,0)</f>
        <v/>
      </c>
      <c r="G89" s="51" t="inlineStr">
        <is>
          <t xml:space="preserve">Med TT Luong T8.2026 P.CHUOI NHA THUOC  - </t>
        </is>
      </c>
      <c r="H89" s="265">
        <f>G89&amp;" "&amp;C89</f>
        <v/>
      </c>
    </row>
    <row r="90" ht="21" customHeight="1" s="1264">
      <c r="A90" s="51" t="inlineStr">
        <is>
          <t xml:space="preserve">P.CHUOI NHA THUOC - </t>
        </is>
      </c>
      <c r="B90" s="266" t="inlineStr">
        <is>
          <t>Med Service 018</t>
        </is>
      </c>
      <c r="C90" s="266" t="inlineStr">
        <is>
          <t>Vu Ngoc Thanh Thao</t>
        </is>
      </c>
      <c r="D90" s="263">
        <f>VLOOKUP($C90,Med!#REF!,7,0)</f>
        <v/>
      </c>
      <c r="E90" s="263">
        <f>VLOOKUP($C90,Med!#REF!,8,0)</f>
        <v/>
      </c>
      <c r="F90" s="271">
        <f>VLOOKUP($C90,Med!$C$14:$CG$92,86,0)</f>
        <v/>
      </c>
      <c r="G90" s="51" t="inlineStr">
        <is>
          <t xml:space="preserve">Med TT Luong T8.2026 P.CHUOI NHA THUOC  - </t>
        </is>
      </c>
      <c r="H90" s="284">
        <f>G90&amp;" "&amp;C90</f>
        <v/>
      </c>
      <c r="I90" s="285" t="n"/>
      <c r="J90" s="285" t="n"/>
      <c r="K90" s="285" t="n"/>
      <c r="L90" s="285" t="n"/>
      <c r="M90" s="285" t="n"/>
      <c r="N90" s="285" t="n"/>
      <c r="O90" s="285" t="n"/>
      <c r="P90" s="285" t="n"/>
      <c r="Q90" s="285" t="n"/>
      <c r="R90" s="285" t="n"/>
      <c r="S90" s="285" t="n"/>
      <c r="T90" s="285" t="n"/>
      <c r="U90" s="285" t="n"/>
      <c r="V90" s="285" t="n"/>
      <c r="W90" s="285" t="n"/>
      <c r="X90" s="285" t="n"/>
      <c r="Y90" s="285" t="n"/>
      <c r="Z90" s="285" t="n"/>
    </row>
    <row r="91" ht="21" customHeight="1" s="1264">
      <c r="A91" s="51" t="inlineStr">
        <is>
          <t xml:space="preserve">P.CHUOI NHA THUOC - </t>
        </is>
      </c>
      <c r="B91" s="266" t="inlineStr">
        <is>
          <t>Med Service 018</t>
        </is>
      </c>
      <c r="C91" s="51" t="inlineStr">
        <is>
          <t>Nguyen Hoang Yen</t>
        </is>
      </c>
      <c r="D91" s="263">
        <f>VLOOKUP($C91,Med!#REF!,7,0)</f>
        <v/>
      </c>
      <c r="E91" s="263">
        <f>VLOOKUP($C91,Med!#REF!,8,0)</f>
        <v/>
      </c>
      <c r="F91" s="271">
        <f>VLOOKUP($C91,Med!$C$14:$CG$92,86,0)</f>
        <v/>
      </c>
      <c r="G91" s="51" t="inlineStr">
        <is>
          <t xml:space="preserve">Med TT Luong T8.2026 P.CHUOI NHA THUOC  - </t>
        </is>
      </c>
      <c r="H91" s="284">
        <f>G91&amp;" "&amp;C91</f>
        <v/>
      </c>
      <c r="I91" s="285" t="n"/>
      <c r="J91" s="285" t="n"/>
      <c r="K91" s="285" t="n"/>
      <c r="L91" s="285" t="n"/>
      <c r="M91" s="285" t="n"/>
      <c r="N91" s="285" t="n"/>
      <c r="O91" s="285" t="n"/>
      <c r="P91" s="285" t="n"/>
      <c r="Q91" s="285" t="n"/>
      <c r="R91" s="285" t="n"/>
      <c r="S91" s="285" t="n"/>
      <c r="T91" s="285" t="n"/>
      <c r="U91" s="285" t="n"/>
      <c r="V91" s="285" t="n"/>
      <c r="W91" s="285" t="n"/>
      <c r="X91" s="285" t="n"/>
      <c r="Y91" s="285" t="n"/>
      <c r="Z91" s="285" t="n"/>
    </row>
    <row r="92" ht="21" customHeight="1" s="1264">
      <c r="A92" s="51" t="inlineStr">
        <is>
          <t xml:space="preserve">P.CHUOI NHA THUOC - </t>
        </is>
      </c>
      <c r="B92" s="51" t="inlineStr">
        <is>
          <t>Med Service 018</t>
        </is>
      </c>
      <c r="C92" s="51" t="inlineStr">
        <is>
          <t>Doan Huu Luan</t>
        </is>
      </c>
      <c r="D92" s="263">
        <f>VLOOKUP($C92,Med!#REF!,7,0)</f>
        <v/>
      </c>
      <c r="E92" s="263">
        <f>VLOOKUP($C92,Med!#REF!,8,0)</f>
        <v/>
      </c>
      <c r="F92" s="271">
        <f>VLOOKUP($C92,Med!$C$14:$CG$92,86,0)</f>
        <v/>
      </c>
      <c r="G92" s="51" t="inlineStr">
        <is>
          <t xml:space="preserve">Med TT Luong T8.2026 P.CHUOI NHA THUOC  - </t>
        </is>
      </c>
      <c r="H92" s="265">
        <f>G92&amp;" "&amp;C92</f>
        <v/>
      </c>
    </row>
    <row r="93" ht="21" customHeight="1" s="1264">
      <c r="A93" s="51" t="inlineStr">
        <is>
          <t xml:space="preserve">P.CHUOI NHA THUOC - </t>
        </is>
      </c>
      <c r="B93" s="51" t="inlineStr">
        <is>
          <t>Med Service 018</t>
        </is>
      </c>
      <c r="C93" s="51" t="inlineStr">
        <is>
          <t>Dang Thien An</t>
        </is>
      </c>
      <c r="D93" s="263">
        <f>VLOOKUP($C93,Med!#REF!,7,0)</f>
        <v/>
      </c>
      <c r="E93" s="263">
        <f>VLOOKUP($C93,Med!#REF!,8,0)</f>
        <v/>
      </c>
      <c r="F93" s="271">
        <f>VLOOKUP($C93,Med!$C$14:$CG$92,86,0)</f>
        <v/>
      </c>
      <c r="G93" s="51" t="inlineStr">
        <is>
          <t xml:space="preserve">Med TT Luong T8.2026 P.CHUOI NHA THUOC  - </t>
        </is>
      </c>
      <c r="H93" s="265">
        <f>G93&amp;" "&amp;C93</f>
        <v/>
      </c>
    </row>
    <row r="94" ht="21" customHeight="1" s="1264">
      <c r="A94" s="51" t="inlineStr">
        <is>
          <t xml:space="preserve">P.CHUOI NHA THUOC - </t>
        </is>
      </c>
      <c r="B94" s="51" t="inlineStr">
        <is>
          <t>Med Service 018</t>
        </is>
      </c>
      <c r="C94" s="51" t="inlineStr">
        <is>
          <t>Tran Nhu Quynh</t>
        </is>
      </c>
      <c r="D94" s="263">
        <f>VLOOKUP($C94,Med!#REF!,7,0)</f>
        <v/>
      </c>
      <c r="E94" s="263">
        <f>VLOOKUP($C94,Med!#REF!,8,0)</f>
        <v/>
      </c>
      <c r="F94" s="271">
        <f>VLOOKUP($C94,Med!$C$14:$CG$92,86,0)</f>
        <v/>
      </c>
      <c r="G94" s="51" t="inlineStr">
        <is>
          <t xml:space="preserve">Med TT Luong T8.2026 P.CHUOI NHA THUOC  - </t>
        </is>
      </c>
      <c r="H94" s="265">
        <f>G94&amp;" "&amp;C94</f>
        <v/>
      </c>
    </row>
    <row r="95" ht="21" customHeight="1" s="1264">
      <c r="A95" s="51" t="inlineStr">
        <is>
          <t xml:space="preserve">P.CHUOI NHA THUOC - </t>
        </is>
      </c>
      <c r="B95" s="51" t="inlineStr">
        <is>
          <t>Med Service 018</t>
        </is>
      </c>
      <c r="C95" s="51" t="inlineStr">
        <is>
          <t>Dao Thanh Son</t>
        </is>
      </c>
      <c r="D95" s="263">
        <f>VLOOKUP($C95,Med!#REF!,7,0)</f>
        <v/>
      </c>
      <c r="E95" s="263">
        <f>VLOOKUP($C95,Med!#REF!,8,0)</f>
        <v/>
      </c>
      <c r="F95" s="271">
        <f>VLOOKUP($C95,Med!$C$14:$CG$92,86,0)</f>
        <v/>
      </c>
      <c r="G95" s="51" t="inlineStr">
        <is>
          <t xml:space="preserve">Med TT Luong T8.2026 P.CHUOI NHA THUOC  - </t>
        </is>
      </c>
      <c r="H95" s="265">
        <f>G95&amp;" "&amp;C95</f>
        <v/>
      </c>
    </row>
    <row r="96" ht="21" customHeight="1" s="1264">
      <c r="A96" s="51" t="inlineStr">
        <is>
          <t xml:space="preserve">P.CHUOI NHA THUOC - </t>
        </is>
      </c>
      <c r="B96" s="51" t="inlineStr">
        <is>
          <t>Med Service 018</t>
        </is>
      </c>
      <c r="C96" s="51" t="inlineStr">
        <is>
          <t>Tran Anh Tuan</t>
        </is>
      </c>
      <c r="D96" s="263">
        <f>VLOOKUP($C96,Med!#REF!,7,0)</f>
        <v/>
      </c>
      <c r="E96" s="263">
        <f>VLOOKUP($C96,Med!#REF!,8,0)</f>
        <v/>
      </c>
      <c r="F96" s="271">
        <f>VLOOKUP($C96,Med!$C$14:$CG$92,86,0)</f>
        <v/>
      </c>
      <c r="G96" s="51" t="inlineStr">
        <is>
          <t xml:space="preserve">Med TT Luong T8.2026 P.CHUOI NHA THUOC  - </t>
        </is>
      </c>
      <c r="H96" s="265">
        <f>G96&amp;" "&amp;C96</f>
        <v/>
      </c>
    </row>
    <row r="97" ht="21" customHeight="1" s="1264">
      <c r="A97" s="51" t="inlineStr">
        <is>
          <t xml:space="preserve">P.CHUOI NHA THUOC - </t>
        </is>
      </c>
      <c r="B97" s="51" t="inlineStr">
        <is>
          <t>Med Service 018</t>
        </is>
      </c>
      <c r="C97" s="51" t="inlineStr">
        <is>
          <t>Le Ngoc Anh</t>
        </is>
      </c>
      <c r="D97" s="263">
        <f>VLOOKUP($C97,Med!#REF!,7,0)</f>
        <v/>
      </c>
      <c r="E97" s="263">
        <f>VLOOKUP($C97,Med!#REF!,8,0)</f>
        <v/>
      </c>
      <c r="F97" s="271">
        <f>VLOOKUP($C97,Med!$C$14:$CG$92,86,0)</f>
        <v/>
      </c>
      <c r="G97" s="51" t="inlineStr">
        <is>
          <t xml:space="preserve">Med TT Luong T8.2026 P.CHUOI NHA THUOC  - </t>
        </is>
      </c>
      <c r="H97" s="265">
        <f>G97&amp;" "&amp;C97</f>
        <v/>
      </c>
    </row>
    <row r="98" ht="21" customHeight="1" s="1264">
      <c r="A98" s="51" t="inlineStr">
        <is>
          <t xml:space="preserve">P.CHUOI NHA THUOC - </t>
        </is>
      </c>
      <c r="B98" s="51" t="inlineStr">
        <is>
          <t>Med Service 018</t>
        </is>
      </c>
      <c r="C98" s="51" t="inlineStr">
        <is>
          <t>Huynh Hoang Nhan</t>
        </is>
      </c>
      <c r="D98" s="263">
        <f>VLOOKUP($C98,Med!#REF!,7,0)</f>
        <v/>
      </c>
      <c r="E98" s="263">
        <f>VLOOKUP($C98,Med!#REF!,8,0)</f>
        <v/>
      </c>
      <c r="F98" s="271">
        <f>VLOOKUP($C98,Med!$C$14:$CG$92,86,0)</f>
        <v/>
      </c>
      <c r="G98" s="51" t="inlineStr">
        <is>
          <t xml:space="preserve">Med TT Luong T8.2026 P.CHUOI NHA THUOC  - </t>
        </is>
      </c>
      <c r="H98" s="265">
        <f>G98&amp;" "&amp;C98</f>
        <v/>
      </c>
    </row>
    <row r="99" ht="21" customHeight="1" s="1264">
      <c r="A99" s="51" t="inlineStr">
        <is>
          <t xml:space="preserve">P.CHUOI NHA THUOC - </t>
        </is>
      </c>
      <c r="B99" s="51" t="inlineStr">
        <is>
          <t>Med Service 018</t>
        </is>
      </c>
      <c r="C99" s="51" t="inlineStr">
        <is>
          <t>Dinh Ngoc Minh</t>
        </is>
      </c>
      <c r="D99" s="263">
        <f>VLOOKUP($C99,Med!#REF!,7,0)</f>
        <v/>
      </c>
      <c r="E99" s="263">
        <f>VLOOKUP($C99,Med!#REF!,8,0)</f>
        <v/>
      </c>
      <c r="F99" s="271">
        <f>VLOOKUP($C99,Med!$C$14:$CG$92,86,0)</f>
        <v/>
      </c>
      <c r="G99" s="51" t="inlineStr">
        <is>
          <t xml:space="preserve">Med TT Luong T8.2026 P.CHUOI NHA THUOC  - </t>
        </is>
      </c>
      <c r="H99" s="265">
        <f>G99&amp;" "&amp;C99</f>
        <v/>
      </c>
    </row>
    <row r="100" ht="21" customHeight="1" s="1264">
      <c r="A100" s="51" t="inlineStr">
        <is>
          <t xml:space="preserve">P.CHUOI NHA THUOC - </t>
        </is>
      </c>
      <c r="B100" s="51" t="inlineStr">
        <is>
          <t>Med Service 018</t>
        </is>
      </c>
      <c r="C100" s="51" t="inlineStr">
        <is>
          <t>Bui Thi Cam Ngoan</t>
        </is>
      </c>
      <c r="D100" s="263">
        <f>VLOOKUP($C100,Med!#REF!,7,0)</f>
        <v/>
      </c>
      <c r="E100" s="263">
        <f>VLOOKUP($C100,Med!#REF!,8,0)</f>
        <v/>
      </c>
      <c r="F100" s="271">
        <f>VLOOKUP($C100,Med!$C$14:$CG$92,86,0)</f>
        <v/>
      </c>
      <c r="G100" s="51" t="inlineStr">
        <is>
          <t xml:space="preserve">Med TT Luong T8.2026 P.CHUOI NHA THUOC  - </t>
        </is>
      </c>
      <c r="H100" s="265">
        <f>G100&amp;" "&amp;C100</f>
        <v/>
      </c>
    </row>
    <row r="101" ht="21" customHeight="1" s="1264">
      <c r="A101" s="51" t="inlineStr">
        <is>
          <t xml:space="preserve">P.EDISTRIBUTION - </t>
        </is>
      </c>
      <c r="B101" s="51" t="inlineStr">
        <is>
          <t>Med Service 018</t>
        </is>
      </c>
      <c r="C101" s="266" t="inlineStr">
        <is>
          <t>Le Thi Bich Ngoc</t>
        </is>
      </c>
      <c r="D101" s="263">
        <f>VLOOKUP($C101,Med!#REF!,7,0)</f>
        <v/>
      </c>
      <c r="E101" s="263">
        <f>VLOOKUP($C101,Med!#REF!,8,0)</f>
        <v/>
      </c>
      <c r="F101" s="271">
        <f>VLOOKUP($C101,Med!$C$14:$CG$92,86,0)</f>
        <v/>
      </c>
      <c r="G101" s="51" t="inlineStr">
        <is>
          <t xml:space="preserve">Med TT Luong T8.2026 P.EDISTRIBUTION  - </t>
        </is>
      </c>
      <c r="H101" s="265">
        <f>G101&amp;" "&amp;C101</f>
        <v/>
      </c>
    </row>
    <row r="102" ht="24" customHeight="1" s="1264">
      <c r="A102" s="51" t="inlineStr">
        <is>
          <t xml:space="preserve">P.ADMIN-CSKH - </t>
        </is>
      </c>
      <c r="B102" s="51" t="inlineStr">
        <is>
          <t>Med Service 018</t>
        </is>
      </c>
      <c r="C102" s="266" t="inlineStr">
        <is>
          <t>Nguyen Thi Kim Hue</t>
        </is>
      </c>
      <c r="D102" s="263">
        <f>VLOOKUP($C102,Med!#REF!,7,0)</f>
        <v/>
      </c>
      <c r="E102" s="263">
        <f>VLOOKUP($C102,Med!#REF!,8,0)</f>
        <v/>
      </c>
      <c r="F102" s="271">
        <f>VLOOKUP($C102,Med!$C$14:$CG$92,86,0)</f>
        <v/>
      </c>
      <c r="G102" s="51" t="inlineStr">
        <is>
          <t xml:space="preserve">Med TT Luong T8.2026 P.ADMIN-CSKH - </t>
        </is>
      </c>
      <c r="H102" s="265">
        <f>G102&amp;" "&amp;C102</f>
        <v/>
      </c>
    </row>
    <row r="103" ht="24" customHeight="1" s="1264">
      <c r="A103" s="51" t="inlineStr">
        <is>
          <t xml:space="preserve">P.ADMIN-CSKH - </t>
        </is>
      </c>
      <c r="B103" s="51" t="inlineStr">
        <is>
          <t>Med Service 018</t>
        </is>
      </c>
      <c r="C103" s="266" t="inlineStr">
        <is>
          <t>Nguyen Da Minh Chau</t>
        </is>
      </c>
      <c r="D103" s="263">
        <f>VLOOKUP($C103,Med!#REF!,7,0)</f>
        <v/>
      </c>
      <c r="E103" s="263">
        <f>VLOOKUP($C103,Med!#REF!,8,0)</f>
        <v/>
      </c>
      <c r="F103" s="271">
        <f>VLOOKUP($C103,Med!$C$14:$CG$92,86,0)</f>
        <v/>
      </c>
      <c r="G103" s="51" t="inlineStr">
        <is>
          <t xml:space="preserve">Med TT Luong T8.2026 P.ADMIN-CSKH - </t>
        </is>
      </c>
      <c r="H103" s="265">
        <f>G103&amp;" "&amp;C103</f>
        <v/>
      </c>
    </row>
    <row r="104" ht="21.75" customHeight="1" s="1264">
      <c r="A104" s="51" t="inlineStr">
        <is>
          <t xml:space="preserve">P.HR - </t>
        </is>
      </c>
      <c r="B104" s="51" t="inlineStr">
        <is>
          <t>Med Service 018</t>
        </is>
      </c>
      <c r="C104" s="266" t="inlineStr">
        <is>
          <t>Le Thi Ngoc Cam</t>
        </is>
      </c>
      <c r="D104" s="263">
        <f>VLOOKUP($C104,Med!#REF!,7,0)</f>
        <v/>
      </c>
      <c r="E104" s="263">
        <f>VLOOKUP($C104,Med!#REF!,8,0)</f>
        <v/>
      </c>
      <c r="F104" s="271">
        <f>VLOOKUP($C104,Med!$C$14:$CG$92,86,0)</f>
        <v/>
      </c>
      <c r="G104" s="51" t="inlineStr">
        <is>
          <t xml:space="preserve">Med TT Luong T8.2026 P.HR  - </t>
        </is>
      </c>
      <c r="H104" s="265">
        <f>G104&amp;" "&amp;C104</f>
        <v/>
      </c>
    </row>
    <row r="105" ht="21" customHeight="1" s="1264">
      <c r="A105" s="51" t="inlineStr">
        <is>
          <t xml:space="preserve">P.HR - </t>
        </is>
      </c>
      <c r="B105" s="51" t="inlineStr">
        <is>
          <t>Med Service 018</t>
        </is>
      </c>
      <c r="C105" s="266" t="inlineStr">
        <is>
          <t>Ho Pham Minh Tien</t>
        </is>
      </c>
      <c r="D105" s="263">
        <f>VLOOKUP($C105,Med!#REF!,7,0)</f>
        <v/>
      </c>
      <c r="E105" s="263">
        <f>VLOOKUP($C105,Med!#REF!,8,0)</f>
        <v/>
      </c>
      <c r="F105" s="271">
        <f>VLOOKUP($C105,Med!$C$14:$CG$92,86,0)</f>
        <v/>
      </c>
      <c r="G105" s="51" t="inlineStr">
        <is>
          <t xml:space="preserve">Med TT Luong T8.2026 P.HR  - </t>
        </is>
      </c>
      <c r="H105" s="265">
        <f>G105&amp;" "&amp;C105</f>
        <v/>
      </c>
    </row>
    <row r="106" ht="21" customHeight="1" s="1264">
      <c r="A106" s="51" t="inlineStr">
        <is>
          <t xml:space="preserve">P.KT - </t>
        </is>
      </c>
      <c r="B106" s="51" t="inlineStr">
        <is>
          <t>Med Service 018</t>
        </is>
      </c>
      <c r="C106" s="266" t="inlineStr">
        <is>
          <t>Dang Ngoc Truc Quynh</t>
        </is>
      </c>
      <c r="D106" s="263">
        <f>VLOOKUP($C106,Med!#REF!,7,0)</f>
        <v/>
      </c>
      <c r="E106" s="263">
        <f>VLOOKUP($C106,Med!#REF!,8,0)</f>
        <v/>
      </c>
      <c r="F106" s="271">
        <f>VLOOKUP($C106,Med!$C$14:$CG$92,86,0)</f>
        <v/>
      </c>
      <c r="G106" s="51" t="inlineStr">
        <is>
          <t xml:space="preserve">Med TT Luong T8.2026 P.KT  - </t>
        </is>
      </c>
      <c r="H106" s="265">
        <f>G106&amp;" "&amp;C106</f>
        <v/>
      </c>
    </row>
    <row r="107" ht="21" customHeight="1" s="1264">
      <c r="A107" s="51" t="inlineStr">
        <is>
          <t xml:space="preserve">P.CHUOI NHA THUOC - </t>
        </is>
      </c>
      <c r="B107" s="51" t="inlineStr">
        <is>
          <t>Med Service 018</t>
        </is>
      </c>
      <c r="C107" s="266" t="inlineStr">
        <is>
          <t>Tu Thai Tuong</t>
        </is>
      </c>
      <c r="D107" s="263">
        <f>VLOOKUP($C107,Med!#REF!,7,0)</f>
        <v/>
      </c>
      <c r="E107" s="263">
        <f>VLOOKUP($C107,Med!#REF!,8,0)</f>
        <v/>
      </c>
      <c r="F107" s="271">
        <f>VLOOKUP($C107,Med!$C$14:$CG$92,86,0)</f>
        <v/>
      </c>
      <c r="G107" s="51" t="inlineStr">
        <is>
          <t xml:space="preserve">Med TT Luong T8.2026 P.KT  - </t>
        </is>
      </c>
      <c r="H107" s="265">
        <f>G107&amp;" "&amp;C107</f>
        <v/>
      </c>
    </row>
    <row r="108" ht="21" customHeight="1" s="1264">
      <c r="A108" s="51" t="inlineStr">
        <is>
          <t>P.ECOM</t>
        </is>
      </c>
      <c r="B108" s="51" t="inlineStr">
        <is>
          <t>Med Service 018</t>
        </is>
      </c>
      <c r="C108" s="266" t="inlineStr">
        <is>
          <t>Vu Thi Thuy Ngan</t>
        </is>
      </c>
      <c r="D108" s="263">
        <f>VLOOKUP($C108,Med!#REF!,7,0)</f>
        <v/>
      </c>
      <c r="E108" s="263">
        <f>VLOOKUP($C108,Med!#REF!,8,0)</f>
        <v/>
      </c>
      <c r="F108" s="271">
        <f>VLOOKUP($C108,Med!$C$14:$CG$92,86,0)</f>
        <v/>
      </c>
      <c r="G108" s="51" t="inlineStr">
        <is>
          <t xml:space="preserve">Med TT Luong T8.2026 P.KT  - </t>
        </is>
      </c>
      <c r="H108" s="265">
        <f>G108&amp;" "&amp;C108</f>
        <v/>
      </c>
    </row>
    <row r="109" ht="21" customHeight="1" s="1264">
      <c r="A109" s="51" t="inlineStr">
        <is>
          <t>P.ECOM</t>
        </is>
      </c>
      <c r="B109" s="51" t="inlineStr">
        <is>
          <t>Med Service 018</t>
        </is>
      </c>
      <c r="C109" s="266" t="inlineStr">
        <is>
          <t>Hua Thi Tuyet Trang</t>
        </is>
      </c>
      <c r="D109" s="263">
        <f>VLOOKUP($C109,Med!#REF!,7,0)</f>
        <v/>
      </c>
      <c r="E109" s="263">
        <f>VLOOKUP($C109,Med!#REF!,8,0)</f>
        <v/>
      </c>
      <c r="F109" s="271">
        <f>VLOOKUP($C109,Med!$C$14:$CG$92,86,0)</f>
        <v/>
      </c>
      <c r="G109" s="51" t="inlineStr">
        <is>
          <t xml:space="preserve">Med TT Luong T8.2026 P.KT  - </t>
        </is>
      </c>
      <c r="H109" s="265">
        <f>G109&amp;" "&amp;C109</f>
        <v/>
      </c>
    </row>
    <row r="110" ht="21" customHeight="1" s="1264">
      <c r="A110" s="51" t="inlineStr">
        <is>
          <t>P.ECOM</t>
        </is>
      </c>
      <c r="B110" s="51" t="inlineStr">
        <is>
          <t>Med Service 018</t>
        </is>
      </c>
      <c r="C110" s="266" t="inlineStr">
        <is>
          <t>Le Thi Hong Nhung</t>
        </is>
      </c>
      <c r="D110" s="263">
        <f>VLOOKUP($C110,Med!#REF!,7,0)</f>
        <v/>
      </c>
      <c r="E110" s="263">
        <f>VLOOKUP($C110,Med!#REF!,8,0)</f>
        <v/>
      </c>
      <c r="F110" s="271">
        <f>VLOOKUP($C110,Med!$C$14:$CG$92,86,0)</f>
        <v/>
      </c>
      <c r="G110" s="51" t="inlineStr">
        <is>
          <t xml:space="preserve">Med TT Luong T8.2026 P.KT  - </t>
        </is>
      </c>
      <c r="H110" s="265">
        <f>G110&amp;" "&amp;C110</f>
        <v/>
      </c>
    </row>
    <row r="111" ht="21" customHeight="1" s="1264">
      <c r="A111" s="51" t="inlineStr">
        <is>
          <t>P.ECOM</t>
        </is>
      </c>
      <c r="B111" s="51" t="inlineStr">
        <is>
          <t>Med Service 018</t>
        </is>
      </c>
      <c r="C111" s="266" t="inlineStr">
        <is>
          <t>Le Quoc Thang</t>
        </is>
      </c>
      <c r="D111" s="263">
        <f>VLOOKUP($C111,Med!#REF!,7,0)</f>
        <v/>
      </c>
      <c r="E111" s="263">
        <f>VLOOKUP($C111,Med!#REF!,8,0)</f>
        <v/>
      </c>
      <c r="F111" s="271">
        <f>VLOOKUP($C111,Med!$C$14:$CG$92,86,0)</f>
        <v/>
      </c>
      <c r="G111" s="51" t="inlineStr">
        <is>
          <t xml:space="preserve">Med TT Luong T8.2026 P.KT  - </t>
        </is>
      </c>
      <c r="H111" s="265">
        <f>G111&amp;" "&amp;C111</f>
        <v/>
      </c>
    </row>
    <row r="112" ht="21" customHeight="1" s="1264">
      <c r="A112" s="51" t="inlineStr">
        <is>
          <t>P.IT</t>
        </is>
      </c>
      <c r="B112" s="51" t="inlineStr">
        <is>
          <t>Med Service 018</t>
        </is>
      </c>
      <c r="C112" s="266" t="inlineStr">
        <is>
          <t>Vu Manh Hung</t>
        </is>
      </c>
      <c r="D112" s="263">
        <f>VLOOKUP($C112,Med!#REF!,7,0)</f>
        <v/>
      </c>
      <c r="E112" s="263">
        <f>VLOOKUP($C112,Med!#REF!,8,0)</f>
        <v/>
      </c>
      <c r="F112" s="271">
        <f>VLOOKUP($C112,Med!$C$14:$CG$92,86,0)</f>
        <v/>
      </c>
      <c r="G112" s="51" t="inlineStr">
        <is>
          <t xml:space="preserve">Med TT Luong T8.2026 P.KT  - </t>
        </is>
      </c>
      <c r="H112" s="265">
        <f>G112&amp;" "&amp;C112</f>
        <v/>
      </c>
    </row>
    <row r="113" ht="21" customHeight="1" s="1264">
      <c r="B113" s="51" t="inlineStr">
        <is>
          <t>Med Service 018</t>
        </is>
      </c>
      <c r="C113" s="286" t="inlineStr">
        <is>
          <t>Le Hong Thuy Khanh</t>
        </is>
      </c>
      <c r="D113" s="1192" t="inlineStr">
        <is>
          <t>0925552676666</t>
        </is>
      </c>
      <c r="E113" s="287" t="inlineStr">
        <is>
          <t>Ngân hàng TMCP Quân Đội (MB Bank)</t>
        </is>
      </c>
      <c r="F113" s="271">
        <f>VLOOKUP($C113,Med!$C$14:$CG$92,86,0)</f>
        <v/>
      </c>
      <c r="G113" s="51" t="inlineStr">
        <is>
          <t xml:space="preserve">Med TT Luong T8.2026 P.KT  - </t>
        </is>
      </c>
      <c r="H113" s="265">
        <f>G113&amp;" "&amp;C113</f>
        <v/>
      </c>
    </row>
    <row r="114" ht="21" customHeight="1" s="1264">
      <c r="B114" s="51" t="inlineStr">
        <is>
          <t>Med Service 018</t>
        </is>
      </c>
      <c r="C114" s="286" t="inlineStr">
        <is>
          <t>Tran Thi Anh Duong</t>
        </is>
      </c>
      <c r="D114" s="288" t="n">
        <v>4920021999</v>
      </c>
      <c r="E114" s="287" t="inlineStr">
        <is>
          <t>Techcombank</t>
        </is>
      </c>
      <c r="F114" s="271">
        <f>VLOOKUP($C114,Med!$C$14:$CG$92,86,0)</f>
        <v/>
      </c>
      <c r="G114" s="51" t="inlineStr">
        <is>
          <t xml:space="preserve">Med TT Luong T8.2026 P.KT  - </t>
        </is>
      </c>
      <c r="H114" s="265">
        <f>G114&amp;" "&amp;C114</f>
        <v/>
      </c>
    </row>
    <row r="115" ht="21" customHeight="1" s="1264">
      <c r="B115" s="289" t="inlineStr">
        <is>
          <t xml:space="preserve">Nguyễn Thị Tuyết Trinh </t>
        </is>
      </c>
      <c r="C115" s="266" t="inlineStr">
        <is>
          <t>Nguyen Thi Tuyet Trinh</t>
        </is>
      </c>
      <c r="D115" s="1192" t="inlineStr">
        <is>
          <t>0545 4350 701</t>
        </is>
      </c>
      <c r="E115" s="287" t="inlineStr">
        <is>
          <t>TP Bank</t>
        </is>
      </c>
      <c r="F115" s="271">
        <f>VLOOKUP($C115,Med!$C$14:$CG$92,86,0)</f>
        <v/>
      </c>
      <c r="G115" s="51" t="inlineStr">
        <is>
          <t xml:space="preserve">Med TT Luong T8.2026 P.KT  - </t>
        </is>
      </c>
      <c r="H115" s="265">
        <f>G115&amp;" "&amp;C115</f>
        <v/>
      </c>
    </row>
    <row r="116" ht="21" customHeight="1" s="1264">
      <c r="B116" t="inlineStr">
        <is>
          <t>Nguyễn Triệu Hoàng</t>
        </is>
      </c>
      <c r="C116" s="266" t="inlineStr">
        <is>
          <t>Nguyen Trieu Hoàng</t>
        </is>
      </c>
      <c r="D116" s="290" t="n">
        <v>1035990500</v>
      </c>
      <c r="E116" s="291" t="inlineStr">
        <is>
          <t>VCB</t>
        </is>
      </c>
      <c r="F116" s="271">
        <f>VLOOKUP($C116,Med!$C$14:$CG$92,86,0)</f>
        <v/>
      </c>
      <c r="G116" s="51" t="inlineStr">
        <is>
          <t xml:space="preserve">Med TT Luong T8.2026 P.KT  - </t>
        </is>
      </c>
      <c r="H116" s="265">
        <f>G116&amp;" "&amp;C116</f>
        <v/>
      </c>
    </row>
    <row r="117" ht="21" customHeight="1" s="1264">
      <c r="B117" s="292" t="inlineStr">
        <is>
          <t>Bùi Thị Cẩm Ngoan</t>
        </is>
      </c>
      <c r="C117" s="266" t="inlineStr">
        <is>
          <t>Bui Thi Cam Ngoan</t>
        </is>
      </c>
      <c r="D117" s="293" t="n">
        <v>35573427</v>
      </c>
      <c r="E117" s="294" t="inlineStr">
        <is>
          <t>ACB</t>
        </is>
      </c>
      <c r="F117" s="271">
        <f>VLOOKUP($C117,Med!$C$14:$CG$92,86,0)</f>
        <v/>
      </c>
      <c r="G117" s="51" t="inlineStr">
        <is>
          <t xml:space="preserve">Med TT Luong T8.2026 P.KT  - </t>
        </is>
      </c>
      <c r="H117" s="265">
        <f>G117&amp;" "&amp;C117</f>
        <v/>
      </c>
    </row>
    <row r="118" ht="15.75" customHeight="1" s="1264">
      <c r="D118" s="263" t="n"/>
      <c r="F118" s="274">
        <f>SUM(F85:F117)</f>
        <v/>
      </c>
      <c r="H118" s="265" t="n"/>
    </row>
    <row r="119" ht="15.75" customHeight="1" s="1264">
      <c r="D119" s="263" t="n"/>
      <c r="F119" s="274" t="n"/>
    </row>
    <row r="120" ht="15.75" customHeight="1" s="1264">
      <c r="A120" s="55" t="inlineStr">
        <is>
          <t>PHÒNG KHÁM Q.5</t>
        </is>
      </c>
      <c r="B120" s="280" t="n"/>
      <c r="C120" s="280" t="n"/>
      <c r="D120" s="281" t="n"/>
      <c r="E120" s="280" t="n"/>
      <c r="F120" s="280" t="n"/>
      <c r="G120" s="280" t="n"/>
      <c r="H120" s="280" t="n"/>
      <c r="I120" s="280" t="n"/>
      <c r="J120" s="280" t="n"/>
      <c r="K120" s="280" t="n"/>
      <c r="L120" s="280" t="n"/>
      <c r="M120" s="280" t="n"/>
      <c r="N120" s="280" t="n"/>
      <c r="O120" s="280" t="n"/>
      <c r="P120" s="280" t="n"/>
      <c r="Q120" s="280" t="n"/>
      <c r="R120" s="280" t="n"/>
      <c r="S120" s="280" t="n"/>
      <c r="T120" s="280" t="n"/>
      <c r="U120" s="280" t="n"/>
      <c r="V120" s="280" t="n"/>
      <c r="W120" s="280" t="n"/>
      <c r="X120" s="280" t="n"/>
      <c r="Y120" s="280" t="n"/>
      <c r="Z120" s="280" t="n"/>
    </row>
    <row r="121" ht="24" customHeight="1" s="1264">
      <c r="A121" s="51" t="inlineStr">
        <is>
          <t>PHONG KHAM Q.5</t>
        </is>
      </c>
      <c r="B121" s="51" t="inlineStr">
        <is>
          <t>Med Service 018</t>
        </is>
      </c>
      <c r="C121" s="51" t="inlineStr">
        <is>
          <t>Ho Thi Kieu Thu</t>
        </is>
      </c>
      <c r="D121" s="263">
        <f>VLOOKUP($C121,Med!#REF!,7,0)</f>
        <v/>
      </c>
      <c r="E121" s="263">
        <f>VLOOKUP($C121,Med!#REF!,8,0)</f>
        <v/>
      </c>
      <c r="F121" s="271">
        <f>VLOOKUP($C121,Med!$C$14:$CG$92,85,0)</f>
        <v/>
      </c>
      <c r="G121" s="51" t="inlineStr">
        <is>
          <t>Med TT Luong T8.2026 PHONG KHAM Q.5</t>
        </is>
      </c>
      <c r="H121" s="265">
        <f>G121&amp;" "&amp;C121</f>
        <v/>
      </c>
    </row>
    <row r="122" ht="24" customHeight="1" s="1264">
      <c r="D122" s="263" t="n"/>
      <c r="F122" s="274">
        <f>F121</f>
        <v/>
      </c>
      <c r="H122" s="265" t="n"/>
    </row>
    <row r="123" ht="15.75" customHeight="1" s="1264">
      <c r="D123" s="263" t="n"/>
      <c r="F123" s="271" t="n"/>
    </row>
    <row r="124" ht="15.75" customHeight="1" s="1264">
      <c r="D124" s="263" t="n"/>
    </row>
    <row r="125" ht="19.5" customHeight="1" s="1264">
      <c r="D125" s="263" t="n"/>
      <c r="E125" s="295" t="inlineStr">
        <is>
          <t xml:space="preserve">Tổng chi VP </t>
        </is>
      </c>
      <c r="F125" s="296">
        <f>F122+F82+F118</f>
        <v/>
      </c>
    </row>
    <row r="126" ht="19.5" customHeight="1" s="1264">
      <c r="D126" s="263" t="n"/>
      <c r="E126" s="295" t="inlineStr">
        <is>
          <t>Tổng chi nhà thuốc</t>
        </is>
      </c>
      <c r="F126" s="296">
        <f>'TTCK CNT'!G91</f>
        <v/>
      </c>
    </row>
    <row r="127" ht="19.5" customHeight="1" s="1264">
      <c r="D127" s="263" t="n"/>
      <c r="E127" s="297" t="inlineStr">
        <is>
          <t>Tổng chi</t>
        </is>
      </c>
      <c r="F127" s="298">
        <f>F125+F126</f>
        <v/>
      </c>
      <c r="G127" s="271">
        <f>#REF!+Med!CG13</f>
        <v/>
      </c>
      <c r="H127" s="271">
        <f>G127-F127</f>
        <v/>
      </c>
    </row>
    <row r="128" ht="15.75" customHeight="1" s="1264">
      <c r="D128" s="263" t="n"/>
      <c r="F128" s="299" t="n"/>
    </row>
    <row r="129" ht="15.75" customHeight="1" s="1264">
      <c r="D129" s="263" t="n"/>
      <c r="F129" s="271" t="n"/>
    </row>
    <row r="130" ht="15.75" customHeight="1" s="1264">
      <c r="D130" s="263" t="n"/>
      <c r="F130" s="1549" t="n"/>
    </row>
    <row r="131" ht="15.75" customHeight="1" s="1264">
      <c r="D131" s="263" t="n"/>
      <c r="F131" s="271">
        <f>Med!CE13-Med!#REF!-Med!#REF!+#REF!</f>
        <v/>
      </c>
      <c r="G131" s="271">
        <f>F131-F125</f>
        <v/>
      </c>
    </row>
    <row r="132" ht="15.75" customHeight="1" s="1264">
      <c r="D132" s="263" t="n"/>
      <c r="F132" s="271" t="n"/>
    </row>
    <row r="133" ht="15.75" customHeight="1" s="1264">
      <c r="D133" s="263" t="n"/>
      <c r="F133" s="270" t="n"/>
    </row>
    <row r="134" ht="15.75" customHeight="1" s="1264">
      <c r="D134" s="263" t="n"/>
    </row>
    <row r="135" ht="15.75" customHeight="1" s="1264">
      <c r="D135" s="263" t="n"/>
    </row>
    <row r="136" ht="15.75" customHeight="1" s="1264">
      <c r="B136" s="301" t="inlineStr">
        <is>
          <t>Lê Hồng Thụy Khanh</t>
        </is>
      </c>
      <c r="D136" s="263" t="n"/>
    </row>
    <row r="137" ht="15.75" customHeight="1" s="1264">
      <c r="B137" s="301" t="inlineStr">
        <is>
          <t>Trần Thị Ánh Dương</t>
        </is>
      </c>
      <c r="D137" s="263" t="n"/>
    </row>
    <row r="138" ht="15.75" customHeight="1" s="1264">
      <c r="B138" s="289" t="inlineStr">
        <is>
          <t xml:space="preserve">Nguyễn Thị Tuyết Trinh </t>
        </is>
      </c>
      <c r="D138" s="263" t="n"/>
    </row>
    <row r="139" ht="15.75" customHeight="1" s="1264">
      <c r="B139" t="inlineStr">
        <is>
          <t>Nguyễn Triệu Hoàng</t>
        </is>
      </c>
      <c r="D139" s="263" t="n"/>
    </row>
    <row r="140" ht="15.75" customHeight="1" s="1264">
      <c r="B140" s="292" t="inlineStr">
        <is>
          <t>Bùi Thị Cẩm Ngoan</t>
        </is>
      </c>
      <c r="D140" s="263" t="n"/>
    </row>
    <row r="141" ht="15.75" customHeight="1" s="1264">
      <c r="D141" s="263" t="n"/>
    </row>
    <row r="142" ht="15.75" customHeight="1" s="1264">
      <c r="D142" s="263" t="n"/>
    </row>
    <row r="143" ht="15.75" customHeight="1" s="1264">
      <c r="D143" s="263" t="n"/>
    </row>
    <row r="144" ht="15.75" customHeight="1" s="1264">
      <c r="D144" s="263" t="n"/>
    </row>
    <row r="145" ht="15.75" customHeight="1" s="1264">
      <c r="D145" s="263" t="n"/>
    </row>
    <row r="146" ht="15.75" customHeight="1" s="1264">
      <c r="D146" s="263" t="n"/>
    </row>
    <row r="147" ht="15.75" customHeight="1" s="1264">
      <c r="D147" s="263" t="n"/>
    </row>
    <row r="148" ht="15.75" customHeight="1" s="1264">
      <c r="D148" s="263" t="n"/>
    </row>
    <row r="149" ht="15.75" customHeight="1" s="1264">
      <c r="D149" s="263" t="n"/>
    </row>
    <row r="150" ht="15.75" customHeight="1" s="1264">
      <c r="D150" s="263" t="n"/>
    </row>
    <row r="151" ht="15.75" customHeight="1" s="1264">
      <c r="D151" s="263" t="n"/>
    </row>
    <row r="152" ht="15.75" customHeight="1" s="1264">
      <c r="D152" s="263" t="n"/>
    </row>
    <row r="153" ht="15.75" customHeight="1" s="1264">
      <c r="D153" s="263" t="n"/>
    </row>
    <row r="154" ht="15.75" customHeight="1" s="1264">
      <c r="D154" s="263" t="n"/>
    </row>
    <row r="155" ht="15.75" customHeight="1" s="1264">
      <c r="D155" s="263" t="n"/>
    </row>
    <row r="156" ht="15.75" customHeight="1" s="1264">
      <c r="D156" s="263" t="n"/>
    </row>
    <row r="157" ht="15.75" customHeight="1" s="1264">
      <c r="D157" s="263" t="n"/>
    </row>
    <row r="158" ht="15.75" customHeight="1" s="1264">
      <c r="D158" s="263" t="n"/>
    </row>
    <row r="159" ht="15.75" customHeight="1" s="1264">
      <c r="D159" s="263" t="n"/>
    </row>
    <row r="160" ht="15.75" customHeight="1" s="1264">
      <c r="D160" s="263" t="n"/>
    </row>
    <row r="161" ht="15.75" customHeight="1" s="1264">
      <c r="D161" s="263" t="n"/>
    </row>
    <row r="162" ht="15.75" customHeight="1" s="1264">
      <c r="D162" s="263" t="n"/>
    </row>
    <row r="163" ht="15.75" customHeight="1" s="1264">
      <c r="D163" s="263" t="n"/>
    </row>
    <row r="164" ht="15.75" customHeight="1" s="1264">
      <c r="D164" s="263" t="n"/>
    </row>
    <row r="165" ht="15.75" customHeight="1" s="1264">
      <c r="D165" s="263" t="n"/>
    </row>
    <row r="166" ht="15.75" customHeight="1" s="1264">
      <c r="D166" s="263" t="n"/>
    </row>
    <row r="167" ht="15.75" customHeight="1" s="1264">
      <c r="D167" s="263" t="n"/>
    </row>
    <row r="168" ht="15.75" customHeight="1" s="1264">
      <c r="D168" s="263" t="n"/>
    </row>
    <row r="169" ht="15.75" customHeight="1" s="1264">
      <c r="D169" s="263" t="n"/>
    </row>
    <row r="170" ht="15.75" customHeight="1" s="1264">
      <c r="D170" s="263" t="n"/>
    </row>
    <row r="171" ht="15.75" customHeight="1" s="1264">
      <c r="D171" s="263" t="n"/>
    </row>
    <row r="172" ht="15.75" customHeight="1" s="1264">
      <c r="D172" s="263" t="n"/>
    </row>
    <row r="173" ht="15.75" customHeight="1" s="1264">
      <c r="D173" s="263" t="n"/>
    </row>
    <row r="174" ht="15.75" customHeight="1" s="1264">
      <c r="D174" s="263" t="n"/>
    </row>
    <row r="175" ht="15.75" customHeight="1" s="1264">
      <c r="D175" s="263" t="n"/>
    </row>
    <row r="176" ht="15.75" customHeight="1" s="1264">
      <c r="D176" s="263" t="n"/>
    </row>
    <row r="177" ht="15.75" customHeight="1" s="1264">
      <c r="D177" s="263" t="n"/>
    </row>
    <row r="178" ht="15.75" customHeight="1" s="1264">
      <c r="D178" s="263" t="n"/>
    </row>
    <row r="179" ht="15.75" customHeight="1" s="1264">
      <c r="D179" s="263" t="n"/>
    </row>
    <row r="180" ht="15.75" customHeight="1" s="1264">
      <c r="D180" s="263" t="n"/>
    </row>
    <row r="181" ht="15.75" customHeight="1" s="1264">
      <c r="D181" s="263" t="n"/>
    </row>
    <row r="182" ht="15.75" customHeight="1" s="1264">
      <c r="D182" s="263" t="n"/>
    </row>
    <row r="183" ht="15.75" customHeight="1" s="1264">
      <c r="D183" s="263" t="n"/>
    </row>
    <row r="184" ht="15.75" customHeight="1" s="1264">
      <c r="D184" s="263" t="n"/>
    </row>
    <row r="185" ht="15.75" customHeight="1" s="1264">
      <c r="D185" s="263" t="n"/>
    </row>
    <row r="186" ht="15.75" customHeight="1" s="1264">
      <c r="D186" s="263" t="n"/>
    </row>
    <row r="187" ht="15.75" customHeight="1" s="1264">
      <c r="D187" s="263" t="n"/>
    </row>
    <row r="188" ht="15.75" customHeight="1" s="1264">
      <c r="D188" s="263" t="n"/>
    </row>
    <row r="189" ht="15.75" customHeight="1" s="1264">
      <c r="D189" s="263" t="n"/>
    </row>
    <row r="190" ht="15.75" customHeight="1" s="1264">
      <c r="D190" s="263" t="n"/>
    </row>
    <row r="191" ht="15.75" customHeight="1" s="1264">
      <c r="D191" s="263" t="n"/>
    </row>
    <row r="192" ht="15.75" customHeight="1" s="1264">
      <c r="D192" s="263" t="n"/>
    </row>
    <row r="193" ht="15.75" customHeight="1" s="1264">
      <c r="D193" s="263" t="n"/>
    </row>
    <row r="194" ht="15.75" customHeight="1" s="1264">
      <c r="D194" s="263" t="n"/>
    </row>
    <row r="195" ht="15.75" customHeight="1" s="1264">
      <c r="D195" s="263" t="n"/>
    </row>
    <row r="196" ht="15.75" customHeight="1" s="1264">
      <c r="D196" s="263" t="n"/>
    </row>
    <row r="197" ht="15.75" customHeight="1" s="1264">
      <c r="D197" s="263" t="n"/>
    </row>
    <row r="198" ht="15.75" customHeight="1" s="1264">
      <c r="D198" s="263" t="n"/>
    </row>
    <row r="199" ht="15.75" customHeight="1" s="1264">
      <c r="D199" s="263" t="n"/>
    </row>
    <row r="200" ht="15.75" customHeight="1" s="1264">
      <c r="D200" s="263" t="n"/>
    </row>
    <row r="201" ht="15.75" customHeight="1" s="1264">
      <c r="D201" s="263" t="n"/>
    </row>
    <row r="202" ht="15.75" customHeight="1" s="1264">
      <c r="D202" s="263" t="n"/>
    </row>
    <row r="203" ht="15.75" customHeight="1" s="1264">
      <c r="D203" s="263" t="n"/>
    </row>
    <row r="204" ht="15.75" customHeight="1" s="1264">
      <c r="D204" s="263" t="n"/>
    </row>
    <row r="205" ht="15.75" customHeight="1" s="1264">
      <c r="D205" s="263" t="n"/>
    </row>
    <row r="206" ht="15.75" customHeight="1" s="1264">
      <c r="D206" s="263" t="n"/>
    </row>
    <row r="207" ht="15.75" customHeight="1" s="1264">
      <c r="D207" s="263" t="n"/>
    </row>
    <row r="208" ht="15.75" customHeight="1" s="1264">
      <c r="D208" s="263" t="n"/>
    </row>
    <row r="209" ht="15.75" customHeight="1" s="1264">
      <c r="D209" s="263" t="n"/>
    </row>
    <row r="210" ht="15.75" customHeight="1" s="1264">
      <c r="D210" s="263" t="n"/>
    </row>
    <row r="211" ht="15.75" customHeight="1" s="1264">
      <c r="D211" s="263" t="n"/>
    </row>
    <row r="212" ht="15.75" customHeight="1" s="1264">
      <c r="D212" s="263" t="n"/>
    </row>
    <row r="213" ht="15.75" customHeight="1" s="1264">
      <c r="D213" s="263" t="n"/>
    </row>
    <row r="214" ht="15.75" customHeight="1" s="1264">
      <c r="D214" s="263" t="n"/>
    </row>
    <row r="215" ht="15.75" customHeight="1" s="1264">
      <c r="D215" s="263" t="n"/>
    </row>
    <row r="216" ht="15.75" customHeight="1" s="1264">
      <c r="D216" s="263" t="n"/>
    </row>
    <row r="217" ht="15.75" customHeight="1" s="1264">
      <c r="D217" s="263" t="n"/>
    </row>
    <row r="218" ht="15.75" customHeight="1" s="1264">
      <c r="D218" s="263" t="n"/>
    </row>
    <row r="219" ht="15.75" customHeight="1" s="1264">
      <c r="D219" s="263" t="n"/>
    </row>
    <row r="220" ht="15.75" customHeight="1" s="1264">
      <c r="D220" s="263" t="n"/>
    </row>
    <row r="221" ht="15.75" customHeight="1" s="1264">
      <c r="D221" s="263" t="n"/>
    </row>
    <row r="222" ht="15.75" customHeight="1" s="1264">
      <c r="D222" s="263" t="n"/>
    </row>
    <row r="223" ht="15.75" customHeight="1" s="1264">
      <c r="D223" s="263" t="n"/>
    </row>
    <row r="224" ht="15.75" customHeight="1" s="1264">
      <c r="D224" s="263" t="n"/>
    </row>
    <row r="225" ht="15.75" customHeight="1" s="1264">
      <c r="D225" s="263" t="n"/>
    </row>
    <row r="226" ht="15.75" customHeight="1" s="1264">
      <c r="D226" s="263" t="n"/>
    </row>
    <row r="227" ht="15.75" customHeight="1" s="1264">
      <c r="D227" s="263" t="n"/>
    </row>
    <row r="228" ht="15.75" customHeight="1" s="1264">
      <c r="D228" s="263" t="n"/>
    </row>
    <row r="229" ht="15.75" customHeight="1" s="1264">
      <c r="D229" s="263" t="n"/>
    </row>
    <row r="230" ht="15.75" customHeight="1" s="1264">
      <c r="D230" s="263" t="n"/>
    </row>
    <row r="231" ht="15.75" customHeight="1" s="1264">
      <c r="D231" s="263" t="n"/>
    </row>
    <row r="232" ht="15.75" customHeight="1" s="1264">
      <c r="D232" s="263" t="n"/>
    </row>
    <row r="233" ht="15.75" customHeight="1" s="1264">
      <c r="D233" s="263" t="n"/>
    </row>
    <row r="234" ht="15.75" customHeight="1" s="1264">
      <c r="D234" s="263" t="n"/>
    </row>
    <row r="235" ht="15.75" customHeight="1" s="1264">
      <c r="D235" s="263" t="n"/>
    </row>
    <row r="236" ht="15.75" customHeight="1" s="1264">
      <c r="D236" s="263" t="n"/>
    </row>
    <row r="237" ht="15.75" customHeight="1" s="1264">
      <c r="D237" s="263" t="n"/>
    </row>
    <row r="238" ht="15.75" customHeight="1" s="1264">
      <c r="D238" s="263" t="n"/>
    </row>
    <row r="239" ht="15.75" customHeight="1" s="1264">
      <c r="D239" s="263" t="n"/>
    </row>
    <row r="240" ht="15.75" customHeight="1" s="1264">
      <c r="D240" s="263" t="n"/>
    </row>
    <row r="241" ht="15.75" customHeight="1" s="1264">
      <c r="D241" s="263" t="n"/>
    </row>
    <row r="242" ht="15.75" customHeight="1" s="1264">
      <c r="D242" s="263" t="n"/>
    </row>
    <row r="243" ht="15.75" customHeight="1" s="1264">
      <c r="D243" s="263" t="n"/>
    </row>
    <row r="244" ht="15.75" customHeight="1" s="1264">
      <c r="D244" s="263" t="n"/>
    </row>
    <row r="245" ht="15.75" customHeight="1" s="1264">
      <c r="D245" s="263" t="n"/>
    </row>
    <row r="246" ht="15.75" customHeight="1" s="1264">
      <c r="D246" s="263" t="n"/>
    </row>
    <row r="247" ht="15.75" customHeight="1" s="1264">
      <c r="D247" s="263" t="n"/>
    </row>
    <row r="248" ht="15.75" customHeight="1" s="1264">
      <c r="D248" s="263" t="n"/>
    </row>
    <row r="249" ht="15.75" customHeight="1" s="1264">
      <c r="D249" s="263" t="n"/>
    </row>
    <row r="250" ht="15.75" customHeight="1" s="1264">
      <c r="D250" s="263" t="n"/>
    </row>
    <row r="251" ht="15.75" customHeight="1" s="1264">
      <c r="D251" s="263" t="n"/>
    </row>
    <row r="252" ht="15.75" customHeight="1" s="1264">
      <c r="D252" s="263" t="n"/>
    </row>
    <row r="253" ht="15.75" customHeight="1" s="1264">
      <c r="D253" s="263" t="n"/>
    </row>
    <row r="254" ht="15.75" customHeight="1" s="1264">
      <c r="D254" s="263" t="n"/>
    </row>
    <row r="255" ht="15.75" customHeight="1" s="1264">
      <c r="D255" s="263" t="n"/>
    </row>
    <row r="256" ht="15.75" customHeight="1" s="1264">
      <c r="D256" s="263" t="n"/>
    </row>
    <row r="257" ht="15.75" customHeight="1" s="1264">
      <c r="D257" s="263" t="n"/>
    </row>
    <row r="258" ht="15.75" customHeight="1" s="1264">
      <c r="D258" s="263" t="n"/>
    </row>
    <row r="259" ht="15.75" customHeight="1" s="1264">
      <c r="D259" s="263" t="n"/>
    </row>
    <row r="260" ht="15.75" customHeight="1" s="1264">
      <c r="D260" s="263" t="n"/>
    </row>
    <row r="261" ht="15.75" customHeight="1" s="1264">
      <c r="D261" s="263" t="n"/>
    </row>
    <row r="262" ht="15.75" customHeight="1" s="1264">
      <c r="D262" s="263" t="n"/>
    </row>
    <row r="263" ht="15.75" customHeight="1" s="1264">
      <c r="D263" s="263" t="n"/>
    </row>
    <row r="264" ht="15.75" customHeight="1" s="1264">
      <c r="D264" s="263" t="n"/>
    </row>
    <row r="265" ht="15.75" customHeight="1" s="1264">
      <c r="D265" s="263" t="n"/>
    </row>
    <row r="266" ht="15.75" customHeight="1" s="1264">
      <c r="D266" s="263" t="n"/>
    </row>
    <row r="267" ht="15.75" customHeight="1" s="1264">
      <c r="D267" s="263" t="n"/>
    </row>
    <row r="268" ht="15.75" customHeight="1" s="1264">
      <c r="D268" s="263" t="n"/>
    </row>
    <row r="269" ht="15.75" customHeight="1" s="1264">
      <c r="D269" s="263" t="n"/>
    </row>
    <row r="270" ht="15.75" customHeight="1" s="1264">
      <c r="D270" s="263" t="n"/>
    </row>
    <row r="271" ht="15.75" customHeight="1" s="1264">
      <c r="D271" s="263" t="n"/>
    </row>
    <row r="272" ht="15.75" customHeight="1" s="1264">
      <c r="D272" s="263" t="n"/>
    </row>
    <row r="273" ht="15.75" customHeight="1" s="1264">
      <c r="D273" s="263" t="n"/>
    </row>
    <row r="274" ht="15.75" customHeight="1" s="1264">
      <c r="D274" s="263" t="n"/>
    </row>
    <row r="275" ht="15.75" customHeight="1" s="1264">
      <c r="D275" s="263" t="n"/>
    </row>
    <row r="276" ht="15.75" customHeight="1" s="1264">
      <c r="D276" s="263" t="n"/>
    </row>
    <row r="277" ht="15.75" customHeight="1" s="1264">
      <c r="D277" s="263" t="n"/>
    </row>
    <row r="278" ht="15.75" customHeight="1" s="1264">
      <c r="D278" s="263" t="n"/>
    </row>
    <row r="279" ht="15.75" customHeight="1" s="1264">
      <c r="D279" s="263" t="n"/>
    </row>
    <row r="280" ht="15.75" customHeight="1" s="1264">
      <c r="D280" s="263" t="n"/>
    </row>
    <row r="281" ht="15.75" customHeight="1" s="1264">
      <c r="D281" s="263" t="n"/>
    </row>
    <row r="282" ht="15.75" customHeight="1" s="1264">
      <c r="D282" s="263" t="n"/>
    </row>
    <row r="283" ht="15.75" customHeight="1" s="1264">
      <c r="D283" s="263" t="n"/>
    </row>
    <row r="284" ht="15.75" customHeight="1" s="1264">
      <c r="D284" s="263" t="n"/>
    </row>
    <row r="285" ht="15.75" customHeight="1" s="1264">
      <c r="D285" s="263" t="n"/>
    </row>
    <row r="286" ht="15.75" customHeight="1" s="1264">
      <c r="D286" s="263" t="n"/>
    </row>
    <row r="287" ht="15.75" customHeight="1" s="1264">
      <c r="D287" s="263" t="n"/>
    </row>
    <row r="288" ht="15.75" customHeight="1" s="1264">
      <c r="D288" s="263" t="n"/>
    </row>
    <row r="289" ht="15.75" customHeight="1" s="1264">
      <c r="D289" s="263" t="n"/>
    </row>
    <row r="290" ht="15.75" customHeight="1" s="1264">
      <c r="D290" s="263" t="n"/>
    </row>
    <row r="291" ht="15.75" customHeight="1" s="1264">
      <c r="D291" s="263" t="n"/>
    </row>
    <row r="292" ht="15.75" customHeight="1" s="1264">
      <c r="D292" s="263" t="n"/>
    </row>
    <row r="293" ht="15.75" customHeight="1" s="1264">
      <c r="D293" s="263" t="n"/>
    </row>
    <row r="294" ht="15.75" customHeight="1" s="1264">
      <c r="D294" s="263" t="n"/>
    </row>
    <row r="295" ht="15.75" customHeight="1" s="1264">
      <c r="D295" s="263" t="n"/>
    </row>
    <row r="296" ht="15.75" customHeight="1" s="1264">
      <c r="D296" s="263" t="n"/>
    </row>
    <row r="297" ht="15.75" customHeight="1" s="1264">
      <c r="D297" s="263" t="n"/>
    </row>
    <row r="298" ht="15.75" customHeight="1" s="1264">
      <c r="D298" s="263" t="n"/>
    </row>
    <row r="299" ht="15.75" customHeight="1" s="1264">
      <c r="D299" s="263" t="n"/>
    </row>
    <row r="300" ht="15.75" customHeight="1" s="1264">
      <c r="D300" s="263" t="n"/>
    </row>
    <row r="301" ht="15.75" customHeight="1" s="1264">
      <c r="D301" s="263" t="n"/>
    </row>
    <row r="302" ht="15.75" customHeight="1" s="1264">
      <c r="D302" s="263" t="n"/>
    </row>
    <row r="303" ht="15.75" customHeight="1" s="1264">
      <c r="D303" s="263" t="n"/>
    </row>
    <row r="304" ht="15.75" customHeight="1" s="1264">
      <c r="D304" s="263" t="n"/>
    </row>
    <row r="305" ht="15.75" customHeight="1" s="1264">
      <c r="D305" s="263" t="n"/>
    </row>
    <row r="306" ht="15.75" customHeight="1" s="1264">
      <c r="D306" s="263" t="n"/>
    </row>
    <row r="307" ht="15.75" customHeight="1" s="1264">
      <c r="D307" s="263" t="n"/>
    </row>
    <row r="308" ht="15.75" customHeight="1" s="1264">
      <c r="D308" s="263" t="n"/>
    </row>
    <row r="309" ht="15.75" customHeight="1" s="1264">
      <c r="D309" s="263" t="n"/>
    </row>
    <row r="310" ht="15.75" customHeight="1" s="1264">
      <c r="D310" s="263" t="n"/>
    </row>
    <row r="311" ht="15.75" customHeight="1" s="1264">
      <c r="D311" s="263" t="n"/>
    </row>
    <row r="312" ht="15.75" customHeight="1" s="1264">
      <c r="D312" s="263" t="n"/>
    </row>
    <row r="313" ht="15.75" customHeight="1" s="1264">
      <c r="D313" s="263" t="n"/>
    </row>
    <row r="314" ht="15.75" customHeight="1" s="1264">
      <c r="D314" s="263" t="n"/>
    </row>
    <row r="315" ht="15.75" customHeight="1" s="1264">
      <c r="D315" s="263" t="n"/>
    </row>
    <row r="316" ht="15.75" customHeight="1" s="1264">
      <c r="D316" s="263" t="n"/>
    </row>
    <row r="317" ht="15.75" customHeight="1" s="1264">
      <c r="D317" s="263" t="n"/>
    </row>
    <row r="318" ht="15.75" customHeight="1" s="1264">
      <c r="D318" s="263" t="n"/>
    </row>
    <row r="319" ht="15.75" customHeight="1" s="1264">
      <c r="D319" s="263" t="n"/>
    </row>
    <row r="320" ht="15.75" customHeight="1" s="1264">
      <c r="D320" s="263" t="n"/>
    </row>
    <row r="321" ht="15.75" customHeight="1" s="1264">
      <c r="D321" s="263" t="n"/>
    </row>
    <row r="322" ht="15.75" customHeight="1" s="1264">
      <c r="D322" s="263" t="n"/>
    </row>
    <row r="323" ht="15.75" customHeight="1" s="1264"/>
    <row r="324" ht="15.75" customHeight="1" s="1264"/>
    <row r="325" ht="15.75" customHeight="1" s="1264"/>
    <row r="326" ht="15.75" customHeight="1" s="1264"/>
    <row r="327" ht="15.75" customHeight="1" s="1264"/>
    <row r="328" ht="15.75" customHeight="1" s="1264"/>
    <row r="329" ht="15.75" customHeight="1" s="1264"/>
    <row r="330" ht="15.75" customHeight="1" s="1264"/>
    <row r="331" ht="15.75" customHeight="1" s="1264"/>
    <row r="332" ht="15.75" customHeight="1" s="1264"/>
    <row r="333" ht="15.75" customHeight="1" s="1264"/>
    <row r="334" ht="15.75" customHeight="1" s="1264"/>
    <row r="335" ht="15.75" customHeight="1" s="1264"/>
    <row r="336" ht="15.75" customHeight="1" s="1264"/>
    <row r="337" ht="15.75" customHeight="1" s="1264"/>
    <row r="338" ht="15.75" customHeight="1" s="1264"/>
    <row r="339" ht="15.75" customHeight="1" s="1264"/>
    <row r="340" ht="15.75" customHeight="1" s="1264"/>
    <row r="341" ht="15.75" customHeight="1" s="1264"/>
    <row r="342" ht="15.75" customHeight="1" s="1264"/>
    <row r="343" ht="15.75" customHeight="1" s="1264"/>
    <row r="344" ht="15.75" customHeight="1" s="1264"/>
    <row r="345" ht="15.75" customHeight="1" s="1264"/>
    <row r="346" ht="15.75" customHeight="1" s="1264"/>
    <row r="347" ht="15.75" customHeight="1" s="1264"/>
    <row r="348" ht="15.75" customHeight="1" s="1264"/>
    <row r="349" ht="15.75" customHeight="1" s="1264"/>
    <row r="350" ht="15.75" customHeight="1" s="1264"/>
    <row r="351" ht="15.75" customHeight="1" s="1264"/>
    <row r="352" ht="15.75" customHeight="1" s="1264"/>
    <row r="353" ht="15.75" customHeight="1" s="1264"/>
    <row r="354" ht="15.75" customHeight="1" s="1264"/>
    <row r="355" ht="15.75" customHeight="1" s="1264"/>
    <row r="356" ht="15.75" customHeight="1" s="1264"/>
    <row r="357" ht="15.75" customHeight="1" s="1264"/>
    <row r="358" ht="15.75" customHeight="1" s="1264"/>
    <row r="359" ht="15.75" customHeight="1" s="1264"/>
    <row r="360" ht="15.75" customHeight="1" s="1264"/>
    <row r="361" ht="15.75" customHeight="1" s="1264"/>
    <row r="362" ht="15.75" customHeight="1" s="1264"/>
    <row r="363" ht="15.75" customHeight="1" s="1264"/>
    <row r="364" ht="15.75" customHeight="1" s="1264"/>
    <row r="365" ht="15.75" customHeight="1" s="1264"/>
    <row r="366" ht="15.75" customHeight="1" s="1264"/>
    <row r="367" ht="15.75" customHeight="1" s="1264"/>
    <row r="368" ht="15.75" customHeight="1" s="1264"/>
    <row r="369" ht="15.75" customHeight="1" s="1264"/>
    <row r="370" ht="15.75" customHeight="1" s="1264"/>
    <row r="371" ht="15.75" customHeight="1" s="1264"/>
    <row r="372" ht="15.75" customHeight="1" s="1264"/>
    <row r="373" ht="15.75" customHeight="1" s="1264"/>
    <row r="374" ht="15.75" customHeight="1" s="1264"/>
    <row r="375" ht="15.75" customHeight="1" s="1264"/>
    <row r="376" ht="15.75" customHeight="1" s="1264"/>
    <row r="377" ht="15.75" customHeight="1" s="1264"/>
    <row r="378" ht="15.75" customHeight="1" s="1264"/>
    <row r="379" ht="15.75" customHeight="1" s="1264"/>
    <row r="380" ht="15.75" customHeight="1" s="1264"/>
    <row r="381" ht="15.75" customHeight="1" s="1264"/>
    <row r="382" ht="15.75" customHeight="1" s="1264"/>
    <row r="383" ht="15.75" customHeight="1" s="1264"/>
    <row r="384" ht="15.75" customHeight="1" s="1264"/>
    <row r="385" ht="15.75" customHeight="1" s="1264"/>
    <row r="386" ht="15.75" customHeight="1" s="1264"/>
    <row r="387" ht="15.75" customHeight="1" s="1264"/>
    <row r="388" ht="15.75" customHeight="1" s="1264"/>
    <row r="389" ht="15.75" customHeight="1" s="1264"/>
    <row r="390" ht="15.75" customHeight="1" s="1264"/>
    <row r="391" ht="15.75" customHeight="1" s="1264"/>
    <row r="392" ht="15.75" customHeight="1" s="1264"/>
    <row r="393" ht="15.75" customHeight="1" s="1264"/>
    <row r="394" ht="15.75" customHeight="1" s="1264"/>
    <row r="395" ht="15.75" customHeight="1" s="1264"/>
    <row r="396" ht="15.75" customHeight="1" s="1264"/>
    <row r="397" ht="15.75" customHeight="1" s="1264"/>
    <row r="398" ht="15.75" customHeight="1" s="1264"/>
    <row r="399" ht="15.75" customHeight="1" s="1264"/>
    <row r="400" ht="15.75" customHeight="1" s="1264"/>
    <row r="401" ht="15.75" customHeight="1" s="1264"/>
    <row r="402" ht="15.75" customHeight="1" s="1264"/>
    <row r="403" ht="15.75" customHeight="1" s="1264"/>
    <row r="404" ht="15.75" customHeight="1" s="1264"/>
    <row r="405" ht="15.75" customHeight="1" s="1264"/>
    <row r="406" ht="15.75" customHeight="1" s="1264"/>
    <row r="407" ht="15.75" customHeight="1" s="1264"/>
    <row r="408" ht="15.75" customHeight="1" s="1264"/>
    <row r="409" ht="15.75" customHeight="1" s="1264"/>
    <row r="410" ht="15.75" customHeight="1" s="1264"/>
    <row r="411" ht="15.75" customHeight="1" s="1264"/>
    <row r="412" ht="15.75" customHeight="1" s="1264"/>
    <row r="413" ht="15.75" customHeight="1" s="1264"/>
    <row r="414" ht="15.75" customHeight="1" s="1264"/>
    <row r="415" ht="15.75" customHeight="1" s="1264"/>
    <row r="416" ht="15.75" customHeight="1" s="1264"/>
    <row r="417" ht="15.75" customHeight="1" s="1264"/>
    <row r="418" ht="15.75" customHeight="1" s="1264"/>
    <row r="419" ht="15.75" customHeight="1" s="1264"/>
    <row r="420" ht="15.75" customHeight="1" s="1264"/>
    <row r="421" ht="15.75" customHeight="1" s="1264"/>
    <row r="422" ht="15.75" customHeight="1" s="1264"/>
    <row r="423" ht="15.75" customHeight="1" s="1264"/>
    <row r="424" ht="15.75" customHeight="1" s="1264"/>
    <row r="425" ht="15.75" customHeight="1" s="1264"/>
    <row r="426" ht="15.75" customHeight="1" s="1264"/>
    <row r="427" ht="15.75" customHeight="1" s="1264"/>
    <row r="428" ht="15.75" customHeight="1" s="1264"/>
    <row r="429" ht="15.75" customHeight="1" s="1264"/>
    <row r="430" ht="15.75" customHeight="1" s="1264"/>
    <row r="431" ht="15.75" customHeight="1" s="1264"/>
    <row r="432" ht="15.75" customHeight="1" s="1264"/>
    <row r="433" ht="15.75" customHeight="1" s="1264"/>
    <row r="434" ht="15.75" customHeight="1" s="1264"/>
    <row r="435" ht="15.75" customHeight="1" s="1264"/>
    <row r="436" ht="15.75" customHeight="1" s="1264"/>
    <row r="437" ht="15.75" customHeight="1" s="1264"/>
    <row r="438" ht="15.75" customHeight="1" s="1264"/>
    <row r="439" ht="15.75" customHeight="1" s="1264"/>
    <row r="440" ht="15.75" customHeight="1" s="1264"/>
    <row r="441" ht="15.75" customHeight="1" s="1264"/>
    <row r="442" ht="15.75" customHeight="1" s="1264"/>
    <row r="443" ht="15.75" customHeight="1" s="1264"/>
    <row r="444" ht="15.75" customHeight="1" s="1264"/>
    <row r="445" ht="15.75" customHeight="1" s="1264"/>
    <row r="446" ht="15.75" customHeight="1" s="1264"/>
    <row r="447" ht="15.75" customHeight="1" s="1264"/>
    <row r="448" ht="15.75" customHeight="1" s="1264"/>
    <row r="449" ht="15.75" customHeight="1" s="1264"/>
    <row r="450" ht="15.75" customHeight="1" s="1264"/>
    <row r="451" ht="15.75" customHeight="1" s="1264"/>
    <row r="452" ht="15.75" customHeight="1" s="1264"/>
    <row r="453" ht="15.75" customHeight="1" s="1264"/>
    <row r="454" ht="15.75" customHeight="1" s="1264"/>
    <row r="455" ht="15.75" customHeight="1" s="1264"/>
    <row r="456" ht="15.75" customHeight="1" s="1264"/>
    <row r="457" ht="15.75" customHeight="1" s="1264"/>
    <row r="458" ht="15.75" customHeight="1" s="1264"/>
    <row r="459" ht="15.75" customHeight="1" s="1264"/>
    <row r="460" ht="15.75" customHeight="1" s="1264"/>
    <row r="461" ht="15.75" customHeight="1" s="1264"/>
    <row r="462" ht="15.75" customHeight="1" s="1264"/>
    <row r="463" ht="15.75" customHeight="1" s="1264"/>
    <row r="464" ht="15.75" customHeight="1" s="1264"/>
    <row r="465" ht="15.75" customHeight="1" s="1264"/>
    <row r="466" ht="15.75" customHeight="1" s="1264"/>
    <row r="467" ht="15.75" customHeight="1" s="1264"/>
    <row r="468" ht="15.75" customHeight="1" s="1264"/>
    <row r="469" ht="15.75" customHeight="1" s="1264"/>
    <row r="470" ht="15.75" customHeight="1" s="1264"/>
    <row r="471" ht="15.75" customHeight="1" s="1264"/>
    <row r="472" ht="15.75" customHeight="1" s="1264"/>
    <row r="473" ht="15.75" customHeight="1" s="1264"/>
    <row r="474" ht="15.75" customHeight="1" s="1264"/>
    <row r="475" ht="15.75" customHeight="1" s="1264"/>
    <row r="476" ht="15.75" customHeight="1" s="1264"/>
    <row r="477" ht="15.75" customHeight="1" s="1264"/>
    <row r="478" ht="15.75" customHeight="1" s="1264"/>
    <row r="479" ht="15.75" customHeight="1" s="1264"/>
    <row r="480" ht="15.75" customHeight="1" s="1264"/>
    <row r="481" ht="15.75" customHeight="1" s="1264"/>
    <row r="482" ht="15.75" customHeight="1" s="1264"/>
    <row r="483" ht="15.75" customHeight="1" s="1264"/>
    <row r="484" ht="15.75" customHeight="1" s="1264"/>
    <row r="485" ht="15.75" customHeight="1" s="1264"/>
    <row r="486" ht="15.75" customHeight="1" s="1264"/>
    <row r="487" ht="15.75" customHeight="1" s="1264"/>
    <row r="488" ht="15.75" customHeight="1" s="1264"/>
    <row r="489" ht="15.75" customHeight="1" s="1264"/>
    <row r="490" ht="15.75" customHeight="1" s="1264"/>
    <row r="491" ht="15.75" customHeight="1" s="1264"/>
    <row r="492" ht="15.75" customHeight="1" s="1264"/>
    <row r="493" ht="15.75" customHeight="1" s="1264"/>
    <row r="494" ht="15.75" customHeight="1" s="1264"/>
    <row r="495" ht="15.75" customHeight="1" s="1264"/>
    <row r="496" ht="15.75" customHeight="1" s="1264"/>
    <row r="497" ht="15.75" customHeight="1" s="1264"/>
    <row r="498" ht="15.75" customHeight="1" s="1264"/>
    <row r="499" ht="15.75" customHeight="1" s="1264"/>
    <row r="500" ht="15.75" customHeight="1" s="1264"/>
    <row r="501" ht="15.75" customHeight="1" s="1264"/>
    <row r="502" ht="15.75" customHeight="1" s="1264"/>
    <row r="503" ht="15.75" customHeight="1" s="1264"/>
    <row r="504" ht="15.75" customHeight="1" s="1264"/>
    <row r="505" ht="15.75" customHeight="1" s="1264"/>
    <row r="506" ht="15.75" customHeight="1" s="1264"/>
    <row r="507" ht="15.75" customHeight="1" s="1264"/>
    <row r="508" ht="15.75" customHeight="1" s="1264"/>
    <row r="509" ht="15.75" customHeight="1" s="1264"/>
    <row r="510" ht="15.75" customHeight="1" s="1264"/>
    <row r="511" ht="15.75" customHeight="1" s="1264"/>
    <row r="512" ht="15.75" customHeight="1" s="1264"/>
    <row r="513" ht="15.75" customHeight="1" s="1264"/>
    <row r="514" ht="15.75" customHeight="1" s="1264"/>
    <row r="515" ht="15.75" customHeight="1" s="1264"/>
    <row r="516" ht="15.75" customHeight="1" s="1264"/>
    <row r="517" ht="15.75" customHeight="1" s="1264"/>
    <row r="518" ht="15.75" customHeight="1" s="1264"/>
    <row r="519" ht="15.75" customHeight="1" s="1264"/>
    <row r="520" ht="15.75" customHeight="1" s="1264"/>
    <row r="521" ht="15.75" customHeight="1" s="1264"/>
    <row r="522" ht="15.75" customHeight="1" s="1264"/>
    <row r="523" ht="15.75" customHeight="1" s="1264"/>
    <row r="524" ht="15.75" customHeight="1" s="1264"/>
    <row r="525" ht="15.75" customHeight="1" s="1264"/>
    <row r="526" ht="15.75" customHeight="1" s="1264"/>
    <row r="527" ht="15.75" customHeight="1" s="1264"/>
    <row r="528" ht="15.75" customHeight="1" s="1264"/>
    <row r="529" ht="15.75" customHeight="1" s="1264"/>
    <row r="530" ht="15.75" customHeight="1" s="1264"/>
    <row r="531" ht="15.75" customHeight="1" s="1264"/>
    <row r="532" ht="15.75" customHeight="1" s="1264"/>
    <row r="533" ht="15.75" customHeight="1" s="1264"/>
    <row r="534" ht="15.75" customHeight="1" s="1264"/>
    <row r="535" ht="15.75" customHeight="1" s="1264"/>
    <row r="536" ht="15.75" customHeight="1" s="1264"/>
    <row r="537" ht="15.75" customHeight="1" s="1264"/>
    <row r="538" ht="15.75" customHeight="1" s="1264"/>
    <row r="539" ht="15.75" customHeight="1" s="1264"/>
    <row r="540" ht="15.75" customHeight="1" s="1264"/>
    <row r="541" ht="15.75" customHeight="1" s="1264"/>
    <row r="542" ht="15.75" customHeight="1" s="1264"/>
    <row r="543" ht="15.75" customHeight="1" s="1264"/>
    <row r="544" ht="15.75" customHeight="1" s="1264"/>
    <row r="545" ht="15.75" customHeight="1" s="1264"/>
    <row r="546" ht="15.75" customHeight="1" s="1264"/>
    <row r="547" ht="15.75" customHeight="1" s="1264"/>
    <row r="548" ht="15.75" customHeight="1" s="1264"/>
    <row r="549" ht="15.75" customHeight="1" s="1264"/>
    <row r="550" ht="15.75" customHeight="1" s="1264"/>
    <row r="551" ht="15.75" customHeight="1" s="1264"/>
    <row r="552" ht="15.75" customHeight="1" s="1264"/>
    <row r="553" ht="15.75" customHeight="1" s="1264"/>
    <row r="554" ht="15.75" customHeight="1" s="1264"/>
    <row r="555" ht="15.75" customHeight="1" s="1264"/>
    <row r="556" ht="15.75" customHeight="1" s="1264"/>
    <row r="557" ht="15.75" customHeight="1" s="1264"/>
    <row r="558" ht="15.75" customHeight="1" s="1264"/>
    <row r="559" ht="15.75" customHeight="1" s="1264"/>
    <row r="560" ht="15.75" customHeight="1" s="1264"/>
    <row r="561" ht="15.75" customHeight="1" s="1264"/>
    <row r="562" ht="15.75" customHeight="1" s="1264"/>
    <row r="563" ht="15.75" customHeight="1" s="1264"/>
    <row r="564" ht="15.75" customHeight="1" s="1264"/>
    <row r="565" ht="15.75" customHeight="1" s="1264"/>
    <row r="566" ht="15.75" customHeight="1" s="1264"/>
    <row r="567" ht="15.75" customHeight="1" s="1264"/>
    <row r="568" ht="15.75" customHeight="1" s="1264"/>
    <row r="569" ht="15.75" customHeight="1" s="1264"/>
    <row r="570" ht="15.75" customHeight="1" s="1264"/>
    <row r="571" ht="15.75" customHeight="1" s="1264"/>
    <row r="572" ht="15.75" customHeight="1" s="1264"/>
    <row r="573" ht="15.75" customHeight="1" s="1264"/>
    <row r="574" ht="15.75" customHeight="1" s="1264"/>
    <row r="575" ht="15.75" customHeight="1" s="1264"/>
    <row r="576" ht="15.75" customHeight="1" s="1264"/>
    <row r="577" ht="15.75" customHeight="1" s="1264"/>
    <row r="578" ht="15.75" customHeight="1" s="1264"/>
    <row r="579" ht="15.75" customHeight="1" s="1264"/>
    <row r="580" ht="15.75" customHeight="1" s="1264"/>
    <row r="581" ht="15.75" customHeight="1" s="1264"/>
    <row r="582" ht="15.75" customHeight="1" s="1264"/>
    <row r="583" ht="15.75" customHeight="1" s="1264"/>
    <row r="584" ht="15.75" customHeight="1" s="1264"/>
    <row r="585" ht="15.75" customHeight="1" s="1264"/>
    <row r="586" ht="15.75" customHeight="1" s="1264"/>
    <row r="587" ht="15.75" customHeight="1" s="1264"/>
    <row r="588" ht="15.75" customHeight="1" s="1264"/>
    <row r="589" ht="15.75" customHeight="1" s="1264"/>
    <row r="590" ht="15.75" customHeight="1" s="1264"/>
    <row r="591" ht="15.75" customHeight="1" s="1264"/>
    <row r="592" ht="15.75" customHeight="1" s="1264"/>
    <row r="593" ht="15.75" customHeight="1" s="1264"/>
    <row r="594" ht="15.75" customHeight="1" s="1264"/>
    <row r="595" ht="15.75" customHeight="1" s="1264"/>
    <row r="596" ht="15.75" customHeight="1" s="1264"/>
    <row r="597" ht="15.75" customHeight="1" s="1264"/>
    <row r="598" ht="15.75" customHeight="1" s="1264"/>
    <row r="599" ht="15.75" customHeight="1" s="1264"/>
    <row r="600" ht="15.75" customHeight="1" s="1264"/>
    <row r="601" ht="15.75" customHeight="1" s="1264"/>
    <row r="602" ht="15.75" customHeight="1" s="1264"/>
    <row r="603" ht="15.75" customHeight="1" s="1264"/>
    <row r="604" ht="15.75" customHeight="1" s="1264"/>
    <row r="605" ht="15.75" customHeight="1" s="1264"/>
    <row r="606" ht="15.75" customHeight="1" s="1264"/>
    <row r="607" ht="15.75" customHeight="1" s="1264"/>
    <row r="608" ht="15.75" customHeight="1" s="1264"/>
    <row r="609" ht="15.75" customHeight="1" s="1264"/>
    <row r="610" ht="15.75" customHeight="1" s="1264"/>
    <row r="611" ht="15.75" customHeight="1" s="1264"/>
    <row r="612" ht="15.75" customHeight="1" s="1264"/>
    <row r="613" ht="15.75" customHeight="1" s="1264"/>
    <row r="614" ht="15.75" customHeight="1" s="1264"/>
    <row r="615" ht="15.75" customHeight="1" s="1264"/>
    <row r="616" ht="15.75" customHeight="1" s="1264"/>
    <row r="617" ht="15.75" customHeight="1" s="1264"/>
    <row r="618" ht="15.75" customHeight="1" s="1264"/>
    <row r="619" ht="15.75" customHeight="1" s="1264"/>
    <row r="620" ht="15.75" customHeight="1" s="1264"/>
    <row r="621" ht="15.75" customHeight="1" s="1264"/>
    <row r="622" ht="15.75" customHeight="1" s="1264"/>
    <row r="623" ht="15.75" customHeight="1" s="1264"/>
    <row r="624" ht="15.75" customHeight="1" s="1264"/>
    <row r="625" ht="15.75" customHeight="1" s="1264"/>
    <row r="626" ht="15.75" customHeight="1" s="1264"/>
    <row r="627" ht="15.75" customHeight="1" s="1264"/>
    <row r="628" ht="15.75" customHeight="1" s="1264"/>
    <row r="629" ht="15.75" customHeight="1" s="1264"/>
    <row r="630" ht="15.75" customHeight="1" s="1264"/>
    <row r="631" ht="15.75" customHeight="1" s="1264"/>
    <row r="632" ht="15.75" customHeight="1" s="1264"/>
    <row r="633" ht="15.75" customHeight="1" s="1264"/>
    <row r="634" ht="15.75" customHeight="1" s="1264"/>
    <row r="635" ht="15.75" customHeight="1" s="1264"/>
    <row r="636" ht="15.75" customHeight="1" s="1264"/>
    <row r="637" ht="15.75" customHeight="1" s="1264"/>
    <row r="638" ht="15.75" customHeight="1" s="1264"/>
    <row r="639" ht="15.75" customHeight="1" s="1264"/>
    <row r="640" ht="15.75" customHeight="1" s="1264"/>
    <row r="641" ht="15.75" customHeight="1" s="1264"/>
    <row r="642" ht="15.75" customHeight="1" s="1264"/>
    <row r="643" ht="15.75" customHeight="1" s="1264"/>
    <row r="644" ht="15.75" customHeight="1" s="1264"/>
    <row r="645" ht="15.75" customHeight="1" s="1264"/>
    <row r="646" ht="15.75" customHeight="1" s="1264"/>
    <row r="647" ht="15.75" customHeight="1" s="1264"/>
    <row r="648" ht="15.75" customHeight="1" s="1264"/>
    <row r="649" ht="15.75" customHeight="1" s="1264"/>
    <row r="650" ht="15.75" customHeight="1" s="1264"/>
    <row r="651" ht="15.75" customHeight="1" s="1264"/>
    <row r="652" ht="15.75" customHeight="1" s="1264"/>
    <row r="653" ht="15.75" customHeight="1" s="1264"/>
    <row r="654" ht="15.75" customHeight="1" s="1264"/>
    <row r="655" ht="15.75" customHeight="1" s="1264"/>
    <row r="656" ht="15.75" customHeight="1" s="1264"/>
    <row r="657" ht="15.75" customHeight="1" s="1264"/>
    <row r="658" ht="15.75" customHeight="1" s="1264"/>
    <row r="659" ht="15.75" customHeight="1" s="1264"/>
    <row r="660" ht="15.75" customHeight="1" s="1264"/>
    <row r="661" ht="15.75" customHeight="1" s="1264"/>
    <row r="662" ht="15.75" customHeight="1" s="1264"/>
    <row r="663" ht="15.75" customHeight="1" s="1264"/>
    <row r="664" ht="15.75" customHeight="1" s="1264"/>
    <row r="665" ht="15.75" customHeight="1" s="1264"/>
    <row r="666" ht="15.75" customHeight="1" s="1264"/>
    <row r="667" ht="15.75" customHeight="1" s="1264"/>
    <row r="668" ht="15.75" customHeight="1" s="1264"/>
    <row r="669" ht="15.75" customHeight="1" s="1264"/>
    <row r="670" ht="15.75" customHeight="1" s="1264"/>
    <row r="671" ht="15.75" customHeight="1" s="1264"/>
    <row r="672" ht="15.75" customHeight="1" s="1264"/>
    <row r="673" ht="15.75" customHeight="1" s="1264"/>
    <row r="674" ht="15.75" customHeight="1" s="1264"/>
    <row r="675" ht="15.75" customHeight="1" s="1264"/>
    <row r="676" ht="15.75" customHeight="1" s="1264"/>
    <row r="677" ht="15.75" customHeight="1" s="1264"/>
    <row r="678" ht="15.75" customHeight="1" s="1264"/>
    <row r="679" ht="15.75" customHeight="1" s="1264"/>
    <row r="680" ht="15.75" customHeight="1" s="1264"/>
    <row r="681" ht="15.75" customHeight="1" s="1264"/>
    <row r="682" ht="15.75" customHeight="1" s="1264"/>
    <row r="683" ht="15.75" customHeight="1" s="1264"/>
    <row r="684" ht="15.75" customHeight="1" s="1264"/>
    <row r="685" ht="15.75" customHeight="1" s="1264"/>
    <row r="686" ht="15.75" customHeight="1" s="1264"/>
    <row r="687" ht="15.75" customHeight="1" s="1264"/>
    <row r="688" ht="15.75" customHeight="1" s="1264"/>
    <row r="689" ht="15.75" customHeight="1" s="1264"/>
    <row r="690" ht="15.75" customHeight="1" s="1264"/>
    <row r="691" ht="15.75" customHeight="1" s="1264"/>
    <row r="692" ht="15.75" customHeight="1" s="1264"/>
    <row r="693" ht="15.75" customHeight="1" s="1264"/>
    <row r="694" ht="15.75" customHeight="1" s="1264"/>
    <row r="695" ht="15.75" customHeight="1" s="1264"/>
    <row r="696" ht="15.75" customHeight="1" s="1264"/>
    <row r="697" ht="15.75" customHeight="1" s="1264"/>
    <row r="698" ht="15.75" customHeight="1" s="1264"/>
    <row r="699" ht="15.75" customHeight="1" s="1264"/>
    <row r="700" ht="15.75" customHeight="1" s="1264"/>
    <row r="701" ht="15.75" customHeight="1" s="1264"/>
    <row r="702" ht="15.75" customHeight="1" s="1264"/>
    <row r="703" ht="15.75" customHeight="1" s="1264"/>
    <row r="704" ht="15.75" customHeight="1" s="1264"/>
    <row r="705" ht="15.75" customHeight="1" s="1264"/>
    <row r="706" ht="15.75" customHeight="1" s="1264"/>
    <row r="707" ht="15.75" customHeight="1" s="1264"/>
    <row r="708" ht="15.75" customHeight="1" s="1264"/>
    <row r="709" ht="15.75" customHeight="1" s="1264"/>
    <row r="710" ht="15.75" customHeight="1" s="1264"/>
    <row r="711" ht="15.75" customHeight="1" s="1264"/>
    <row r="712" ht="15.75" customHeight="1" s="1264"/>
    <row r="713" ht="15.75" customHeight="1" s="1264"/>
    <row r="714" ht="15.75" customHeight="1" s="1264"/>
    <row r="715" ht="15.75" customHeight="1" s="1264"/>
    <row r="716" ht="15.75" customHeight="1" s="1264"/>
    <row r="717" ht="15.75" customHeight="1" s="1264"/>
    <row r="718" ht="15.75" customHeight="1" s="1264"/>
    <row r="719" ht="15.75" customHeight="1" s="1264"/>
    <row r="720" ht="15.75" customHeight="1" s="1264"/>
    <row r="721" ht="15.75" customHeight="1" s="1264"/>
    <row r="722" ht="15.75" customHeight="1" s="1264"/>
    <row r="723" ht="15.75" customHeight="1" s="1264"/>
    <row r="724" ht="15.75" customHeight="1" s="1264"/>
    <row r="725" ht="15.75" customHeight="1" s="1264"/>
    <row r="726" ht="15.75" customHeight="1" s="1264"/>
    <row r="727" ht="15.75" customHeight="1" s="1264"/>
    <row r="728" ht="15.75" customHeight="1" s="1264"/>
    <row r="729" ht="15.75" customHeight="1" s="1264"/>
    <row r="730" ht="15.75" customHeight="1" s="1264"/>
    <row r="731" ht="15.75" customHeight="1" s="1264"/>
    <row r="732" ht="15.75" customHeight="1" s="1264"/>
    <row r="733" ht="15.75" customHeight="1" s="1264"/>
    <row r="734" ht="15.75" customHeight="1" s="1264"/>
    <row r="735" ht="15.75" customHeight="1" s="1264"/>
    <row r="736" ht="15.75" customHeight="1" s="1264"/>
    <row r="737" ht="15.75" customHeight="1" s="1264"/>
    <row r="738" ht="15.75" customHeight="1" s="1264"/>
    <row r="739" ht="15.75" customHeight="1" s="1264"/>
    <row r="740" ht="15.75" customHeight="1" s="1264"/>
    <row r="741" ht="15.75" customHeight="1" s="1264"/>
    <row r="742" ht="15.75" customHeight="1" s="1264"/>
    <row r="743" ht="15.75" customHeight="1" s="1264"/>
    <row r="744" ht="15.75" customHeight="1" s="1264"/>
    <row r="745" ht="15.75" customHeight="1" s="1264"/>
    <row r="746" ht="15.75" customHeight="1" s="1264"/>
    <row r="747" ht="15.75" customHeight="1" s="1264"/>
    <row r="748" ht="15.75" customHeight="1" s="1264"/>
    <row r="749" ht="15.75" customHeight="1" s="1264"/>
    <row r="750" ht="15.75" customHeight="1" s="1264"/>
    <row r="751" ht="15.75" customHeight="1" s="1264"/>
    <row r="752" ht="15.75" customHeight="1" s="1264"/>
    <row r="753" ht="15.75" customHeight="1" s="1264"/>
    <row r="754" ht="15.75" customHeight="1" s="1264"/>
    <row r="755" ht="15.75" customHeight="1" s="1264"/>
    <row r="756" ht="15.75" customHeight="1" s="1264"/>
    <row r="757" ht="15.75" customHeight="1" s="1264"/>
    <row r="758" ht="15.75" customHeight="1" s="1264"/>
    <row r="759" ht="15.75" customHeight="1" s="1264"/>
    <row r="760" ht="15.75" customHeight="1" s="1264"/>
    <row r="761" ht="15.75" customHeight="1" s="1264"/>
    <row r="762" ht="15.75" customHeight="1" s="1264"/>
    <row r="763" ht="15.75" customHeight="1" s="1264"/>
    <row r="764" ht="15.75" customHeight="1" s="1264"/>
    <row r="765" ht="15.75" customHeight="1" s="1264"/>
    <row r="766" ht="15.75" customHeight="1" s="1264"/>
    <row r="767" ht="15.75" customHeight="1" s="1264"/>
    <row r="768" ht="15.75" customHeight="1" s="1264"/>
    <row r="769" ht="15.75" customHeight="1" s="1264"/>
    <row r="770" ht="15.75" customHeight="1" s="1264"/>
    <row r="771" ht="15.75" customHeight="1" s="1264"/>
    <row r="772" ht="15.75" customHeight="1" s="1264"/>
    <row r="773" ht="15.75" customHeight="1" s="1264"/>
    <row r="774" ht="15.75" customHeight="1" s="1264"/>
    <row r="775" ht="15.75" customHeight="1" s="1264"/>
    <row r="776" ht="15.75" customHeight="1" s="1264"/>
    <row r="777" ht="15.75" customHeight="1" s="1264"/>
    <row r="778" ht="15.75" customHeight="1" s="1264"/>
    <row r="779" ht="15.75" customHeight="1" s="1264"/>
    <row r="780" ht="15.75" customHeight="1" s="1264"/>
    <row r="781" ht="15.75" customHeight="1" s="1264"/>
    <row r="782" ht="15.75" customHeight="1" s="1264"/>
    <row r="783" ht="15.75" customHeight="1" s="1264"/>
    <row r="784" ht="15.75" customHeight="1" s="1264"/>
    <row r="785" ht="15.75" customHeight="1" s="1264"/>
    <row r="786" ht="15.75" customHeight="1" s="1264"/>
    <row r="787" ht="15.75" customHeight="1" s="1264"/>
    <row r="788" ht="15.75" customHeight="1" s="1264"/>
    <row r="789" ht="15.75" customHeight="1" s="1264"/>
    <row r="790" ht="15.75" customHeight="1" s="1264"/>
    <row r="791" ht="15.75" customHeight="1" s="1264"/>
    <row r="792" ht="15.75" customHeight="1" s="1264"/>
    <row r="793" ht="15.75" customHeight="1" s="1264"/>
    <row r="794" ht="15.75" customHeight="1" s="1264"/>
    <row r="795" ht="15.75" customHeight="1" s="1264"/>
    <row r="796" ht="15.75" customHeight="1" s="1264"/>
    <row r="797" ht="15.75" customHeight="1" s="1264"/>
    <row r="798" ht="15.75" customHeight="1" s="1264"/>
    <row r="799" ht="15.75" customHeight="1" s="1264"/>
    <row r="800" ht="15.75" customHeight="1" s="1264"/>
    <row r="801" ht="15.75" customHeight="1" s="1264"/>
    <row r="802" ht="15.75" customHeight="1" s="1264"/>
    <row r="803" ht="15.75" customHeight="1" s="1264"/>
    <row r="804" ht="15.75" customHeight="1" s="1264"/>
    <row r="805" ht="15.75" customHeight="1" s="1264"/>
    <row r="806" ht="15.75" customHeight="1" s="1264"/>
    <row r="807" ht="15.75" customHeight="1" s="1264"/>
    <row r="808" ht="15.75" customHeight="1" s="1264"/>
    <row r="809" ht="15.75" customHeight="1" s="1264"/>
    <row r="810" ht="15.75" customHeight="1" s="1264"/>
    <row r="811" ht="15.75" customHeight="1" s="1264"/>
    <row r="812" ht="15.75" customHeight="1" s="1264"/>
    <row r="813" ht="15.75" customHeight="1" s="1264"/>
    <row r="814" ht="15.75" customHeight="1" s="1264"/>
    <row r="815" ht="15.75" customHeight="1" s="1264"/>
    <row r="816" ht="15.75" customHeight="1" s="1264"/>
    <row r="817" ht="15.75" customHeight="1" s="1264"/>
    <row r="818" ht="15.75" customHeight="1" s="1264"/>
    <row r="819" ht="15.75" customHeight="1" s="1264"/>
    <row r="820" ht="15.75" customHeight="1" s="1264"/>
    <row r="821" ht="15.75" customHeight="1" s="1264"/>
    <row r="822" ht="15.75" customHeight="1" s="1264"/>
    <row r="823" ht="15.75" customHeight="1" s="1264"/>
    <row r="824" ht="15.75" customHeight="1" s="1264"/>
    <row r="825" ht="15.75" customHeight="1" s="1264"/>
    <row r="826" ht="15.75" customHeight="1" s="1264"/>
    <row r="827" ht="15.75" customHeight="1" s="1264"/>
    <row r="828" ht="15.75" customHeight="1" s="1264"/>
    <row r="829" ht="15.75" customHeight="1" s="1264"/>
    <row r="830" ht="15.75" customHeight="1" s="1264"/>
    <row r="831" ht="15.75" customHeight="1" s="1264"/>
    <row r="832" ht="15.75" customHeight="1" s="1264"/>
    <row r="833" ht="15.75" customHeight="1" s="1264"/>
    <row r="834" ht="15.75" customHeight="1" s="1264"/>
    <row r="835" ht="15.75" customHeight="1" s="1264"/>
    <row r="836" ht="15.75" customHeight="1" s="1264"/>
    <row r="837" ht="15.75" customHeight="1" s="1264"/>
    <row r="838" ht="15.75" customHeight="1" s="1264"/>
    <row r="839" ht="15.75" customHeight="1" s="1264"/>
    <row r="840" ht="15.75" customHeight="1" s="1264"/>
    <row r="841" ht="15.75" customHeight="1" s="1264"/>
    <row r="842" ht="15.75" customHeight="1" s="1264"/>
    <row r="843" ht="15.75" customHeight="1" s="1264"/>
    <row r="844" ht="15.75" customHeight="1" s="1264"/>
    <row r="845" ht="15.75" customHeight="1" s="1264"/>
    <row r="846" ht="15.75" customHeight="1" s="1264"/>
    <row r="847" ht="15.75" customHeight="1" s="1264"/>
    <row r="848" ht="15.75" customHeight="1" s="1264"/>
    <row r="849" ht="15.75" customHeight="1" s="1264"/>
    <row r="850" ht="15.75" customHeight="1" s="1264"/>
    <row r="851" ht="15.75" customHeight="1" s="1264"/>
    <row r="852" ht="15.75" customHeight="1" s="1264"/>
    <row r="853" ht="15.75" customHeight="1" s="1264"/>
    <row r="854" ht="15.75" customHeight="1" s="1264"/>
    <row r="855" ht="15.75" customHeight="1" s="1264"/>
    <row r="856" ht="15.75" customHeight="1" s="1264"/>
    <row r="857" ht="15.75" customHeight="1" s="1264"/>
    <row r="858" ht="15.75" customHeight="1" s="1264"/>
    <row r="859" ht="15.75" customHeight="1" s="1264"/>
    <row r="860" ht="15.75" customHeight="1" s="1264"/>
    <row r="861" ht="15.75" customHeight="1" s="1264"/>
    <row r="862" ht="15.75" customHeight="1" s="1264"/>
    <row r="863" ht="15.75" customHeight="1" s="1264"/>
    <row r="864" ht="15.75" customHeight="1" s="1264"/>
    <row r="865" ht="15.75" customHeight="1" s="1264"/>
    <row r="866" ht="15.75" customHeight="1" s="1264"/>
    <row r="867" ht="15.75" customHeight="1" s="1264"/>
    <row r="868" ht="15.75" customHeight="1" s="1264"/>
    <row r="869" ht="15.75" customHeight="1" s="1264"/>
    <row r="870" ht="15.75" customHeight="1" s="1264"/>
    <row r="871" ht="15.75" customHeight="1" s="1264"/>
    <row r="872" ht="15.75" customHeight="1" s="1264"/>
    <row r="873" ht="15.75" customHeight="1" s="1264"/>
    <row r="874" ht="15.75" customHeight="1" s="1264"/>
    <row r="875" ht="15.75" customHeight="1" s="1264"/>
    <row r="876" ht="15.75" customHeight="1" s="1264"/>
    <row r="877" ht="15.75" customHeight="1" s="1264"/>
    <row r="878" ht="15.75" customHeight="1" s="1264"/>
    <row r="879" ht="15.75" customHeight="1" s="1264"/>
    <row r="880" ht="15.75" customHeight="1" s="1264"/>
    <row r="881" ht="15.75" customHeight="1" s="1264"/>
    <row r="882" ht="15.75" customHeight="1" s="1264"/>
    <row r="883" ht="15.75" customHeight="1" s="1264"/>
    <row r="884" ht="15.75" customHeight="1" s="1264"/>
    <row r="885" ht="15.75" customHeight="1" s="1264"/>
    <row r="886" ht="15.75" customHeight="1" s="1264"/>
    <row r="887" ht="15.75" customHeight="1" s="1264"/>
    <row r="888" ht="15.75" customHeight="1" s="1264"/>
    <row r="889" ht="15.75" customHeight="1" s="1264"/>
    <row r="890" ht="15.75" customHeight="1" s="1264"/>
    <row r="891" ht="15.75" customHeight="1" s="1264"/>
    <row r="892" ht="15.75" customHeight="1" s="1264"/>
    <row r="893" ht="15.75" customHeight="1" s="1264"/>
    <row r="894" ht="15.75" customHeight="1" s="1264"/>
    <row r="895" ht="15.75" customHeight="1" s="1264"/>
    <row r="896" ht="15.75" customHeight="1" s="1264"/>
    <row r="897" ht="15.75" customHeight="1" s="1264"/>
    <row r="898" ht="15.75" customHeight="1" s="1264"/>
    <row r="899" ht="15.75" customHeight="1" s="1264"/>
    <row r="900" ht="15.75" customHeight="1" s="1264"/>
    <row r="901" ht="15.75" customHeight="1" s="1264"/>
    <row r="902" ht="15.75" customHeight="1" s="1264"/>
    <row r="903" ht="15.75" customHeight="1" s="1264"/>
    <row r="904" ht="15.75" customHeight="1" s="1264"/>
    <row r="905" ht="15.75" customHeight="1" s="1264"/>
    <row r="906" ht="15.75" customHeight="1" s="1264"/>
    <row r="907" ht="15.75" customHeight="1" s="1264"/>
    <row r="908" ht="15.75" customHeight="1" s="1264"/>
    <row r="909" ht="15.75" customHeight="1" s="1264"/>
    <row r="910" ht="15.75" customHeight="1" s="1264"/>
    <row r="911" ht="15.75" customHeight="1" s="1264"/>
    <row r="912" ht="15.75" customHeight="1" s="1264"/>
    <row r="913" ht="15.75" customHeight="1" s="1264"/>
    <row r="914" ht="15.75" customHeight="1" s="1264"/>
    <row r="915" ht="15.75" customHeight="1" s="1264"/>
    <row r="916" ht="15.75" customHeight="1" s="1264"/>
    <row r="917" ht="15.75" customHeight="1" s="1264"/>
    <row r="918" ht="15.75" customHeight="1" s="1264"/>
    <row r="919" ht="15.75" customHeight="1" s="1264"/>
    <row r="920" ht="15.75" customHeight="1" s="1264"/>
    <row r="921" ht="15.75" customHeight="1" s="1264"/>
    <row r="922" ht="15.75" customHeight="1" s="1264"/>
    <row r="923" ht="15.75" customHeight="1" s="1264"/>
    <row r="924" ht="15.75" customHeight="1" s="1264"/>
    <row r="925" ht="15.75" customHeight="1" s="1264"/>
    <row r="926" ht="15.75" customHeight="1" s="1264"/>
    <row r="927" ht="15.75" customHeight="1" s="1264"/>
    <row r="928" ht="15.75" customHeight="1" s="1264"/>
    <row r="929" ht="15.75" customHeight="1" s="1264"/>
    <row r="930" ht="15.75" customHeight="1" s="1264"/>
    <row r="931" ht="15.75" customHeight="1" s="1264"/>
    <row r="932" ht="15.75" customHeight="1" s="1264"/>
    <row r="933" ht="15.75" customHeight="1" s="1264"/>
    <row r="934" ht="15.75" customHeight="1" s="1264"/>
    <row r="935" ht="15.75" customHeight="1" s="1264"/>
    <row r="936" ht="15.75" customHeight="1" s="1264"/>
    <row r="937" ht="15.75" customHeight="1" s="1264"/>
    <row r="938" ht="15.75" customHeight="1" s="1264"/>
    <row r="939" ht="15.75" customHeight="1" s="1264"/>
    <row r="940" ht="15.75" customHeight="1" s="1264"/>
    <row r="941" ht="15.75" customHeight="1" s="1264"/>
    <row r="942" ht="15.75" customHeight="1" s="1264"/>
    <row r="943" ht="15.75" customHeight="1" s="1264"/>
    <row r="944" ht="15.75" customHeight="1" s="1264"/>
    <row r="945" ht="15.75" customHeight="1" s="1264"/>
    <row r="946" ht="15.75" customHeight="1" s="1264"/>
    <row r="947" ht="15.75" customHeight="1" s="1264"/>
    <row r="948" ht="15.75" customHeight="1" s="1264"/>
    <row r="949" ht="15.75" customHeight="1" s="1264"/>
    <row r="950" ht="15.75" customHeight="1" s="1264"/>
    <row r="951" ht="15.75" customHeight="1" s="1264"/>
    <row r="952" ht="15.75" customHeight="1" s="1264"/>
    <row r="953" ht="15.75" customHeight="1" s="1264"/>
    <row r="954" ht="15.75" customHeight="1" s="1264"/>
    <row r="955" ht="15.75" customHeight="1" s="1264"/>
    <row r="956" ht="15.75" customHeight="1" s="1264"/>
    <row r="957" ht="15.75" customHeight="1" s="1264"/>
    <row r="958" ht="15.75" customHeight="1" s="1264"/>
    <row r="959" ht="15.75" customHeight="1" s="1264"/>
    <row r="960" ht="15.75" customHeight="1" s="1264"/>
    <row r="961" ht="15.75" customHeight="1" s="1264"/>
    <row r="962" ht="15.75" customHeight="1" s="1264"/>
    <row r="963" ht="15.75" customHeight="1" s="1264"/>
    <row r="964" ht="15.75" customHeight="1" s="1264"/>
    <row r="965" ht="15.75" customHeight="1" s="1264"/>
    <row r="966" ht="15.75" customHeight="1" s="1264"/>
    <row r="967" ht="15.75" customHeight="1" s="1264"/>
    <row r="968" ht="15.75" customHeight="1" s="1264"/>
    <row r="969" ht="15.75" customHeight="1" s="1264"/>
    <row r="970" ht="15.75" customHeight="1" s="1264"/>
    <row r="971" ht="15.75" customHeight="1" s="1264"/>
    <row r="972" ht="15.75" customHeight="1" s="1264"/>
    <row r="973" ht="15.75" customHeight="1" s="1264"/>
    <row r="974" ht="15.75" customHeight="1" s="1264"/>
    <row r="975" ht="15.75" customHeight="1" s="1264"/>
    <row r="976" ht="15.75" customHeight="1" s="1264"/>
    <row r="977" ht="15.75" customHeight="1" s="1264"/>
    <row r="978" ht="15.75" customHeight="1" s="1264"/>
    <row r="979" ht="15.75" customHeight="1" s="1264"/>
    <row r="980" ht="15.75" customHeight="1" s="1264"/>
    <row r="981" ht="15.75" customHeight="1" s="1264"/>
    <row r="982" ht="15.75" customHeight="1" s="1264"/>
    <row r="983" ht="15.75" customHeight="1" s="1264"/>
    <row r="984" ht="15.75" customHeight="1" s="1264"/>
    <row r="985" ht="15.75" customHeight="1" s="1264"/>
    <row r="986" ht="15.75" customHeight="1" s="1264"/>
    <row r="987" ht="15.75" customHeight="1" s="1264"/>
    <row r="988" ht="15.75" customHeight="1" s="1264"/>
    <row r="989" ht="15.75" customHeight="1" s="1264"/>
    <row r="990" ht="15.75" customHeight="1" s="1264"/>
    <row r="991" ht="15.75" customHeight="1" s="1264"/>
    <row r="992" ht="15.75" customHeight="1" s="1264"/>
    <row r="993" ht="15.75" customHeight="1" s="1264"/>
    <row r="994" ht="15.75" customHeight="1" s="1264"/>
    <row r="995" ht="15.75" customHeight="1" s="1264"/>
    <row r="996" ht="15.75" customHeight="1" s="1264"/>
    <row r="997" ht="15.75" customHeight="1" s="1264"/>
    <row r="998" ht="15.75" customHeight="1" s="1264"/>
    <row r="999" ht="15.75" customHeight="1" s="1264"/>
    <row r="1000" ht="15.75" customHeight="1" s="1264"/>
    <row r="1001" ht="15.75" customHeight="1" s="1264"/>
    <row r="1002" ht="15.75" customHeight="1" s="1264"/>
    <row r="1003" ht="15.75" customHeight="1" s="1264"/>
    <row r="1004" ht="15.75" customHeight="1" s="1264"/>
    <row r="1005" ht="15.75" customHeight="1" s="1264"/>
    <row r="1006" ht="15.75" customHeight="1" s="1264"/>
    <row r="1007" ht="15.75" customHeight="1" s="1264"/>
    <row r="1008" ht="15.75" customHeight="1" s="1264"/>
    <row r="1009" ht="15.75" customHeight="1" s="1264"/>
    <row r="1010" ht="15.75" customHeight="1" s="1264"/>
    <row r="1011" ht="15.75" customHeight="1" s="1264"/>
    <row r="1012" ht="15.75" customHeight="1" s="1264"/>
    <row r="1013" ht="15.75" customHeight="1" s="1264"/>
    <row r="1014" ht="15.75" customHeight="1" s="1264"/>
    <row r="1015" ht="15.75" customHeight="1" s="1264"/>
    <row r="1016" ht="15.75" customHeight="1" s="1264"/>
    <row r="1017" ht="15.75" customHeight="1" s="1264"/>
    <row r="1018" ht="15.75" customHeight="1" s="1264"/>
    <row r="1019" ht="15.75" customHeight="1" s="1264"/>
    <row r="1020" ht="15.75" customHeight="1" s="1264"/>
  </sheetData>
  <conditionalFormatting sqref="D81:E81">
    <cfRule type="duplicateValues" priority="2" dxfId="25"/>
  </conditionalFormatting>
  <dataValidations count="3">
    <dataValidation sqref="E52 E73" showDropDown="0" showInputMessage="0" showErrorMessage="1" allowBlank="1" type="list">
      <formula1>#REF!</formula1>
    </dataValidation>
    <dataValidation sqref="D78" showDropDown="0" showInputMessage="0" showErrorMessage="1" allowBlank="1" type="date">
      <formula1>43466</formula1>
      <formula2>47118</formula2>
    </dataValidation>
    <dataValidation sqref="E39:E51 E53:E70" showDropDown="0" showInputMessage="0" showErrorMessage="1" allowBlank="1" type="list">
      <formula1>$I$104:$I$104</formula1>
    </dataValidation>
  </dataValidations>
  <hyperlinks>
    <hyperlink xmlns:r="http://schemas.openxmlformats.org/officeDocument/2006/relationships" ref="G22" r:id="rId1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CFF"/>
    <outlinePr summaryBelow="1" summaryRight="1"/>
    <pageSetUpPr/>
  </sheetPr>
  <dimension ref="A1:K203"/>
  <sheetViews>
    <sheetView zoomScale="84" zoomScaleNormal="84" workbookViewId="0">
      <selection activeCell="G6" sqref="G6"/>
    </sheetView>
  </sheetViews>
  <sheetFormatPr baseColWidth="8" defaultColWidth="12.6640625" defaultRowHeight="13.2"/>
  <cols>
    <col width="4.6640625" customWidth="1" style="226" min="1" max="1"/>
    <col width="13.109375" customWidth="1" style="226" min="2" max="2"/>
    <col width="24.5546875" customWidth="1" style="226" min="3" max="3"/>
    <col width="22.109375" customWidth="1" style="226" min="4" max="4"/>
    <col width="18.44140625" customWidth="1" style="226" min="5" max="5"/>
    <col width="22.44140625" customWidth="1" style="226" min="6" max="6"/>
    <col width="15" customWidth="1" style="226" min="7" max="7"/>
    <col width="55.44140625" customWidth="1" style="226" min="8" max="8"/>
    <col width="16.6640625" customWidth="1" style="226" min="9" max="9"/>
    <col width="12.6640625" customWidth="1" style="226" min="10" max="16384"/>
  </cols>
  <sheetData>
    <row r="1" ht="26.4" customFormat="1" customHeight="1" s="222">
      <c r="A1" s="1550" t="inlineStr">
        <is>
          <t>Số TT</t>
        </is>
      </c>
      <c r="B1" s="1550" t="inlineStr">
        <is>
          <t>Cửa hàng</t>
        </is>
      </c>
      <c r="C1" s="1550" t="inlineStr">
        <is>
          <t>Họ và tên</t>
        </is>
      </c>
      <c r="D1" s="1550" t="inlineStr">
        <is>
          <t>Tên chủ tài khoản</t>
        </is>
      </c>
      <c r="E1" s="228" t="inlineStr">
        <is>
          <t>Số TK</t>
        </is>
      </c>
      <c r="F1" s="228" t="inlineStr">
        <is>
          <t>Ngân hàng</t>
        </is>
      </c>
      <c r="G1" s="1550" t="inlineStr">
        <is>
          <t>Số tiền</t>
        </is>
      </c>
      <c r="H1" s="1550" t="inlineStr">
        <is>
          <t>Nội dung chuyển khoản lương</t>
        </is>
      </c>
      <c r="I1" s="1550" t="n"/>
      <c r="J1" s="229" t="n"/>
    </row>
    <row r="2" hidden="1" ht="18.75" customHeight="1" s="1264">
      <c r="A2" s="230" t="n">
        <v>1</v>
      </c>
      <c r="B2" s="231" t="inlineStr">
        <is>
          <t>24H</t>
        </is>
      </c>
      <c r="C2" s="177" t="inlineStr">
        <is>
          <t>Hồ Thị Minh Hòa</t>
        </is>
      </c>
      <c r="D2" s="232" t="inlineStr">
        <is>
          <t>Ho Thi Minh Hoa</t>
        </is>
      </c>
      <c r="E2" s="1496">
        <f>VLOOKUP($D2,Med!C15:J20,7,0)</f>
        <v/>
      </c>
      <c r="F2" s="1496">
        <f>VLOOKUP($D2,Med!C15:J20,8,0)</f>
        <v/>
      </c>
      <c r="G2" s="234">
        <f>VLOOKUP(C2,Med!$D$15:$CG$93,85,0)</f>
        <v/>
      </c>
      <c r="H2" s="232">
        <f>"Med  TT Luong T8.2026 -"&amp;I2&amp;"-"&amp;D2</f>
        <v/>
      </c>
      <c r="I2" s="231" t="inlineStr">
        <is>
          <t>24H</t>
        </is>
      </c>
      <c r="J2" s="235" t="n"/>
    </row>
    <row r="3" ht="18.75" customHeight="1" s="1264">
      <c r="A3" s="230" t="n">
        <v>2</v>
      </c>
      <c r="B3" s="231" t="inlineStr">
        <is>
          <t>24H</t>
        </is>
      </c>
      <c r="C3" s="177" t="inlineStr">
        <is>
          <t>Nguyễn Ngọc Anh Thư</t>
        </is>
      </c>
      <c r="D3" s="232" t="inlineStr">
        <is>
          <t>Nguyen Ngoc Anh Thu</t>
        </is>
      </c>
      <c r="E3" s="1496">
        <f>VLOOKUP($D3,Med!C17:J22,7,0)</f>
        <v/>
      </c>
      <c r="F3" s="1496">
        <f>VLOOKUP($D3,Med!C17:J22,8,0)</f>
        <v/>
      </c>
      <c r="G3" s="234">
        <f>VLOOKUP(C3,Med!$D$15:$CG$93,85,0)</f>
        <v/>
      </c>
      <c r="H3" s="232">
        <f>"Med  TT Luong T8.2026 -"&amp;I3&amp;"-"&amp;D3</f>
        <v/>
      </c>
      <c r="I3" s="231" t="inlineStr">
        <is>
          <t>24H</t>
        </is>
      </c>
      <c r="J3" s="235" t="n"/>
    </row>
    <row r="4" ht="18.75" customHeight="1" s="1264">
      <c r="A4" s="230" t="n">
        <v>3</v>
      </c>
      <c r="B4" s="231" t="inlineStr">
        <is>
          <t>24H</t>
        </is>
      </c>
      <c r="C4" s="177" t="inlineStr">
        <is>
          <t>Nguyễn Trần Ngọc Phương</t>
        </is>
      </c>
      <c r="D4" s="232" t="inlineStr">
        <is>
          <t>Nguyen Tran Ngoc Phuong</t>
        </is>
      </c>
      <c r="E4" s="1551">
        <f>VLOOKUP($D4,Med!C16:J92,7,0)</f>
        <v/>
      </c>
      <c r="F4" s="1496">
        <f>VLOOKUP($D4,Med!C16:J92,8,0)</f>
        <v/>
      </c>
      <c r="G4" s="234">
        <f>VLOOKUP(C4,Med!$D$15:$CG$93,85,0)</f>
        <v/>
      </c>
      <c r="H4" s="232">
        <f>"Med  TT Luong T8.2026 -"&amp;I4&amp;"-"&amp;D4</f>
        <v/>
      </c>
      <c r="I4" s="231" t="inlineStr">
        <is>
          <t>24H</t>
        </is>
      </c>
      <c r="J4" s="235" t="n"/>
    </row>
    <row r="5" ht="18.75" customHeight="1" s="1264">
      <c r="A5" s="230" t="n">
        <v>4</v>
      </c>
      <c r="B5" s="231" t="inlineStr">
        <is>
          <t>24H</t>
        </is>
      </c>
      <c r="C5" s="177" t="inlineStr">
        <is>
          <t>Ngô Trần Tuyết Vy</t>
        </is>
      </c>
      <c r="D5" s="232" t="inlineStr">
        <is>
          <t>Ngo Tran Tuyet Vy</t>
        </is>
      </c>
      <c r="E5" s="1496">
        <f>VLOOKUP($D5,Med!C19:J25,7,0)</f>
        <v/>
      </c>
      <c r="F5" s="1496">
        <f>VLOOKUP($D5,Med!C19:J25,8,0)</f>
        <v/>
      </c>
      <c r="G5" s="234">
        <f>VLOOKUP(C5,Med!$D$15:$CG$93,85,0)</f>
        <v/>
      </c>
      <c r="H5" s="232">
        <f>"Med  TT Luong T8.2026 -"&amp;I5&amp;"-"&amp;D5</f>
        <v/>
      </c>
      <c r="I5" s="231" t="inlineStr">
        <is>
          <t>24H</t>
        </is>
      </c>
      <c r="J5" s="235" t="n"/>
    </row>
    <row r="6" ht="18.75" customHeight="1" s="1264">
      <c r="A6" s="230" t="n">
        <v>5</v>
      </c>
      <c r="B6" s="231" t="inlineStr">
        <is>
          <t>24H</t>
        </is>
      </c>
      <c r="C6" s="177" t="inlineStr">
        <is>
          <t>Phạm Nguyễn Ngọc Quý</t>
        </is>
      </c>
      <c r="D6" s="232" t="inlineStr">
        <is>
          <t>Pham Nguyen Ngoc Quy</t>
        </is>
      </c>
      <c r="E6" s="1496">
        <f>VLOOKUP($D6,Med!C20:J28,7,0)</f>
        <v/>
      </c>
      <c r="F6" s="1496">
        <f>VLOOKUP($D6,Med!C20:J28,8,0)</f>
        <v/>
      </c>
      <c r="G6" s="234">
        <f>VLOOKUP(C6,Med!$D$15:$CG$93,85,0)</f>
        <v/>
      </c>
      <c r="H6" s="232">
        <f>"Med  TT Luong T8.2026 -"&amp;I6&amp;"-"&amp;D6</f>
        <v/>
      </c>
      <c r="I6" s="231" t="inlineStr">
        <is>
          <t>24H</t>
        </is>
      </c>
      <c r="J6" s="235" t="n"/>
    </row>
    <row r="7" ht="18.75" customHeight="1" s="1264">
      <c r="A7" s="230" t="n">
        <v>6</v>
      </c>
      <c r="B7" s="231" t="inlineStr">
        <is>
          <t>24H</t>
        </is>
      </c>
      <c r="C7" s="177" t="inlineStr">
        <is>
          <t>Trần Thị Kim Khánh</t>
        </is>
      </c>
      <c r="D7" s="232" t="inlineStr">
        <is>
          <t>Tran Thi Kim Khanh</t>
        </is>
      </c>
      <c r="E7" s="1496">
        <f>VLOOKUP($D7,Med!C22:J29,7,0)</f>
        <v/>
      </c>
      <c r="F7" s="1496">
        <f>VLOOKUP($D7,Med!C22:J29,8,0)</f>
        <v/>
      </c>
      <c r="G7" s="234">
        <f>VLOOKUP(C7,Med!$D$15:$CG$93,85,0)</f>
        <v/>
      </c>
      <c r="H7" s="232">
        <f>"Med  TT Luong T8.2026 -"&amp;I7&amp;"-"&amp;D7</f>
        <v/>
      </c>
      <c r="I7" s="231" t="inlineStr">
        <is>
          <t>24H</t>
        </is>
      </c>
      <c r="J7" s="235" t="n"/>
    </row>
    <row r="8" ht="18.75" customFormat="1" customHeight="1" s="222">
      <c r="A8" s="236" t="n"/>
      <c r="B8" s="237" t="n"/>
      <c r="C8" s="238" t="n"/>
      <c r="D8" s="239" t="n"/>
      <c r="E8" s="1552" t="n"/>
      <c r="F8" s="1552" t="n"/>
      <c r="G8" s="241">
        <f>SUM(G2:G7)</f>
        <v/>
      </c>
      <c r="H8" s="239" t="n"/>
      <c r="I8" s="237" t="n"/>
      <c r="J8" s="229" t="n"/>
    </row>
    <row r="9" hidden="1" ht="18.75" customHeight="1" s="1264">
      <c r="A9" s="230" t="n">
        <v>7</v>
      </c>
      <c r="B9" s="231" t="inlineStr">
        <is>
          <t>Do Quang Dau</t>
        </is>
      </c>
      <c r="C9" s="177" t="inlineStr">
        <is>
          <t>Bùi Thị Thanh Thủy</t>
        </is>
      </c>
      <c r="D9" s="232" t="inlineStr">
        <is>
          <t>Bui Thi Thanh Thuy</t>
        </is>
      </c>
      <c r="E9" s="1551">
        <f>VLOOKUP(D9,Med!C23:J92,7,0)</f>
        <v/>
      </c>
      <c r="F9" s="1496">
        <f>VLOOKUP(D9,Med!C23:J92,8,0)</f>
        <v/>
      </c>
      <c r="G9" s="234">
        <f>VLOOKUP(C9,Med!$D$15:$CG$93,85,0)</f>
        <v/>
      </c>
      <c r="H9" s="232">
        <f>"Med  TT Luong T8.2026 -"&amp;I9&amp;"-"&amp;D9</f>
        <v/>
      </c>
      <c r="I9" s="231" t="inlineStr">
        <is>
          <t>Do Quang Dau</t>
        </is>
      </c>
      <c r="J9" s="235" t="n"/>
    </row>
    <row r="10" ht="18.75" customHeight="1" s="1264">
      <c r="A10" s="230" t="n">
        <v>8</v>
      </c>
      <c r="B10" s="231" t="inlineStr">
        <is>
          <t>Do Quang Dau</t>
        </is>
      </c>
      <c r="C10" s="177" t="inlineStr">
        <is>
          <t>Dương Thị Huỳnh Như</t>
        </is>
      </c>
      <c r="D10" s="232" t="inlineStr">
        <is>
          <t>Duong Thi Huynh Nhu</t>
        </is>
      </c>
      <c r="E10" s="1551">
        <f>VLOOKUP(D10,Med!C24:J30,7,0)</f>
        <v/>
      </c>
      <c r="F10" s="1496">
        <f>VLOOKUP(D10,Med!C24:J30,8,0)</f>
        <v/>
      </c>
      <c r="G10" s="234">
        <f>VLOOKUP(C10,Med!$D$15:$CG$93,85,0)</f>
        <v/>
      </c>
      <c r="H10" s="232">
        <f>"Med  TT Luong T8.2026 -"&amp;I10&amp;"-"&amp;D10</f>
        <v/>
      </c>
      <c r="I10" s="231" t="inlineStr">
        <is>
          <t>Do Quang Dau</t>
        </is>
      </c>
      <c r="J10" s="235" t="n"/>
    </row>
    <row r="11" hidden="1" ht="18.75" customHeight="1" s="1264">
      <c r="A11" s="230" t="n">
        <v>9</v>
      </c>
      <c r="B11" s="231" t="inlineStr">
        <is>
          <t>Do Quang Dau</t>
        </is>
      </c>
      <c r="C11" s="177" t="inlineStr">
        <is>
          <t>Hoàng Thanh Thủy</t>
        </is>
      </c>
      <c r="D11" s="232" t="inlineStr">
        <is>
          <t>Hoang Thanh Thuy</t>
        </is>
      </c>
      <c r="E11" s="1551">
        <f>VLOOKUP(D11,Med!C28:J49,7,0)</f>
        <v/>
      </c>
      <c r="F11" s="1496">
        <f>VLOOKUP(D11,Med!C28:J49,8,0)</f>
        <v/>
      </c>
      <c r="G11" s="234">
        <f>VLOOKUP(C11,Med!$D$15:$CG$93,85,0)</f>
        <v/>
      </c>
      <c r="H11" s="232">
        <f>"Med  TT Luong T8.2026 -"&amp;I11&amp;"-"&amp;D11</f>
        <v/>
      </c>
      <c r="I11" s="231" t="inlineStr">
        <is>
          <t>Do Quang Dau</t>
        </is>
      </c>
      <c r="J11" s="235" t="n"/>
    </row>
    <row r="12" hidden="1" ht="18.75" customHeight="1" s="1264">
      <c r="A12" s="230" t="n">
        <v>10</v>
      </c>
      <c r="B12" s="231" t="inlineStr">
        <is>
          <t>Do Quang Dau</t>
        </is>
      </c>
      <c r="C12" s="177" t="inlineStr">
        <is>
          <t>Lê Thị Huyền Trân</t>
        </is>
      </c>
      <c r="D12" s="232" t="inlineStr">
        <is>
          <t>Le Thi Huyen Tran</t>
        </is>
      </c>
      <c r="E12" s="1496">
        <f>VLOOKUP(D12,Med!C29:J92,7,0)</f>
        <v/>
      </c>
      <c r="F12" s="1496">
        <f>VLOOKUP(D12,Med!C29:J92,8,0)</f>
        <v/>
      </c>
      <c r="G12" s="234">
        <f>VLOOKUP(C12,Med!$D$15:$CG$93,85,0)</f>
        <v/>
      </c>
      <c r="H12" s="232">
        <f>"Med  TT Luong T8.2026 -"&amp;I12&amp;"-"&amp;D12</f>
        <v/>
      </c>
      <c r="I12" s="231" t="inlineStr">
        <is>
          <t>Do Quang Dau</t>
        </is>
      </c>
      <c r="J12" s="235" t="n"/>
    </row>
    <row r="13" hidden="1" ht="18.75" customHeight="1" s="1264">
      <c r="A13" s="230" t="n">
        <v>11</v>
      </c>
      <c r="B13" s="231" t="inlineStr">
        <is>
          <t>Do Quang Dau</t>
        </is>
      </c>
      <c r="C13" s="177" t="inlineStr">
        <is>
          <t>Nguyễn Thị Huyền Trang</t>
        </is>
      </c>
      <c r="D13" s="232" t="inlineStr">
        <is>
          <t>Nguyen Thi Huyen Trang</t>
        </is>
      </c>
      <c r="E13" s="1496">
        <f>VLOOKUP(D13,Med!#REF!,7,0)</f>
        <v/>
      </c>
      <c r="F13" s="1496">
        <f>VLOOKUP(D13,Med!#REF!,8,0)</f>
        <v/>
      </c>
      <c r="G13" s="234">
        <f>VLOOKUP(C13,Med!$D$15:$CG$93,85,0)</f>
        <v/>
      </c>
      <c r="H13" s="232">
        <f>"Med  TT Luong T8.2026 -"&amp;I13&amp;"-"&amp;D13</f>
        <v/>
      </c>
      <c r="I13" s="231" t="inlineStr">
        <is>
          <t>Do Quang Dau</t>
        </is>
      </c>
      <c r="J13" s="235" t="n"/>
    </row>
    <row r="14" hidden="1" ht="18.75" customHeight="1" s="1264">
      <c r="A14" s="230" t="n">
        <v>12</v>
      </c>
      <c r="B14" s="231" t="inlineStr">
        <is>
          <t>Do Quang Dau</t>
        </is>
      </c>
      <c r="C14" s="177" t="inlineStr">
        <is>
          <t>Ngô Thị Ngọc Thủy</t>
        </is>
      </c>
      <c r="D14" s="232" t="inlineStr">
        <is>
          <t>Ngo Thi Ngoc Thuy</t>
        </is>
      </c>
      <c r="E14" s="1496">
        <f>VLOOKUP(D14,Med!#REF!,7,0)</f>
        <v/>
      </c>
      <c r="F14" s="1496">
        <f>VLOOKUP(D14,Med!#REF!,8,0)</f>
        <v/>
      </c>
      <c r="G14" s="234">
        <f>VLOOKUP(C14,Med!$D$15:$CG$93,85,0)</f>
        <v/>
      </c>
      <c r="H14" s="232">
        <f>"Med  TT Luong T8.2026 -"&amp;I14&amp;"-"&amp;D14</f>
        <v/>
      </c>
      <c r="I14" s="231" t="inlineStr">
        <is>
          <t>Do Quang Dau</t>
        </is>
      </c>
      <c r="J14" s="235" t="n"/>
    </row>
    <row r="15" hidden="1" ht="18.75" customHeight="1" s="1264">
      <c r="A15" s="230" t="n">
        <v>13</v>
      </c>
      <c r="B15" s="231" t="inlineStr">
        <is>
          <t>Do Quang Dau</t>
        </is>
      </c>
      <c r="C15" s="177" t="inlineStr">
        <is>
          <t>Ngô Thị Thanh Thắm</t>
        </is>
      </c>
      <c r="D15" s="232" t="inlineStr">
        <is>
          <t>Ngo Thi Thanh Tham</t>
        </is>
      </c>
      <c r="E15" s="1496">
        <f>VLOOKUP(D15,Med!C23:J92,7,0)</f>
        <v/>
      </c>
      <c r="F15" s="1496">
        <f>VLOOKUP(D15,Med!C23:J92,8,0)</f>
        <v/>
      </c>
      <c r="G15" s="234">
        <f>VLOOKUP(C15,Med!$D$15:$CG$93,85,0)</f>
        <v/>
      </c>
      <c r="H15" s="232">
        <f>"Med  TT Luong T8.2026 -"&amp;I15&amp;"-"&amp;D15</f>
        <v/>
      </c>
      <c r="I15" s="231" t="inlineStr">
        <is>
          <t>Do Quang Dau</t>
        </is>
      </c>
      <c r="J15" s="235" t="n"/>
    </row>
    <row r="16" ht="18.75" customHeight="1" s="1264">
      <c r="A16" s="230" t="n">
        <v>14</v>
      </c>
      <c r="B16" s="231" t="inlineStr">
        <is>
          <t>Do Quang Dau</t>
        </is>
      </c>
      <c r="C16" s="177" t="inlineStr">
        <is>
          <t>Phạm Thị Diên</t>
        </is>
      </c>
      <c r="D16" s="232" t="inlineStr">
        <is>
          <t>Pham Thi Dien</t>
        </is>
      </c>
      <c r="E16" s="1496">
        <f>VLOOKUP(D16,Med!C30:J31,7,0)</f>
        <v/>
      </c>
      <c r="F16" s="1496">
        <f>VLOOKUP(D16,Med!C30:J31,8,0)</f>
        <v/>
      </c>
      <c r="G16" s="234">
        <f>VLOOKUP(C16,Med!$D$15:$CG$93,85,0)</f>
        <v/>
      </c>
      <c r="H16" s="232">
        <f>"Med  TT Luong T8.2026 -"&amp;I16&amp;"-"&amp;D16</f>
        <v/>
      </c>
      <c r="I16" s="231" t="inlineStr">
        <is>
          <t>Do Quang Dau</t>
        </is>
      </c>
      <c r="J16" s="235" t="n"/>
    </row>
    <row r="17" hidden="1" ht="18.75" customHeight="1" s="1264">
      <c r="A17" s="230" t="n">
        <v>15</v>
      </c>
      <c r="B17" s="231" t="inlineStr">
        <is>
          <t>Do Quang Dau</t>
        </is>
      </c>
      <c r="C17" s="177" t="inlineStr">
        <is>
          <t>Phạm Thị Nghĩa Hương</t>
        </is>
      </c>
      <c r="D17" s="232" t="inlineStr">
        <is>
          <t>Pham Thi Nghia Huong</t>
        </is>
      </c>
      <c r="E17" s="1551">
        <f>VLOOKUP(D17,Med!C25:J92,7,0)</f>
        <v/>
      </c>
      <c r="F17" s="1496">
        <f>VLOOKUP(D17,Med!C25:J92,8,0)</f>
        <v/>
      </c>
      <c r="G17" s="234">
        <f>VLOOKUP(C17,Med!$D$15:$CG$93,85,0)</f>
        <v/>
      </c>
      <c r="H17" s="232">
        <f>"Med  TT Luong T8.2026 -"&amp;I17&amp;"-"&amp;D17</f>
        <v/>
      </c>
      <c r="I17" s="242" t="inlineStr">
        <is>
          <t>Do Quang Dau</t>
        </is>
      </c>
      <c r="J17" s="235" t="n"/>
    </row>
    <row r="18" ht="18.75" customFormat="1" customHeight="1" s="222">
      <c r="A18" s="230" t="n">
        <v>16</v>
      </c>
      <c r="B18" s="231" t="inlineStr">
        <is>
          <t>Do Quang Dau</t>
        </is>
      </c>
      <c r="C18" s="177" t="inlineStr">
        <is>
          <t>Trần Thiên Phát</t>
        </is>
      </c>
      <c r="D18" s="232" t="inlineStr">
        <is>
          <t>Tran Thien Phat</t>
        </is>
      </c>
      <c r="E18" s="1496">
        <f>VLOOKUP(D18,Med!C26:J36,7,0)</f>
        <v/>
      </c>
      <c r="F18" s="1496">
        <f>VLOOKUP(D18,Med!C26:J36,8,0)</f>
        <v/>
      </c>
      <c r="G18" s="234">
        <f>VLOOKUP(C18,Med!$D$15:$CG$93,85,0)</f>
        <v/>
      </c>
      <c r="H18" s="232">
        <f>"Med  TT Luong T8.2026 -"&amp;I18&amp;"-"&amp;D18</f>
        <v/>
      </c>
      <c r="I18" s="232" t="inlineStr">
        <is>
          <t>Do Quang Dau</t>
        </is>
      </c>
      <c r="J18" s="235" t="n"/>
    </row>
    <row r="19" hidden="1" ht="18.75" customFormat="1" customHeight="1" s="222">
      <c r="A19" s="230" t="n">
        <v>17</v>
      </c>
      <c r="B19" s="231" t="inlineStr">
        <is>
          <t>Do Quang Dau</t>
        </is>
      </c>
      <c r="C19" s="177" t="inlineStr">
        <is>
          <t>Đinh Hoài Bảo</t>
        </is>
      </c>
      <c r="D19" s="232" t="inlineStr">
        <is>
          <t>Dinh Hoai Bao</t>
        </is>
      </c>
      <c r="E19" s="1496">
        <f>VLOOKUP(D19,Med!#REF!,7,0)</f>
        <v/>
      </c>
      <c r="F19" s="1496">
        <f>VLOOKUP(D19,Med!#REF!,8,0)</f>
        <v/>
      </c>
      <c r="G19" s="234">
        <f>VLOOKUP(C19,Med!$D$15:$CG$93,85,0)</f>
        <v/>
      </c>
      <c r="H19" s="232">
        <f>"Med  TT Luong T8.2026 -"&amp;I19&amp;"-"&amp;D19</f>
        <v/>
      </c>
      <c r="I19" s="232" t="inlineStr">
        <is>
          <t>Do Quang Dau</t>
        </is>
      </c>
      <c r="J19" s="235" t="n"/>
    </row>
    <row r="20" ht="18.75" customFormat="1" customHeight="1" s="222">
      <c r="A20" s="236" t="n"/>
      <c r="B20" s="237" t="n"/>
      <c r="C20" s="238" t="n"/>
      <c r="D20" s="243" t="n"/>
      <c r="E20" s="243" t="n"/>
      <c r="F20" s="243" t="n"/>
      <c r="G20" s="241">
        <f>SUM(G9:G19)</f>
        <v/>
      </c>
      <c r="H20" s="244" t="n"/>
      <c r="I20" s="237" t="n"/>
      <c r="J20" s="229" t="n"/>
    </row>
    <row r="21" hidden="1" ht="18.75" customFormat="1" customHeight="1" s="223">
      <c r="A21" s="1553" t="n">
        <v>18</v>
      </c>
      <c r="B21" s="232" t="inlineStr">
        <is>
          <t>Minh Chau</t>
        </is>
      </c>
      <c r="C21" s="177" t="inlineStr">
        <is>
          <t>Hoàng Lâm Gia Bảo</t>
        </is>
      </c>
      <c r="D21" s="232" t="inlineStr">
        <is>
          <t>Hoang Lam Gia Bao</t>
        </is>
      </c>
      <c r="E21" s="1496">
        <f>VLOOKUP($D21,Med!C31:J92,7,0)</f>
        <v/>
      </c>
      <c r="F21" s="1496">
        <f>VLOOKUP($D21,Med!C31:J92,8,0)</f>
        <v/>
      </c>
      <c r="G21" s="234">
        <f>VLOOKUP(C21,Med!$D$15:$CG$93,85,0)</f>
        <v/>
      </c>
      <c r="H21" s="232">
        <f>"Med  TT Luong T8.2026 -"&amp;I21&amp;"-"&amp;D21</f>
        <v/>
      </c>
      <c r="I21" s="232" t="inlineStr">
        <is>
          <t>Minh Chau</t>
        </is>
      </c>
      <c r="J21" s="159" t="n"/>
    </row>
    <row r="22" hidden="1" ht="18.75" customFormat="1" customHeight="1" s="223">
      <c r="A22" s="1553" t="n">
        <v>19</v>
      </c>
      <c r="B22" s="232" t="inlineStr">
        <is>
          <t>Minh Chau</t>
        </is>
      </c>
      <c r="C22" s="177" t="inlineStr">
        <is>
          <t>Lê Thị Xuyến</t>
        </is>
      </c>
      <c r="D22" s="232" t="inlineStr">
        <is>
          <t>Le Thi Xuyen</t>
        </is>
      </c>
      <c r="E22" s="1496">
        <f>VLOOKUP($D22,Med!C36:J36,7,0)</f>
        <v/>
      </c>
      <c r="F22" s="1496">
        <f>VLOOKUP($D22,Med!C36:J36,8,0)</f>
        <v/>
      </c>
      <c r="G22" s="234">
        <f>VLOOKUP(C22,Med!$D$15:$CG$93,85,0)</f>
        <v/>
      </c>
      <c r="H22" s="232">
        <f>"Med  TT Luong T8.2026 -"&amp;I22&amp;"-"&amp;D22</f>
        <v/>
      </c>
      <c r="I22" s="232" t="inlineStr">
        <is>
          <t>Minh Chau</t>
        </is>
      </c>
      <c r="J22" s="159" t="n"/>
    </row>
    <row r="23" hidden="1" ht="18.75" customFormat="1" customHeight="1" s="223">
      <c r="A23" s="1553" t="n">
        <v>20</v>
      </c>
      <c r="B23" s="232" t="inlineStr">
        <is>
          <t>Minh Chau</t>
        </is>
      </c>
      <c r="C23" s="177" t="inlineStr">
        <is>
          <t>Nguyễn Ngọc Thùy</t>
        </is>
      </c>
      <c r="D23" s="232" t="inlineStr">
        <is>
          <t>Nguyen Ngoc Thuy</t>
        </is>
      </c>
      <c r="E23" s="1496">
        <f>VLOOKUP($D23,Med!C35:J92,7,0)</f>
        <v/>
      </c>
      <c r="F23" s="1496">
        <f>VLOOKUP($D23,Med!C35:J92,8,0)</f>
        <v/>
      </c>
      <c r="G23" s="234">
        <f>VLOOKUP(C23,Med!$D$15:$CG$93,85,0)</f>
        <v/>
      </c>
      <c r="H23" s="232">
        <f>"Med  TT Luong T8.2026 -"&amp;I23&amp;"-"&amp;D23</f>
        <v/>
      </c>
      <c r="I23" s="232" t="inlineStr">
        <is>
          <t>Minh Chau</t>
        </is>
      </c>
      <c r="J23" s="159" t="n"/>
    </row>
    <row r="24" ht="18.75" customFormat="1" customHeight="1" s="223">
      <c r="A24" s="1553" t="n">
        <v>21</v>
      </c>
      <c r="B24" s="232" t="inlineStr">
        <is>
          <t>Minh Chau</t>
        </is>
      </c>
      <c r="C24" s="177" t="inlineStr">
        <is>
          <t>Nguyễn Ngọc Đài Trang</t>
        </is>
      </c>
      <c r="D24" s="232" t="inlineStr">
        <is>
          <t>Nguyen Ngoc Dai Trang</t>
        </is>
      </c>
      <c r="E24" s="1496">
        <f>VLOOKUP($D24,Med!C36:J44,7,0)</f>
        <v/>
      </c>
      <c r="F24" s="1496">
        <f>VLOOKUP($D24,Med!C36:J44,8,0)</f>
        <v/>
      </c>
      <c r="G24" s="234">
        <f>VLOOKUP(C24,Med!$D$15:$CG$93,85,0)</f>
        <v/>
      </c>
      <c r="H24" s="232">
        <f>"Med  TT Luong T8.2026 -"&amp;I24&amp;"-"&amp;D24</f>
        <v/>
      </c>
      <c r="I24" s="232" t="inlineStr">
        <is>
          <t>Minh Chau</t>
        </is>
      </c>
      <c r="J24" s="159" t="n"/>
    </row>
    <row r="25" ht="18.75" customFormat="1" customHeight="1" s="223">
      <c r="A25" s="1553" t="n">
        <v>22</v>
      </c>
      <c r="B25" s="232" t="inlineStr">
        <is>
          <t>Minh Chau</t>
        </is>
      </c>
      <c r="C25" s="177" t="inlineStr">
        <is>
          <t>Phan Công Vũ Tài</t>
        </is>
      </c>
      <c r="D25" s="232" t="inlineStr">
        <is>
          <t>Phan Cong Vu Tai</t>
        </is>
      </c>
      <c r="E25" s="1496">
        <f>VLOOKUP($D25,Med!C33:J44,7,0)</f>
        <v/>
      </c>
      <c r="F25" s="1496">
        <f>VLOOKUP($D25,Med!C33:J44,8,0)</f>
        <v/>
      </c>
      <c r="G25" s="234">
        <f>VLOOKUP(C25,Med!$D$15:$CG$93,85,0)</f>
        <v/>
      </c>
      <c r="H25" s="232">
        <f>"Med  TT Luong T8.2026 -"&amp;I25&amp;"-"&amp;D25</f>
        <v/>
      </c>
      <c r="I25" s="232" t="inlineStr">
        <is>
          <t>Minh Chau</t>
        </is>
      </c>
      <c r="J25" s="159" t="n"/>
    </row>
    <row r="26" hidden="1" ht="18.75" customHeight="1" s="1264">
      <c r="A26" s="1553" t="n">
        <v>23</v>
      </c>
      <c r="B26" s="232" t="inlineStr">
        <is>
          <t>Minh Chau</t>
        </is>
      </c>
      <c r="C26" s="177" t="inlineStr">
        <is>
          <t>Thái Thùy Linh</t>
        </is>
      </c>
      <c r="D26" s="232" t="inlineStr">
        <is>
          <t>Thai Thuy Linh</t>
        </is>
      </c>
      <c r="E26" s="1496">
        <f>VLOOKUP($D26,Med!C31:J44,7,0)</f>
        <v/>
      </c>
      <c r="F26" s="1496">
        <f>VLOOKUP($D26,Med!C31:J44,8,0)</f>
        <v/>
      </c>
      <c r="G26" s="234">
        <f>VLOOKUP(C26,Med!$D$15:$CG$93,85,0)</f>
        <v/>
      </c>
      <c r="H26" s="232">
        <f>"Med  TT Luong T8.2026 -"&amp;I26&amp;"-"&amp;D26</f>
        <v/>
      </c>
      <c r="I26" s="232" t="inlineStr">
        <is>
          <t>Minh Chau</t>
        </is>
      </c>
      <c r="J26" s="159" t="n"/>
    </row>
    <row r="27" hidden="1" ht="18.75" customHeight="1" s="1264">
      <c r="A27" s="1553" t="n">
        <v>24</v>
      </c>
      <c r="B27" s="232" t="inlineStr">
        <is>
          <t>Minh Chau</t>
        </is>
      </c>
      <c r="C27" s="177" t="inlineStr">
        <is>
          <t>Trịnh Thị Phượng</t>
        </is>
      </c>
      <c r="D27" s="232" t="inlineStr">
        <is>
          <t>Trinh Thi Phuong</t>
        </is>
      </c>
      <c r="E27" s="1496">
        <f>VLOOKUP($D27,Med!C32:J92,7,0)</f>
        <v/>
      </c>
      <c r="F27" s="1496">
        <f>VLOOKUP($D27,Med!C32:J92,8,0)</f>
        <v/>
      </c>
      <c r="G27" s="234">
        <f>VLOOKUP(C27,Med!$D$15:$CG$93,85,0)</f>
        <v/>
      </c>
      <c r="H27" s="232">
        <f>"Med  TT Luong T8.2026 -"&amp;I27&amp;"-"&amp;D27</f>
        <v/>
      </c>
      <c r="I27" s="231" t="inlineStr">
        <is>
          <t>Minh Chau</t>
        </is>
      </c>
      <c r="J27" s="159" t="n"/>
    </row>
    <row r="28" ht="18.75" customHeight="1" s="1264">
      <c r="A28" s="236" t="n"/>
      <c r="B28" s="246" t="n"/>
      <c r="C28" s="238" t="n"/>
      <c r="D28" s="239" t="n"/>
      <c r="E28" s="1552" t="n"/>
      <c r="F28" s="1552" t="n"/>
      <c r="G28" s="241">
        <f>SUM(G21:G27)</f>
        <v/>
      </c>
      <c r="H28" s="239" t="n"/>
      <c r="I28" s="246" t="n"/>
      <c r="J28" s="235" t="n"/>
    </row>
    <row r="29" ht="18.75" customFormat="1" customHeight="1" s="224">
      <c r="A29" s="247" t="n">
        <v>25</v>
      </c>
      <c r="B29" s="231" t="inlineStr">
        <is>
          <t>Le Binh</t>
        </is>
      </c>
      <c r="C29" s="177" t="inlineStr">
        <is>
          <t>Cù Thị Tường Vy</t>
        </is>
      </c>
      <c r="D29" s="232" t="inlineStr">
        <is>
          <t>Cu Thi Tuong Vy</t>
        </is>
      </c>
      <c r="E29" s="1551">
        <f>VLOOKUP($D29,Med!C37:J92,7,0)</f>
        <v/>
      </c>
      <c r="F29" s="1496">
        <f>VLOOKUP($D29,Med!C37:J92,8,0)</f>
        <v/>
      </c>
      <c r="G29" s="234">
        <f>VLOOKUP(C29,Med!$D$15:$CG$93,85,0)</f>
        <v/>
      </c>
      <c r="H29" s="232">
        <f>"Med  TT Luong T8.2026 -"&amp;I29&amp;"-"&amp;D29</f>
        <v/>
      </c>
      <c r="I29" s="231" t="inlineStr">
        <is>
          <t>Le Binh</t>
        </is>
      </c>
      <c r="J29" s="159" t="n"/>
    </row>
    <row r="30" hidden="1" ht="18.75" customFormat="1" customHeight="1" s="224">
      <c r="A30" s="247" t="n">
        <v>26</v>
      </c>
      <c r="B30" s="231" t="inlineStr">
        <is>
          <t>Le Binh</t>
        </is>
      </c>
      <c r="C30" s="177" t="inlineStr">
        <is>
          <t>Hoàng Lâm Gia Bảo</t>
        </is>
      </c>
      <c r="D30" s="232" t="inlineStr">
        <is>
          <t>Hoang Lam Gia Bao</t>
        </is>
      </c>
      <c r="E30" s="1496">
        <f>VLOOKUP($D30,Med!C41:J45,7,0)</f>
        <v/>
      </c>
      <c r="F30" s="1496">
        <f>VLOOKUP($D30,Med!C41:J45,8,0)</f>
        <v/>
      </c>
      <c r="G30" s="234">
        <f>VLOOKUP(C30,Med!$D$15:$CG$93,85,0)</f>
        <v/>
      </c>
      <c r="H30" s="232">
        <f>"Med  TT Luong T8.2026 -"&amp;I30&amp;"-"&amp;D30</f>
        <v/>
      </c>
      <c r="I30" s="231" t="inlineStr">
        <is>
          <t>Le Binh</t>
        </is>
      </c>
      <c r="J30" s="159" t="n"/>
    </row>
    <row r="31" hidden="1" ht="18.75" customFormat="1" customHeight="1" s="224">
      <c r="A31" s="247" t="n">
        <v>27</v>
      </c>
      <c r="B31" s="231" t="inlineStr">
        <is>
          <t>Le Binh</t>
        </is>
      </c>
      <c r="C31" s="177" t="inlineStr">
        <is>
          <t>Hồ Thị Minh Hòa</t>
        </is>
      </c>
      <c r="D31" s="232" t="inlineStr">
        <is>
          <t>Ho Thi Minh Hoa</t>
        </is>
      </c>
      <c r="E31" s="1496">
        <f>VLOOKUP($D31,Med!C37:J49,7,0)</f>
        <v/>
      </c>
      <c r="F31" s="1496">
        <f>VLOOKUP($D31,Med!C37:J49,8,0)</f>
        <v/>
      </c>
      <c r="G31" s="234">
        <f>VLOOKUP(C31,Med!$D$15:$CG$93,85,0)</f>
        <v/>
      </c>
      <c r="H31" s="232">
        <f>"Med  TT Luong T8.2026 -"&amp;I31&amp;"-"&amp;D31</f>
        <v/>
      </c>
      <c r="I31" s="231" t="inlineStr">
        <is>
          <t>Le Binh</t>
        </is>
      </c>
      <c r="J31" s="159" t="n"/>
    </row>
    <row r="32" hidden="1" ht="18.75" customFormat="1" customHeight="1" s="224">
      <c r="A32" s="247" t="n">
        <v>28</v>
      </c>
      <c r="B32" s="231" t="inlineStr">
        <is>
          <t>Le Binh</t>
        </is>
      </c>
      <c r="C32" s="177" t="inlineStr">
        <is>
          <t>Lê Thị Xuyến</t>
        </is>
      </c>
      <c r="D32" s="232" t="inlineStr">
        <is>
          <t>Le Thi Xuyen</t>
        </is>
      </c>
      <c r="E32" s="1496">
        <f>VLOOKUP($D32,Med!C39:J47,7,0)</f>
        <v/>
      </c>
      <c r="F32" s="1496">
        <f>VLOOKUP($D32,Med!C39:J47,8,0)</f>
        <v/>
      </c>
      <c r="G32" s="234">
        <f>VLOOKUP(C32,Med!$D$15:$CG$93,85,0)</f>
        <v/>
      </c>
      <c r="H32" s="232">
        <f>"Med  TT Luong T8.2026 -"&amp;I32&amp;"-"&amp;D32</f>
        <v/>
      </c>
      <c r="I32" s="231" t="inlineStr">
        <is>
          <t>Le Binh</t>
        </is>
      </c>
      <c r="J32" s="159" t="n"/>
    </row>
    <row r="33" ht="18.75" customFormat="1" customHeight="1" s="224">
      <c r="A33" s="247" t="n">
        <v>29</v>
      </c>
      <c r="B33" s="231" t="inlineStr">
        <is>
          <t>Le Binh</t>
        </is>
      </c>
      <c r="C33" s="177" t="inlineStr">
        <is>
          <t>Phan Công Vũ Tài</t>
        </is>
      </c>
      <c r="D33" s="232" t="inlineStr">
        <is>
          <t>Phan Cong Vu Tai</t>
        </is>
      </c>
      <c r="E33" s="1496">
        <f>VLOOKUP($D33,Med!C45:J50,7,0)</f>
        <v/>
      </c>
      <c r="F33" s="1496">
        <f>VLOOKUP($D33,Med!C45:J50,8,0)</f>
        <v/>
      </c>
      <c r="G33" s="234">
        <f>VLOOKUP(C33,Med!$D$15:$CG$93,85,0)</f>
        <v/>
      </c>
      <c r="H33" s="232">
        <f>"Med  TT Luong T8.2026 -"&amp;I33&amp;"-"&amp;D33</f>
        <v/>
      </c>
      <c r="I33" s="231" t="inlineStr">
        <is>
          <t>Le Binh</t>
        </is>
      </c>
      <c r="J33" s="159" t="n"/>
    </row>
    <row r="34" hidden="1" ht="18.75" customFormat="1" customHeight="1" s="224">
      <c r="A34" s="247" t="n">
        <v>30</v>
      </c>
      <c r="B34" s="231" t="inlineStr">
        <is>
          <t>Le Binh</t>
        </is>
      </c>
      <c r="C34" s="177" t="inlineStr">
        <is>
          <t>Trần Thị Phương Thùy</t>
        </is>
      </c>
      <c r="D34" s="232" t="inlineStr">
        <is>
          <t>Tran Thi Phuong Thuy</t>
        </is>
      </c>
      <c r="E34" s="1551">
        <f>VLOOKUP($D34,Med!C44:J50,7,0)</f>
        <v/>
      </c>
      <c r="F34" s="1496">
        <f>VLOOKUP($D34,Med!C44:J50,8,0)</f>
        <v/>
      </c>
      <c r="G34" s="234">
        <f>VLOOKUP(C34,Med!$D$15:$CG$93,85,0)</f>
        <v/>
      </c>
      <c r="H34" s="232">
        <f>"Med  TT Luong T8.2026 -"&amp;I34&amp;"-"&amp;D34</f>
        <v/>
      </c>
      <c r="I34" s="231" t="inlineStr">
        <is>
          <t>Le Binh</t>
        </is>
      </c>
      <c r="J34" s="159" t="n"/>
    </row>
    <row r="35" hidden="1" ht="18.75" customFormat="1" customHeight="1" s="224">
      <c r="A35" s="247" t="n">
        <v>31</v>
      </c>
      <c r="B35" s="231" t="inlineStr">
        <is>
          <t>Le Binh</t>
        </is>
      </c>
      <c r="C35" s="177" t="inlineStr">
        <is>
          <t>Đinh Hoài Bảo</t>
        </is>
      </c>
      <c r="D35" s="232" t="inlineStr">
        <is>
          <t>Dinh Hoai Bao</t>
        </is>
      </c>
      <c r="E35" s="1496">
        <f>VLOOKUP($D35,Med!C40:J50,7,0)</f>
        <v/>
      </c>
      <c r="F35" s="1496">
        <f>VLOOKUP($D35,Med!C40:J50,8,0)</f>
        <v/>
      </c>
      <c r="G35" s="234">
        <f>VLOOKUP(C35,Med!$D$15:$CG$93,85,0)</f>
        <v/>
      </c>
      <c r="H35" s="232">
        <f>"Med  TT Luong T8.2026 -"&amp;I35&amp;"-"&amp;D35</f>
        <v/>
      </c>
      <c r="I35" s="231" t="inlineStr">
        <is>
          <t>Le Binh</t>
        </is>
      </c>
      <c r="J35" s="159" t="n"/>
    </row>
    <row r="36" ht="18.75" customHeight="1" s="1264">
      <c r="A36" s="236" t="n"/>
      <c r="B36" s="246" t="n"/>
      <c r="C36" s="238" t="n"/>
      <c r="D36" s="239" t="n"/>
      <c r="E36" s="1552" t="n"/>
      <c r="F36" s="1552" t="n"/>
      <c r="G36" s="241">
        <f>SUM(G29:G35)</f>
        <v/>
      </c>
      <c r="H36" s="239" t="n"/>
      <c r="I36" s="246" t="n"/>
      <c r="J36" s="235" t="n"/>
    </row>
    <row r="37" hidden="1" ht="18.75" customFormat="1" customHeight="1" s="224">
      <c r="A37" s="248" t="n">
        <v>32</v>
      </c>
      <c r="B37" s="231" t="inlineStr">
        <is>
          <t>Nam Hoa</t>
        </is>
      </c>
      <c r="C37" s="177" t="inlineStr">
        <is>
          <t>Bùi Thị Thanh Thủy</t>
        </is>
      </c>
      <c r="D37" s="232" t="inlineStr">
        <is>
          <t>Bui Thi Thanh Thuy</t>
        </is>
      </c>
      <c r="E37" s="1551">
        <f>VLOOKUP($D37,Med!C46:J92,7,0)</f>
        <v/>
      </c>
      <c r="F37" s="1496">
        <f>VLOOKUP($D37,Med!C46:J92,8,0)</f>
        <v/>
      </c>
      <c r="G37" s="234">
        <f>VLOOKUP(C37,Med!$D$15:$CG$93,85,0)</f>
        <v/>
      </c>
      <c r="H37" s="232">
        <f>"Med  TT Luong T8.2026 -"&amp;I37&amp;"-"&amp;D37</f>
        <v/>
      </c>
      <c r="I37" s="231" t="inlineStr">
        <is>
          <t>Nam Hoa</t>
        </is>
      </c>
      <c r="J37" s="159" t="n"/>
    </row>
    <row r="38" hidden="1" ht="18.75" customFormat="1" customHeight="1" s="224">
      <c r="A38" s="248" t="n">
        <v>33</v>
      </c>
      <c r="B38" s="231" t="inlineStr">
        <is>
          <t>Nam Hoa</t>
        </is>
      </c>
      <c r="C38" s="177" t="inlineStr">
        <is>
          <t>Hoàng Lâm Gia Bảo</t>
        </is>
      </c>
      <c r="D38" s="232" t="inlineStr">
        <is>
          <t>Hoang Lam Gia Bao</t>
        </is>
      </c>
      <c r="E38" s="1496">
        <f>VLOOKUP($D38,Med!C47:J53,7,0)</f>
        <v/>
      </c>
      <c r="F38" s="1496">
        <f>VLOOKUP($D38,Med!C47:J53,8,0)</f>
        <v/>
      </c>
      <c r="G38" s="234">
        <f>VLOOKUP(C38,Med!$D$15:$CG$93,85,0)</f>
        <v/>
      </c>
      <c r="H38" s="232">
        <f>"Med  TT Luong T8.2026 -"&amp;I38&amp;"-"&amp;D38</f>
        <v/>
      </c>
      <c r="I38" s="231" t="inlineStr">
        <is>
          <t>Nam Hoa</t>
        </is>
      </c>
      <c r="J38" s="159" t="n"/>
    </row>
    <row r="39" ht="18.75" customFormat="1" customHeight="1" s="224">
      <c r="A39" s="248" t="n">
        <v>34</v>
      </c>
      <c r="B39" s="231" t="inlineStr">
        <is>
          <t>Nam Hoa</t>
        </is>
      </c>
      <c r="C39" s="177" t="inlineStr">
        <is>
          <t>Hạ Ngân Khánh</t>
        </is>
      </c>
      <c r="D39" s="232" t="inlineStr">
        <is>
          <t>Ha Ngan Khanh</t>
        </is>
      </c>
      <c r="E39" s="1496">
        <f>VLOOKUP($D39,Med!C50:J54,7,0)</f>
        <v/>
      </c>
      <c r="F39" s="1496">
        <f>VLOOKUP($D39,Med!C50:J54,8,0)</f>
        <v/>
      </c>
      <c r="G39" s="234">
        <f>VLOOKUP(C39,Med!$D$15:$CG$93,85,0)</f>
        <v/>
      </c>
      <c r="H39" s="232">
        <f>"Med  TT Luong T8.2026 -"&amp;I39&amp;"-"&amp;D39</f>
        <v/>
      </c>
      <c r="I39" s="231" t="inlineStr">
        <is>
          <t>Nam Hoa</t>
        </is>
      </c>
      <c r="J39" s="159" t="n"/>
    </row>
    <row r="40" hidden="1" ht="18.75" customFormat="1" customHeight="1" s="224">
      <c r="A40" s="248" t="n">
        <v>35</v>
      </c>
      <c r="B40" s="231" t="inlineStr">
        <is>
          <t>Nam Hoa</t>
        </is>
      </c>
      <c r="C40" s="177" t="inlineStr">
        <is>
          <t>Đỗ Thị Kim Tiến</t>
        </is>
      </c>
      <c r="D40" s="232" t="inlineStr">
        <is>
          <t>Do Thi Kim Tien</t>
        </is>
      </c>
      <c r="E40" s="1496">
        <f>VLOOKUP($D40,Med!C48:J55,7,0)</f>
        <v/>
      </c>
      <c r="F40" s="1496">
        <f>VLOOKUP($D40,Med!C48:J55,8,0)</f>
        <v/>
      </c>
      <c r="G40" s="234">
        <f>VLOOKUP(C40,Med!$D$15:$CG$93,85,0)</f>
        <v/>
      </c>
      <c r="H40" s="232">
        <f>"Med  TT Luong T8.2026 -"&amp;I40&amp;"-"&amp;D40</f>
        <v/>
      </c>
      <c r="I40" s="231" t="inlineStr">
        <is>
          <t>Nam Hoa</t>
        </is>
      </c>
      <c r="J40" s="159" t="n"/>
    </row>
    <row r="41" hidden="1" ht="18.75" customFormat="1" customHeight="1" s="224">
      <c r="A41" s="248" t="n">
        <v>36</v>
      </c>
      <c r="B41" s="231" t="inlineStr">
        <is>
          <t>Nam Hoa</t>
        </is>
      </c>
      <c r="C41" s="177" t="inlineStr">
        <is>
          <t>Nguyễn Thị Huyền Trang</t>
        </is>
      </c>
      <c r="D41" s="232" t="inlineStr">
        <is>
          <t>Nguyen Thi Huyen Trang</t>
        </is>
      </c>
      <c r="E41" s="1496">
        <f>VLOOKUP($D41,Med!C50:J92,7,0)</f>
        <v/>
      </c>
      <c r="F41" s="1496">
        <f>VLOOKUP($D41,Med!C50:J92,8,0)</f>
        <v/>
      </c>
      <c r="G41" s="234">
        <f>VLOOKUP(C41,Med!$D$15:$CG$93,85,0)</f>
        <v/>
      </c>
      <c r="H41" s="232">
        <f>"Med  TT Luong T8.2026 -"&amp;I41&amp;"-"&amp;D41</f>
        <v/>
      </c>
      <c r="I41" s="231" t="inlineStr">
        <is>
          <t>Nam Hoa</t>
        </is>
      </c>
      <c r="J41" s="159" t="n"/>
    </row>
    <row r="42" ht="18.75" customFormat="1" customHeight="1" s="222">
      <c r="A42" s="248" t="n">
        <v>37</v>
      </c>
      <c r="B42" s="231" t="inlineStr">
        <is>
          <t>Nam Hoa</t>
        </is>
      </c>
      <c r="C42" s="177" t="inlineStr">
        <is>
          <t>Nguyễn Trí Nghĩa</t>
        </is>
      </c>
      <c r="D42" s="232" t="inlineStr">
        <is>
          <t>Nguyen Tri Nghia</t>
        </is>
      </c>
      <c r="E42" s="1496">
        <f>VLOOKUP($D42,Med!C53:J92,7,0)</f>
        <v/>
      </c>
      <c r="F42" s="1496">
        <f>VLOOKUP($D42,Med!C53:J92,8,0)</f>
        <v/>
      </c>
      <c r="G42" s="234">
        <f>VLOOKUP(C42,Med!$D$15:$CG$93,85,0)</f>
        <v/>
      </c>
      <c r="H42" s="232">
        <f>"Med  TT Luong T8.2026 -"&amp;I42&amp;"-"&amp;D42</f>
        <v/>
      </c>
      <c r="I42" s="231" t="inlineStr">
        <is>
          <t>Nam Hoa</t>
        </is>
      </c>
      <c r="J42" s="159" t="n"/>
    </row>
    <row r="43" ht="18.75" customFormat="1" customHeight="1" s="222">
      <c r="A43" s="248" t="n">
        <v>38</v>
      </c>
      <c r="B43" s="231" t="inlineStr">
        <is>
          <t>Nam Hoa</t>
        </is>
      </c>
      <c r="C43" s="177" t="inlineStr">
        <is>
          <t>Phan Công Vũ Tài</t>
        </is>
      </c>
      <c r="D43" s="232" t="inlineStr">
        <is>
          <t>Phan Cong Vu Tai</t>
        </is>
      </c>
      <c r="E43" s="1496">
        <f>VLOOKUP($D43,Med!C51:J59,7,0)</f>
        <v/>
      </c>
      <c r="F43" s="1496">
        <f>VLOOKUP($D43,Med!C51:J59,8,0)</f>
        <v/>
      </c>
      <c r="G43" s="234">
        <f>VLOOKUP(C43,Med!$D$15:$CG$93,85,0)</f>
        <v/>
      </c>
      <c r="H43" s="232">
        <f>"Med  TT Luong T8.2026 -"&amp;I43&amp;"-"&amp;D43</f>
        <v/>
      </c>
      <c r="I43" s="231" t="inlineStr">
        <is>
          <t>Nam Hoa</t>
        </is>
      </c>
      <c r="J43" s="159" t="n"/>
    </row>
    <row r="44" ht="18.75" customHeight="1" s="1264">
      <c r="A44" s="248" t="n">
        <v>39</v>
      </c>
      <c r="B44" s="231" t="inlineStr">
        <is>
          <t>Nam Hoa</t>
        </is>
      </c>
      <c r="C44" s="177" t="inlineStr">
        <is>
          <t>Phạm Thị Diên</t>
        </is>
      </c>
      <c r="D44" s="232" t="inlineStr">
        <is>
          <t>Pham Thi Dien</t>
        </is>
      </c>
      <c r="E44" s="1496">
        <f>VLOOKUP($D44,Med!#REF!,7,0)</f>
        <v/>
      </c>
      <c r="F44" s="1496">
        <f>VLOOKUP($D44,Med!#REF!,8,0)</f>
        <v/>
      </c>
      <c r="G44" s="234">
        <f>VLOOKUP(C44,Med!$D$15:$CG$93,85,0)</f>
        <v/>
      </c>
      <c r="H44" s="232">
        <f>"Med  TT Luong T8.2026 -"&amp;I44&amp;"-"&amp;D44</f>
        <v/>
      </c>
      <c r="I44" s="231" t="inlineStr">
        <is>
          <t>Nam Hoa</t>
        </is>
      </c>
      <c r="J44" s="159" t="n"/>
    </row>
    <row r="45" hidden="1" ht="18.75" customHeight="1" s="1264">
      <c r="A45" s="248" t="n">
        <v>40</v>
      </c>
      <c r="B45" s="231" t="inlineStr">
        <is>
          <t>Nam Hoa</t>
        </is>
      </c>
      <c r="C45" s="177" t="inlineStr">
        <is>
          <t>Trần Thị Ánh Nguyệt</t>
        </is>
      </c>
      <c r="D45" s="232" t="inlineStr">
        <is>
          <t>Tran Thi Anh Nguyet</t>
        </is>
      </c>
      <c r="E45" s="1551">
        <f>VLOOKUP($D45,Med!C47:J92,7,0)</f>
        <v/>
      </c>
      <c r="F45" s="1496">
        <f>VLOOKUP($D45,Med!C47:J92,8,0)</f>
        <v/>
      </c>
      <c r="G45" s="234">
        <f>VLOOKUP(C45,Med!$D$15:$CG$93,85,0)</f>
        <v/>
      </c>
      <c r="H45" s="232">
        <f>"Med  TT Luong T8.2026 -"&amp;I45&amp;"-"&amp;D45</f>
        <v/>
      </c>
      <c r="I45" s="231" t="inlineStr">
        <is>
          <t>Nam Hoa</t>
        </is>
      </c>
      <c r="J45" s="159" t="n"/>
    </row>
    <row r="46" ht="18.75" customHeight="1" s="1264">
      <c r="A46" s="248" t="n">
        <v>41</v>
      </c>
      <c r="B46" s="231" t="inlineStr">
        <is>
          <t>Nam Hoa</t>
        </is>
      </c>
      <c r="C46" s="177" t="inlineStr">
        <is>
          <t>Đỗ Thị Thu Hương</t>
        </is>
      </c>
      <c r="D46" s="232" t="inlineStr">
        <is>
          <t>Do Thi Thu Huong</t>
        </is>
      </c>
      <c r="E46" s="1496">
        <f>VLOOKUP($D46,Med!C60:J60,7,0)</f>
        <v/>
      </c>
      <c r="F46" s="1496">
        <f>VLOOKUP($D46,Med!C60:J60,8,0)</f>
        <v/>
      </c>
      <c r="G46" s="234">
        <f>VLOOKUP(C46,Med!$D$15:$CG$93,85,0)</f>
        <v/>
      </c>
      <c r="H46" s="232">
        <f>"Med  TT Luong T8.2026 -"&amp;I46&amp;"-"&amp;D46</f>
        <v/>
      </c>
      <c r="I46" s="231" t="inlineStr">
        <is>
          <t>Nam Hoa</t>
        </is>
      </c>
      <c r="J46" s="159" t="n"/>
    </row>
    <row r="47" ht="18.75" customFormat="1" customHeight="1" s="223">
      <c r="A47" s="236" t="n"/>
      <c r="B47" s="239" t="n"/>
      <c r="C47" s="238" t="n"/>
      <c r="D47" s="239" t="n"/>
      <c r="E47" s="1552" t="n"/>
      <c r="F47" s="1552" t="n"/>
      <c r="G47" s="241">
        <f>SUM(G37:G46)</f>
        <v/>
      </c>
      <c r="H47" s="239" t="n"/>
      <c r="I47" s="239" t="n"/>
      <c r="J47" s="159" t="n"/>
    </row>
    <row r="48" hidden="1" ht="18.75" customHeight="1" s="1264">
      <c r="A48" s="230" t="n">
        <v>42</v>
      </c>
      <c r="B48" s="231" t="inlineStr">
        <is>
          <t>Nguyen Chi Thanh</t>
        </is>
      </c>
      <c r="C48" s="177" t="inlineStr">
        <is>
          <t>Lê Thị Quỳnh Trâm</t>
        </is>
      </c>
      <c r="D48" s="232" t="inlineStr">
        <is>
          <t>Le Thi Quynh Tram</t>
        </is>
      </c>
      <c r="E48" s="1496">
        <f>VLOOKUP($D48,Med!C54:J92,7,0)</f>
        <v/>
      </c>
      <c r="F48" s="1496">
        <f>VLOOKUP($D48,Med!C54:J92,8,0)</f>
        <v/>
      </c>
      <c r="G48" s="234">
        <f>VLOOKUP(C48,Med!$D$15:$CG$93,85,0)</f>
        <v/>
      </c>
      <c r="H48" s="232">
        <f>"Med  TT Luong T8.2026 -"&amp;I48&amp;"-"&amp;D48</f>
        <v/>
      </c>
      <c r="I48" s="231" t="inlineStr">
        <is>
          <t>Nguyen Chi Thanh</t>
        </is>
      </c>
      <c r="J48" s="159" t="n"/>
    </row>
    <row r="49" hidden="1" ht="18.75" customFormat="1" customHeight="1" s="222">
      <c r="A49" s="230" t="n">
        <v>43</v>
      </c>
      <c r="B49" s="231" t="inlineStr">
        <is>
          <t>Nguyen Chi Thanh</t>
        </is>
      </c>
      <c r="C49" s="177" t="inlineStr">
        <is>
          <t>Nguyễn Thị Hồng Hạnh</t>
        </is>
      </c>
      <c r="D49" s="232" t="inlineStr">
        <is>
          <t>Nguyen Thi Hong Hanh</t>
        </is>
      </c>
      <c r="E49" s="1496">
        <f>VLOOKUP($D49,Med!C55:J60,7,0)</f>
        <v/>
      </c>
      <c r="F49" s="1496">
        <f>VLOOKUP($D49,Med!C55:J60,8,0)</f>
        <v/>
      </c>
      <c r="G49" s="234">
        <f>VLOOKUP(C49,Med!$D$15:$CG$93,85,0)</f>
        <v/>
      </c>
      <c r="H49" s="232">
        <f>"Med  TT Luong T8.2026 -"&amp;I49&amp;"-"&amp;D49</f>
        <v/>
      </c>
      <c r="I49" s="231" t="inlineStr">
        <is>
          <t>Nguyen Chi Thanh</t>
        </is>
      </c>
      <c r="J49" s="159" t="n"/>
      <c r="K49" s="226" t="n"/>
    </row>
    <row r="50" ht="18.75" customHeight="1" s="1264">
      <c r="A50" s="230" t="n">
        <v>44</v>
      </c>
      <c r="B50" s="231" t="inlineStr">
        <is>
          <t>Nguyen Chi Thanh</t>
        </is>
      </c>
      <c r="C50" s="177" t="inlineStr">
        <is>
          <t>Nguyễn Trí Nghĩa</t>
        </is>
      </c>
      <c r="D50" s="232" t="inlineStr">
        <is>
          <t>Nguyen Tri Nghia</t>
        </is>
      </c>
      <c r="E50" s="1496">
        <f>VLOOKUP($D50,Med!C56:J67,7,0)</f>
        <v/>
      </c>
      <c r="F50" s="1496">
        <f>VLOOKUP($D50,Med!C56:J67,8,0)</f>
        <v/>
      </c>
      <c r="G50" s="234">
        <f>VLOOKUP(C50,Med!$D$15:$CG$93,85,0)</f>
        <v/>
      </c>
      <c r="H50" s="232">
        <f>"Med  TT Luong T8.2026 -"&amp;I50&amp;"-"&amp;D50</f>
        <v/>
      </c>
      <c r="I50" s="231" t="inlineStr">
        <is>
          <t>Nguyen Chi Thanh</t>
        </is>
      </c>
      <c r="J50" s="159" t="n"/>
    </row>
    <row r="51" ht="18.75" customHeight="1" s="1264">
      <c r="A51" s="230" t="n">
        <v>45</v>
      </c>
      <c r="B51" s="231" t="inlineStr">
        <is>
          <t>Nguyen Chi Thanh</t>
        </is>
      </c>
      <c r="C51" s="177" t="inlineStr">
        <is>
          <t>Nguyễn Đăng An</t>
        </is>
      </c>
      <c r="D51" s="232" t="inlineStr">
        <is>
          <t>Nguyen Dang An</t>
        </is>
      </c>
      <c r="E51" s="1496">
        <f>VLOOKUP($D51,Med!C60:J68,7,0)</f>
        <v/>
      </c>
      <c r="F51" s="1496">
        <f>VLOOKUP($D51,Med!C60:J68,8,0)</f>
        <v/>
      </c>
      <c r="G51" s="234">
        <f>VLOOKUP(C51,Med!$D$15:$CG$93,85,0)</f>
        <v/>
      </c>
      <c r="H51" s="232">
        <f>"Med  TT Luong T8.2026 -"&amp;I51&amp;"-"&amp;D51</f>
        <v/>
      </c>
      <c r="I51" s="231" t="inlineStr">
        <is>
          <t>Nguyen Chi Thanh</t>
        </is>
      </c>
      <c r="J51" s="159" t="n"/>
    </row>
    <row r="52" hidden="1" ht="18.75" customFormat="1" customHeight="1" s="222">
      <c r="A52" s="230" t="n">
        <v>46</v>
      </c>
      <c r="B52" s="231" t="inlineStr">
        <is>
          <t>Nguyen Chi Thanh</t>
        </is>
      </c>
      <c r="C52" s="177" t="inlineStr">
        <is>
          <t>Trần Hoàng Khánh</t>
        </is>
      </c>
      <c r="D52" s="232" t="inlineStr">
        <is>
          <t>Tran Hoang Khanh</t>
        </is>
      </c>
      <c r="E52" s="1496">
        <f>VLOOKUP($D52,Med!C56:J68,7,0)</f>
        <v/>
      </c>
      <c r="F52" s="1496">
        <f>VLOOKUP($D52,Med!C56:J68,8,0)</f>
        <v/>
      </c>
      <c r="G52" s="234">
        <f>VLOOKUP(C52,Med!$D$15:$CG$93,85,0)</f>
        <v/>
      </c>
      <c r="H52" s="232">
        <f>"Med  TT Luong T8.2026 -"&amp;I52&amp;"-"&amp;D52</f>
        <v/>
      </c>
      <c r="I52" s="231" t="inlineStr">
        <is>
          <t>Nguyen Chi Thanh</t>
        </is>
      </c>
      <c r="J52" s="159" t="n"/>
      <c r="K52" s="226" t="n"/>
    </row>
    <row r="53" hidden="1" ht="18.75" customFormat="1" customHeight="1" s="222">
      <c r="A53" s="230" t="n">
        <v>47</v>
      </c>
      <c r="B53" s="231" t="inlineStr">
        <is>
          <t>Nguyen Chi Thanh</t>
        </is>
      </c>
      <c r="C53" s="177" t="inlineStr">
        <is>
          <t>Trần Thị Phương Thùy</t>
        </is>
      </c>
      <c r="D53" s="232" t="inlineStr">
        <is>
          <t>Tran Thi Phuong Thuy</t>
        </is>
      </c>
      <c r="E53" s="1496">
        <f>VLOOKUP($D53,Med!C60:J68,7,0)</f>
        <v/>
      </c>
      <c r="F53" s="1496">
        <f>VLOOKUP($D53,Med!C60:J68,8,0)</f>
        <v/>
      </c>
      <c r="G53" s="234">
        <f>VLOOKUP(C53,Med!$D$15:$CG$93,85,0)</f>
        <v/>
      </c>
      <c r="H53" s="232">
        <f>"Med  TT Luong T8.2026 -"&amp;I53&amp;"-"&amp;D53</f>
        <v/>
      </c>
      <c r="I53" s="231" t="inlineStr">
        <is>
          <t>Nguyen Chi Thanh</t>
        </is>
      </c>
      <c r="J53" s="159" t="n"/>
      <c r="K53" s="226" t="n"/>
    </row>
    <row r="54" hidden="1" ht="18.75" customHeight="1" s="1264">
      <c r="A54" s="230" t="n">
        <v>48</v>
      </c>
      <c r="B54" s="231" t="inlineStr">
        <is>
          <t>Nguyen Chi Thanh</t>
        </is>
      </c>
      <c r="C54" s="177" t="inlineStr">
        <is>
          <t>Đỗ Thị Phương Thảo</t>
        </is>
      </c>
      <c r="D54" s="232" t="inlineStr">
        <is>
          <t>Do Thi Phuong Thao</t>
        </is>
      </c>
      <c r="E54" s="1496">
        <f>VLOOKUP($D54,Med!C59:J68,7,0)</f>
        <v/>
      </c>
      <c r="F54" s="1496">
        <f>VLOOKUP($D54,Med!C59:J68,8,0)</f>
        <v/>
      </c>
      <c r="G54" s="234">
        <f>VLOOKUP(C54,Med!$D$15:$CG$93,85,0)</f>
        <v/>
      </c>
      <c r="H54" s="232">
        <f>"Med  TT Luong T8.2026 -"&amp;I54&amp;"-"&amp;D54</f>
        <v/>
      </c>
      <c r="I54" s="231" t="inlineStr">
        <is>
          <t>Nguyen Chi Thanh</t>
        </is>
      </c>
      <c r="J54" s="159" t="n"/>
    </row>
    <row r="55" ht="18.75" customHeight="1" s="1264">
      <c r="A55" s="236" t="n"/>
      <c r="B55" s="246" t="n"/>
      <c r="C55" s="238" t="n"/>
      <c r="D55" s="244" t="n"/>
      <c r="E55" s="1552" t="n"/>
      <c r="F55" s="1552" t="n"/>
      <c r="G55" s="241">
        <f>SUM(G48:G54)</f>
        <v/>
      </c>
      <c r="H55" s="239" t="n"/>
      <c r="I55" s="246" t="n"/>
      <c r="J55" s="235" t="n"/>
    </row>
    <row r="56" hidden="1" ht="18.75" customFormat="1" customHeight="1" s="222">
      <c r="A56" s="230" t="n">
        <v>49</v>
      </c>
      <c r="B56" s="231" t="inlineStr">
        <is>
          <t>Nguyen Thi Thap</t>
        </is>
      </c>
      <c r="C56" s="177" t="inlineStr">
        <is>
          <t>Bùi Thị Bích Trâm</t>
        </is>
      </c>
      <c r="D56" s="232" t="inlineStr">
        <is>
          <t>Bui Thi Bich Tram</t>
        </is>
      </c>
      <c r="E56" s="1496">
        <f>VLOOKUP($D56,Med!C68:J1055,7,0)</f>
        <v/>
      </c>
      <c r="F56" s="1496">
        <f>VLOOKUP($D56,Med!C68:J1055,8,0)</f>
        <v/>
      </c>
      <c r="G56" s="234">
        <f>VLOOKUP(C56,Med!$D$15:$CG$93,85,0)</f>
        <v/>
      </c>
      <c r="H56" s="232">
        <f>"Med  TT Luong T8.2026 -"&amp;I56&amp;"-"&amp;D56</f>
        <v/>
      </c>
      <c r="I56" s="231" t="inlineStr">
        <is>
          <t>Nguyen Thi Thap</t>
        </is>
      </c>
      <c r="J56" s="159" t="n"/>
    </row>
    <row r="57" hidden="1" ht="18.75" customFormat="1" customHeight="1" s="222">
      <c r="A57" s="230" t="n">
        <v>50</v>
      </c>
      <c r="B57" s="231" t="inlineStr">
        <is>
          <t>Nguyen Thi Thap</t>
        </is>
      </c>
      <c r="C57" s="177" t="inlineStr">
        <is>
          <t>Cao Trọng Nhân</t>
        </is>
      </c>
      <c r="D57" s="232" t="inlineStr">
        <is>
          <t>Cao Trong Nhan</t>
        </is>
      </c>
      <c r="E57" s="1496">
        <f>VLOOKUP($D57,Med!C63:J1056,7,0)</f>
        <v/>
      </c>
      <c r="F57" s="1496">
        <f>VLOOKUP($D57,Med!C63:J1056,8,0)</f>
        <v/>
      </c>
      <c r="G57" s="234">
        <f>VLOOKUP(C57,Med!$D$15:$CG$93,85,0)</f>
        <v/>
      </c>
      <c r="H57" s="232">
        <f>"Med  TT Luong T8.2026 -"&amp;I57&amp;"-"&amp;D57</f>
        <v/>
      </c>
      <c r="I57" s="231" t="inlineStr">
        <is>
          <t>Nguyen Thi Thap</t>
        </is>
      </c>
      <c r="J57" s="159" t="n"/>
    </row>
    <row r="58" ht="18.75" customFormat="1" customHeight="1" s="222">
      <c r="A58" s="230" t="n">
        <v>51</v>
      </c>
      <c r="B58" s="231" t="inlineStr">
        <is>
          <t>Nguyen Thi Thap</t>
        </is>
      </c>
      <c r="C58" s="177" t="inlineStr">
        <is>
          <t>Nguyễn Minh Trí</t>
        </is>
      </c>
      <c r="D58" s="232" t="inlineStr">
        <is>
          <t>Nguyen Minh Tri</t>
        </is>
      </c>
      <c r="E58" s="1496">
        <f>VLOOKUP($D58,Med!C93:J1057,7,0)</f>
        <v/>
      </c>
      <c r="F58" s="1496">
        <f>VLOOKUP($D58,Med!C93:J1057,8,0)</f>
        <v/>
      </c>
      <c r="G58" s="234">
        <f>VLOOKUP(C58,Med!$D$15:$CG$93,85,0)</f>
        <v/>
      </c>
      <c r="H58" s="232">
        <f>"Med  TT Luong T8.2026 -"&amp;I58&amp;"-"&amp;D58</f>
        <v/>
      </c>
      <c r="I58" s="231" t="inlineStr">
        <is>
          <t>Nguyen Thi Thap</t>
        </is>
      </c>
      <c r="J58" s="159" t="n"/>
    </row>
    <row r="59" ht="18.75" customHeight="1" s="1264">
      <c r="A59" s="230" t="n">
        <v>52</v>
      </c>
      <c r="B59" s="231" t="inlineStr">
        <is>
          <t>Nguyen Thi Thap</t>
        </is>
      </c>
      <c r="C59" s="177" t="inlineStr">
        <is>
          <t>Nguyễn Trí Nghĩa</t>
        </is>
      </c>
      <c r="D59" s="232" t="inlineStr">
        <is>
          <t>Nguyen Tri Nghia</t>
        </is>
      </c>
      <c r="E59" s="1496">
        <f>VLOOKUP($D59,Med!C66:J1058,7,0)</f>
        <v/>
      </c>
      <c r="F59" s="1496">
        <f>VLOOKUP($D59,Med!C66:J1058,8,0)</f>
        <v/>
      </c>
      <c r="G59" s="234">
        <f>VLOOKUP(C59,Med!$D$15:$CG$93,85,0)</f>
        <v/>
      </c>
      <c r="H59" s="232">
        <f>"Med  TT Luong T8.2026 -"&amp;I59&amp;"-"&amp;D59</f>
        <v/>
      </c>
      <c r="I59" s="231" t="inlineStr">
        <is>
          <t>Nguyen Thi Thap</t>
        </is>
      </c>
      <c r="J59" s="159" t="n"/>
    </row>
    <row r="60" hidden="1" ht="18.75" customHeight="1" s="1264">
      <c r="A60" s="230" t="n">
        <v>53</v>
      </c>
      <c r="B60" s="231" t="inlineStr">
        <is>
          <t>Nguyen Thi Thap</t>
        </is>
      </c>
      <c r="C60" s="177" t="inlineStr">
        <is>
          <t>Triệu Thị Ngọc Lý</t>
        </is>
      </c>
      <c r="D60" s="232" t="inlineStr">
        <is>
          <t>Trieu Thi Ngoc Ly</t>
        </is>
      </c>
      <c r="E60" s="1496">
        <f>VLOOKUP($D60,Med!C62:J1059,7,0)</f>
        <v/>
      </c>
      <c r="F60" s="1496">
        <f>VLOOKUP($D60,Med!C62:J1059,8,0)</f>
        <v/>
      </c>
      <c r="G60" s="234">
        <f>VLOOKUP(C60,Med!$D$15:$CG$93,85,0)</f>
        <v/>
      </c>
      <c r="H60" s="232">
        <f>"Med  TT Luong T8.2026 -"&amp;I60&amp;"-"&amp;D60</f>
        <v/>
      </c>
      <c r="I60" s="231" t="inlineStr">
        <is>
          <t>Nguyen Thi Thap</t>
        </is>
      </c>
      <c r="J60" s="159" t="n"/>
    </row>
    <row r="61" hidden="1" ht="18.75" customFormat="1" customHeight="1" s="223">
      <c r="A61" s="230" t="n">
        <v>54</v>
      </c>
      <c r="B61" s="231" t="inlineStr">
        <is>
          <t>Nguyen Thi Thap</t>
        </is>
      </c>
      <c r="C61" s="177" t="inlineStr">
        <is>
          <t>Trần Thành Đạt</t>
        </is>
      </c>
      <c r="D61" s="232" t="inlineStr">
        <is>
          <t>Tran Thanh Dat</t>
        </is>
      </c>
      <c r="E61" s="1496">
        <f>VLOOKUP($D61,Med!C64:J1060,7,0)</f>
        <v/>
      </c>
      <c r="F61" s="1496">
        <f>VLOOKUP($D61,Med!C64:J1060,8,0)</f>
        <v/>
      </c>
      <c r="G61" s="234">
        <f>VLOOKUP(C61,Med!$D$15:$CG$93,85,0)</f>
        <v/>
      </c>
      <c r="H61" s="232">
        <f>"Med  TT Luong T8.2026 -"&amp;I61&amp;"-"&amp;D61</f>
        <v/>
      </c>
      <c r="I61" s="231" t="inlineStr">
        <is>
          <t>Nguyen Thi Thap</t>
        </is>
      </c>
      <c r="J61" s="159" t="n"/>
    </row>
    <row r="62" ht="18.75" customHeight="1" s="1264">
      <c r="A62" s="236" t="n"/>
      <c r="B62" s="246" t="n"/>
      <c r="C62" s="238" t="n"/>
      <c r="D62" s="239" t="n"/>
      <c r="E62" s="1552" t="n"/>
      <c r="F62" s="1552" t="n"/>
      <c r="G62" s="241">
        <f>SUM(G56:G61)</f>
        <v/>
      </c>
      <c r="H62" s="239" t="n"/>
      <c r="I62" s="246" t="n"/>
      <c r="J62" s="235" t="n"/>
    </row>
    <row r="63" hidden="1" ht="18.75" customHeight="1" s="1264">
      <c r="A63" s="230" t="n">
        <v>55</v>
      </c>
      <c r="B63" s="231" t="inlineStr">
        <is>
          <t>Nguyen Van Qua</t>
        </is>
      </c>
      <c r="C63" s="177" t="inlineStr">
        <is>
          <t>Hồ Ngọc Lý</t>
        </is>
      </c>
      <c r="D63" s="232" t="inlineStr">
        <is>
          <t>Ho Ngoc Ly</t>
        </is>
      </c>
      <c r="E63" s="1496">
        <f>VLOOKUP($D63,Med!C71:J73,7,0)</f>
        <v/>
      </c>
      <c r="F63" s="1496">
        <f>VLOOKUP($D63,Med!C71:J73,8,0)</f>
        <v/>
      </c>
      <c r="G63" s="234">
        <f>VLOOKUP(C63,Med!$D$15:$CG$93,85,0)</f>
        <v/>
      </c>
      <c r="H63" s="232">
        <f>"Med  TT Luong T8.2026 -"&amp;I63&amp;"-"&amp;D63</f>
        <v/>
      </c>
      <c r="I63" s="231" t="inlineStr">
        <is>
          <t>Nguyen Van Qua</t>
        </is>
      </c>
      <c r="J63" s="159" t="n"/>
    </row>
    <row r="64" hidden="1" ht="18.75" customFormat="1" customHeight="1" s="222">
      <c r="A64" s="230" t="n">
        <v>56</v>
      </c>
      <c r="B64" s="231" t="inlineStr">
        <is>
          <t>Nguyen Van Qua</t>
        </is>
      </c>
      <c r="C64" s="177" t="inlineStr">
        <is>
          <t>Nguyễn Thị Hương Giang</t>
        </is>
      </c>
      <c r="D64" s="232" t="inlineStr">
        <is>
          <t>Nguyen Thi Huong Giang</t>
        </is>
      </c>
      <c r="E64" s="1496">
        <f>VLOOKUP($D64,Med!C73:J74,7,0)</f>
        <v/>
      </c>
      <c r="F64" s="1496">
        <f>VLOOKUP($D64,Med!C73:J74,8,0)</f>
        <v/>
      </c>
      <c r="G64" s="234">
        <f>VLOOKUP(C64,Med!$D$15:$CG$93,85,0)</f>
        <v/>
      </c>
      <c r="H64" s="232">
        <f>"Med  TT Luong T8.2026 -"&amp;I64&amp;"-"&amp;D64</f>
        <v/>
      </c>
      <c r="I64" s="231" t="inlineStr">
        <is>
          <t>Nguyen Van Qua</t>
        </is>
      </c>
      <c r="J64" s="159" t="n"/>
    </row>
    <row r="65" hidden="1" ht="18.75" customFormat="1" customHeight="1" s="222">
      <c r="A65" s="230" t="n">
        <v>57</v>
      </c>
      <c r="B65" s="231" t="inlineStr">
        <is>
          <t>Nguyen Van Qua</t>
        </is>
      </c>
      <c r="C65" s="177" t="inlineStr">
        <is>
          <t>Nguyễn Thị Thu Huyền</t>
        </is>
      </c>
      <c r="D65" s="232" t="inlineStr">
        <is>
          <t>Nguyen Thi Thu Huyen</t>
        </is>
      </c>
      <c r="E65" s="1496">
        <f>VLOOKUP($D65,Med!C72:J75,7,0)</f>
        <v/>
      </c>
      <c r="F65" s="1496">
        <f>VLOOKUP($D65,Med!C72:J75,8,0)</f>
        <v/>
      </c>
      <c r="G65" s="234">
        <f>VLOOKUP(C65,Med!$D$15:$CG$93,85,0)</f>
        <v/>
      </c>
      <c r="H65" s="232">
        <f>"Med  TT Luong T8.2026 -"&amp;I65&amp;"-"&amp;D65</f>
        <v/>
      </c>
      <c r="I65" s="231" t="inlineStr">
        <is>
          <t>Nguyen Van Qua</t>
        </is>
      </c>
      <c r="J65" s="159" t="n"/>
    </row>
    <row r="66" ht="18.75" customHeight="1" s="1264">
      <c r="A66" s="230" t="n">
        <v>58</v>
      </c>
      <c r="B66" s="231" t="inlineStr">
        <is>
          <t>Nguyen Van Qua</t>
        </is>
      </c>
      <c r="C66" s="177" t="inlineStr">
        <is>
          <t>Nguyễn Trần Vĩnh Khang</t>
        </is>
      </c>
      <c r="D66" s="232" t="inlineStr">
        <is>
          <t>Nguyen Tran Vinh Khang</t>
        </is>
      </c>
      <c r="E66" s="1496">
        <f>VLOOKUP($D66,Med!C60:J76,7,0)</f>
        <v/>
      </c>
      <c r="F66" s="1496">
        <f>VLOOKUP($D66,Med!C60:J76,8,0)</f>
        <v/>
      </c>
      <c r="G66" s="234">
        <f>VLOOKUP(C66,Med!$D$15:$CG$93,85,0)</f>
        <v/>
      </c>
      <c r="H66" s="232">
        <f>"Med  TT Luong T8.2026 -"&amp;I66&amp;"-"&amp;D66</f>
        <v/>
      </c>
      <c r="I66" s="231" t="inlineStr">
        <is>
          <t>Nguyen Van Qua</t>
        </is>
      </c>
      <c r="J66" s="159" t="n"/>
    </row>
    <row r="67" hidden="1" ht="18.75" customHeight="1" s="1264">
      <c r="A67" s="230" t="n">
        <v>59</v>
      </c>
      <c r="B67" s="231" t="inlineStr">
        <is>
          <t>Nguyen Van Qua</t>
        </is>
      </c>
      <c r="C67" s="177" t="inlineStr">
        <is>
          <t>Võ Ngọc Giàu Sang</t>
        </is>
      </c>
      <c r="D67" s="232" t="inlineStr">
        <is>
          <t>Vo Ngoc Giau Sang</t>
        </is>
      </c>
      <c r="E67" s="1496">
        <f>VLOOKUP($D67,Med!C70:J80,7,0)</f>
        <v/>
      </c>
      <c r="F67" s="1496">
        <f>VLOOKUP($D67,Med!C70:J80,8,0)</f>
        <v/>
      </c>
      <c r="G67" s="234">
        <f>VLOOKUP(C67,Med!$D$15:$CG$93,85,0)</f>
        <v/>
      </c>
      <c r="H67" s="232">
        <f>"Med  TT Luong T8.2026 -"&amp;I67&amp;"-"&amp;D67</f>
        <v/>
      </c>
      <c r="I67" s="231" t="inlineStr">
        <is>
          <t>Nguyen Van Qua</t>
        </is>
      </c>
      <c r="J67" s="159" t="n"/>
    </row>
    <row r="68" ht="18.75" customHeight="1" s="1264">
      <c r="A68" s="236" t="n"/>
      <c r="B68" s="246" t="n"/>
      <c r="C68" s="238" t="n"/>
      <c r="D68" s="244" t="n"/>
      <c r="E68" s="1552" t="n"/>
      <c r="F68" s="1552" t="n"/>
      <c r="G68" s="241">
        <f>SUM(G63:G67)</f>
        <v/>
      </c>
      <c r="H68" s="239" t="n"/>
      <c r="I68" s="246" t="n"/>
      <c r="J68" s="235" t="n"/>
    </row>
    <row r="69" ht="18.75" customFormat="1" customHeight="1" s="222">
      <c r="A69" s="230" t="n">
        <v>60</v>
      </c>
      <c r="B69" s="231" t="inlineStr">
        <is>
          <t>Rach Bung Binh</t>
        </is>
      </c>
      <c r="C69" s="177" t="inlineStr">
        <is>
          <t>Cù Thị Tường Vy</t>
        </is>
      </c>
      <c r="D69" s="232" t="inlineStr">
        <is>
          <t>Cu Thi Tuong Vy</t>
        </is>
      </c>
      <c r="E69" s="1551">
        <f>VLOOKUP($D69,Med!C75:J80,7,0)</f>
        <v/>
      </c>
      <c r="F69" s="1496">
        <f>VLOOKUP($D69,Med!C75:J80,8,0)</f>
        <v/>
      </c>
      <c r="G69" s="234">
        <f>VLOOKUP(C69,Med!$D$15:$CG$93,85,0)</f>
        <v/>
      </c>
      <c r="H69" s="232">
        <f>"Med  TT Luong T8.2026 -"&amp;I69&amp;"-"&amp;D69</f>
        <v/>
      </c>
      <c r="I69" s="231" t="inlineStr">
        <is>
          <t>Rach Bung Binh</t>
        </is>
      </c>
      <c r="J69" s="159" t="n"/>
    </row>
    <row r="70" hidden="1" ht="18.75" customFormat="1" customHeight="1" s="222">
      <c r="A70" s="230" t="n">
        <v>61</v>
      </c>
      <c r="B70" s="231" t="inlineStr">
        <is>
          <t>Rach Bung Binh</t>
        </is>
      </c>
      <c r="C70" s="177" t="inlineStr">
        <is>
          <t>Huỳnh Thị Huệ Hiền</t>
        </is>
      </c>
      <c r="D70" s="232" t="inlineStr">
        <is>
          <t>Huynh Thi Hue Hien</t>
        </is>
      </c>
      <c r="E70" s="1551">
        <f>VLOOKUP($D70,Med!C76:J81,7,0)</f>
        <v/>
      </c>
      <c r="F70" s="1496">
        <f>VLOOKUP($D70,Med!C76:J81,8,0)</f>
        <v/>
      </c>
      <c r="G70" s="234">
        <f>VLOOKUP(C70,Med!$D$15:$CG$93,85,0)</f>
        <v/>
      </c>
      <c r="H70" s="232">
        <f>"Med  TT Luong T8.2026 -"&amp;I70&amp;"-"&amp;D70</f>
        <v/>
      </c>
      <c r="I70" s="231" t="inlineStr">
        <is>
          <t>Rach Bung Binh</t>
        </is>
      </c>
      <c r="J70" s="159" t="n"/>
    </row>
    <row r="71" hidden="1" ht="18.75" customFormat="1" customHeight="1" s="222">
      <c r="A71" s="230" t="n">
        <v>62</v>
      </c>
      <c r="B71" s="231" t="inlineStr">
        <is>
          <t>Rach Bung Binh</t>
        </is>
      </c>
      <c r="C71" s="177" t="inlineStr">
        <is>
          <t>Đỗ Thị Kim Tiến</t>
        </is>
      </c>
      <c r="D71" s="232" t="inlineStr">
        <is>
          <t>Do Thi Kim Tien</t>
        </is>
      </c>
      <c r="E71" s="1496">
        <f>VLOOKUP($D71,Med!C60:J82,7,0)</f>
        <v/>
      </c>
      <c r="F71" s="1496">
        <f>VLOOKUP($D71,Med!C60:J82,8,0)</f>
        <v/>
      </c>
      <c r="G71" s="234">
        <f>VLOOKUP(C71,Med!$D$15:$CG$93,85,0)</f>
        <v/>
      </c>
      <c r="H71" s="232">
        <f>"Med  TT Luong T8.2026 -"&amp;I71&amp;"-"&amp;D71</f>
        <v/>
      </c>
      <c r="I71" s="231" t="inlineStr">
        <is>
          <t>Rach Bung Binh</t>
        </is>
      </c>
      <c r="J71" s="159" t="n"/>
    </row>
    <row r="72" ht="18.75" customFormat="1" customHeight="1" s="222">
      <c r="A72" s="230" t="n">
        <v>63</v>
      </c>
      <c r="B72" s="231" t="inlineStr">
        <is>
          <t>Rach Bung Binh</t>
        </is>
      </c>
      <c r="C72" s="177" t="inlineStr">
        <is>
          <t>Nguyễn Mẫn Tiệp</t>
        </is>
      </c>
      <c r="D72" s="232" t="inlineStr">
        <is>
          <t>Nguyen Man Tiep</t>
        </is>
      </c>
      <c r="E72" s="1496">
        <f>VLOOKUP($D72,Med!C60:J83,7,0)</f>
        <v/>
      </c>
      <c r="F72" s="1496">
        <f>VLOOKUP($D72,Med!C60:J83,8,0)</f>
        <v/>
      </c>
      <c r="G72" s="234">
        <f>VLOOKUP(C72,Med!$D$15:$CG$93,85,0)</f>
        <v/>
      </c>
      <c r="H72" s="232">
        <f>"Med  TT Luong T8.2026 -"&amp;I72&amp;"-"&amp;D72</f>
        <v/>
      </c>
      <c r="I72" s="231" t="inlineStr">
        <is>
          <t>Rach Bung Binh</t>
        </is>
      </c>
      <c r="J72" s="159" t="n"/>
    </row>
    <row r="73" hidden="1" ht="18.75" customFormat="1" customHeight="1" s="222">
      <c r="A73" s="230" t="n">
        <v>64</v>
      </c>
      <c r="B73" s="231" t="inlineStr">
        <is>
          <t>Rach Bung Binh</t>
        </is>
      </c>
      <c r="C73" s="177" t="inlineStr">
        <is>
          <t>Nguyễn Thị Phúc Lộc</t>
        </is>
      </c>
      <c r="D73" s="232" t="inlineStr">
        <is>
          <t>Nguyen Thi Phuc Loc</t>
        </is>
      </c>
      <c r="E73" s="1496">
        <f>VLOOKUP($D73,Med!C77:J84,7,0)</f>
        <v/>
      </c>
      <c r="F73" s="1496">
        <f>VLOOKUP($D73,Med!C77:J84,8,0)</f>
        <v/>
      </c>
      <c r="G73" s="234">
        <f>VLOOKUP(C73,Med!$D$15:$CG$93,85,0)</f>
        <v/>
      </c>
      <c r="H73" s="232">
        <f>"Med  TT Luong T8.2026 -"&amp;I73&amp;"-"&amp;D73</f>
        <v/>
      </c>
      <c r="I73" s="231" t="inlineStr">
        <is>
          <t>Rach Bung Binh</t>
        </is>
      </c>
      <c r="J73" s="159" t="n"/>
    </row>
    <row r="74" hidden="1" ht="18.75" customFormat="1" customHeight="1" s="222">
      <c r="A74" s="230" t="n">
        <v>65</v>
      </c>
      <c r="B74" s="231" t="inlineStr">
        <is>
          <t>Rach Bung Binh</t>
        </is>
      </c>
      <c r="C74" s="177" t="inlineStr">
        <is>
          <t>Ngô Thị Ngọc Thủy</t>
        </is>
      </c>
      <c r="D74" s="232" t="inlineStr">
        <is>
          <t>Ngo Thi Ngoc Thuy</t>
        </is>
      </c>
      <c r="E74" s="1551">
        <f>VLOOKUP($D74,Med!C78:J85,7,0)</f>
        <v/>
      </c>
      <c r="F74" s="1496">
        <f>VLOOKUP($D74,Med!C78:J85,8,0)</f>
        <v/>
      </c>
      <c r="G74" s="234">
        <f>VLOOKUP(C74,Med!$D$15:$CG$93,85,0)</f>
        <v/>
      </c>
      <c r="H74" s="232">
        <f>"Med  TT Luong T8.2026 -"&amp;I74&amp;"-"&amp;D74</f>
        <v/>
      </c>
      <c r="I74" s="231" t="inlineStr">
        <is>
          <t>Rach Bung Binh</t>
        </is>
      </c>
      <c r="J74" s="159" t="n"/>
    </row>
    <row r="75" hidden="1" ht="18.75" customFormat="1" customHeight="1" s="225">
      <c r="A75" s="230" t="n">
        <v>66</v>
      </c>
      <c r="B75" s="231" t="inlineStr">
        <is>
          <t>Rach Bung Binh</t>
        </is>
      </c>
      <c r="C75" s="177" t="inlineStr">
        <is>
          <t>Phạm Nguyễn Ngọc Quyền Trân</t>
        </is>
      </c>
      <c r="D75" s="232" t="inlineStr">
        <is>
          <t>Pham Nguyen Ngoc Quyen Tran</t>
        </is>
      </c>
      <c r="E75" s="1551">
        <f>VLOOKUP($D75,Med!C80:J86,7,0)</f>
        <v/>
      </c>
      <c r="F75" s="1496">
        <f>VLOOKUP($D75,Med!C80:J86,8,0)</f>
        <v/>
      </c>
      <c r="G75" s="234">
        <f>VLOOKUP(C75,Med!$D$15:$CG$93,85,0)</f>
        <v/>
      </c>
      <c r="H75" s="232">
        <f>"Med  TT Luong T8.2026 -"&amp;I75&amp;"-"&amp;D75</f>
        <v/>
      </c>
      <c r="I75" s="231" t="inlineStr">
        <is>
          <t>Rach Bung Binh</t>
        </is>
      </c>
      <c r="J75" s="235" t="n"/>
    </row>
    <row r="76" ht="18.75" customHeight="1" s="1264">
      <c r="A76" s="230" t="n">
        <v>67</v>
      </c>
      <c r="B76" s="231" t="inlineStr">
        <is>
          <t>Rach Bung Binh</t>
        </is>
      </c>
      <c r="C76" s="177" t="inlineStr">
        <is>
          <t>Trần Gia Tiến</t>
        </is>
      </c>
      <c r="D76" s="232" t="inlineStr">
        <is>
          <t>Tran Gia Tien</t>
        </is>
      </c>
      <c r="E76" s="1496">
        <f>VLOOKUP($D76,Med!C60:J87,7,0)</f>
        <v/>
      </c>
      <c r="F76" s="1496">
        <f>VLOOKUP($D76,Med!C60:J87,8,0)</f>
        <v/>
      </c>
      <c r="G76" s="234">
        <f>VLOOKUP(C76,Med!$D$15:$CG$93,85,0)</f>
        <v/>
      </c>
      <c r="H76" s="232">
        <f>"Med  TT Luong T8.2026 -"&amp;I76&amp;"-"&amp;D76</f>
        <v/>
      </c>
      <c r="I76" s="231" t="inlineStr">
        <is>
          <t>Rach Bung Binh</t>
        </is>
      </c>
      <c r="J76" s="235" t="n"/>
    </row>
    <row r="77" hidden="1" ht="18.75" customFormat="1" customHeight="1" s="222">
      <c r="A77" s="230" t="n">
        <v>68</v>
      </c>
      <c r="B77" s="231" t="inlineStr">
        <is>
          <t>Rach Bung Binh</t>
        </is>
      </c>
      <c r="C77" s="177" t="inlineStr">
        <is>
          <t>Đinh Hoài Bảo</t>
        </is>
      </c>
      <c r="D77" s="232" t="inlineStr">
        <is>
          <t>Dinh Hoai Bao</t>
        </is>
      </c>
      <c r="E77" s="1496">
        <f>VLOOKUP($D77,Med!C60:J89,7,0)</f>
        <v/>
      </c>
      <c r="F77" s="1496">
        <f>VLOOKUP($D77,Med!C60:J89,8,0)</f>
        <v/>
      </c>
      <c r="G77" s="234">
        <f>VLOOKUP(C77,Med!$D$15:$CG$93,85,0)</f>
        <v/>
      </c>
      <c r="H77" s="232">
        <f>"Med  TT Luong T8.2026 -"&amp;I77&amp;"-"&amp;D77</f>
        <v/>
      </c>
      <c r="I77" s="231" t="inlineStr">
        <is>
          <t>Rach Bung Binh</t>
        </is>
      </c>
      <c r="J77" s="235" t="n"/>
    </row>
    <row r="78" ht="18.75" customHeight="1" s="1264">
      <c r="A78" s="236" t="n"/>
      <c r="B78" s="246" t="n"/>
      <c r="C78" s="238" t="n"/>
      <c r="D78" s="239" t="n"/>
      <c r="E78" s="243" t="n"/>
      <c r="F78" s="243" t="n"/>
      <c r="G78" s="241">
        <f>SUM(G69:G77)</f>
        <v/>
      </c>
      <c r="H78" s="239" t="n"/>
      <c r="I78" s="246" t="n"/>
      <c r="J78" s="235" t="n"/>
    </row>
    <row r="79" hidden="1" ht="18.75" customHeight="1" s="1264">
      <c r="A79" s="230" t="n">
        <v>69</v>
      </c>
      <c r="B79" s="231" t="inlineStr">
        <is>
          <t>Duong Lang</t>
        </is>
      </c>
      <c r="C79" s="177" t="inlineStr">
        <is>
          <t>Hứa Thị Kim Thoa</t>
        </is>
      </c>
      <c r="D79" s="232" t="inlineStr">
        <is>
          <t>Hua Thi Kim Thoa</t>
        </is>
      </c>
      <c r="E79" s="1496">
        <f>VLOOKUP($D79,Med!C82:J86,7,0)</f>
        <v/>
      </c>
      <c r="F79" s="1496">
        <f>VLOOKUP($D79,Med!C82:J86,8,0)</f>
        <v/>
      </c>
      <c r="G79" s="234">
        <f>VLOOKUP(C79,Med!$D$15:$CG$93,85,0)</f>
        <v/>
      </c>
      <c r="H79" s="232">
        <f>"Med  TT Luong T8.2026 -"&amp;I79&amp;"-"&amp;D79</f>
        <v/>
      </c>
      <c r="I79" s="231" t="inlineStr">
        <is>
          <t>Duong Lang</t>
        </is>
      </c>
      <c r="J79" s="235" t="n"/>
    </row>
    <row r="80" hidden="1" ht="18.75" customHeight="1" s="1264">
      <c r="A80" s="230" t="n">
        <v>70</v>
      </c>
      <c r="B80" s="231" t="inlineStr">
        <is>
          <t>Duong Lang</t>
        </is>
      </c>
      <c r="C80" s="177" t="inlineStr">
        <is>
          <t>Lê Thị Soạn</t>
        </is>
      </c>
      <c r="D80" s="249" t="inlineStr">
        <is>
          <t>Nguyen Thi Phien</t>
        </is>
      </c>
      <c r="E80" s="1496" t="inlineStr">
        <is>
          <t xml:space="preserve">0987524738 </t>
        </is>
      </c>
      <c r="F80" s="1496" t="inlineStr">
        <is>
          <t xml:space="preserve">Vietinbank </t>
        </is>
      </c>
      <c r="G80" s="234">
        <f>VLOOKUP(C80,Med!$D$15:$CG$93,85,0)</f>
        <v/>
      </c>
      <c r="H80" s="232">
        <f>"Med  TT Luong T8.2026 -"&amp;I80&amp;"-"&amp;D80</f>
        <v/>
      </c>
      <c r="I80" s="231" t="inlineStr">
        <is>
          <t>Duong Lang</t>
        </is>
      </c>
      <c r="J80" s="235" t="n"/>
    </row>
    <row r="81" ht="18.75" customFormat="1" customHeight="1" s="222">
      <c r="A81" s="230" t="n">
        <v>71</v>
      </c>
      <c r="B81" s="231" t="inlineStr">
        <is>
          <t>Duong Lang</t>
        </is>
      </c>
      <c r="C81" s="177" t="inlineStr">
        <is>
          <t>Nguyễn Thị Mai Duyên</t>
        </is>
      </c>
      <c r="D81" s="232" t="inlineStr">
        <is>
          <t>Nguyen Thi Mai Duyen</t>
        </is>
      </c>
      <c r="E81" s="1496">
        <f>VLOOKUP($D81,Med!C82:J86,7,0)</f>
        <v/>
      </c>
      <c r="F81" s="1496">
        <f>VLOOKUP($D81,Med!C82:J86,8,0)</f>
        <v/>
      </c>
      <c r="G81" s="234">
        <f>VLOOKUP(C81,Med!$D$15:$CG$93,85,0)</f>
        <v/>
      </c>
      <c r="H81" s="232">
        <f>"Med  TT Luong T8.2026 -"&amp;I81&amp;"-"&amp;D81</f>
        <v/>
      </c>
      <c r="I81" s="231" t="inlineStr">
        <is>
          <t>Duong Lang</t>
        </is>
      </c>
      <c r="J81" s="235" t="n"/>
    </row>
    <row r="82" hidden="1" ht="18.75" customFormat="1" customHeight="1" s="222">
      <c r="A82" s="230" t="n">
        <v>72</v>
      </c>
      <c r="B82" s="231" t="inlineStr">
        <is>
          <t>Duong Lang</t>
        </is>
      </c>
      <c r="C82" s="177" t="inlineStr">
        <is>
          <t>Nguyễn Thị Tâm</t>
        </is>
      </c>
      <c r="D82" s="232" t="inlineStr">
        <is>
          <t>Nguyen Thi Tam</t>
        </is>
      </c>
      <c r="E82" s="1496">
        <f>VLOOKUP($D82,Med!C83:J87,7,0)</f>
        <v/>
      </c>
      <c r="F82" s="1496">
        <f>VLOOKUP($D82,Med!C83:J87,8,0)</f>
        <v/>
      </c>
      <c r="G82" s="234">
        <f>VLOOKUP(C82,Med!$D$15:$CG$93,85,0)</f>
        <v/>
      </c>
      <c r="H82" s="232">
        <f>"Med  TT Luong T8.2026 -"&amp;I82&amp;"-"&amp;D82</f>
        <v/>
      </c>
      <c r="I82" s="231" t="inlineStr">
        <is>
          <t>Duong Lang</t>
        </is>
      </c>
      <c r="J82" s="235" t="n"/>
    </row>
    <row r="83" hidden="1" ht="18.75" customHeight="1" s="1264">
      <c r="A83" s="230" t="n">
        <v>73</v>
      </c>
      <c r="B83" s="231" t="inlineStr">
        <is>
          <t>Duong Lang</t>
        </is>
      </c>
      <c r="C83" s="177" t="inlineStr">
        <is>
          <t>Trần Ngọc Dung</t>
        </is>
      </c>
      <c r="D83" s="232" t="inlineStr">
        <is>
          <t>Tran Ngoc Dung</t>
        </is>
      </c>
      <c r="E83" s="1551">
        <f>VLOOKUP($D83,Med!C84:J89,7,0)</f>
        <v/>
      </c>
      <c r="F83" s="1496">
        <f>VLOOKUP($D83,Med!C84:J89,8,0)</f>
        <v/>
      </c>
      <c r="G83" s="234">
        <f>VLOOKUP(C83,Med!$D$15:$CG$93,85,0)</f>
        <v/>
      </c>
      <c r="H83" s="232">
        <f>"Med  TT Luong T8.2026 -"&amp;I83&amp;"-"&amp;D83</f>
        <v/>
      </c>
      <c r="I83" s="231" t="inlineStr">
        <is>
          <t>Duong Lang</t>
        </is>
      </c>
      <c r="J83" s="235" t="n"/>
    </row>
    <row r="84" ht="18.75" customHeight="1" s="1264">
      <c r="A84" s="236" t="n"/>
      <c r="B84" s="246" t="n"/>
      <c r="C84" s="238" t="n"/>
      <c r="D84" s="239" t="n"/>
      <c r="E84" s="243" t="n"/>
      <c r="F84" s="243" t="n"/>
      <c r="G84" s="241">
        <f>SUM(G79:G83)</f>
        <v/>
      </c>
      <c r="H84" s="239" t="n"/>
      <c r="I84" s="246" t="n"/>
      <c r="J84" s="235" t="n"/>
    </row>
    <row r="85" hidden="1" ht="18.75" customHeight="1" s="1264">
      <c r="A85" s="230" t="n">
        <v>74</v>
      </c>
      <c r="B85" s="231" t="inlineStr">
        <is>
          <t>Hang Bong</t>
        </is>
      </c>
      <c r="C85" s="250" t="inlineStr">
        <is>
          <t>Nguyễn Mạnh Tuấn</t>
        </is>
      </c>
      <c r="D85" s="250" t="inlineStr">
        <is>
          <t>Nguyen Manh Tuan</t>
        </is>
      </c>
      <c r="E85" s="1496">
        <f>VLOOKUP($D85,Med!C89:J92,7,0)</f>
        <v/>
      </c>
      <c r="F85" s="1496">
        <f>VLOOKUP($D85,Med!C89:J92,8,0)</f>
        <v/>
      </c>
      <c r="G85" s="234">
        <f>VLOOKUP(C85,Med!$D$15:$CG$93,85,0)</f>
        <v/>
      </c>
      <c r="H85" s="232">
        <f>"Med  TT Luong T8.2026 -"&amp;I85&amp;"-"&amp;D85</f>
        <v/>
      </c>
      <c r="I85" s="231" t="inlineStr">
        <is>
          <t>Hang Bong</t>
        </is>
      </c>
      <c r="J85" s="235" t="n"/>
    </row>
    <row r="86" ht="18.75" customHeight="1" s="1264">
      <c r="A86" s="230" t="n">
        <v>75</v>
      </c>
      <c r="B86" s="231" t="inlineStr">
        <is>
          <t>Hang Bong</t>
        </is>
      </c>
      <c r="C86" s="250" t="inlineStr">
        <is>
          <t>Nguyễn Thị Mai Duyên</t>
        </is>
      </c>
      <c r="D86" s="250" t="inlineStr">
        <is>
          <t>Nguyen Thi Mai Duyen</t>
        </is>
      </c>
      <c r="E86" s="1496">
        <f>VLOOKUP($D86,Med!C92:J93,7,0)</f>
        <v/>
      </c>
      <c r="F86" s="1496">
        <f>VLOOKUP($D86,Med!C92:J93,8,0)</f>
        <v/>
      </c>
      <c r="G86" s="234">
        <f>VLOOKUP(C86,Med!$D$15:$CG$93,85,0)</f>
        <v/>
      </c>
      <c r="H86" s="232">
        <f>"Med  TT Luong T8.2026 -"&amp;I86&amp;"-"&amp;D86</f>
        <v/>
      </c>
      <c r="I86" s="231" t="inlineStr">
        <is>
          <t>Hang Bong</t>
        </is>
      </c>
      <c r="J86" s="235" t="n"/>
    </row>
    <row r="87" hidden="1" ht="18.75" customFormat="1" customHeight="1" s="222">
      <c r="A87" s="230" t="n">
        <v>76</v>
      </c>
      <c r="B87" s="231" t="inlineStr">
        <is>
          <t>Hang Bong</t>
        </is>
      </c>
      <c r="C87" s="250" t="inlineStr">
        <is>
          <t>Vũ Thanh Hằng</t>
        </is>
      </c>
      <c r="D87" s="250" t="inlineStr">
        <is>
          <t>Vu Thanh Hang</t>
        </is>
      </c>
      <c r="E87" s="1496">
        <f>VLOOKUP($D87,Med!C90:J94,7,0)</f>
        <v/>
      </c>
      <c r="F87" s="1496">
        <f>VLOOKUP($D87,Med!C90:J94,8,0)</f>
        <v/>
      </c>
      <c r="G87" s="234">
        <f>VLOOKUP(C87,Med!$D$15:$CG$93,85,0)</f>
        <v/>
      </c>
      <c r="H87" s="232">
        <f>"Med  TT Luong T8.2026 -"&amp;I87&amp;"-"&amp;D87</f>
        <v/>
      </c>
      <c r="I87" s="231" t="inlineStr">
        <is>
          <t>Hang Bong</t>
        </is>
      </c>
      <c r="J87" s="235" t="n"/>
    </row>
    <row r="88" hidden="1" ht="18.75" customHeight="1" s="1264">
      <c r="A88" s="230" t="n">
        <v>77</v>
      </c>
      <c r="B88" s="231" t="inlineStr">
        <is>
          <t>Hang Bong</t>
        </is>
      </c>
      <c r="C88" s="250" t="inlineStr">
        <is>
          <t>Đinh Thị Khánh Ly</t>
        </is>
      </c>
      <c r="D88" s="250" t="inlineStr">
        <is>
          <t>Dinh Thi Khanh Ly</t>
        </is>
      </c>
      <c r="E88" s="1496">
        <f>VLOOKUP($D88,Med!C91:J95,7,0)</f>
        <v/>
      </c>
      <c r="F88" s="1496">
        <f>VLOOKUP($D88,Med!C91:J95,8,0)</f>
        <v/>
      </c>
      <c r="G88" s="234">
        <f>VLOOKUP(C88,Med!$D$15:$CG$93,85,0)</f>
        <v/>
      </c>
      <c r="H88" s="232">
        <f>"Med  TT Luong T8.2026 -"&amp;I88&amp;"-"&amp;D88</f>
        <v/>
      </c>
      <c r="I88" s="231" t="inlineStr">
        <is>
          <t>Hang Bong</t>
        </is>
      </c>
      <c r="J88" s="235" t="n"/>
    </row>
    <row r="89" hidden="1" ht="18.75" customFormat="1" customHeight="1" s="222">
      <c r="A89" s="230" t="n">
        <v>78</v>
      </c>
      <c r="B89" s="231" t="inlineStr">
        <is>
          <t>Hang Bong</t>
        </is>
      </c>
      <c r="C89" s="250" t="inlineStr">
        <is>
          <t>Đinh Thị Lan Anh</t>
        </is>
      </c>
      <c r="D89" s="250" t="inlineStr">
        <is>
          <t>Dinh Thi Lan Anh</t>
        </is>
      </c>
      <c r="E89" s="1496">
        <f>VLOOKUP($D89,Med!C88:J96,7,0)</f>
        <v/>
      </c>
      <c r="F89" s="1496">
        <f>VLOOKUP($D89,Med!C88:J96,8,0)</f>
        <v/>
      </c>
      <c r="G89" s="234">
        <f>VLOOKUP(C89,Med!$D$15:$CG$93,85,0)</f>
        <v/>
      </c>
      <c r="H89" s="232">
        <f>"Med  TT Luong T8.2026 -"&amp;I89&amp;"-"&amp;D89</f>
        <v/>
      </c>
      <c r="I89" s="231" t="inlineStr">
        <is>
          <t>Hang Bong</t>
        </is>
      </c>
      <c r="J89" s="235" t="n"/>
    </row>
    <row r="90" ht="18.75" customHeight="1" s="1264">
      <c r="A90" s="236" t="n"/>
      <c r="B90" s="251" t="n"/>
      <c r="C90" s="238" t="n"/>
      <c r="D90" s="239" t="n"/>
      <c r="E90" s="243" t="n"/>
      <c r="F90" s="243" t="n"/>
      <c r="G90" s="241">
        <f>SUM(G85:G89)</f>
        <v/>
      </c>
      <c r="H90" s="1554" t="n"/>
      <c r="I90" s="251" t="n"/>
      <c r="J90" s="235" t="n"/>
    </row>
    <row r="91" ht="18.75" customHeight="1" s="1264">
      <c r="A91" s="1517" t="n"/>
      <c r="B91" s="1517" t="n"/>
      <c r="C91" s="1517" t="n"/>
      <c r="D91" s="1517" t="n"/>
      <c r="E91" s="1517" t="n"/>
      <c r="F91" s="1555" t="inlineStr">
        <is>
          <t>TC</t>
        </is>
      </c>
      <c r="G91" s="255">
        <f>G8+G20+G28+G36+G47+G55+G62+G68+G78+G84+G90</f>
        <v/>
      </c>
      <c r="H91" s="1517" t="n"/>
      <c r="I91" s="1517" t="n"/>
      <c r="J91" s="235" t="n"/>
    </row>
    <row r="92">
      <c r="A92" s="1556" t="n"/>
      <c r="B92" s="1556" t="n"/>
      <c r="C92" s="1556" t="n"/>
      <c r="D92" s="1556" t="n"/>
      <c r="E92" s="1556" t="n"/>
      <c r="F92" s="1556" t="n"/>
      <c r="G92" s="1556" t="n"/>
      <c r="H92" s="1556" t="n"/>
      <c r="I92" s="1556" t="n"/>
    </row>
    <row r="93">
      <c r="A93" s="1556" t="n"/>
      <c r="B93" s="1556" t="n"/>
      <c r="C93" s="1556" t="n"/>
      <c r="D93" s="1556" t="n"/>
      <c r="E93" s="1556" t="n"/>
      <c r="F93" s="1556" t="n"/>
      <c r="G93" s="1556" t="n"/>
      <c r="H93" s="1556" t="n"/>
      <c r="I93" s="1556" t="n"/>
    </row>
    <row r="94">
      <c r="A94" s="1556" t="n"/>
      <c r="B94" s="1556" t="n"/>
      <c r="C94" s="1556" t="n"/>
      <c r="D94" s="1556" t="n"/>
      <c r="E94" s="1556" t="n"/>
      <c r="F94" s="1556" t="n"/>
      <c r="G94" s="1556" t="n"/>
      <c r="H94" s="1556" t="n"/>
      <c r="I94" s="1556" t="n"/>
    </row>
    <row r="95">
      <c r="A95" s="1556" t="n"/>
      <c r="B95" s="1556" t="n"/>
      <c r="C95" s="1556" t="n"/>
      <c r="D95" s="1556" t="n"/>
      <c r="E95" s="1556" t="n"/>
      <c r="F95" s="1556" t="n"/>
      <c r="G95" s="1556">
        <f>Med!#REF!</f>
        <v/>
      </c>
      <c r="H95" s="1556" t="n"/>
      <c r="I95" s="1556" t="n"/>
    </row>
    <row r="96">
      <c r="A96" s="1556" t="n"/>
      <c r="B96" s="1556" t="n"/>
      <c r="C96" s="1556" t="n"/>
      <c r="D96" s="1556" t="n"/>
      <c r="E96" s="1556" t="n"/>
      <c r="F96" s="1556" t="n"/>
      <c r="G96" s="1556">
        <f>G91-G95</f>
        <v/>
      </c>
      <c r="H96" s="1556" t="n"/>
      <c r="I96" s="1556" t="n"/>
    </row>
    <row r="97">
      <c r="A97" s="1556" t="n"/>
      <c r="B97" s="1556" t="n"/>
      <c r="C97" s="1556" t="n"/>
      <c r="D97" s="1556" t="n"/>
      <c r="E97" s="1556" t="n"/>
      <c r="F97" s="1556" t="n"/>
      <c r="G97" s="1556" t="n"/>
      <c r="H97" s="1556" t="n"/>
      <c r="I97" s="1556" t="n"/>
    </row>
    <row r="98">
      <c r="A98" s="1556" t="n"/>
      <c r="B98" s="1556" t="n"/>
      <c r="C98" s="1556" t="n"/>
      <c r="D98" s="1556" t="n"/>
      <c r="E98" s="1556" t="n"/>
      <c r="F98" s="1556" t="n"/>
      <c r="G98" s="1556" t="n"/>
      <c r="H98" s="1556" t="n"/>
      <c r="I98" s="1556" t="n"/>
    </row>
    <row r="99">
      <c r="A99" s="1556" t="n"/>
      <c r="B99" s="1556" t="n"/>
      <c r="C99" s="1556" t="n"/>
      <c r="D99" s="1556" t="n"/>
      <c r="E99" s="1556" t="n"/>
      <c r="F99" s="1556" t="n"/>
      <c r="G99" s="1556" t="n"/>
      <c r="H99" s="1556" t="n"/>
      <c r="I99" s="1556" t="n"/>
    </row>
    <row r="100">
      <c r="A100" s="1556" t="n"/>
      <c r="B100" s="1556" t="n"/>
      <c r="C100" s="1556" t="n"/>
      <c r="D100" s="1556" t="n"/>
      <c r="E100" s="1556" t="n"/>
      <c r="F100" s="1556" t="n"/>
      <c r="G100" s="1556" t="n"/>
      <c r="H100" s="1556" t="n"/>
      <c r="I100" s="1556" t="n"/>
    </row>
    <row r="101">
      <c r="A101" s="1556" t="n"/>
      <c r="B101" s="1556" t="n"/>
      <c r="C101" s="1556" t="n"/>
      <c r="D101" s="1556" t="n"/>
      <c r="E101" s="1556" t="n"/>
      <c r="F101" s="1556" t="n"/>
      <c r="G101" s="1556" t="n"/>
      <c r="H101" s="1556" t="n"/>
      <c r="I101" s="1556" t="n"/>
    </row>
    <row r="102">
      <c r="A102" s="1556" t="n"/>
      <c r="B102" s="1556" t="n"/>
      <c r="C102" s="1556" t="n"/>
      <c r="D102" s="1556" t="n"/>
      <c r="E102" s="1556" t="n"/>
      <c r="F102" s="1556" t="n"/>
      <c r="G102" s="1556" t="n"/>
      <c r="H102" s="1556" t="n"/>
      <c r="I102" s="1556" t="n"/>
    </row>
    <row r="103">
      <c r="A103" s="1556" t="n"/>
      <c r="B103" s="1556" t="n"/>
      <c r="C103" s="1556" t="n"/>
      <c r="D103" s="1556" t="n"/>
      <c r="E103" s="1556" t="n"/>
      <c r="F103" s="1556" t="n"/>
      <c r="G103" s="1556" t="n"/>
      <c r="H103" s="1556" t="n"/>
      <c r="I103" s="1556" t="n"/>
    </row>
    <row r="104">
      <c r="A104" s="1556" t="n"/>
      <c r="B104" s="1556" t="n"/>
      <c r="C104" s="1556" t="n"/>
      <c r="D104" s="1556" t="n"/>
      <c r="E104" s="1556" t="n"/>
      <c r="F104" s="1556" t="n"/>
      <c r="G104" s="1556" t="n"/>
      <c r="H104" s="1556" t="n"/>
      <c r="I104" s="1556" t="n"/>
    </row>
    <row r="105">
      <c r="A105" s="1556" t="n"/>
      <c r="B105" s="1556" t="n"/>
      <c r="C105" s="1556" t="n"/>
      <c r="D105" s="1556" t="n"/>
      <c r="E105" s="1556" t="n"/>
      <c r="F105" s="1556" t="n"/>
      <c r="G105" s="1556" t="n"/>
      <c r="H105" s="1556" t="n"/>
      <c r="I105" s="1556" t="n"/>
    </row>
    <row r="106">
      <c r="A106" s="1556" t="n"/>
      <c r="B106" s="1556" t="n"/>
      <c r="C106" s="1556" t="n"/>
      <c r="D106" s="1556" t="n"/>
      <c r="E106" s="1556" t="n"/>
      <c r="F106" s="1556" t="n"/>
      <c r="G106" s="1556" t="n"/>
      <c r="H106" s="1556" t="n"/>
      <c r="I106" s="1556" t="n"/>
    </row>
    <row r="107">
      <c r="A107" s="1556" t="n"/>
      <c r="B107" s="1556" t="n"/>
      <c r="C107" s="1556" t="n"/>
      <c r="D107" s="1556" t="n"/>
      <c r="E107" s="1556" t="n"/>
      <c r="F107" s="1556" t="n"/>
      <c r="G107" s="1556" t="n"/>
      <c r="H107" s="1556" t="n"/>
      <c r="I107" s="1556" t="n"/>
    </row>
    <row r="108">
      <c r="A108" s="1556" t="n"/>
      <c r="B108" s="1556" t="n"/>
      <c r="C108" s="1556" t="n"/>
      <c r="D108" s="1556" t="n"/>
      <c r="E108" s="1556" t="n"/>
      <c r="F108" s="1556" t="n"/>
      <c r="G108" s="1556" t="n"/>
      <c r="H108" s="1556" t="n"/>
      <c r="I108" s="1556" t="n"/>
    </row>
    <row r="109">
      <c r="A109" s="1556" t="n"/>
      <c r="B109" s="1556" t="n"/>
      <c r="C109" s="1556" t="n"/>
      <c r="D109" s="1556" t="n"/>
      <c r="E109" s="1556" t="n"/>
      <c r="F109" s="1556" t="n"/>
      <c r="G109" s="1556" t="n"/>
      <c r="H109" s="1556" t="n"/>
      <c r="I109" s="1556" t="n"/>
    </row>
    <row r="110">
      <c r="A110" s="1556" t="n"/>
      <c r="B110" s="1556" t="n"/>
      <c r="C110" s="1556" t="n"/>
      <c r="D110" s="1556" t="n"/>
      <c r="E110" s="1556" t="n"/>
      <c r="F110" s="1556" t="n"/>
      <c r="G110" s="1556" t="n"/>
      <c r="H110" s="1556" t="n"/>
      <c r="I110" s="1556" t="n"/>
    </row>
    <row r="111">
      <c r="A111" s="1556" t="n"/>
      <c r="B111" s="1556" t="n"/>
      <c r="C111" s="1556" t="n"/>
      <c r="D111" s="1556" t="n"/>
      <c r="E111" s="1556" t="n"/>
      <c r="F111" s="1556" t="n"/>
      <c r="G111" s="1556" t="n"/>
      <c r="H111" s="1556" t="n"/>
      <c r="I111" s="1556" t="n"/>
    </row>
    <row r="112">
      <c r="A112" s="1556" t="n"/>
      <c r="B112" s="1556" t="n"/>
      <c r="C112" s="1556" t="n"/>
      <c r="D112" s="1556" t="n"/>
      <c r="E112" s="1556" t="n"/>
      <c r="F112" s="1556" t="n"/>
      <c r="G112" s="1556" t="n"/>
      <c r="H112" s="1556" t="n"/>
      <c r="I112" s="1556" t="n"/>
    </row>
    <row r="113">
      <c r="A113" s="1556" t="n"/>
      <c r="B113" s="1556" t="n"/>
      <c r="C113" s="1556" t="n"/>
      <c r="D113" s="1556" t="n"/>
      <c r="E113" s="1556" t="n"/>
      <c r="F113" s="1556" t="n"/>
      <c r="G113" s="1556" t="n"/>
      <c r="H113" s="1556" t="n"/>
      <c r="I113" s="1556" t="n"/>
    </row>
    <row r="114">
      <c r="A114" s="1556" t="n"/>
      <c r="B114" s="1556" t="n"/>
      <c r="C114" s="1556" t="n"/>
      <c r="D114" s="1556" t="n"/>
      <c r="E114" s="1556" t="n"/>
      <c r="F114" s="1556" t="n"/>
      <c r="G114" s="1556" t="n"/>
      <c r="H114" s="1556" t="n"/>
      <c r="I114" s="1556" t="n"/>
    </row>
    <row r="115">
      <c r="A115" s="1556" t="n"/>
      <c r="B115" s="1556" t="n"/>
      <c r="C115" s="1556" t="n"/>
      <c r="D115" s="1556" t="n"/>
      <c r="E115" s="1556" t="n"/>
      <c r="F115" s="1556" t="n"/>
      <c r="G115" s="1556" t="n"/>
      <c r="H115" s="1556" t="n"/>
      <c r="I115" s="1556" t="n"/>
    </row>
    <row r="116">
      <c r="A116" s="1556" t="n"/>
      <c r="B116" s="1556" t="n"/>
      <c r="C116" s="1556" t="n"/>
      <c r="D116" s="1556" t="n"/>
      <c r="E116" s="1556" t="n"/>
      <c r="F116" s="1556" t="n"/>
      <c r="G116" s="1556" t="n"/>
      <c r="H116" s="1556" t="n"/>
      <c r="I116" s="1556" t="n"/>
    </row>
    <row r="117">
      <c r="A117" s="1556" t="n"/>
      <c r="B117" s="1556" t="n"/>
      <c r="C117" s="1556" t="n"/>
      <c r="D117" s="1556" t="n"/>
      <c r="E117" s="1556" t="n"/>
      <c r="F117" s="1556" t="n"/>
      <c r="G117" s="1556" t="n"/>
      <c r="H117" s="1556" t="n"/>
      <c r="I117" s="1556" t="n"/>
    </row>
    <row r="118">
      <c r="A118" s="1556" t="n"/>
      <c r="B118" s="1556" t="n"/>
      <c r="C118" s="1556" t="n"/>
      <c r="D118" s="1556" t="n"/>
      <c r="E118" s="1556" t="n"/>
      <c r="F118" s="1556" t="n"/>
      <c r="G118" s="1556" t="n"/>
      <c r="H118" s="1556" t="n"/>
      <c r="I118" s="1556" t="n"/>
    </row>
    <row r="119">
      <c r="A119" s="1556" t="n"/>
      <c r="B119" s="1556" t="n"/>
      <c r="C119" s="1556" t="n"/>
      <c r="D119" s="1556" t="n"/>
      <c r="E119" s="1556" t="n"/>
      <c r="F119" s="1556" t="n"/>
      <c r="G119" s="1556" t="n"/>
      <c r="H119" s="1556" t="n"/>
      <c r="I119" s="1556" t="n"/>
    </row>
    <row r="120">
      <c r="A120" s="1556" t="n"/>
      <c r="B120" s="1556" t="n"/>
      <c r="C120" s="1556" t="n"/>
      <c r="D120" s="1556" t="n"/>
      <c r="E120" s="1556" t="n"/>
      <c r="F120" s="1556" t="n"/>
      <c r="G120" s="1556" t="n"/>
      <c r="H120" s="1556" t="n"/>
      <c r="I120" s="1556" t="n"/>
    </row>
    <row r="121">
      <c r="A121" s="1556" t="n"/>
      <c r="B121" s="1556" t="n"/>
      <c r="C121" s="1556" t="n"/>
      <c r="D121" s="1556" t="n"/>
      <c r="E121" s="1556" t="n"/>
      <c r="F121" s="1556" t="n"/>
      <c r="G121" s="1556" t="n"/>
      <c r="H121" s="1556" t="n"/>
      <c r="I121" s="1556" t="n"/>
    </row>
    <row r="122">
      <c r="A122" s="1556" t="n"/>
      <c r="B122" s="1556" t="n"/>
      <c r="C122" s="1556" t="n"/>
      <c r="D122" s="1556" t="n"/>
      <c r="E122" s="1556" t="n"/>
      <c r="F122" s="1556" t="n"/>
      <c r="G122" s="1556" t="n"/>
      <c r="H122" s="1556" t="n"/>
      <c r="I122" s="1556" t="n"/>
    </row>
    <row r="123">
      <c r="A123" s="1556" t="n"/>
      <c r="B123" s="1556" t="n"/>
      <c r="C123" s="1556" t="n"/>
      <c r="D123" s="1556" t="n"/>
      <c r="E123" s="1556" t="n"/>
      <c r="F123" s="1556" t="n"/>
      <c r="G123" s="1556" t="n"/>
      <c r="H123" s="1556" t="n"/>
      <c r="I123" s="1556" t="n"/>
    </row>
    <row r="124">
      <c r="A124" s="1556" t="n"/>
      <c r="B124" s="1556" t="n"/>
      <c r="C124" s="1556" t="n"/>
      <c r="D124" s="1556" t="n"/>
      <c r="E124" s="1556" t="n"/>
      <c r="F124" s="1556" t="n"/>
      <c r="G124" s="1556" t="n"/>
      <c r="H124" s="1556" t="n"/>
      <c r="I124" s="1556" t="n"/>
    </row>
    <row r="125">
      <c r="A125" s="1556" t="n"/>
      <c r="B125" s="1556" t="n"/>
      <c r="C125" s="1556" t="n"/>
      <c r="D125" s="1556" t="n"/>
      <c r="E125" s="1556" t="n"/>
      <c r="F125" s="1556" t="n"/>
      <c r="G125" s="1556" t="n"/>
      <c r="H125" s="1556" t="n"/>
      <c r="I125" s="1556" t="n"/>
    </row>
    <row r="126">
      <c r="A126" s="1556" t="n"/>
      <c r="B126" s="1556" t="n"/>
      <c r="C126" s="1556" t="n"/>
      <c r="D126" s="1556" t="n"/>
      <c r="E126" s="1556" t="n"/>
      <c r="F126" s="1556" t="n"/>
      <c r="G126" s="1556" t="n"/>
      <c r="H126" s="1556" t="n"/>
      <c r="I126" s="1556" t="n"/>
    </row>
    <row r="127">
      <c r="A127" s="1556" t="n"/>
      <c r="B127" s="1556" t="n"/>
      <c r="C127" s="1556" t="n"/>
      <c r="D127" s="1556" t="n"/>
      <c r="E127" s="1556" t="n"/>
      <c r="F127" s="1556" t="n"/>
      <c r="G127" s="1556" t="n"/>
      <c r="H127" s="1556" t="n"/>
      <c r="I127" s="1556" t="n"/>
    </row>
    <row r="128">
      <c r="A128" s="1556" t="n"/>
      <c r="B128" s="1556" t="n"/>
      <c r="C128" s="1556" t="n"/>
      <c r="D128" s="1556" t="n"/>
      <c r="E128" s="1556" t="n"/>
      <c r="F128" s="1556" t="n"/>
      <c r="G128" s="1556" t="n"/>
      <c r="H128" s="1556" t="n"/>
      <c r="I128" s="1556" t="n"/>
    </row>
    <row r="129">
      <c r="A129" s="1556" t="n"/>
      <c r="B129" s="1556" t="n"/>
      <c r="C129" s="1556" t="n"/>
      <c r="D129" s="1556" t="n"/>
      <c r="E129" s="1556" t="n"/>
      <c r="F129" s="1556" t="n"/>
      <c r="G129" s="1556" t="n"/>
      <c r="H129" s="1556" t="n"/>
      <c r="I129" s="1556" t="n"/>
    </row>
    <row r="130">
      <c r="A130" s="1556" t="n"/>
      <c r="B130" s="1556" t="n"/>
      <c r="C130" s="1556" t="n"/>
      <c r="D130" s="1556" t="n"/>
      <c r="E130" s="1556" t="n"/>
      <c r="F130" s="1556" t="n"/>
      <c r="G130" s="1556" t="n"/>
      <c r="H130" s="1556" t="n"/>
      <c r="I130" s="1556" t="n"/>
    </row>
    <row r="131">
      <c r="A131" s="1556" t="n"/>
      <c r="B131" s="1556" t="n"/>
      <c r="C131" s="1556" t="n"/>
      <c r="D131" s="1556" t="n"/>
      <c r="E131" s="1556" t="n"/>
      <c r="F131" s="1556" t="n"/>
      <c r="G131" s="1556" t="n"/>
      <c r="H131" s="1556" t="n"/>
      <c r="I131" s="1556" t="n"/>
    </row>
    <row r="132">
      <c r="A132" s="1556" t="n"/>
      <c r="B132" s="1556" t="n"/>
      <c r="C132" s="1556" t="n"/>
      <c r="D132" s="1556" t="n"/>
      <c r="E132" s="1556" t="n"/>
      <c r="F132" s="1556" t="n"/>
      <c r="G132" s="1556" t="n"/>
      <c r="H132" s="1556" t="n"/>
      <c r="I132" s="1556" t="n"/>
    </row>
    <row r="133">
      <c r="A133" s="1556" t="n"/>
      <c r="B133" s="1556" t="n"/>
      <c r="C133" s="1556" t="n"/>
      <c r="D133" s="1556" t="n"/>
      <c r="E133" s="1556" t="n"/>
      <c r="F133" s="1556" t="n"/>
      <c r="G133" s="1556" t="n"/>
      <c r="H133" s="1556" t="n"/>
      <c r="I133" s="1556" t="n"/>
    </row>
    <row r="134">
      <c r="A134" s="1556" t="n"/>
      <c r="B134" s="1556" t="n"/>
      <c r="C134" s="1556" t="n"/>
      <c r="D134" s="1556" t="n"/>
      <c r="E134" s="1556" t="n"/>
      <c r="F134" s="1556" t="n"/>
      <c r="G134" s="1556" t="n"/>
      <c r="H134" s="1556" t="n"/>
      <c r="I134" s="1556" t="n"/>
    </row>
    <row r="135">
      <c r="A135" s="1556" t="n"/>
      <c r="B135" s="1556" t="n"/>
      <c r="C135" s="1556" t="n"/>
      <c r="D135" s="1556" t="n"/>
      <c r="E135" s="1556" t="n"/>
      <c r="F135" s="1556" t="n"/>
      <c r="G135" s="1556" t="n"/>
      <c r="H135" s="1556" t="n"/>
      <c r="I135" s="1556" t="n"/>
    </row>
    <row r="136">
      <c r="A136" s="1556" t="n"/>
      <c r="B136" s="1556" t="n"/>
      <c r="C136" s="1556" t="n"/>
      <c r="D136" s="1556" t="n"/>
      <c r="E136" s="1556" t="n"/>
      <c r="F136" s="1556" t="n"/>
      <c r="G136" s="1556" t="n"/>
      <c r="H136" s="1556" t="n"/>
      <c r="I136" s="1556" t="n"/>
    </row>
    <row r="137">
      <c r="A137" s="1556" t="n"/>
      <c r="B137" s="1556" t="n"/>
      <c r="C137" s="1556" t="n"/>
      <c r="D137" s="1556" t="n"/>
      <c r="E137" s="1556" t="n"/>
      <c r="F137" s="1556" t="n"/>
      <c r="G137" s="1556" t="n"/>
      <c r="H137" s="1556" t="n"/>
      <c r="I137" s="1556" t="n"/>
    </row>
    <row r="138">
      <c r="A138" s="1556" t="n"/>
      <c r="B138" s="1556" t="n"/>
      <c r="C138" s="1556" t="n"/>
      <c r="D138" s="1556" t="n"/>
      <c r="E138" s="1556" t="n"/>
      <c r="F138" s="1556" t="n"/>
      <c r="G138" s="1556" t="n"/>
      <c r="H138" s="1556" t="n"/>
      <c r="I138" s="1556" t="n"/>
    </row>
    <row r="139">
      <c r="A139" s="1556" t="n"/>
      <c r="B139" s="1556" t="n"/>
      <c r="C139" s="1556" t="n"/>
      <c r="D139" s="1556" t="n"/>
      <c r="E139" s="1556" t="n"/>
      <c r="F139" s="1556" t="n"/>
      <c r="G139" s="1556" t="n"/>
      <c r="H139" s="1556" t="n"/>
      <c r="I139" s="1556" t="n"/>
    </row>
    <row r="140">
      <c r="A140" s="1556" t="n"/>
      <c r="B140" s="1556" t="n"/>
      <c r="C140" s="1556" t="n"/>
      <c r="D140" s="1556" t="n"/>
      <c r="E140" s="1556" t="n"/>
      <c r="F140" s="1556" t="n"/>
      <c r="G140" s="1556" t="n"/>
      <c r="H140" s="1556" t="n"/>
      <c r="I140" s="1556" t="n"/>
    </row>
    <row r="141">
      <c r="A141" s="1556" t="n"/>
      <c r="B141" s="1556" t="n"/>
      <c r="C141" s="1556" t="n"/>
      <c r="D141" s="1556" t="n"/>
      <c r="E141" s="1556" t="n"/>
      <c r="F141" s="1556" t="n"/>
      <c r="G141" s="1556" t="n"/>
      <c r="H141" s="1556" t="n"/>
      <c r="I141" s="1556" t="n"/>
    </row>
    <row r="142">
      <c r="A142" s="1556" t="n"/>
      <c r="B142" s="1556" t="n"/>
      <c r="C142" s="1556" t="n"/>
      <c r="D142" s="1556" t="n"/>
      <c r="E142" s="1556" t="n"/>
      <c r="F142" s="1556" t="n"/>
      <c r="G142" s="1556" t="n"/>
      <c r="H142" s="1556" t="n"/>
      <c r="I142" s="1556" t="n"/>
    </row>
    <row r="143">
      <c r="A143" s="1556" t="n"/>
      <c r="B143" s="1556" t="n"/>
      <c r="C143" s="1556" t="n"/>
      <c r="D143" s="1556" t="n"/>
      <c r="E143" s="1556" t="n"/>
      <c r="F143" s="1556" t="n"/>
      <c r="G143" s="1556" t="n"/>
      <c r="H143" s="1556" t="n"/>
      <c r="I143" s="1556" t="n"/>
    </row>
    <row r="144">
      <c r="A144" s="1556" t="n"/>
      <c r="B144" s="1556" t="n"/>
      <c r="C144" s="1556" t="n"/>
      <c r="D144" s="1556" t="n"/>
      <c r="E144" s="1556" t="n"/>
      <c r="F144" s="1556" t="n"/>
      <c r="G144" s="1556" t="n"/>
      <c r="H144" s="1556" t="n"/>
      <c r="I144" s="1556" t="n"/>
    </row>
    <row r="145">
      <c r="A145" s="1556" t="n"/>
      <c r="B145" s="1556" t="n"/>
      <c r="C145" s="1556" t="n"/>
      <c r="D145" s="1556" t="n"/>
      <c r="E145" s="1556" t="n"/>
      <c r="F145" s="1556" t="n"/>
      <c r="G145" s="1556" t="n"/>
      <c r="H145" s="1556" t="n"/>
      <c r="I145" s="1556" t="n"/>
    </row>
    <row r="146">
      <c r="A146" s="1556" t="n"/>
      <c r="B146" s="1556" t="n"/>
      <c r="C146" s="1556" t="n"/>
      <c r="D146" s="1556" t="n"/>
      <c r="E146" s="1556" t="n"/>
      <c r="F146" s="1556" t="n"/>
      <c r="G146" s="1556" t="n"/>
      <c r="H146" s="1556" t="n"/>
      <c r="I146" s="1556" t="n"/>
    </row>
    <row r="147">
      <c r="A147" s="1556" t="n"/>
      <c r="B147" s="1556" t="n"/>
      <c r="C147" s="1556" t="n"/>
      <c r="D147" s="1556" t="n"/>
      <c r="E147" s="1556" t="n"/>
      <c r="F147" s="1556" t="n"/>
      <c r="G147" s="1556" t="n"/>
      <c r="H147" s="1556" t="n"/>
      <c r="I147" s="1556" t="n"/>
    </row>
    <row r="148">
      <c r="A148" s="1556" t="n"/>
      <c r="B148" s="1556" t="n"/>
      <c r="C148" s="1556" t="n"/>
      <c r="D148" s="1556" t="n"/>
      <c r="E148" s="1556" t="n"/>
      <c r="F148" s="1556" t="n"/>
      <c r="G148" s="1556" t="n"/>
      <c r="H148" s="1556" t="n"/>
      <c r="I148" s="1556" t="n"/>
    </row>
    <row r="149">
      <c r="A149" s="1556" t="n"/>
      <c r="B149" s="1556" t="n"/>
      <c r="C149" s="1556" t="n"/>
      <c r="D149" s="1556" t="n"/>
      <c r="E149" s="1556" t="n"/>
      <c r="F149" s="1556" t="n"/>
      <c r="G149" s="1556" t="n"/>
      <c r="H149" s="1556" t="n"/>
      <c r="I149" s="1556" t="n"/>
    </row>
    <row r="150">
      <c r="A150" s="1556" t="n"/>
      <c r="B150" s="1556" t="n"/>
      <c r="C150" s="1556" t="n"/>
      <c r="D150" s="1556" t="n"/>
      <c r="E150" s="1556" t="n"/>
      <c r="F150" s="1556" t="n"/>
      <c r="G150" s="1556" t="n"/>
      <c r="H150" s="1556" t="n"/>
      <c r="I150" s="1556" t="n"/>
    </row>
    <row r="151">
      <c r="A151" s="1556" t="n"/>
      <c r="B151" s="1556" t="n"/>
      <c r="C151" s="1556" t="n"/>
      <c r="D151" s="1556" t="n"/>
      <c r="E151" s="1556" t="n"/>
      <c r="F151" s="1556" t="n"/>
      <c r="G151" s="1556" t="n"/>
      <c r="H151" s="1556" t="n"/>
      <c r="I151" s="1556" t="n"/>
    </row>
    <row r="152">
      <c r="A152" s="1556" t="n"/>
      <c r="B152" s="1556" t="n"/>
      <c r="C152" s="1556" t="n"/>
      <c r="D152" s="1556" t="n"/>
      <c r="E152" s="1556" t="n"/>
      <c r="F152" s="1556" t="n"/>
      <c r="G152" s="1556" t="n"/>
      <c r="H152" s="1556" t="n"/>
      <c r="I152" s="1556" t="n"/>
    </row>
    <row r="153">
      <c r="A153" s="1556" t="n"/>
      <c r="B153" s="1556" t="n"/>
      <c r="C153" s="1556" t="n"/>
      <c r="D153" s="1556" t="n"/>
      <c r="E153" s="1556" t="n"/>
      <c r="F153" s="1556" t="n"/>
      <c r="G153" s="1556" t="n"/>
      <c r="H153" s="1556" t="n"/>
      <c r="I153" s="1556" t="n"/>
    </row>
    <row r="154">
      <c r="A154" s="1556" t="n"/>
      <c r="B154" s="1556" t="n"/>
      <c r="C154" s="1556" t="n"/>
      <c r="D154" s="1556" t="n"/>
      <c r="E154" s="1556" t="n"/>
      <c r="F154" s="1556" t="n"/>
      <c r="G154" s="1556" t="n"/>
      <c r="H154" s="1556" t="n"/>
      <c r="I154" s="1556" t="n"/>
    </row>
    <row r="155">
      <c r="A155" s="1556" t="n"/>
      <c r="B155" s="1556" t="n"/>
      <c r="C155" s="1556" t="n"/>
      <c r="D155" s="1556" t="n"/>
      <c r="E155" s="1556" t="n"/>
      <c r="F155" s="1556" t="n"/>
      <c r="G155" s="1556" t="n"/>
      <c r="H155" s="1556" t="n"/>
      <c r="I155" s="1556" t="n"/>
    </row>
    <row r="156">
      <c r="A156" s="1556" t="n"/>
      <c r="B156" s="1556" t="n"/>
      <c r="C156" s="1556" t="n"/>
      <c r="D156" s="1556" t="n"/>
      <c r="E156" s="1556" t="n"/>
      <c r="F156" s="1556" t="n"/>
      <c r="G156" s="1556" t="n"/>
      <c r="H156" s="1556" t="n"/>
      <c r="I156" s="1556" t="n"/>
    </row>
    <row r="157">
      <c r="A157" s="1556" t="n"/>
      <c r="B157" s="1556" t="n"/>
      <c r="C157" s="1556" t="n"/>
      <c r="D157" s="1556" t="n"/>
      <c r="E157" s="1556" t="n"/>
      <c r="F157" s="1556" t="n"/>
      <c r="G157" s="1556" t="n"/>
      <c r="H157" s="1556" t="n"/>
      <c r="I157" s="1556" t="n"/>
    </row>
    <row r="158">
      <c r="A158" s="1556" t="n"/>
      <c r="B158" s="1556" t="n"/>
      <c r="C158" s="1556" t="n"/>
      <c r="D158" s="1556" t="n"/>
      <c r="E158" s="1556" t="n"/>
      <c r="F158" s="1556" t="n"/>
      <c r="G158" s="1556" t="n"/>
      <c r="H158" s="1556" t="n"/>
      <c r="I158" s="1556" t="n"/>
    </row>
    <row r="159">
      <c r="A159" s="1556" t="n"/>
      <c r="B159" s="1556" t="n"/>
      <c r="C159" s="1556" t="n"/>
      <c r="D159" s="1556" t="n"/>
      <c r="E159" s="1556" t="n"/>
      <c r="F159" s="1556" t="n"/>
      <c r="G159" s="1556" t="n"/>
      <c r="H159" s="1556" t="n"/>
      <c r="I159" s="1556" t="n"/>
    </row>
    <row r="160">
      <c r="A160" s="1556" t="n"/>
      <c r="B160" s="1556" t="n"/>
      <c r="C160" s="1556" t="n"/>
      <c r="D160" s="1556" t="n"/>
      <c r="E160" s="1556" t="n"/>
      <c r="F160" s="1556" t="n"/>
      <c r="G160" s="1556" t="n"/>
      <c r="H160" s="1556" t="n"/>
      <c r="I160" s="1556" t="n"/>
    </row>
    <row r="161">
      <c r="A161" s="1556" t="n"/>
      <c r="B161" s="1556" t="n"/>
      <c r="C161" s="1556" t="n"/>
      <c r="D161" s="1556" t="n"/>
      <c r="E161" s="1556" t="n"/>
      <c r="F161" s="1556" t="n"/>
      <c r="G161" s="1556" t="n"/>
      <c r="H161" s="1556" t="n"/>
      <c r="I161" s="1556" t="n"/>
    </row>
    <row r="162">
      <c r="A162" s="1556" t="n"/>
      <c r="B162" s="1556" t="n"/>
      <c r="C162" s="1556" t="n"/>
      <c r="D162" s="1556" t="n"/>
      <c r="E162" s="1556" t="n"/>
      <c r="F162" s="1556" t="n"/>
      <c r="G162" s="1556" t="n"/>
      <c r="H162" s="1556" t="n"/>
      <c r="I162" s="1556" t="n"/>
    </row>
    <row r="163">
      <c r="A163" s="1556" t="n"/>
      <c r="B163" s="1556" t="n"/>
      <c r="C163" s="1556" t="n"/>
      <c r="D163" s="1556" t="n"/>
      <c r="E163" s="1556" t="n"/>
      <c r="F163" s="1556" t="n"/>
      <c r="G163" s="1556" t="n"/>
      <c r="H163" s="1556" t="n"/>
      <c r="I163" s="1556" t="n"/>
    </row>
    <row r="164">
      <c r="A164" s="1556" t="n"/>
      <c r="B164" s="1556" t="n"/>
      <c r="C164" s="1556" t="n"/>
      <c r="D164" s="1556" t="n"/>
      <c r="E164" s="1556" t="n"/>
      <c r="F164" s="1556" t="n"/>
      <c r="G164" s="1556" t="n"/>
      <c r="H164" s="1556" t="n"/>
      <c r="I164" s="1556" t="n"/>
    </row>
    <row r="165">
      <c r="A165" s="1556" t="n"/>
      <c r="B165" s="1556" t="n"/>
      <c r="C165" s="1556" t="n"/>
      <c r="D165" s="1556" t="n"/>
      <c r="E165" s="1556" t="n"/>
      <c r="F165" s="1556" t="n"/>
      <c r="G165" s="1556" t="n"/>
      <c r="H165" s="1556" t="n"/>
      <c r="I165" s="1556" t="n"/>
    </row>
    <row r="166">
      <c r="A166" s="1556" t="n"/>
      <c r="B166" s="1556" t="n"/>
      <c r="C166" s="1556" t="n"/>
      <c r="D166" s="1556" t="n"/>
      <c r="E166" s="1556" t="n"/>
      <c r="F166" s="1556" t="n"/>
      <c r="G166" s="1556" t="n"/>
      <c r="H166" s="1556" t="n"/>
      <c r="I166" s="1556" t="n"/>
    </row>
    <row r="167">
      <c r="A167" s="1556" t="n"/>
      <c r="B167" s="1556" t="n"/>
      <c r="C167" s="1556" t="n"/>
      <c r="D167" s="1556" t="n"/>
      <c r="E167" s="1556" t="n"/>
      <c r="F167" s="1556" t="n"/>
      <c r="G167" s="1556" t="n"/>
      <c r="H167" s="1556" t="n"/>
      <c r="I167" s="1556" t="n"/>
    </row>
    <row r="168">
      <c r="A168" s="1556" t="n"/>
      <c r="B168" s="1556" t="n"/>
      <c r="C168" s="1556" t="n"/>
      <c r="D168" s="1556" t="n"/>
      <c r="E168" s="1556" t="n"/>
      <c r="F168" s="1556" t="n"/>
      <c r="G168" s="1556" t="n"/>
      <c r="H168" s="1556" t="n"/>
      <c r="I168" s="1556" t="n"/>
    </row>
    <row r="169">
      <c r="A169" s="1556" t="n"/>
      <c r="B169" s="1556" t="n"/>
      <c r="C169" s="1556" t="n"/>
      <c r="D169" s="1556" t="n"/>
      <c r="E169" s="1556" t="n"/>
      <c r="F169" s="1556" t="n"/>
      <c r="G169" s="1556" t="n"/>
      <c r="H169" s="1556" t="n"/>
      <c r="I169" s="1556" t="n"/>
    </row>
    <row r="170">
      <c r="A170" s="1556" t="n"/>
      <c r="B170" s="1556" t="n"/>
      <c r="C170" s="1556" t="n"/>
      <c r="D170" s="1556" t="n"/>
      <c r="E170" s="1556" t="n"/>
      <c r="F170" s="1556" t="n"/>
      <c r="G170" s="1556" t="n"/>
      <c r="H170" s="1556" t="n"/>
      <c r="I170" s="1556" t="n"/>
    </row>
    <row r="171">
      <c r="A171" s="1556" t="n"/>
      <c r="B171" s="1556" t="n"/>
      <c r="C171" s="1556" t="n"/>
      <c r="D171" s="1556" t="n"/>
      <c r="E171" s="1556" t="n"/>
      <c r="F171" s="1556" t="n"/>
      <c r="G171" s="1556" t="n"/>
      <c r="H171" s="1556" t="n"/>
      <c r="I171" s="1556" t="n"/>
    </row>
    <row r="172">
      <c r="A172" s="1556" t="n"/>
      <c r="B172" s="1556" t="n"/>
      <c r="C172" s="1556" t="n"/>
      <c r="D172" s="1556" t="n"/>
      <c r="E172" s="1556" t="n"/>
      <c r="F172" s="1556" t="n"/>
      <c r="G172" s="1556" t="n"/>
      <c r="H172" s="1556" t="n"/>
      <c r="I172" s="1556" t="n"/>
    </row>
    <row r="173">
      <c r="A173" s="1556" t="n"/>
      <c r="B173" s="1556" t="n"/>
      <c r="C173" s="1556" t="n"/>
      <c r="D173" s="1556" t="n"/>
      <c r="E173" s="1556" t="n"/>
      <c r="F173" s="1556" t="n"/>
      <c r="G173" s="1556" t="n"/>
      <c r="H173" s="1556" t="n"/>
      <c r="I173" s="1556" t="n"/>
    </row>
    <row r="174">
      <c r="A174" s="1556" t="n"/>
      <c r="B174" s="1556" t="n"/>
      <c r="C174" s="1556" t="n"/>
      <c r="D174" s="1556" t="n"/>
      <c r="E174" s="1556" t="n"/>
      <c r="F174" s="1556" t="n"/>
      <c r="G174" s="1556" t="n"/>
      <c r="H174" s="1556" t="n"/>
      <c r="I174" s="1556" t="n"/>
    </row>
    <row r="175">
      <c r="A175" s="1556" t="n"/>
      <c r="B175" s="1556" t="n"/>
      <c r="C175" s="1556" t="n"/>
      <c r="D175" s="1556" t="n"/>
      <c r="E175" s="1556" t="n"/>
      <c r="F175" s="1556" t="n"/>
      <c r="G175" s="1556" t="n"/>
      <c r="H175" s="1556" t="n"/>
      <c r="I175" s="1556" t="n"/>
    </row>
    <row r="176">
      <c r="A176" s="1556" t="n"/>
      <c r="B176" s="1556" t="n"/>
      <c r="C176" s="1556" t="n"/>
      <c r="D176" s="1556" t="n"/>
      <c r="E176" s="1556" t="n"/>
      <c r="F176" s="1556" t="n"/>
      <c r="G176" s="1556" t="n"/>
      <c r="H176" s="1556" t="n"/>
      <c r="I176" s="1556" t="n"/>
    </row>
    <row r="177">
      <c r="A177" s="1556" t="n"/>
      <c r="B177" s="1556" t="n"/>
      <c r="C177" s="1556" t="n"/>
      <c r="D177" s="1556" t="n"/>
      <c r="E177" s="1556" t="n"/>
      <c r="F177" s="1556" t="n"/>
      <c r="G177" s="1556" t="n"/>
      <c r="H177" s="1556" t="n"/>
      <c r="I177" s="1556" t="n"/>
    </row>
    <row r="178">
      <c r="A178" s="1556" t="n"/>
      <c r="B178" s="1556" t="n"/>
      <c r="C178" s="1556" t="n"/>
      <c r="D178" s="1556" t="n"/>
      <c r="E178" s="1556" t="n"/>
      <c r="F178" s="1556" t="n"/>
      <c r="G178" s="1556" t="n"/>
      <c r="H178" s="1556" t="n"/>
      <c r="I178" s="1556" t="n"/>
    </row>
    <row r="179">
      <c r="A179" s="1556" t="n"/>
      <c r="B179" s="1556" t="n"/>
      <c r="C179" s="1556" t="n"/>
      <c r="D179" s="1556" t="n"/>
      <c r="E179" s="1556" t="n"/>
      <c r="F179" s="1556" t="n"/>
      <c r="G179" s="1556" t="n"/>
      <c r="H179" s="1556" t="n"/>
      <c r="I179" s="1556" t="n"/>
    </row>
    <row r="180">
      <c r="A180" s="1556" t="n"/>
      <c r="B180" s="1556" t="n"/>
      <c r="C180" s="1556" t="n"/>
      <c r="D180" s="1556" t="n"/>
      <c r="E180" s="1556" t="n"/>
      <c r="F180" s="1556" t="n"/>
      <c r="G180" s="1556" t="n"/>
      <c r="H180" s="1556" t="n"/>
      <c r="I180" s="1556" t="n"/>
    </row>
    <row r="181">
      <c r="A181" s="1556" t="n"/>
      <c r="B181" s="1556" t="n"/>
      <c r="C181" s="1556" t="n"/>
      <c r="D181" s="1556" t="n"/>
      <c r="E181" s="1556" t="n"/>
      <c r="F181" s="1556" t="n"/>
      <c r="G181" s="1556" t="n"/>
      <c r="H181" s="1556" t="n"/>
      <c r="I181" s="1556" t="n"/>
    </row>
    <row r="182">
      <c r="A182" s="1556" t="n"/>
      <c r="B182" s="1556" t="n"/>
      <c r="C182" s="1556" t="n"/>
      <c r="D182" s="1556" t="n"/>
      <c r="E182" s="1556" t="n"/>
      <c r="F182" s="1556" t="n"/>
      <c r="G182" s="1556" t="n"/>
      <c r="H182" s="1556" t="n"/>
      <c r="I182" s="1556" t="n"/>
    </row>
    <row r="183">
      <c r="A183" s="1556" t="n"/>
      <c r="B183" s="1556" t="n"/>
      <c r="C183" s="1556" t="n"/>
      <c r="D183" s="1556" t="n"/>
      <c r="E183" s="1556" t="n"/>
      <c r="F183" s="1556" t="n"/>
      <c r="G183" s="1556" t="n"/>
      <c r="H183" s="1556" t="n"/>
      <c r="I183" s="1556" t="n"/>
    </row>
    <row r="184">
      <c r="A184" s="1556" t="n"/>
      <c r="B184" s="1556" t="n"/>
      <c r="C184" s="1556" t="n"/>
      <c r="D184" s="1556" t="n"/>
      <c r="E184" s="1556" t="n"/>
      <c r="F184" s="1556" t="n"/>
      <c r="G184" s="1556" t="n"/>
      <c r="H184" s="1556" t="n"/>
      <c r="I184" s="1556" t="n"/>
    </row>
    <row r="185">
      <c r="A185" s="1556" t="n"/>
      <c r="B185" s="1556" t="n"/>
      <c r="C185" s="1556" t="n"/>
      <c r="D185" s="1556" t="n"/>
      <c r="E185" s="1556" t="n"/>
      <c r="F185" s="1556" t="n"/>
      <c r="G185" s="1556" t="n"/>
      <c r="H185" s="1556" t="n"/>
      <c r="I185" s="1556" t="n"/>
    </row>
    <row r="186">
      <c r="A186" s="1556" t="n"/>
      <c r="B186" s="1556" t="n"/>
      <c r="C186" s="1556" t="n"/>
      <c r="D186" s="1556" t="n"/>
      <c r="E186" s="1556" t="n"/>
      <c r="F186" s="1556" t="n"/>
      <c r="G186" s="1556" t="n"/>
      <c r="H186" s="1556" t="n"/>
      <c r="I186" s="1556" t="n"/>
    </row>
    <row r="187">
      <c r="A187" s="1556" t="n"/>
      <c r="B187" s="1556" t="n"/>
      <c r="C187" s="1556" t="n"/>
      <c r="D187" s="1556" t="n"/>
      <c r="E187" s="1556" t="n"/>
      <c r="F187" s="1556" t="n"/>
      <c r="G187" s="1556" t="n"/>
      <c r="H187" s="1556" t="n"/>
      <c r="I187" s="1556" t="n"/>
    </row>
    <row r="188">
      <c r="A188" s="1556" t="n"/>
      <c r="B188" s="1556" t="n"/>
      <c r="C188" s="1556" t="n"/>
      <c r="D188" s="1556" t="n"/>
      <c r="E188" s="1556" t="n"/>
      <c r="F188" s="1556" t="n"/>
      <c r="G188" s="1556" t="n"/>
      <c r="H188" s="1556" t="n"/>
      <c r="I188" s="1556" t="n"/>
    </row>
    <row r="189">
      <c r="A189" s="1556" t="n"/>
      <c r="B189" s="1556" t="n"/>
      <c r="C189" s="1556" t="n"/>
      <c r="D189" s="1556" t="n"/>
      <c r="E189" s="1556" t="n"/>
      <c r="F189" s="1556" t="n"/>
      <c r="G189" s="1556" t="n"/>
      <c r="H189" s="1556" t="n"/>
      <c r="I189" s="1556" t="n"/>
    </row>
    <row r="190">
      <c r="A190" s="1556" t="n"/>
      <c r="B190" s="1556" t="n"/>
      <c r="C190" s="1556" t="n"/>
      <c r="D190" s="1556" t="n"/>
      <c r="E190" s="1556" t="n"/>
      <c r="F190" s="1556" t="n"/>
      <c r="G190" s="1556" t="n"/>
      <c r="H190" s="1556" t="n"/>
      <c r="I190" s="1556" t="n"/>
    </row>
    <row r="191">
      <c r="A191" s="1556" t="n"/>
      <c r="B191" s="1556" t="n"/>
      <c r="C191" s="1556" t="n"/>
      <c r="D191" s="1556" t="n"/>
      <c r="E191" s="1556" t="n"/>
      <c r="F191" s="1556" t="n"/>
      <c r="G191" s="1556" t="n"/>
      <c r="H191" s="1556" t="n"/>
      <c r="I191" s="1556" t="n"/>
    </row>
    <row r="192">
      <c r="A192" s="1556" t="n"/>
      <c r="B192" s="1556" t="n"/>
      <c r="C192" s="1556" t="n"/>
      <c r="D192" s="1556" t="n"/>
      <c r="E192" s="1556" t="n"/>
      <c r="F192" s="1556" t="n"/>
      <c r="G192" s="1556" t="n"/>
      <c r="H192" s="1556" t="n"/>
      <c r="I192" s="1556" t="n"/>
    </row>
    <row r="193">
      <c r="A193" s="1556" t="n"/>
      <c r="B193" s="1556" t="n"/>
      <c r="C193" s="1556" t="n"/>
      <c r="D193" s="1556" t="n"/>
      <c r="E193" s="1556" t="n"/>
      <c r="F193" s="1556" t="n"/>
      <c r="G193" s="1556" t="n"/>
      <c r="H193" s="1556" t="n"/>
      <c r="I193" s="1556" t="n"/>
    </row>
    <row r="194">
      <c r="A194" s="1556" t="n"/>
      <c r="B194" s="1556" t="n"/>
      <c r="C194" s="1556" t="n"/>
      <c r="D194" s="1556" t="n"/>
      <c r="E194" s="1556" t="n"/>
      <c r="F194" s="1556" t="n"/>
      <c r="G194" s="1556" t="n"/>
      <c r="H194" s="1556" t="n"/>
      <c r="I194" s="1556" t="n"/>
    </row>
    <row r="195">
      <c r="A195" s="1556" t="n"/>
      <c r="B195" s="1556" t="n"/>
      <c r="C195" s="1556" t="n"/>
      <c r="D195" s="1556" t="n"/>
      <c r="E195" s="1556" t="n"/>
      <c r="F195" s="1556" t="n"/>
      <c r="G195" s="1556" t="n"/>
      <c r="H195" s="1556" t="n"/>
      <c r="I195" s="1556" t="n"/>
    </row>
    <row r="196">
      <c r="A196" s="1556" t="n"/>
      <c r="B196" s="1556" t="n"/>
      <c r="C196" s="1556" t="n"/>
      <c r="D196" s="1556" t="n"/>
      <c r="E196" s="1556" t="n"/>
      <c r="F196" s="1556" t="n"/>
      <c r="G196" s="1556" t="n"/>
      <c r="H196" s="1556" t="n"/>
      <c r="I196" s="1556" t="n"/>
    </row>
    <row r="197">
      <c r="A197" s="1556" t="n"/>
      <c r="B197" s="1556" t="n"/>
      <c r="C197" s="1556" t="n"/>
      <c r="D197" s="1556" t="n"/>
      <c r="E197" s="1556" t="n"/>
      <c r="F197" s="1556" t="n"/>
      <c r="G197" s="1556" t="n"/>
      <c r="H197" s="1556" t="n"/>
      <c r="I197" s="1556" t="n"/>
    </row>
    <row r="198">
      <c r="A198" s="1556" t="n"/>
      <c r="B198" s="1556" t="n"/>
      <c r="C198" s="1556" t="n"/>
      <c r="D198" s="1556" t="n"/>
      <c r="E198" s="1556" t="n"/>
      <c r="F198" s="1556" t="n"/>
      <c r="G198" s="1556" t="n"/>
      <c r="H198" s="1556" t="n"/>
      <c r="I198" s="1556" t="n"/>
    </row>
    <row r="199">
      <c r="A199" s="1556" t="n"/>
      <c r="B199" s="1556" t="n"/>
      <c r="C199" s="1556" t="n"/>
      <c r="D199" s="1556" t="n"/>
      <c r="E199" s="1556" t="n"/>
      <c r="F199" s="1556" t="n"/>
      <c r="G199" s="1556" t="n"/>
      <c r="H199" s="1556" t="n"/>
      <c r="I199" s="1556" t="n"/>
    </row>
    <row r="200">
      <c r="A200" s="1556" t="n"/>
      <c r="B200" s="1556" t="n"/>
      <c r="C200" s="1556" t="n"/>
      <c r="D200" s="1556" t="n"/>
      <c r="E200" s="1556" t="n"/>
      <c r="F200" s="1556" t="n"/>
      <c r="G200" s="1556" t="n"/>
      <c r="H200" s="1556" t="n"/>
      <c r="I200" s="1556" t="n"/>
    </row>
    <row r="201">
      <c r="A201" s="1556" t="n"/>
      <c r="B201" s="1556" t="n"/>
      <c r="C201" s="1556" t="n"/>
      <c r="D201" s="1556" t="n"/>
      <c r="E201" s="1556" t="n"/>
      <c r="F201" s="1556" t="n"/>
      <c r="G201" s="1556" t="n"/>
      <c r="H201" s="1556" t="n"/>
      <c r="I201" s="1556" t="n"/>
    </row>
    <row r="202">
      <c r="A202" s="1556" t="n"/>
      <c r="B202" s="1556" t="n"/>
      <c r="C202" s="1556" t="n"/>
      <c r="D202" s="1556" t="n"/>
      <c r="E202" s="1556" t="n"/>
      <c r="F202" s="1556" t="n"/>
      <c r="G202" s="1556" t="n"/>
      <c r="H202" s="1556" t="n"/>
      <c r="I202" s="1556" t="n"/>
    </row>
    <row r="203">
      <c r="A203" s="1556" t="n"/>
      <c r="B203" s="1556" t="n"/>
      <c r="C203" s="1556" t="n"/>
      <c r="D203" s="1556" t="n"/>
      <c r="E203" s="1556" t="n"/>
      <c r="F203" s="1556" t="n"/>
      <c r="G203" s="1556" t="n"/>
      <c r="H203" s="1556" t="n"/>
      <c r="I203" s="1556" t="n"/>
    </row>
  </sheetData>
  <autoFilter ref="A1:I91">
    <filterColumn colId="6" hiddenButton="0" showButton="1">
      <filters>
        <filter val="#REF!"/>
        <filter val="#N/A"/>
      </filters>
    </filterColumn>
  </autoFilter>
  <conditionalFormatting sqref="C86">
    <cfRule type="duplicateValues" priority="1" dxfId="25"/>
  </conditionalFormatting>
  <conditionalFormatting sqref="C89">
    <cfRule type="duplicateValues" priority="2" dxfId="25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264" min="1" max="1"/>
    <col width="29.33203125" customWidth="1" style="1264" min="2" max="2"/>
    <col width="30.109375" customWidth="1" style="1264" min="3" max="3"/>
    <col width="29.33203125" customWidth="1" style="1264" min="4" max="4"/>
    <col width="8.6640625" customWidth="1" style="1264" min="5" max="6"/>
    <col width="29.109375" customWidth="1" style="1264" min="7" max="7"/>
    <col width="8.6640625" customWidth="1" style="1264" min="8" max="26"/>
  </cols>
  <sheetData>
    <row r="1" ht="20.25" customHeight="1" s="1264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24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1264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1264">
      <c r="A3" s="53" t="n"/>
      <c r="B3" s="1557" t="inlineStr">
        <is>
          <t>PHIẾU LƯƠNG THÁNG 06</t>
        </is>
      </c>
      <c r="C3" s="1558" t="n"/>
      <c r="D3" s="1559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1264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1264">
      <c r="A5" s="83" t="n"/>
      <c r="B5" s="84" t="inlineStr">
        <is>
          <t>Họ tên:</t>
        </is>
      </c>
      <c r="C5" s="106">
        <f>VLOOKUP(H1,#REF!,3,0)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1264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1264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1264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1264">
      <c r="A9" s="83" t="n"/>
      <c r="B9" s="87" t="inlineStr">
        <is>
          <t>Số giờ tăng ca</t>
        </is>
      </c>
      <c r="C9" s="90">
        <f>VLOOKUP($C$5,#REF!,12,0)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1264">
      <c r="A10" s="83" t="n"/>
      <c r="B10" s="87" t="inlineStr">
        <is>
          <t>Số giờ tăng ca ngày lễ</t>
        </is>
      </c>
      <c r="C10" s="1560">
        <f>VLOOKUP($C$5,#REF!,13,0)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1264">
      <c r="A11" s="83" t="n"/>
      <c r="B11" s="87" t="inlineStr">
        <is>
          <t>Lương theo HQCV</t>
        </is>
      </c>
      <c r="C11" s="1560">
        <f>VLOOKUP($C$5,#REF!,15,0)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1264">
      <c r="A12" s="83" t="n"/>
      <c r="B12" s="87" t="inlineStr">
        <is>
          <t>Lương cơ bản</t>
        </is>
      </c>
      <c r="C12" s="1560">
        <f>VLOOKUP($C$5,#REF!,16,0)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1264">
      <c r="A13" s="83" t="n"/>
      <c r="B13" s="87" t="inlineStr">
        <is>
          <t>Phụ cấp tiền ăn</t>
        </is>
      </c>
      <c r="C13" s="1560">
        <f>VLOOKUP($C$5,#REF!,17,0)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1264">
      <c r="A14" s="83" t="n"/>
      <c r="B14" s="87" t="inlineStr">
        <is>
          <t>Phụ cấp đồng phục</t>
        </is>
      </c>
      <c r="C14" s="1560">
        <f>VLOOKUP($C$5,#REF!,18,0)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1264">
      <c r="A15" s="83" t="n"/>
      <c r="B15" s="87" t="inlineStr">
        <is>
          <t>Phụ cấp đi lại</t>
        </is>
      </c>
      <c r="C15" s="1560">
        <f>VLOOKUP($C$5,#REF!,20,0)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1264">
      <c r="A16" s="83" t="n"/>
      <c r="B16" s="92" t="inlineStr">
        <is>
          <t>Lương thỏa thuận</t>
        </is>
      </c>
      <c r="C16" s="1561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1264">
      <c r="A17" s="83" t="n"/>
      <c r="B17" s="92" t="inlineStr">
        <is>
          <t>Lương thực tế</t>
        </is>
      </c>
      <c r="C17" s="1562">
        <f>VLOOKUP($C$5,#REF!,27,0)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1264">
      <c r="A18" s="83" t="n"/>
      <c r="B18" s="92" t="inlineStr">
        <is>
          <t>Tổng lương thực tế</t>
        </is>
      </c>
      <c r="C18" s="1561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1264">
      <c r="A19" s="83" t="n"/>
      <c r="B19" s="87" t="inlineStr">
        <is>
          <t>Lương tăng ca</t>
        </is>
      </c>
      <c r="C19" s="1560">
        <f>VLOOKUP($C$5,#REF!,28,0)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1264">
      <c r="A20" s="83" t="n"/>
      <c r="B20" s="87" t="inlineStr">
        <is>
          <t>Lương tăng ca ngày lễ * 3</t>
        </is>
      </c>
      <c r="C20" s="1560">
        <f>VLOOKUP($C$5,#REF!,30,0)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1264">
      <c r="A21" s="83" t="n"/>
      <c r="B21" s="87" t="inlineStr">
        <is>
          <t>Phụ cấp chuyên cần</t>
        </is>
      </c>
      <c r="C21" s="1560">
        <f>VLOOKUP(C5,#REF!,31,0)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1264">
      <c r="A22" s="83" t="n"/>
      <c r="B22" s="87" t="inlineStr">
        <is>
          <t>Thưởng T13</t>
        </is>
      </c>
      <c r="C22" s="1560">
        <f>VLOOKUP($C$5,#REF!,32,0)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1264">
      <c r="A23" s="83" t="n"/>
      <c r="B23" s="87" t="inlineStr">
        <is>
          <t>Phụ Cấp / Tiền hỗ trợ khác</t>
        </is>
      </c>
      <c r="C23" s="1560">
        <f>VLOOKUP($C$5,#REF!,36,0)</f>
        <v/>
      </c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1264">
      <c r="A24" s="83" t="n"/>
      <c r="B24" s="92" t="inlineStr">
        <is>
          <t>CÁC KHOẢN KHẤU TRỪ</t>
        </is>
      </c>
      <c r="C24" s="1563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1264">
      <c r="A25" s="83" t="n"/>
      <c r="B25" s="87" t="inlineStr">
        <is>
          <t>BHXH</t>
        </is>
      </c>
      <c r="C25" s="1560">
        <f>VLOOKUP($C$5,#REF!,57,0)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1264">
      <c r="A26" s="83" t="n"/>
      <c r="B26" s="87" t="inlineStr">
        <is>
          <t>Thuế TNCN phải nộp</t>
        </is>
      </c>
      <c r="C26" s="1560">
        <f>VLOOKUP($C$5,#REF!,60,0)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1264">
      <c r="A27" s="83" t="n"/>
      <c r="B27" s="96" t="inlineStr">
        <is>
          <t>Tạm ứng</t>
        </is>
      </c>
      <c r="C27" s="1564">
        <f>VLOOKUP($C$5,#REF!,63,0)</f>
        <v/>
      </c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1264">
      <c r="A28" s="83" t="n"/>
      <c r="B28" s="99" t="inlineStr">
        <is>
          <t>Tổng thực nhận sau thuế</t>
        </is>
      </c>
      <c r="C28" s="1565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1264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1264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1264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1264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1264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126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1264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1264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1264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1264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1264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1264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1264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1264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1264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1264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1264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1264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1264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1264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1264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1264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1264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1264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1264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1264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1264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1264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1264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1264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1264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1264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1264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1264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1264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1264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1264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1264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1264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1264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1264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1264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1264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1264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1264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1264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1264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1264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1264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1264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1264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1264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1264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1264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1264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126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1264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1264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1264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1264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1264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1264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1264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1264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1264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126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1264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1264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1264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1264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1264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1264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1264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1264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1264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126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1264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1264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1264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1264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1264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1264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1264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1264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1264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126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1264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1264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1264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1264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1264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1264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1264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1264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1264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126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1264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1264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1264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1264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1264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1264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1264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1264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1264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126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1264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1264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1264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1264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1264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1264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1264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1264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1264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126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1264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1264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1264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1264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1264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1264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1264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1264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1264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1264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1264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1264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1264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1264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1264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1264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1264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1264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1264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1264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1264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1264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1264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1264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1264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1264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1264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1264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1264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1264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1264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1264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1264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1264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1264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1264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1264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1264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1264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1264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1264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1264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1264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1264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1264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1264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1264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1264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1264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1264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1264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1264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1264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1264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1264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1264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1264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1264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1264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1264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1264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1264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1264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1264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1264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1264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1264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1264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1264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1264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1264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1264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1264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1264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1264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1264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1264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1264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1264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1264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1264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1264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1264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1264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1264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1264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1264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1264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1264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1264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1264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1264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1264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1264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1264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1264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1264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1264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1264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1264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1264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1264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1264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1264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1264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1264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1264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1264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1264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1264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1264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1264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1264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1264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1264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1264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1264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1264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1264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1264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1264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1264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1264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1264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1264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1264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1264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1264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1264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1264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1264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1264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1264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1264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1264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1264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1264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1264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1264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1264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1264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1264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1264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1264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1264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1264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1264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1264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1264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1264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1264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1264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1264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1264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1264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1264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1264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1264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1264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1264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1264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1264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1264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1264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1264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1264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1264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1264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1264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1264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1264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1264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1264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1264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1264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1264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1264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1264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1264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1264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1264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1264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1264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1264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1264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1264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1264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1264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1264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1264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1264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1264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1264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1264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1264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1264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1264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1264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1264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1264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1264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1264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1264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1264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1264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1264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1264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1264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1264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1264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1264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1264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1264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1264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1264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1264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1264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1264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1264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1264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1264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1264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1264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1264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1264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1264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1264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1264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1264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1264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1264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1264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1264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1264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1264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1264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1264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1264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1264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1264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1264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1264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1264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1264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1264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1264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1264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1264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1264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1264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1264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1264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1264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1264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1264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1264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1264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1264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1264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1264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1264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1264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1264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1264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1264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1264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1264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1264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1264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1264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1264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1264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1264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1264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1264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1264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1264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1264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1264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1264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1264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1264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1264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1264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1264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1264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1264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1264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1264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1264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1264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1264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1264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1264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1264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1264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1264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1264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1264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1264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1264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1264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1264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1264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1264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1264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1264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1264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1264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1264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1264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1264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1264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1264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1264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1264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1264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1264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1264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1264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1264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1264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1264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1264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1264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1264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1264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1264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1264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1264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1264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1264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1264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1264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1264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1264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1264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1264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1264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1264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1264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1264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1264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1264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1264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1264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1264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1264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1264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1264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1264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1264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1264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1264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1264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1264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1264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1264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1264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1264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1264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1264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1264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1264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1264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1264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1264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1264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1264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1264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1264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1264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1264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1264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1264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1264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1264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1264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1264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1264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1264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1264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1264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1264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1264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1264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1264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1264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1264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1264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1264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1264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1264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1264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1264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1264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1264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1264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1264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1264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1264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1264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1264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1264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1264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1264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1264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1264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1264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1264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1264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1264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1264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1264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1264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1264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1264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1264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1264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1264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1264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1264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1264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1264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1264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1264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1264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1264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1264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1264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1264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1264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1264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1264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1264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1264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1264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1264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1264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1264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1264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1264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1264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1264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1264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1264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1264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1264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1264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1264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1264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1264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1264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1264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1264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1264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1264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1264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1264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1264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1264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1264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1264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1264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1264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1264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1264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1264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1264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1264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1264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1264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1264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1264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1264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1264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1264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1264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1264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1264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1264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1264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1264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1264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1264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1264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1264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1264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1264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1264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1264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1264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1264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1264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1264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1264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1264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1264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1264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1264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1264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1264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1264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1264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1264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1264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1264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1264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1264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1264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1264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1264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1264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1264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1264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1264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1264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1264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1264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1264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1264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1264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1264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1264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1264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1264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1264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1264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1264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1264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1264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1264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1264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1264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1264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1264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1264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1264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1264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1264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1264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1264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1264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1264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1264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1264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1264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1264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1264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1264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1264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1264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1264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1264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1264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1264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1264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1264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1264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1264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1264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1264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1264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1264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1264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1264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1264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1264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1264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1264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1264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1264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1264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1264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1264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1264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1264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1264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1264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1264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1264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1264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1264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1264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1264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1264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1264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1264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1264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1264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1264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1264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1264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1264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1264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1264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1264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1264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1264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1264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1264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1264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1264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1264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1264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1264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1264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1264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1264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1264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1264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1264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1264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1264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1264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1264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1264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1264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1264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1264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1264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1264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1264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1264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1264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1264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1264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1264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1264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1264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1264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1264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1264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1264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1264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1264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1264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1264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1264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1264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1264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1264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1264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1264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1264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1264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1264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1264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1264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1264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1264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1264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1264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1264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1264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1264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1264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1264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1264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1264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1264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1264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1264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1264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1264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1264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1264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1264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1264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1264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1264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1264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1264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1264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1264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1264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1264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1264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1264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1264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1264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1264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1264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1264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1264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1264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1264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1264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1264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1264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1264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1264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1264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1264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1264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1264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1264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1264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1264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1264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1264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1264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1264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1264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1264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1264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1264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1264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1264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1264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1264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1264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1264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1264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1264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1264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1264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1264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1264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1264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1264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1264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1264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1264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1264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1264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1264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1264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1264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1264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1264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1264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1264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1264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1264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1264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1264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1264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1264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1264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1264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1264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1264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1264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1264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1264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1264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1264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1264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1264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1264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1264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1264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1264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1264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1264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1264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1264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1264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1264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1264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1264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1264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1264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1264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1264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1264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1264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1264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1264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1264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1264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1264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1264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1264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1264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1264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1264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1264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1264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1264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1264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1264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1264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1264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1264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1264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1264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1264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1264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1264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1264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1264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1264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1264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1264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1264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1264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1264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1264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1264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1264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1264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1264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1264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1264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1264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1264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1264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1264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1264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1264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1264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1264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1264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1264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1264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1264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1264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1264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1264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1264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1264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1264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1264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1264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1264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1264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1264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1264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1264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1264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1264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1264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1264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1264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1264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1264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1264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1264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1264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1264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1264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1264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1264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1264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1264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1264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1264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1264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1264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1264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1264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1264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1264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1264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1264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1264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1264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1264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1264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1264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1264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1264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1264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1264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1264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1264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1264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1264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1264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1264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1264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1264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1264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1264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1264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1264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1264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1264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1264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1264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1264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1264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1264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1264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1264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1264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1264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1264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1264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1264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1264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1264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1264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1264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1264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1264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1264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1264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1264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1264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1264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1264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1264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1264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1264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1264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1264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1264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1264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1264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1264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1264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1264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1264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1264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1264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1264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1264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1264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1264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1264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1264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1264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1264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1264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1264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1264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1264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1264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1264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1264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1264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1264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1264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1264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1264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1264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1264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1264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1264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1264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1264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1264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1264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1264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1264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1264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1264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1264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1264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1264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1264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1264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1264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1264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1264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1264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1264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1264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1264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1264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1264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1264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1264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1264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1264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1264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1264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1264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1264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1264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1264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1264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1264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1264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1264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1264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1264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1264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1264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1264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1264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1264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1264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1264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1264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1264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1264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1264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1264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1264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1264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1264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1264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1264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1264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1264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1264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1264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1264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1264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1264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1264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1264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1264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1264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1264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1264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1264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1264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1264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1264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1264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1264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1264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1264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1264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1264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1264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1264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1264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1264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1264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1264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1264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1264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1264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1264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1264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1264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1264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1264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1264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1264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1264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1264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1264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1264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1264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1264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1264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1264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1264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1264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1264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1264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1264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1264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1264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1264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1264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1264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1264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1264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1264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1264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1264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1264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1264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1264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1264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1264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1264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1264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1264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1264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1264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1264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1264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1264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1264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1264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1264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1264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1264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1264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1264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1264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1264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1264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1264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1264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1264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1264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1264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1264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1264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1264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1264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1264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1264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1264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1264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1264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1264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1264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1264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1264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1264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1264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1264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1264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1264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1264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1264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1264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1264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1264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1264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1264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1264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1264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1264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1264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1264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1264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1264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1264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1264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1264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1264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1264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1264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1264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1264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1264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1264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1264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1264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1264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1264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1264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1264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1264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1264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1264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1264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1264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1264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1264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1264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1264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1264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1264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1264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1264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1264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1264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1264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1264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1264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1264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1264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1264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1264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1264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1264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1264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1264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1264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1264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1264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1264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1264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1264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1264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1264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1264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1264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1264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1264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1264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1264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1264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1264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1264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1264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1264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1264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1264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1264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1264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1264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1264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1264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1264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1264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1264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1264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1264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1264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1264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1264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1264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1264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1264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1264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1264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1264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1264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1264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1264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1264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1264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1264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1264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1264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1264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1264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1264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1264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1264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1264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1264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1264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1264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1264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1264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1264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1264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1264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1264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1264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1264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1264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1264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1264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1264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1264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1264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1264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1264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1264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1264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1264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1264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1264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1264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1264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1264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1264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1264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1264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1264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1264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1264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1264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1264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1264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1264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1264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1264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1264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1264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1264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1264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1264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1264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1264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1264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1264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1264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1264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1264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1264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1264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1264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1264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1264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1264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1264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1264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1264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1264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1264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1264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1264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1264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1264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1264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1264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1264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1264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1264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1264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1264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1264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1264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1264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1264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1264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1264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1264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1264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1264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1264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1264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1264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1264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1264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1264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1264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1264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1264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1264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1264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1264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1264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1264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1264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1264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1264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1264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1264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1264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1264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1264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1264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1264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1264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1264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1264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1264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1264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1264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1264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1264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1264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1264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1264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1264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1264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1264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1264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1264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1264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1264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1264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1264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1264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1264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1264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1264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1264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1264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1264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1264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1264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1264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1264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1264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1264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1264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1264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1264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1264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1264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1264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1264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1264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1264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1264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1264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1264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1264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1264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1264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1264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1264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1264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1264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1264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1264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1264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1264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1264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1264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1264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1264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1264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1264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1264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1264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1264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1264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1264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1264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1264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1264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1264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1264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1264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1264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1264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1264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1264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1264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1264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1264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1264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1264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1264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1264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1264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1264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1264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1264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1264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1264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1264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1264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1264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1264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1264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1264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1264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1264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1264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1264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1264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1264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1264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1264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1264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1264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1264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1264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1264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1264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1264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1264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1264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1264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1264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1264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1264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1264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1264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1264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1264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1264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1264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1264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1264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1264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1264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1264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1264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1264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1264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1264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1264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1264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1264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1264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1264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1264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1264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1264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1264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1264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1264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1264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1264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1264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1264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1264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1264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1264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1264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1264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1264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1264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1264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1264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1264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1264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1264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1264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1264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1264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1264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1264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1264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1264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1264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1264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1264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1264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1264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1264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1264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1264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1264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1264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1264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1264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1264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1264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1264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1264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1264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1264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1264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1264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1264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1264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1264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1264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1264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1264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1264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1264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1264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1264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1264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1264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1264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1264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1264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1264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1264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1264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1264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1264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1264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1264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1264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1264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1264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1264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1264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1264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1264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1264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1264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1264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1264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1264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1264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1264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1264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1264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1264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1264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1264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1264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1264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1264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1264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1264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1264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1264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1264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1264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1264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1264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1264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1264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1264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1264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1264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1264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1264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1264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1264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1264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1264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1264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1264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1264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1264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1264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1264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1264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1264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1264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1264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1264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1264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1264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1264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1264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1264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1264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1264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1264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1264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1264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1264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1264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1264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1264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1264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1264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1264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1264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1264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1264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1264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1264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1264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1264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1264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1264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1264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1264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1264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1264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1264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1264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1264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1264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1264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1264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1264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1264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1264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1264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1264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1264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1264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1264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1264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1264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1264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1264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1264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1264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1264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1264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1264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1264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1264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1264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1264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1264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1264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1264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1264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1264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1264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1264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1264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1264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1264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1264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1264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1264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1264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1264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1264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1264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1264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1264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1264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1264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1264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1264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1264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1264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1264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1264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1264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1264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1264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1264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1264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1264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1264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1264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1264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1264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1264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1264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1264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1264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1264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1264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1264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1264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1264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1264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1264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1264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1264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1264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1264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1264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1264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1264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1264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1264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1264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1264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1264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1264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1264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1264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1264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1264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1264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1264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1264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1264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1264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1264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1264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1264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1264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1264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1264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1264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1264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1264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1264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1264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1264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1264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1264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1264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1264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1264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1264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1264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1264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1264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1264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1264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1264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1264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1264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1264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1264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1264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1264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1264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1264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1264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1264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1264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1264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1264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1264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1264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1264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1264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1264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1264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1264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1264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1264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1264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1264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1264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1264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1264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1264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1264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1264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1264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1264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1264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1264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1264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1264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1264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1264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1264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1264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1264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1264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1264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1264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1264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1264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1264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1264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1264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1264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1264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1264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1264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1264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1264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1264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1264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1264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1264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1264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1264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1264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1264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1264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1264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1264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1264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1264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1264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1264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1264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1264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1264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1264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1264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1264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1264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1264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1264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1264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1264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1264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1264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1264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1264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1264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1264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1264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1264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1264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1264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1264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1264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1264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1264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1264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1264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1264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1264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1264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1264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1264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1264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1264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1264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1264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1264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1264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1264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1264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1264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1264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1264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1264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1264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1264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1264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1264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1264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1264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1264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1264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1264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1264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1264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1264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1264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1264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1264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1264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1264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1264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1264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1264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1264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1264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1264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1264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1264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1264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1264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1264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1264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1264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1264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1264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1264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1264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1264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1264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1264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1264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1264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1264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1264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1264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1264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1264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1264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1264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1264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1264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1264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1264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1264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1264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1264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1264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1264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1264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1264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1264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1264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1264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1264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1264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1264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1264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1264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1264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1264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1264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1264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1264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1264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1264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1264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1264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1264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1264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1264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1264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1264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1264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1264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1264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1264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1264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1264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1264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1264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1264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1264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1264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1264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1264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1264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1264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1264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1264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1264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1264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1264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1264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1264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1264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1264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1264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1264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1264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1264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1264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1264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1264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1264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1264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1264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1264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1264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1264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1264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1264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1264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1264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1264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1264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1264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1264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1264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1264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1264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1264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1264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1264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1264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1264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1264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1264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1264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1264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1264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1264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1264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1264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1264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1264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1264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1264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1264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1264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1264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1264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1264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1264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1264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1264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1264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1264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1264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1264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1264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1264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1264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1264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1264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1264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1264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1264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1264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1264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1264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1264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1264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1264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1264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1264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1264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1264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1264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1264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1264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1264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1264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1264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1264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1264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1264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1264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1264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1264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1264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1264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1264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1264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1264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1264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1264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1264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1264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1264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1264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1264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1264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1264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1264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1264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1264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1264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1264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1264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1264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1264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1264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1264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1264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1264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1264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1264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1264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1264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1264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1264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1264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1264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1264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1264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1264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1264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1264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1264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1264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1264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1264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1264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1264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1264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1264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1264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1264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1264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1264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1264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1264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1264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1264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1264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1264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1264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1264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1264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1264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1264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1264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1264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1264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1264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1264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1264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1264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1264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1264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1264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1264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1264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1264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1264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1264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1264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1264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1264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1264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1264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1264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1264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1264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1264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1264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1264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1264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1264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1264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1264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1264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1264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1264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1264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1264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1264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1264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1264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1264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1264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1264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1264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1264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1264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1264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1264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1264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1264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1264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1264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1264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1264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1264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1264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1264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1264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1264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1264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1264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1264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1264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1264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1264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1264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1264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1264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1264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1264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1264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1264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1264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1264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1264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1264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1264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1264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1264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1264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1264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1264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1264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1264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1264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1264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1264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1264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1264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1264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1264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1264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1264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1264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1264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1264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1264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1264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1264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1264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1264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1264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1264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1264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1264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1264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1264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1264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1264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1264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1264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1264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1264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1264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1264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1264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1264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1264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1264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1264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1264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1264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1264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1264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1264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1264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1264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1264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1264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1264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1264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1264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1264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1264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1264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1264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1264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1264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1264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1264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1264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1264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1264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1264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1264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1264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1264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1264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1264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1264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1264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1264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1264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1264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1264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1264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1264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1264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1264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1264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1264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1264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1264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1264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1264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264" min="1" max="1"/>
    <col width="29.33203125" customWidth="1" style="1264" min="2" max="2"/>
    <col width="30.109375" customWidth="1" style="1264" min="3" max="3"/>
    <col width="29.33203125" customWidth="1" style="1264" min="4" max="4"/>
    <col width="8.6640625" customWidth="1" style="1264" min="5" max="6"/>
    <col width="29.109375" customWidth="1" style="1264" min="7" max="7"/>
    <col width="8.6640625" customWidth="1" style="1264" min="8" max="26"/>
  </cols>
  <sheetData>
    <row r="1" ht="20.25" customHeight="1" s="1264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7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1264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1264">
      <c r="A3" s="53" t="n"/>
      <c r="B3" s="1557" t="inlineStr">
        <is>
          <t>PHIẾU LƯƠNG THÁNG 03</t>
        </is>
      </c>
      <c r="C3" s="1558" t="n"/>
      <c r="D3" s="1559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1264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1264">
      <c r="A5" s="83" t="n"/>
      <c r="B5" s="84" t="inlineStr">
        <is>
          <t>Họ tên:</t>
        </is>
      </c>
      <c r="C5" s="106">
        <f>VLOOKUP(H1,#REF!,3,0)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1264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1264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1264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1264">
      <c r="A9" s="83" t="n"/>
      <c r="B9" s="87" t="inlineStr">
        <is>
          <t>Số giờ tăng ca</t>
        </is>
      </c>
      <c r="C9" s="90">
        <f>VLOOKUP($C$5,#REF!,14,0)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1264">
      <c r="A10" s="83" t="n"/>
      <c r="B10" s="87" t="inlineStr">
        <is>
          <t>Số giờ tăng ca ngày lễ</t>
        </is>
      </c>
      <c r="C10" s="1560">
        <f>VLOOKUP($C$5,#REF!,15,0)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1264">
      <c r="A11" s="83" t="n"/>
      <c r="B11" s="87" t="inlineStr">
        <is>
          <t>Lương theo HQCV</t>
        </is>
      </c>
      <c r="C11" s="1560">
        <f>VLOOKUP($C$5,#REF!,15,0)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1264">
      <c r="A12" s="83" t="n"/>
      <c r="B12" s="87" t="inlineStr">
        <is>
          <t>Lương cơ bản</t>
        </is>
      </c>
      <c r="C12" s="1560">
        <f>VLOOKUP($C$5,#REF!,16,0)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1264">
      <c r="A13" s="83" t="n"/>
      <c r="B13" s="87" t="inlineStr">
        <is>
          <t>Phụ cấp tiền ăn</t>
        </is>
      </c>
      <c r="C13" s="1560">
        <f>VLOOKUP($C$5,#REF!,17,0)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1264">
      <c r="A14" s="83" t="n"/>
      <c r="B14" s="87" t="inlineStr">
        <is>
          <t>Phụ cấp đồng phục</t>
        </is>
      </c>
      <c r="C14" s="1560">
        <f>VLOOKUP($C$5,#REF!,18,0)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1264">
      <c r="A15" s="83" t="n"/>
      <c r="B15" s="87" t="inlineStr">
        <is>
          <t>Phụ cấp đi lại</t>
        </is>
      </c>
      <c r="C15" s="1560">
        <f>VLOOKUP($C$5,#REF!,20,0)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1264">
      <c r="A16" s="83" t="n"/>
      <c r="B16" s="92" t="inlineStr">
        <is>
          <t>Lương thỏa thuận</t>
        </is>
      </c>
      <c r="C16" s="1561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1264">
      <c r="A17" s="83" t="n"/>
      <c r="B17" s="92" t="inlineStr">
        <is>
          <t>Lương thực tế</t>
        </is>
      </c>
      <c r="C17" s="1562">
        <f>VLOOKUP($C$5,#REF!,27,0)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1264">
      <c r="A18" s="83" t="n"/>
      <c r="B18" s="92" t="inlineStr">
        <is>
          <t>Tổng lương thực tế</t>
        </is>
      </c>
      <c r="C18" s="1561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1264">
      <c r="A19" s="83" t="n"/>
      <c r="B19" s="87" t="inlineStr">
        <is>
          <t>Lương tăng ca</t>
        </is>
      </c>
      <c r="C19" s="1560">
        <f>VLOOKUP($C$5,#REF!,28,0)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1264">
      <c r="A20" s="83" t="n"/>
      <c r="B20" s="87" t="inlineStr">
        <is>
          <t>Lương tăng ca ngày lễ * 3</t>
        </is>
      </c>
      <c r="C20" s="1560">
        <f>VLOOKUP($C$5,#REF!,30,0)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1264">
      <c r="A21" s="83" t="n"/>
      <c r="B21" s="87" t="inlineStr">
        <is>
          <t>Phụ cấp chuyên cần</t>
        </is>
      </c>
      <c r="C21" s="1560">
        <f>VLOOKUP(C5,#REF!,31,0)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1264">
      <c r="A22" s="83" t="n"/>
      <c r="B22" s="87" t="inlineStr">
        <is>
          <t>Thưởng T13</t>
        </is>
      </c>
      <c r="C22" s="1560">
        <f>VLOOKUP($C$5,#REF!,32,0)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1264">
      <c r="A23" s="83" t="n"/>
      <c r="B23" s="87" t="inlineStr">
        <is>
          <t>Phụ Cấp / Tiền hổ trợ khác</t>
        </is>
      </c>
      <c r="C23" s="1560">
        <f>VLOOKUP($C$5,#REF!,36,0)</f>
        <v/>
      </c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1264">
      <c r="A24" s="83" t="n"/>
      <c r="B24" s="92" t="inlineStr">
        <is>
          <t>CÁC KHOẢN KHẤU TRỪ</t>
        </is>
      </c>
      <c r="C24" s="1563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1264">
      <c r="A25" s="83" t="n"/>
      <c r="B25" s="87" t="inlineStr">
        <is>
          <t>BHXH</t>
        </is>
      </c>
      <c r="C25" s="1560">
        <f>VLOOKUP($C$5,#REF!,57,0)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1264">
      <c r="A26" s="83" t="n"/>
      <c r="B26" s="87" t="inlineStr">
        <is>
          <t>Thuế TNCN phải nộp</t>
        </is>
      </c>
      <c r="C26" s="1560">
        <f>VLOOKUP($C$5,#REF!,60,0)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1264">
      <c r="A27" s="83" t="n"/>
      <c r="B27" s="96" t="inlineStr">
        <is>
          <t>Tạm ứng</t>
        </is>
      </c>
      <c r="C27" s="1564">
        <f>VLOOKUP($C$5,#REF!,63,0)</f>
        <v/>
      </c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1264">
      <c r="A28" s="83" t="n"/>
      <c r="B28" s="99" t="inlineStr">
        <is>
          <t>Tổng thực nhận sau thuế</t>
        </is>
      </c>
      <c r="C28" s="1565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1264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1264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1264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1264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1264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126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1264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1264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1264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1264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1264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1264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1264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1264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1264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1264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1264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1264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1264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1264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1264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1264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1264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1264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1264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1264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1264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1264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1264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1264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1264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1264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1264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1264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1264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1264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1264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1264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1264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1264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1264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1264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1264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1264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1264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1264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1264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1264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1264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1264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1264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1264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1264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1264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1264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126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1264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1264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1264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1264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1264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1264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1264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1264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1264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126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1264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1264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1264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1264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1264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1264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1264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1264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1264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126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1264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1264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1264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1264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1264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1264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1264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1264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1264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126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1264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1264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1264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1264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1264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1264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1264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1264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1264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126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1264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1264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1264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1264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1264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1264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1264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1264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1264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126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1264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1264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1264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1264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1264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1264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1264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1264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1264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126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1264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1264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1264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1264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1264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1264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1264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1264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1264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1264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1264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1264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1264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1264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1264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1264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1264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1264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1264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1264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1264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1264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1264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1264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1264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1264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1264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1264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1264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1264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1264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1264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1264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1264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1264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1264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1264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1264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1264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1264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1264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1264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1264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1264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1264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1264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1264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1264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1264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1264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1264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1264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1264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1264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1264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1264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1264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1264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1264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1264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1264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1264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1264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1264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1264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1264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1264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1264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1264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1264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1264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1264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1264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1264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1264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1264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1264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1264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1264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1264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1264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1264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1264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1264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1264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1264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1264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1264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1264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1264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1264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1264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1264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1264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1264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1264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1264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1264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1264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1264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1264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1264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1264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1264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1264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1264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1264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1264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1264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1264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1264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1264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1264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1264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1264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1264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1264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1264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1264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1264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1264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1264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1264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1264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1264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1264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1264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1264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1264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1264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1264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1264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1264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1264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1264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1264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1264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1264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1264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1264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1264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1264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1264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1264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1264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1264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1264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1264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1264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1264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1264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1264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1264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1264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1264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1264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1264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1264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1264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1264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1264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1264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1264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1264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1264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1264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1264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1264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1264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1264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1264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1264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1264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1264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1264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1264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1264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1264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1264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1264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1264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1264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1264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1264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1264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1264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1264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1264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1264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1264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1264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1264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1264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1264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1264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1264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1264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1264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1264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1264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1264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1264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1264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1264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1264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1264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1264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1264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1264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1264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1264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1264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1264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1264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1264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1264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1264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1264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1264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1264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1264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1264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1264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1264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1264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1264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1264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1264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1264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1264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1264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1264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1264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1264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1264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1264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1264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1264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1264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1264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1264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1264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1264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1264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1264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1264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1264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1264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1264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1264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1264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1264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1264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1264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1264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1264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1264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1264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1264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1264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1264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1264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1264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1264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1264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1264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1264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1264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1264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1264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1264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1264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1264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1264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1264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1264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1264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1264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1264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1264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1264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1264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1264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1264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1264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1264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1264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1264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1264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1264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1264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1264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1264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1264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1264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1264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1264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1264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1264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1264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1264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1264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1264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1264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1264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1264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1264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1264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1264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1264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1264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1264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1264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1264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1264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1264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1264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1264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1264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1264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1264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1264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1264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1264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1264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1264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1264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1264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1264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1264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1264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1264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1264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1264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1264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1264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1264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1264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1264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1264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1264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1264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1264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1264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1264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1264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1264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1264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1264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1264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1264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1264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1264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1264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1264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1264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1264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1264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1264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1264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1264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1264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1264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1264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1264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1264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1264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1264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1264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1264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1264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1264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1264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1264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1264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1264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1264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1264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1264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1264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1264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1264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1264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1264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1264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1264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1264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1264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1264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1264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1264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1264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1264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1264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1264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1264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1264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1264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1264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1264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1264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1264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1264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1264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1264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1264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1264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1264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1264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1264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1264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1264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1264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1264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1264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1264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1264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1264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1264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1264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1264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1264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1264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1264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1264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1264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1264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1264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1264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1264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1264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1264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1264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1264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1264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1264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1264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1264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1264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1264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1264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1264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1264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1264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1264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1264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1264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1264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1264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1264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1264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1264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1264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1264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1264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1264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1264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1264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1264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1264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1264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1264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1264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1264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1264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1264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1264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1264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1264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1264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1264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1264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1264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1264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1264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1264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1264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1264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1264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1264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1264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1264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1264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1264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1264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1264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1264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1264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1264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1264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1264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1264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1264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1264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1264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1264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1264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1264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1264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1264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1264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1264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1264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1264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1264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1264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1264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1264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1264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1264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1264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1264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1264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1264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1264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1264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1264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1264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1264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1264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1264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1264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1264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1264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1264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1264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1264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1264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1264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1264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1264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1264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1264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1264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1264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1264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1264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1264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1264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1264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1264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1264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1264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1264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1264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1264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1264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1264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1264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1264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1264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1264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1264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1264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1264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1264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1264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1264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1264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1264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1264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1264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1264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1264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1264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1264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1264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1264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1264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1264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1264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1264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1264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1264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1264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1264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1264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1264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1264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1264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1264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1264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1264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1264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1264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1264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1264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1264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1264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1264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1264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1264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1264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1264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1264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1264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1264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1264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1264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1264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1264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1264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1264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1264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1264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1264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1264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1264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1264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1264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1264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1264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1264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1264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1264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1264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1264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1264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1264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1264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1264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1264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1264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1264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1264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1264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1264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1264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1264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1264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1264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1264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1264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1264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1264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1264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1264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1264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1264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1264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1264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1264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1264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1264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1264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1264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1264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1264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1264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1264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1264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1264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1264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1264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1264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1264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1264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1264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1264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1264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1264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1264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1264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1264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1264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1264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1264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1264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1264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1264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1264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1264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1264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1264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1264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1264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1264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1264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1264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1264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1264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1264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1264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1264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1264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1264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1264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1264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1264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1264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1264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1264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1264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1264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1264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1264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1264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1264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1264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1264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1264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1264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1264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1264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1264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1264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1264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1264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1264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1264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1264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1264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1264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1264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1264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1264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1264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1264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1264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1264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1264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1264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1264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1264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1264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1264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1264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1264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1264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1264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1264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1264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1264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1264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1264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1264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1264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1264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1264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1264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1264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1264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1264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1264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1264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1264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1264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1264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1264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1264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1264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1264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1264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1264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1264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1264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1264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1264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1264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1264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1264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1264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1264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1264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1264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1264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1264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1264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1264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1264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1264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1264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1264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1264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1264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1264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1264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1264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1264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1264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1264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1264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1264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1264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1264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1264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1264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1264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1264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1264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1264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1264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1264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1264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1264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1264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1264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1264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1264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1264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1264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1264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1264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1264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1264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1264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1264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1264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1264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1264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1264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1264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1264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1264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1264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1264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1264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1264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1264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1264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1264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1264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1264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1264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1264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1264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1264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1264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1264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1264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1264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1264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1264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1264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1264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1264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1264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1264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1264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1264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1264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1264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1264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1264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1264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1264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1264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1264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1264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1264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1264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1264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1264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1264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1264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1264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1264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1264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1264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1264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1264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1264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1264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1264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1264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1264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1264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1264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1264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1264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1264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1264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1264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1264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1264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1264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1264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1264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1264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1264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1264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1264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1264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1264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1264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1264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1264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1264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1264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1264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1264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1264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1264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1264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1264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1264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1264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1264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1264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1264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1264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1264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1264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1264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1264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1264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1264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1264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1264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1264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1264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1264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1264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1264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1264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1264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1264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1264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1264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1264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1264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1264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1264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1264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1264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1264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1264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1264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1264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1264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1264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1264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1264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1264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1264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1264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1264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1264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1264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1264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1264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1264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1264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1264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1264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1264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1264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1264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1264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1264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1264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1264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1264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1264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1264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1264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1264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1264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1264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1264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1264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1264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1264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1264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1264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1264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1264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1264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1264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1264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1264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1264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1264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1264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1264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1264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1264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1264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1264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1264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1264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1264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1264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1264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1264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1264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1264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1264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1264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1264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1264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1264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1264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1264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1264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1264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1264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1264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1264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1264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1264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1264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1264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1264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1264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1264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1264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1264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1264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1264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1264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1264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1264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1264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1264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1264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1264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1264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1264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1264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1264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1264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1264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1264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1264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1264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1264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1264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1264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1264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1264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1264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1264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1264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1264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1264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1264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1264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1264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1264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1264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1264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1264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1264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1264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1264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1264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1264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1264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1264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1264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1264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1264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1264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1264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1264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1264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1264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1264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1264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1264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1264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1264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1264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1264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1264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1264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1264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1264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1264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1264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1264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1264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1264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1264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1264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1264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1264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1264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1264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1264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1264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1264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1264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1264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1264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1264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1264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1264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1264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1264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1264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1264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1264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1264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1264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1264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1264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1264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1264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1264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1264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1264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1264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1264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1264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1264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1264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1264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1264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1264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1264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1264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1264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1264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1264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1264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1264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1264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1264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1264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1264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1264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1264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1264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1264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1264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1264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1264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1264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1264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1264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1264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1264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1264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1264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1264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1264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1264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1264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1264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1264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1264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1264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1264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1264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1264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1264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1264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1264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1264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1264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1264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1264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1264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1264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1264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1264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1264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1264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1264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1264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1264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1264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1264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1264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1264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1264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1264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1264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1264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1264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1264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1264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1264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1264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1264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1264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1264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1264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1264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1264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1264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1264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1264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1264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1264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1264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1264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1264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1264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1264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1264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1264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1264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1264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1264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1264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1264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1264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1264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1264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1264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1264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1264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1264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1264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1264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1264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1264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1264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1264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1264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1264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1264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1264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1264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1264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1264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1264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1264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1264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1264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1264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1264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1264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1264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1264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1264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1264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1264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1264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1264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1264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1264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1264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1264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1264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1264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1264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1264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1264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1264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1264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1264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1264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1264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1264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1264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1264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1264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1264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1264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1264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1264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1264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1264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1264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1264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1264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1264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1264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1264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1264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1264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1264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1264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1264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1264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1264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1264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1264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1264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1264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1264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1264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1264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1264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1264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1264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1264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1264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1264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1264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1264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1264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1264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1264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1264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1264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1264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1264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1264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1264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1264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1264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1264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1264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1264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1264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1264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1264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1264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1264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1264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1264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1264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1264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1264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1264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1264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1264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1264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1264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1264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1264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1264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1264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1264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1264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1264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1264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1264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1264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1264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1264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1264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1264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1264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1264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1264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1264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1264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1264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1264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1264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1264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1264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1264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1264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1264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1264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1264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1264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1264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1264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1264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1264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1264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1264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1264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1264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1264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1264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1264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1264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1264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1264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1264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1264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1264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1264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1264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1264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1264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1264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1264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1264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1264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1264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1264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1264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1264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1264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1264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1264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1264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1264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1264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1264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1264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1264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1264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1264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1264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1264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1264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1264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1264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1264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1264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1264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1264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1264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1264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1264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1264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1264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1264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1264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1264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1264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1264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1264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1264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1264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1264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1264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1264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1264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1264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1264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1264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1264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1264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1264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1264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1264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1264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1264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1264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1264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1264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1264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1264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1264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1264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1264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1264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1264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1264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1264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1264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1264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1264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1264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1264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1264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1264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1264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1264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1264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1264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1264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1264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1264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1264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1264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1264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1264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1264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1264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1264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1264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1264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1264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1264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1264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1264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1264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1264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1264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1264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1264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1264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1264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1264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1264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1264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1264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1264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1264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1264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1264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1264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1264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1264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1264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1264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1264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1264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1264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1264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1264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1264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1264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1264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1264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1264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1264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1264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1264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1264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1264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1264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1264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1264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1264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1264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1264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1264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1264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1264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1264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1264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1264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1264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1264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1264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1264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1264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1264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1264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1264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1264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1264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1264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1264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1264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1264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1264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1264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1264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1264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1264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1264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1264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1264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1264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1264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1264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1264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1264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1264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1264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1264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1264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1264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1264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1264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1264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1264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1264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1264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1264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1264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1264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1264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1264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1264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1264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1264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1264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1264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1264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1264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1264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1264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1264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1264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1264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1264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1264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1264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1264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1264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1264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1264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1264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1264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1264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1264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1264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1264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1264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1264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1264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1264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1264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1264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1264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1264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1264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1264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1264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1264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1264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1264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1264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1264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1264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1264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1264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1264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1264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1264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1264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1264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1264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1264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1264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1264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1264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1264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1264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1264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1264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1264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1264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1264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1264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1264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1264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1264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1264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1264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1264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1264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1264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1264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1264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1264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1264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1264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1264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1264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1264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1264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1264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1264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1264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1264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1264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1264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1264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1264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1264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1264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1264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1264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1264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1264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1264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1264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1264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1264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1264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1264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1264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1264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1264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1264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1264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1264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1264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1264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1264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1264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1264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1264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1264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1264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1264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1264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1264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1264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1264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1264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1264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1264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1264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1264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1264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1264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1264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1264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1264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1264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1264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1264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1264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1264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1264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1264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1264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1264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1264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1264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1264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1264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1264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1264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1264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1264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1264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1264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1264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1264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1264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1264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1264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1264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1264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1264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1264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1264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1264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1264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1264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1264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1264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1264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1264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1264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1264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1264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1264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1264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1264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1264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1264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1264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1264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1264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1264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1264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1264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1264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1264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1264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1264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1264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1264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1264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1264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1264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1264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1264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1264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1264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1264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1264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1264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1264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1264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1264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1264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1264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1264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1264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1264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1264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1264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1264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1264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1264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1264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1264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1264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1264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1264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1264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1264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1264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1264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1264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1264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1264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1264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1264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1264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1264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1264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1264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1264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1264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1264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1264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1264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1264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1264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1264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1264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1264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1264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1264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1264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1264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1264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1264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1264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1264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1264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1264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1264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1264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1264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1264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1264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1264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1264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1264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1264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1264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1264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1264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1264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1264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1264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1264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1264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1264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1264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1264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1264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1264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1264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1264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1264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1264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1264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1264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1264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1264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1264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1264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1264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1264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1264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1264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1264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1264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1264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1264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1264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1264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1264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1264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1264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1264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1264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1264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1264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1264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1264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1264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1264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1264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1264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1264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1264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1264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1264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1264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1264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1264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1264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1264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1264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1264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1264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1264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1264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1264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1264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1264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1264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1264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1264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1264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1264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1264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1264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1264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1264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1264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1264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1264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1264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1264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1264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1264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1264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1264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1264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1264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1264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1264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1264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1264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1264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1264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1264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1264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1264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1264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1264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1264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1264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1264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1264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1264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1264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1264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1264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1264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1264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1264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1264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1264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1264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1264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1264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1264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1264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1264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1264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1264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1264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1264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1264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1264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1264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1264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1264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1264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1264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1264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1264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1264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1264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1264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1264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1264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1264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1264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1264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1264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1264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1264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1264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1264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1264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1264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1264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1264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1264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1264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1264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1264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1264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1264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1264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1264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1264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1264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1264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1264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1264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1264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1264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1264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1264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1264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1264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1264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1264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1264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1264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1264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1264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1264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1264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1264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1264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1264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1264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1264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1264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1264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1264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1264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1264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1264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1264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1264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1264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1264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1264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1264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1264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1264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1264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1264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1264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1264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1264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1264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1264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1264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1264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1264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1264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1264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1264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1264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1264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1264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1264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1264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1264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1264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1264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1264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1264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1264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1264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1264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1264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1264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1264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1264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1264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1264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1264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1264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1264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1264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1264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1264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1264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1264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1264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1264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1264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1264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1264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1264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1264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1264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1264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1264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1264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1264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1264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1264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1264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1264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1264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1264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1264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1264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1264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1264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1264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1264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1264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1264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1264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1264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1264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1264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1264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1264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1264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1264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1264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1264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1264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1264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1264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1264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1264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1264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1264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1264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1264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1264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1264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1264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1264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1264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1264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1264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1264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1264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1264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1264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1264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1264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1264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1264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1264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1264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1264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1264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1264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1264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1264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1264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1264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1264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1264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1264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1264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1264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1264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1264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1264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1264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1264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1264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1264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1264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1264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1264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1264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1264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1264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1264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1264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1264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1264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1264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1264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1264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1264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1264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1264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1264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1264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1264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1264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1264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1264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1264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1264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1264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1264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1264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1264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1264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1264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1264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1264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1264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1264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1264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1264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1264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1264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1264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1264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1264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1264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1264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1264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1264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1264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1264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1264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1264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1264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1264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1264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1264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1264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1264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1264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1264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1264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1264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1264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1264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1264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1264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1264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1264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1264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1264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1264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1264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1264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1264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1264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1264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1264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1264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1264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1264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1264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1264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1264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1264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1264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1264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1264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1264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1264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1264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1264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1264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1264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1264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1264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1264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1264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1264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1264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1264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1264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1264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1264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1264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1264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1264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1264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1264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1264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1264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1264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1264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1264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1264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1264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1264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1264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1264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1264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1264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1264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1264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1264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1264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1264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1264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1264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1264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1264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1264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1264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1264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1264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1264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1264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1264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1264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1264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1264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1264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1264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1264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1264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1264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1264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1264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1264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264" min="1" max="1"/>
    <col width="29.33203125" customWidth="1" style="1264" min="2" max="2"/>
    <col width="34.33203125" customWidth="1" style="1264" min="3" max="3"/>
    <col width="29.33203125" customWidth="1" style="1264" min="4" max="4"/>
    <col width="8.6640625" customWidth="1" style="1264" min="5" max="6"/>
    <col width="29.109375" customWidth="1" style="1264" min="7" max="7"/>
    <col width="8.6640625" customWidth="1" style="1264" min="8" max="26"/>
  </cols>
  <sheetData>
    <row r="1" ht="20.25" customHeight="1" s="1264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12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1264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1264">
      <c r="A3" s="53" t="n"/>
      <c r="B3" s="1557" t="inlineStr">
        <is>
          <t>PHIẾU LƯƠNG THÁNG 06</t>
        </is>
      </c>
      <c r="C3" s="1558" t="n"/>
      <c r="D3" s="1559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1264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1264">
      <c r="A5" s="83" t="n"/>
      <c r="B5" s="84" t="inlineStr">
        <is>
          <t>Họ tên:</t>
        </is>
      </c>
      <c r="C5" s="85">
        <f>VLOOKUP(H1,#REF!,2,0)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1264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1264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1264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1264">
      <c r="A9" s="83" t="n"/>
      <c r="B9" s="87" t="inlineStr">
        <is>
          <t>Số giờ tăng ca</t>
        </is>
      </c>
      <c r="C9" s="90">
        <f>VLOOKUP($C$5,#REF!,12,0)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1264">
      <c r="A10" s="83" t="n"/>
      <c r="B10" s="87" t="inlineStr">
        <is>
          <t>Số giờ tăng ca ngày lễ</t>
        </is>
      </c>
      <c r="C10" s="1560">
        <f>VLOOKUP($C$5,#REF!,13,0)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1264">
      <c r="A11" s="83" t="n"/>
      <c r="B11" s="87" t="inlineStr">
        <is>
          <t>Lương theo HQCV</t>
        </is>
      </c>
      <c r="C11" s="1560">
        <f>VLOOKUP($C$5,#REF!,17,0)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1264">
      <c r="A12" s="83" t="n"/>
      <c r="B12" s="87" t="inlineStr">
        <is>
          <t>Lương cơ bản</t>
        </is>
      </c>
      <c r="C12" s="1560">
        <f>VLOOKUP($C$5,#REF!,18,0)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1264">
      <c r="A13" s="83" t="n"/>
      <c r="B13" s="87" t="inlineStr">
        <is>
          <t>Phụ cấp tiền ăn</t>
        </is>
      </c>
      <c r="C13" s="1560">
        <f>VLOOKUP($C$5,#REF!,19,0)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1264">
      <c r="A14" s="83" t="n"/>
      <c r="B14" s="87" t="inlineStr">
        <is>
          <t>Phụ cấp đồng phục</t>
        </is>
      </c>
      <c r="C14" s="1560">
        <f>VLOOKUP($C$5,#REF!,20,0)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1264">
      <c r="A15" s="83" t="n"/>
      <c r="B15" s="87" t="inlineStr">
        <is>
          <t>Phụ cấp đi lại</t>
        </is>
      </c>
      <c r="C15" s="1560">
        <f>VLOOKUP($C$5,#REF!,24,0)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1264">
      <c r="A16" s="83" t="n"/>
      <c r="B16" s="92" t="inlineStr">
        <is>
          <t>Lương thỏa thuận</t>
        </is>
      </c>
      <c r="C16" s="1561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1264">
      <c r="A17" s="83" t="n"/>
      <c r="B17" s="92" t="inlineStr">
        <is>
          <t>Lương thực tế</t>
        </is>
      </c>
      <c r="C17" s="1562">
        <f>VLOOKUP($C$5,#REF!,31,0)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1264">
      <c r="A18" s="83" t="n"/>
      <c r="B18" s="92" t="inlineStr">
        <is>
          <t>Tổng lương thực tế</t>
        </is>
      </c>
      <c r="C18" s="1561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1264">
      <c r="A19" s="83" t="n"/>
      <c r="B19" s="87" t="inlineStr">
        <is>
          <t>Lương tăng ca</t>
        </is>
      </c>
      <c r="C19" s="1560">
        <f>VLOOKUP($C$5,#REF!,34,0)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1264">
      <c r="A20" s="83" t="n"/>
      <c r="B20" s="87" t="inlineStr">
        <is>
          <t>Lương tăng ca ngày lễ * 3</t>
        </is>
      </c>
      <c r="C20" s="1560">
        <f>VLOOKUP($C$5,#REF!,35,0)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1264">
      <c r="A21" s="83" t="n"/>
      <c r="B21" s="87" t="inlineStr">
        <is>
          <t>Phụ cấp chuyên cần</t>
        </is>
      </c>
      <c r="C21" s="1560">
        <f>VLOOKUP(C5,#REF!,36,0)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1264">
      <c r="A22" s="83" t="n"/>
      <c r="B22" s="87" t="inlineStr">
        <is>
          <t>Thưởng T13</t>
        </is>
      </c>
      <c r="C22" s="1560">
        <f>VLOOKUP($C$5,#REF!,46,0)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1264">
      <c r="A23" s="83" t="n"/>
      <c r="B23" s="87" t="inlineStr">
        <is>
          <t>Phụ Cấp / Tiền hỗ trợ khác</t>
        </is>
      </c>
      <c r="C23" s="1560" t="n"/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1264">
      <c r="A24" s="83" t="n"/>
      <c r="B24" s="92" t="inlineStr">
        <is>
          <t>CÁC KHOẢN KHẤU TRỪ</t>
        </is>
      </c>
      <c r="C24" s="1563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1264">
      <c r="A25" s="83" t="n"/>
      <c r="B25" s="87" t="inlineStr">
        <is>
          <t>BHXH</t>
        </is>
      </c>
      <c r="C25" s="1560">
        <f>VLOOKUP($C$5,#REF!,72,0)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1264">
      <c r="A26" s="83" t="n"/>
      <c r="B26" s="87" t="inlineStr">
        <is>
          <t>Thuế TNCN phải nộp</t>
        </is>
      </c>
      <c r="C26" s="1560">
        <f>VLOOKUP($C$5,#REF!,75,0)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1264">
      <c r="A27" s="83" t="n"/>
      <c r="B27" s="96" t="inlineStr">
        <is>
          <t>Tạm ứng</t>
        </is>
      </c>
      <c r="C27" s="1564" t="n"/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1264">
      <c r="A28" s="83" t="n"/>
      <c r="B28" s="99" t="inlineStr">
        <is>
          <t>Tổng thực nhận sau thuế</t>
        </is>
      </c>
      <c r="C28" s="1565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1264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1264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1264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1264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1264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126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1264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1264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1264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1264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1264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1264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1264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1264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1264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1264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1264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1264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1264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1264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1264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1264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1264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1264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1264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1264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1264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1264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1264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1264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1264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1264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1264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1264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1264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1264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1264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1264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1264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1264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1264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1264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1264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1264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1264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1264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1264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1264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1264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1264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1264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1264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1264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1264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1264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126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1264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1264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1264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1264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1264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1264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1264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1264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1264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1264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1264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1264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1264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1264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1264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1264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1264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1264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1264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126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1264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1264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1264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1264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1264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1264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1264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1264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1264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126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1264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1264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1264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1264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1264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1264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1264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1264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1264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126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1264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1264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1264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1264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1264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1264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1264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1264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1264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126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1264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1264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1264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1264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1264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1264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1264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1264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1264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126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1264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1264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1264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1264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1264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1264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1264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1264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1264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1264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1264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1264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1264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1264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1264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1264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1264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1264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1264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1264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1264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1264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1264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1264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1264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1264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1264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1264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1264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1264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1264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1264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1264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1264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1264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1264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1264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1264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1264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1264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1264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1264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1264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1264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1264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1264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1264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1264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1264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1264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1264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1264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1264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1264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1264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1264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1264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1264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1264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1264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1264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1264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1264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1264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1264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1264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1264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1264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1264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1264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1264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1264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1264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1264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1264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1264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1264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1264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1264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1264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1264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1264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1264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1264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1264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1264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1264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1264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1264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1264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1264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1264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1264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1264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1264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1264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1264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1264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1264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1264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1264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1264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1264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1264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1264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1264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1264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1264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1264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1264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1264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1264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1264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1264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1264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1264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1264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1264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1264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1264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1264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1264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1264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1264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1264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1264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1264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1264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1264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1264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1264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1264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1264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1264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1264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1264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1264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1264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1264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1264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1264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1264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1264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1264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1264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1264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1264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1264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1264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1264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1264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1264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1264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1264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1264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1264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1264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1264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1264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1264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1264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1264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1264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1264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1264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1264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1264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1264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1264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1264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1264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1264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1264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1264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1264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1264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1264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1264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1264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1264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1264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1264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1264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1264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1264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1264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1264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1264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1264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1264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1264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1264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1264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1264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1264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1264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1264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1264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1264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1264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1264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1264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1264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1264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1264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1264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1264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1264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1264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1264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1264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1264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1264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1264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1264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1264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1264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1264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1264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1264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1264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1264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1264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1264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1264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1264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1264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1264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1264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1264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1264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1264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1264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1264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1264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1264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1264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1264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1264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1264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1264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1264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1264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1264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1264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1264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1264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1264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1264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1264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1264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1264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1264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1264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1264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1264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1264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1264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1264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1264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1264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1264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1264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1264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1264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1264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1264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1264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1264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1264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1264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1264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1264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1264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1264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1264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1264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1264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1264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1264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1264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1264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1264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1264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1264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1264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1264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1264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1264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1264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1264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1264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1264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1264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1264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1264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1264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1264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1264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1264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1264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1264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1264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1264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1264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1264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1264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1264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1264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1264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1264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1264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1264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1264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1264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1264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1264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1264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1264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1264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1264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1264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1264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1264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1264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1264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1264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1264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1264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1264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1264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1264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1264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1264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1264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1264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1264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1264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1264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1264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1264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1264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1264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1264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1264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1264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1264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1264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1264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1264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1264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1264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1264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1264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1264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1264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1264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1264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1264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1264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1264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1264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1264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1264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1264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1264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1264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1264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1264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1264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1264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1264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1264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1264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1264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1264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1264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1264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1264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1264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1264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1264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1264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1264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1264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1264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1264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1264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1264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1264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1264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1264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1264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1264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1264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1264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1264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1264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1264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1264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1264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1264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1264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1264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1264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1264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1264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1264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1264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1264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1264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1264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1264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1264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1264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1264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1264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1264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1264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1264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1264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1264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1264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1264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1264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1264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1264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1264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1264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1264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1264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1264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1264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1264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1264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1264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1264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1264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1264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1264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1264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1264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1264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1264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1264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1264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1264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1264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1264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1264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1264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1264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1264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1264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1264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1264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1264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1264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1264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1264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1264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1264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1264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1264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1264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1264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1264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1264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1264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1264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1264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1264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1264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1264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1264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1264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1264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1264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1264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1264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1264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1264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1264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1264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1264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1264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1264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1264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1264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1264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1264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1264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1264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1264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1264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1264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1264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1264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1264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1264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1264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1264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1264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1264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1264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1264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1264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1264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1264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1264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1264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1264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1264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1264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1264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1264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1264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1264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1264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1264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1264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1264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1264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1264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1264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1264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1264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1264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1264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1264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1264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1264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1264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1264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1264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1264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1264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1264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1264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1264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1264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1264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1264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1264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1264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1264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1264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1264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1264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1264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1264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1264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1264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1264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1264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1264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1264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1264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1264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1264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1264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1264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1264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1264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1264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1264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1264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1264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1264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1264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1264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1264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1264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1264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1264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1264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1264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1264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1264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1264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1264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1264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1264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1264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1264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1264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1264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1264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1264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1264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1264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1264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1264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1264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1264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1264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1264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1264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1264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1264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1264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1264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1264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1264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1264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1264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1264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1264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1264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1264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1264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1264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1264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1264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1264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1264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1264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1264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1264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1264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1264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1264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1264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1264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1264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1264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1264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1264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1264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1264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1264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1264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1264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1264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1264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1264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1264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1264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1264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1264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1264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1264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1264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1264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1264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1264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1264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1264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1264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1264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1264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1264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1264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1264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1264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1264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1264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1264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1264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1264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1264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1264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1264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1264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1264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1264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1264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1264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1264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1264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1264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1264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1264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1264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1264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1264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1264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1264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1264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1264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1264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1264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1264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1264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1264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1264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1264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1264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1264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1264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1264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1264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1264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1264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1264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1264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1264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1264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1264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1264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1264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1264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1264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1264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1264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1264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1264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1264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1264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1264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1264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1264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1264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1264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1264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1264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1264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1264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1264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1264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1264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1264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1264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1264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1264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1264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1264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1264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1264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1264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1264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1264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1264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1264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1264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1264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1264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1264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1264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1264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1264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1264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1264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1264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1264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1264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1264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1264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1264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1264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1264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1264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1264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1264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1264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1264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1264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1264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1264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1264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1264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1264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1264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1264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1264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1264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1264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1264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1264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1264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1264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1264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1264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1264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1264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1264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1264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1264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1264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1264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1264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1264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1264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1264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1264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1264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1264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1264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1264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1264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1264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1264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1264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1264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1264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1264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1264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1264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1264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1264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1264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1264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1264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1264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1264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1264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1264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1264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1264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1264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1264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1264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1264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1264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1264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1264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1264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1264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1264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1264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1264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1264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1264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1264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1264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1264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1264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1264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1264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1264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1264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1264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1264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1264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1264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1264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1264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1264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1264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1264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1264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1264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1264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1264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1264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1264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1264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1264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1264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1264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1264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1264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1264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1264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1264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1264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1264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1264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1264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1264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1264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1264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1264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1264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1264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1264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1264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1264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1264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1264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1264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1264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1264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1264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1264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1264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1264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1264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1264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1264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1264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1264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1264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1264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1264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1264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1264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1264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1264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1264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1264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1264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1264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1264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1264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1264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1264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1264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1264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1264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1264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1264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1264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1264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1264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1264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1264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1264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1264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1264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1264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1264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1264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1264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1264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1264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1264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1264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1264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1264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1264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1264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1264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1264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1264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1264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1264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1264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1264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1264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1264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1264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1264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1264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1264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1264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1264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1264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1264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1264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1264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1264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1264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1264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1264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1264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1264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1264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1264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1264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1264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1264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1264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1264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1264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1264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1264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1264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1264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1264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1264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1264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1264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1264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1264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1264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1264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1264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1264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1264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1264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1264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1264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1264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1264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1264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1264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1264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1264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1264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1264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1264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1264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1264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1264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1264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1264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1264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1264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1264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1264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1264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1264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1264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1264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1264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1264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1264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1264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1264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1264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1264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1264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1264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1264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1264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1264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1264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1264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1264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1264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1264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1264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1264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1264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1264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1264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1264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1264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1264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1264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1264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1264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1264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1264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1264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1264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1264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1264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1264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1264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1264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1264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1264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1264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1264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1264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1264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1264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1264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1264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1264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1264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1264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1264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1264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1264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1264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1264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1264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1264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1264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1264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1264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1264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1264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1264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1264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1264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1264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1264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1264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1264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1264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1264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1264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1264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1264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1264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1264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1264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1264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1264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1264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1264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1264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1264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1264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1264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1264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1264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1264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1264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1264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1264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1264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1264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1264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1264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1264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1264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1264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1264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1264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1264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1264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1264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1264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1264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1264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1264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1264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1264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1264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1264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1264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1264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1264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1264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1264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1264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1264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1264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1264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1264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1264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1264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1264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1264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1264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1264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1264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1264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1264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1264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1264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1264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1264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1264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1264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1264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1264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1264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1264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1264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1264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1264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1264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1264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1264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1264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1264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1264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1264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1264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1264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1264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1264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1264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1264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1264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1264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1264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1264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1264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1264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1264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1264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1264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1264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1264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1264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1264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1264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1264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1264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1264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1264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1264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1264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1264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1264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1264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1264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1264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1264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1264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1264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1264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1264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1264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1264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1264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1264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1264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1264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1264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1264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1264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1264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1264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1264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1264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1264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1264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1264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1264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1264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1264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1264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1264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1264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1264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1264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1264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1264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1264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1264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1264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1264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1264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1264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1264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1264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1264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1264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1264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1264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1264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1264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1264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1264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1264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1264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1264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1264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1264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1264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1264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1264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1264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1264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1264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1264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1264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1264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1264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1264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1264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1264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1264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1264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1264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1264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1264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1264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1264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1264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1264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1264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1264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1264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1264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1264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1264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1264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1264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1264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1264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1264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1264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1264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1264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1264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1264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1264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1264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1264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1264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1264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1264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1264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1264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1264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1264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1264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1264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1264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1264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1264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1264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1264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1264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1264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1264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1264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1264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1264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1264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1264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1264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1264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1264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1264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1264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1264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1264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1264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1264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1264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1264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1264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1264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1264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1264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1264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1264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1264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1264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1264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1264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1264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1264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1264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1264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1264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1264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1264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1264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1264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1264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1264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1264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1264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1264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1264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1264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1264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1264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1264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1264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1264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1264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1264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1264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1264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1264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1264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1264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1264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1264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1264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1264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1264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1264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1264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1264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1264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1264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1264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1264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1264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1264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1264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1264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1264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1264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1264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1264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1264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1264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1264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1264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1264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1264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1264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1264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1264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1264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1264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1264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1264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1264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1264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1264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1264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1264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1264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1264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1264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1264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1264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1264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1264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1264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1264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1264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1264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1264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1264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1264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1264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1264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1264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1264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1264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1264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1264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1264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1264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1264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1264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1264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1264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1264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1264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1264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1264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1264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1264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1264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1264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1264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1264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1264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1264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1264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1264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1264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1264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1264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1264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1264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1264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1264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1264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1264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1264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1264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1264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1264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1264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1264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1264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1264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1264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1264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1264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1264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1264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1264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1264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1264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1264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1264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1264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1264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1264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1264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1264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1264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1264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1264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1264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1264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1264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1264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1264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1264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1264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1264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1264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1264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1264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1264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1264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1264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1264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1264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1264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1264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1264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1264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1264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1264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1264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1264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1264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1264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1264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1264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1264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1264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1264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1264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1264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1264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1264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1264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1264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1264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1264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1264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1264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1264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1264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1264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1264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1264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1264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1264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1264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1264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1264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1264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1264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1264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1264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1264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1264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1264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1264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1264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1264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1264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1264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1264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1264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1264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1264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1264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1264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1264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1264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1264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1264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1264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1264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1264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1264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1264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1264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1264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1264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1264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1264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1264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1264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1264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1264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1264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1264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1264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1264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1264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1264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1264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1264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1264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1264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1264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1264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1264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1264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1264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1264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1264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1264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1264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1264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1264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1264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1264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1264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1264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1264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1264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1264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1264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1264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1264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1264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1264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1264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1264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1264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1264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1264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1264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1264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1264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1264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1264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1264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1264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1264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1264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1264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1264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1264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1264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1264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1264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1264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1264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1264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1264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1264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1264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1264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1264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1264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1264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1264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1264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1264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1264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1264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1264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1264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1264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1264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1264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1264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1264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1264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1264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1264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1264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1264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1264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1264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1264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1264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1264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1264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1264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1264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1264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1264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1264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1264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1264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1264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1264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1264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1264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1264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1264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1264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1264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1264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1264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1264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1264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1264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1264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1264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1264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1264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1264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1264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1264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1264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1264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1264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1264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1264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1264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1264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1264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1264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1264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1264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1264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1264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1264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1264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1264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1264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1264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1264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1264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1264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1264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1264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1264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1264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1264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1264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1264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1264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1264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1264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1264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1264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1264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1264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1264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1264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1264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1264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1264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1264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1264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1264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1264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1264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1264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1264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1264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1264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1264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1264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1264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1264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1264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1264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1264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1264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1264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1264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1264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1264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1264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1264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1264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1264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1264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1264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1264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1264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1264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1264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1264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1264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1264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1264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1264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1264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1264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1264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1264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1264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1264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1264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1264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1264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1264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1264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1264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1264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1264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1264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1264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1264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1264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1264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1264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1264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1264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1264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1264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1264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1264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1264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1264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1264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1264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1264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1264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1264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1264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1264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1264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1264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1264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1264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1264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1264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1264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1264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1264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1264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1264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1264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1264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1264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1264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1264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1264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1264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1264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1264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1264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1264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1264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1264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1264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1264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1264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1264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1264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1264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1264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1264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1264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1264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1264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1264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1264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1264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1264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1264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1264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1264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1264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1264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1264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1264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1264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1264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1264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1264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1264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1264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1264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1264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1264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1264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1264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1264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1264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1264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1264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1264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1264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1264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1264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1264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1264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1264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1264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1264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1264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1264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1264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1264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1264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1264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1264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1264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1264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1264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1264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1264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1264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1264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1264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1264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1264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1264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1264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1264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1264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1264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1264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1264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1264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1264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1264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1264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1264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1264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1264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1264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1264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1264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1264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1264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1264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1264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1264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1264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1264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1264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1264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1264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1264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1264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1264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1264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1264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1264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1264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1264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1264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1264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1264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1264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1264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1264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1264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1264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1264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1264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1264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1264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1264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1264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1264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1264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1264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1264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1264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1264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1264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1264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1264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1264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1264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1264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1264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1264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1264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1264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1264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1264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1264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1264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1264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1264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1264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1264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1264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1264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1264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1264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1264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1264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1264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1264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1264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1264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1264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1264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1264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1264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1264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1264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1264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1264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1264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1264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1264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1264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1264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1264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1264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1264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1264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1264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1264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1264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1264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1264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1264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1264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1264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1264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1264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1264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1264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1264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1264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1264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1264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1264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1264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1264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1264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1264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1264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1264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1264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1264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1264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1264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1264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1264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1264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1264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1264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1264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1264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1264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1264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1264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1264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1264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1264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1264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1264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1264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1264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1264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1264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1264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1264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1264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1264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1264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1264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1264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1264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1264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1264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1264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1264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1264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1264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1264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1264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1264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1264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1264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1264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1264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1264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1264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1264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1264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1264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1264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1264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1264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1264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1264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1264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1264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1264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1264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1264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1264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1264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1264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1264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1264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1264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1264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1264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1264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1264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1264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1264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1264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1264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1264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1264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1264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1264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1264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1264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1264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1264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1264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1264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1264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1264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1264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1264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1264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1264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1264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1264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1264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1264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1264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1264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1264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1264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1264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1264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1264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1264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1264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1264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1264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1264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1264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1264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1264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1264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1264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1264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1264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1264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1264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1264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1264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1264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1264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1264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1264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1264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1264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1264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1264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1264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1264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1264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1264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1264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1264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1264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1264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1264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1264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1264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1264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1264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1264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1264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1264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1264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1264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1264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1264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1264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1264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1264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1264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1264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1264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1264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1264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1264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1264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1264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1264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1264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1264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1264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1264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1264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1264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1264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1264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1264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1264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1264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1264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1264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1264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1264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1264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1264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1264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1264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1264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1264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1264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1264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1264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1264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1264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1264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1264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1264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1264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1264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1264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1264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1264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1264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1264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1264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1264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1264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1264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1264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1264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1264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1264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1264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1264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1264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1264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1264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1264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1264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1264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1264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1264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1264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1264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1264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1264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1264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1264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1264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1264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1264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1264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1264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1264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1264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1264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1264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1264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1264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1264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1264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1264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1264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1264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1264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1264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1264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1264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1264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1264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1264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1264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1264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1264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1264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1264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1264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1264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1264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1264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1264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1264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1264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1264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1264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1264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1264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1264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1264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1264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1264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1264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1264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1264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1264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1264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1264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1264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1264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1264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1264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1264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1264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1264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1264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1264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1264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1264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1264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1264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1264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1264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1264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1264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1264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1264" min="1" max="1"/>
    <col width="35.6640625" customWidth="1" style="1264" min="2" max="2"/>
    <col width="24.5546875" customWidth="1" style="1264" min="3" max="4"/>
    <col width="8.6640625" customWidth="1" style="1264" min="5" max="8"/>
  </cols>
  <sheetData>
    <row r="1" ht="14.4" customHeight="1" s="1264">
      <c r="B1" s="62" t="n"/>
      <c r="C1" s="62" t="n"/>
      <c r="D1" s="62" t="n"/>
      <c r="E1" s="63" t="n"/>
      <c r="F1" s="63" t="n"/>
      <c r="G1" s="63" t="n"/>
    </row>
    <row r="2" ht="33" customHeight="1" s="1264">
      <c r="B2" s="65" t="inlineStr">
        <is>
          <t>PHIẾU LƯƠNG THÁNG 03</t>
        </is>
      </c>
      <c r="C2" s="1566" t="n"/>
      <c r="D2" s="1567" t="n"/>
      <c r="E2" s="64" t="n"/>
      <c r="F2" s="53" t="n"/>
      <c r="G2" s="53" t="n"/>
      <c r="H2" s="53" t="n"/>
    </row>
    <row r="3" ht="40.5" customHeight="1" s="1264">
      <c r="B3" s="65" t="inlineStr">
        <is>
          <t>Họ tên</t>
        </is>
      </c>
      <c r="C3" s="1568">
        <f>VLOOKUP(H18,#REF!,3,0)</f>
        <v/>
      </c>
      <c r="D3" s="65" t="inlineStr">
        <is>
          <t>Ghi chú</t>
        </is>
      </c>
      <c r="E3" s="64" t="n"/>
      <c r="F3" s="53" t="n"/>
      <c r="G3" s="53" t="n"/>
      <c r="H3" s="53" t="n"/>
    </row>
    <row r="4" ht="24" customHeight="1" s="1264">
      <c r="B4" s="65" t="inlineStr">
        <is>
          <t>Cửa hàng</t>
        </is>
      </c>
      <c r="C4" s="65">
        <f>VLOOKUP($C$3,#REF!,4,0)</f>
        <v/>
      </c>
      <c r="D4" s="67" t="n"/>
      <c r="E4" s="64" t="n"/>
      <c r="F4" s="53" t="n"/>
      <c r="G4" s="53" t="n"/>
      <c r="H4" s="53" t="n"/>
    </row>
    <row r="5" ht="24" customHeight="1" s="1264">
      <c r="B5" s="68" t="inlineStr">
        <is>
          <t>Ngày công chuẩn</t>
        </is>
      </c>
      <c r="C5" s="69" t="n">
        <v>28</v>
      </c>
      <c r="D5" s="67" t="n"/>
      <c r="E5" s="64" t="n"/>
      <c r="F5" s="53" t="n"/>
      <c r="G5" s="53" t="n"/>
      <c r="H5" s="53" t="n"/>
    </row>
    <row r="6" ht="24" customHeight="1" s="1264">
      <c r="B6" s="68" t="inlineStr">
        <is>
          <t>Ngày công thực tế</t>
        </is>
      </c>
      <c r="C6" s="70">
        <f>VLOOKUP($C$3,#REF!,11,0)</f>
        <v/>
      </c>
      <c r="D6" s="67" t="n"/>
      <c r="E6" s="64" t="n"/>
      <c r="F6" s="53" t="n"/>
      <c r="G6" s="53" t="n"/>
      <c r="H6" s="53" t="n"/>
    </row>
    <row r="7" ht="24" customHeight="1" s="1264">
      <c r="B7" s="68" t="inlineStr">
        <is>
          <t>Ca ngày (giờ)</t>
        </is>
      </c>
      <c r="C7" s="70">
        <f>VLOOKUP($C$3,#REF!,12,0)</f>
        <v/>
      </c>
      <c r="D7" s="67" t="n"/>
      <c r="E7" s="64" t="n"/>
      <c r="F7" s="53" t="n"/>
      <c r="G7" s="53" t="n"/>
      <c r="H7" s="53" t="n"/>
    </row>
    <row r="8" ht="24" customHeight="1" s="1264">
      <c r="B8" s="68" t="inlineStr">
        <is>
          <t>Ca đêm (giờ)</t>
        </is>
      </c>
      <c r="C8" s="70">
        <f>VLOOKUP($C$3,#REF!,13,0)</f>
        <v/>
      </c>
      <c r="D8" s="67" t="n"/>
      <c r="E8" s="64" t="n"/>
      <c r="F8" s="53" t="n"/>
      <c r="G8" s="53" t="n"/>
      <c r="H8" s="53" t="n"/>
    </row>
    <row r="9" ht="24" customHeight="1" s="1264">
      <c r="B9" s="71" t="inlineStr">
        <is>
          <t>I. CÁC KHOẢN THU NHẬP</t>
        </is>
      </c>
      <c r="C9" s="67" t="n"/>
      <c r="D9" s="67" t="n"/>
      <c r="E9" s="64" t="n"/>
      <c r="F9" s="53" t="n"/>
      <c r="G9" s="53" t="n"/>
      <c r="H9" s="53" t="n"/>
    </row>
    <row r="10" ht="42" customHeight="1" s="1264">
      <c r="B10" s="71" t="inlineStr">
        <is>
          <t>Lương thỏa thuận</t>
        </is>
      </c>
      <c r="C10" s="1569">
        <f>VLOOKUP($C$3,#REF!,28,0)</f>
        <v/>
      </c>
      <c r="D10" s="67" t="n"/>
      <c r="E10" s="64" t="n"/>
      <c r="F10" s="53" t="n"/>
      <c r="G10" s="53" t="n"/>
      <c r="H10" s="53" t="n"/>
    </row>
    <row r="11" ht="24" customHeight="1" s="1264">
      <c r="B11" s="68" t="inlineStr">
        <is>
          <t>Phụ cấp tiền ăn</t>
        </is>
      </c>
      <c r="C11" s="1570">
        <f>VLOOKUP($C$3,#REF!,19,0)</f>
        <v/>
      </c>
      <c r="D11" s="67" t="n"/>
      <c r="E11" s="64" t="n"/>
      <c r="F11" s="53" t="n"/>
      <c r="G11" s="53" t="n"/>
      <c r="H11" s="53" t="n"/>
    </row>
    <row r="12" ht="24" customHeight="1" s="1264">
      <c r="B12" s="68" t="inlineStr">
        <is>
          <t>Phụ cấp trách nhiệm</t>
        </is>
      </c>
      <c r="C12" s="1570">
        <f>VLOOKUP($C$3,#REF!,21,0)</f>
        <v/>
      </c>
      <c r="D12" s="67" t="n"/>
      <c r="E12" s="64" t="n"/>
      <c r="F12" s="53" t="n"/>
      <c r="G12" s="53" t="n"/>
      <c r="H12" s="53" t="n"/>
    </row>
    <row r="13" ht="24" customHeight="1" s="1264">
      <c r="B13" s="68" t="inlineStr">
        <is>
          <t>Phụ cấp quy trình</t>
        </is>
      </c>
      <c r="C13" s="1570">
        <f>VLOOKUP($C$3,#REF!,22,0)</f>
        <v/>
      </c>
      <c r="D13" s="67" t="n"/>
      <c r="E13" s="64" t="n"/>
      <c r="F13" s="53" t="n"/>
      <c r="G13" s="53" t="n"/>
      <c r="H13" s="53" t="n"/>
    </row>
    <row r="14" ht="24" customHeight="1" s="1264">
      <c r="B14" s="68" t="inlineStr">
        <is>
          <t>Lương ca ngày</t>
        </is>
      </c>
      <c r="C14" s="1570">
        <f>VLOOKUP($C$3,#REF!,32,0)</f>
        <v/>
      </c>
      <c r="D14" s="67" t="n"/>
      <c r="E14" s="64" t="n"/>
      <c r="F14" s="53" t="n"/>
      <c r="G14" s="53" t="n"/>
      <c r="H14" s="53" t="n"/>
    </row>
    <row r="15" ht="24" customHeight="1" s="1264">
      <c r="B15" s="68" t="inlineStr">
        <is>
          <t>Lương ca đêm</t>
        </is>
      </c>
      <c r="C15" s="1570">
        <f>VLOOKUP($C$3,#REF!,33,0)</f>
        <v/>
      </c>
      <c r="D15" s="67" t="n"/>
      <c r="E15" s="64" t="n"/>
      <c r="F15" s="53" t="n"/>
      <c r="G15" s="53" t="n"/>
      <c r="H15" s="53" t="n"/>
    </row>
    <row r="16" ht="24" customHeight="1" s="1264">
      <c r="B16" s="68" t="inlineStr">
        <is>
          <t>KPIs cá nhân</t>
        </is>
      </c>
      <c r="C16" s="1570">
        <f>VLOOKUP($C$3,#REF!,38,0)</f>
        <v/>
      </c>
      <c r="D16" s="67" t="n"/>
      <c r="E16" s="64" t="n"/>
      <c r="F16" s="53" t="n"/>
      <c r="G16" s="53" t="n"/>
      <c r="H16" s="53" t="n"/>
    </row>
    <row r="17" ht="24" customHeight="1" s="1264">
      <c r="B17" s="68" t="inlineStr">
        <is>
          <t>KPIs quản lý, CHT</t>
        </is>
      </c>
      <c r="C17" s="1570">
        <f>VLOOKUP($C$3,#REF!,40,0)</f>
        <v/>
      </c>
      <c r="D17" s="67" t="n"/>
      <c r="E17" s="64" t="n"/>
      <c r="F17" s="53" t="n"/>
      <c r="G17" s="53" t="n"/>
      <c r="H17" s="53" t="n"/>
    </row>
    <row r="18" ht="24" customHeight="1" s="1264">
      <c r="B18" s="68" t="inlineStr">
        <is>
          <t>Thưởng chiết khấu</t>
        </is>
      </c>
      <c r="C18" s="1570">
        <f>VLOOKUP($C$3,#REF!,41,0)</f>
        <v/>
      </c>
      <c r="D18" s="67" t="n"/>
      <c r="E18" s="64" t="n"/>
      <c r="F18" s="53" t="n"/>
      <c r="G18" s="53" t="n"/>
      <c r="H18" s="74" t="n">
        <v>20</v>
      </c>
    </row>
    <row r="19" ht="24" customHeight="1" s="1264">
      <c r="B19" s="68" t="inlineStr">
        <is>
          <t>Thưởng đánh giá Maps + MKT</t>
        </is>
      </c>
      <c r="C19" s="1570">
        <f>VLOOKUP($C$3,#REF!,43,0)</f>
        <v/>
      </c>
      <c r="D19" s="67" t="n"/>
      <c r="E19" s="64" t="n"/>
      <c r="F19" s="53" t="n"/>
      <c r="G19" s="53" t="n"/>
      <c r="H19" s="53" t="n"/>
    </row>
    <row r="20" ht="24" customHeight="1" s="1264">
      <c r="B20" s="68" t="inlineStr">
        <is>
          <t>Thưởng T13</t>
        </is>
      </c>
      <c r="C20" s="1570">
        <f>VLOOKUP($C$3,#REF!,47,0)</f>
        <v/>
      </c>
      <c r="D20" s="67" t="n"/>
      <c r="E20" s="64" t="n"/>
      <c r="F20" s="53" t="n"/>
      <c r="G20" s="53" t="n"/>
      <c r="H20" s="53" t="n"/>
    </row>
    <row r="21" ht="24" customHeight="1" s="1264">
      <c r="B21" s="68" t="inlineStr">
        <is>
          <t>Thưởng khác</t>
        </is>
      </c>
      <c r="C21" s="1570">
        <f>VLOOKUP($C$3,#REF!,42,0)</f>
        <v/>
      </c>
      <c r="D21" s="67" t="n"/>
      <c r="E21" s="64" t="n"/>
      <c r="F21" s="53" t="n"/>
      <c r="G21" s="53" t="n"/>
      <c r="H21" s="53" t="n"/>
    </row>
    <row r="22" ht="24" customHeight="1" s="1264">
      <c r="B22" s="68" t="inlineStr">
        <is>
          <t>Thưởng hàng điểm + cắt liều</t>
        </is>
      </c>
      <c r="C22" s="1570">
        <f>VLOOKUP($C$3,#REF!,44,0)</f>
        <v/>
      </c>
      <c r="D22" s="67" t="n"/>
      <c r="E22" s="64" t="n"/>
      <c r="F22" s="53" t="n"/>
      <c r="G22" s="53" t="n"/>
      <c r="H22" s="53" t="n"/>
    </row>
    <row r="23" ht="24" customHeight="1" s="1264">
      <c r="B23" s="71" t="inlineStr">
        <is>
          <t>Tổng thu nhập thực tế</t>
        </is>
      </c>
      <c r="C23" s="75">
        <f>SUM(C11:C22)</f>
        <v/>
      </c>
      <c r="D23" s="67" t="n"/>
      <c r="E23" s="64" t="n"/>
      <c r="F23" s="53" t="n"/>
      <c r="G23" s="53" t="n"/>
      <c r="H23" s="53" t="n"/>
    </row>
    <row r="24" ht="24" customHeight="1" s="1264">
      <c r="B24" s="71" t="inlineStr">
        <is>
          <t>II. CÁC KHOẢN KHẤU TRỪ</t>
        </is>
      </c>
      <c r="C24" s="75">
        <f>SUM(C25:C32)</f>
        <v/>
      </c>
      <c r="D24" s="67" t="n"/>
      <c r="E24" s="64" t="n"/>
      <c r="F24" s="53" t="n"/>
      <c r="G24" s="53" t="n"/>
      <c r="H24" s="53" t="n"/>
    </row>
    <row r="25" ht="24" customHeight="1" s="1264">
      <c r="B25" s="68" t="inlineStr">
        <is>
          <t>BHXH</t>
        </is>
      </c>
      <c r="C25" s="1570">
        <f>VLOOKUP($C$3,#REF!,70,0)</f>
        <v/>
      </c>
      <c r="D25" s="67" t="n"/>
      <c r="E25" s="64" t="n"/>
      <c r="F25" s="53" t="n"/>
      <c r="G25" s="53" t="n"/>
      <c r="H25" s="53" t="n"/>
    </row>
    <row r="26" ht="24" customHeight="1" s="1264">
      <c r="B26" s="68" t="inlineStr">
        <is>
          <t>Thuế TNCN phải nộp</t>
        </is>
      </c>
      <c r="C26" s="1570">
        <f>VLOOKUP($C$3,#REF!,73,0)</f>
        <v/>
      </c>
      <c r="D26" s="67" t="n"/>
      <c r="E26" s="64" t="n"/>
      <c r="F26" s="53" t="n"/>
      <c r="G26" s="53" t="n"/>
      <c r="H26" s="53" t="n"/>
    </row>
    <row r="27" ht="24" customHeight="1" s="1264">
      <c r="B27" s="68" t="inlineStr">
        <is>
          <t>Ecom</t>
        </is>
      </c>
      <c r="C27" s="1570">
        <f>VLOOKUP($C$3,#REF!,74,0)</f>
        <v/>
      </c>
      <c r="D27" s="67" t="n"/>
      <c r="E27" s="64" t="n"/>
      <c r="F27" s="53" t="n"/>
      <c r="G27" s="53" t="n"/>
      <c r="H27" s="53" t="n"/>
    </row>
    <row r="28" ht="24" customHeight="1" s="1264">
      <c r="B28" s="68" t="inlineStr">
        <is>
          <t>KPIs trừ QTBH</t>
        </is>
      </c>
      <c r="C28" s="1570">
        <f>VLOOKUP($C$3,#REF!,75,0)</f>
        <v/>
      </c>
      <c r="D28" s="67" t="n"/>
      <c r="E28" s="64" t="n"/>
      <c r="F28" s="53" t="n"/>
      <c r="G28" s="53" t="n"/>
      <c r="H28" s="53" t="n"/>
    </row>
    <row r="29" ht="24" customHeight="1" s="1264">
      <c r="B29" s="68" t="inlineStr">
        <is>
          <t>KPIs trừ hết date</t>
        </is>
      </c>
      <c r="C29" s="1570">
        <f>VLOOKUP($C$3,#REF!,76,0)</f>
        <v/>
      </c>
      <c r="D29" s="67" t="n"/>
      <c r="E29" s="64" t="n"/>
      <c r="F29" s="53" t="n"/>
      <c r="G29" s="53" t="n"/>
      <c r="H29" s="53" t="n"/>
    </row>
    <row r="30" ht="24" customHeight="1" s="1264">
      <c r="B30" s="68" t="inlineStr">
        <is>
          <t>Khoản trừ KPI, trừ khác</t>
        </is>
      </c>
      <c r="C30" s="1570">
        <f>VLOOKUP($C$3,#REF!,77,0)</f>
        <v/>
      </c>
      <c r="D30" s="67" t="n"/>
      <c r="E30" s="64" t="n"/>
      <c r="F30" s="53" t="n"/>
      <c r="G30" s="53" t="n"/>
      <c r="H30" s="53" t="n"/>
    </row>
    <row r="31" ht="24" customHeight="1" s="1264">
      <c r="B31" s="68" t="inlineStr">
        <is>
          <t>Đã nhận thưởng quý/ Lương T13</t>
        </is>
      </c>
      <c r="C31" s="1570">
        <f>C20</f>
        <v/>
      </c>
      <c r="D31" s="67" t="n"/>
      <c r="E31" s="64" t="n"/>
      <c r="F31" s="53" t="n"/>
      <c r="G31" s="53" t="n"/>
      <c r="H31" s="53" t="n"/>
    </row>
    <row r="32" ht="24" customHeight="1" s="1264">
      <c r="B32" s="68" t="inlineStr">
        <is>
          <t>Tạm ứng</t>
        </is>
      </c>
      <c r="C32" s="1570">
        <f>VLOOKUP($C$3,#REF!,79,0)</f>
        <v/>
      </c>
      <c r="D32" s="67" t="n"/>
      <c r="E32" s="64" t="n"/>
      <c r="F32" s="53" t="n"/>
      <c r="G32" s="53" t="n"/>
      <c r="H32" s="53" t="n"/>
    </row>
    <row r="33" ht="24" customHeight="1" s="1264">
      <c r="B33" s="71" t="inlineStr">
        <is>
          <t>III. TỔNG THỰC NHẬN</t>
        </is>
      </c>
      <c r="C33" s="76">
        <f>C23-C24</f>
        <v/>
      </c>
      <c r="D33" s="67" t="n"/>
      <c r="E33" s="64" t="n"/>
      <c r="F33" s="53" t="n"/>
      <c r="G33" s="53" t="n"/>
      <c r="H33" s="53" t="n"/>
    </row>
    <row r="34" ht="30" customHeight="1" s="1264">
      <c r="B34" s="77" t="inlineStr">
        <is>
          <t>SỐ TIỀN ĐÃ CHUYỂN KHOẢN</t>
        </is>
      </c>
      <c r="C34" s="76" t="n">
        <v>6743867</v>
      </c>
      <c r="D34" s="78" t="n"/>
    </row>
    <row r="35" ht="33" customHeight="1" s="1264">
      <c r="B35" s="77" t="inlineStr">
        <is>
          <t>SỐ TIỀN TRỪ LẠI VÀO KỲ LƯƠNG T2</t>
        </is>
      </c>
      <c r="C35" s="76">
        <f>C34-C33</f>
        <v/>
      </c>
      <c r="D35" s="78" t="n"/>
    </row>
    <row r="36" ht="15.75" customHeight="1" s="1264"/>
    <row r="37" ht="15.75" customHeight="1" s="1264"/>
    <row r="38" ht="15.75" customHeight="1" s="1264"/>
    <row r="39" ht="15.75" customHeight="1" s="1264"/>
    <row r="40" ht="15.75" customHeight="1" s="1264"/>
    <row r="41" ht="15.75" customHeight="1" s="1264"/>
    <row r="42" ht="15.75" customHeight="1" s="1264"/>
    <row r="43" ht="15.75" customHeight="1" s="1264"/>
    <row r="44" ht="15.75" customHeight="1" s="1264"/>
    <row r="45" ht="15.75" customHeight="1" s="1264"/>
    <row r="46" ht="15.75" customHeight="1" s="1264"/>
    <row r="47" ht="15.75" customHeight="1" s="1264"/>
    <row r="48" ht="15.75" customHeight="1" s="1264"/>
    <row r="49" ht="15.75" customHeight="1" s="1264"/>
    <row r="50" ht="15.75" customHeight="1" s="1264"/>
    <row r="51" ht="15.75" customHeight="1" s="1264"/>
    <row r="52" ht="15.75" customHeight="1" s="1264"/>
    <row r="53" ht="15.75" customHeight="1" s="1264"/>
    <row r="54" ht="15.75" customHeight="1" s="1264"/>
    <row r="55" ht="15.75" customHeight="1" s="1264"/>
    <row r="56" ht="15.75" customHeight="1" s="1264"/>
    <row r="57" ht="15.75" customHeight="1" s="1264"/>
    <row r="58" ht="15.75" customHeight="1" s="1264"/>
    <row r="59" ht="15.75" customHeight="1" s="1264"/>
    <row r="60" ht="15.75" customHeight="1" s="1264"/>
    <row r="61" ht="15.75" customHeight="1" s="1264"/>
    <row r="62" ht="15.75" customHeight="1" s="1264"/>
    <row r="63" ht="15.75" customHeight="1" s="1264"/>
    <row r="64" ht="15.75" customHeight="1" s="1264"/>
    <row r="65" ht="15.75" customHeight="1" s="1264"/>
    <row r="66" ht="15.75" customHeight="1" s="1264"/>
    <row r="67" ht="15.75" customHeight="1" s="1264"/>
    <row r="68" ht="15.75" customHeight="1" s="1264"/>
    <row r="69" ht="15.75" customHeight="1" s="1264"/>
    <row r="70" ht="15.75" customHeight="1" s="1264"/>
    <row r="71" ht="15.75" customHeight="1" s="1264"/>
    <row r="72" ht="15.75" customHeight="1" s="1264"/>
    <row r="73" ht="15.75" customHeight="1" s="1264"/>
    <row r="74" ht="15.75" customHeight="1" s="1264"/>
    <row r="75" ht="15.75" customHeight="1" s="1264"/>
    <row r="76" ht="15.75" customHeight="1" s="1264"/>
    <row r="77" ht="15.75" customHeight="1" s="1264"/>
    <row r="78" ht="15.75" customHeight="1" s="1264"/>
    <row r="79" ht="15.75" customHeight="1" s="1264"/>
    <row r="80" ht="15.75" customHeight="1" s="1264"/>
    <row r="81" ht="15.75" customHeight="1" s="1264"/>
    <row r="82" ht="15.75" customHeight="1" s="1264"/>
    <row r="83" ht="15.75" customHeight="1" s="1264"/>
    <row r="84" ht="15.75" customHeight="1" s="1264"/>
    <row r="85" ht="15.75" customHeight="1" s="1264"/>
    <row r="86" ht="15.75" customHeight="1" s="1264"/>
    <row r="87" ht="15.75" customHeight="1" s="1264"/>
    <row r="88" ht="15.75" customHeight="1" s="1264"/>
    <row r="89" ht="15.75" customHeight="1" s="1264"/>
    <row r="90" ht="15.75" customHeight="1" s="1264"/>
    <row r="91" ht="15.75" customHeight="1" s="1264"/>
    <row r="92" ht="15.75" customHeight="1" s="1264"/>
    <row r="93" ht="15.75" customHeight="1" s="1264"/>
    <row r="94" ht="15.75" customHeight="1" s="1264"/>
    <row r="95" ht="15.75" customHeight="1" s="1264"/>
    <row r="96" ht="15.75" customHeight="1" s="1264"/>
    <row r="97" ht="15.75" customHeight="1" s="1264"/>
    <row r="98" ht="15.75" customHeight="1" s="1264"/>
    <row r="99" ht="15.75" customHeight="1" s="1264"/>
    <row r="100" ht="15.75" customHeight="1" s="1264"/>
    <row r="101" ht="15.75" customHeight="1" s="1264"/>
    <row r="102" ht="15.75" customHeight="1" s="1264"/>
    <row r="103" ht="15.75" customHeight="1" s="1264"/>
    <row r="104" ht="15.75" customHeight="1" s="1264"/>
    <row r="105" ht="15.75" customHeight="1" s="1264"/>
    <row r="106" ht="15.75" customHeight="1" s="1264"/>
    <row r="107" ht="15.75" customHeight="1" s="1264"/>
    <row r="108" ht="15.75" customHeight="1" s="1264"/>
    <row r="109" ht="15.75" customHeight="1" s="1264"/>
    <row r="110" ht="15.75" customHeight="1" s="1264"/>
    <row r="111" ht="15.75" customHeight="1" s="1264"/>
    <row r="112" ht="15.75" customHeight="1" s="1264"/>
    <row r="113" ht="15.75" customHeight="1" s="1264"/>
    <row r="114" ht="15.75" customHeight="1" s="1264"/>
    <row r="115" ht="15.75" customHeight="1" s="1264"/>
    <row r="116" ht="15.75" customHeight="1" s="1264"/>
    <row r="117" ht="15.75" customHeight="1" s="1264"/>
    <row r="118" ht="15.75" customHeight="1" s="1264"/>
    <row r="119" ht="15.75" customHeight="1" s="1264"/>
    <row r="120" ht="15.75" customHeight="1" s="1264"/>
    <row r="121" ht="15.75" customHeight="1" s="1264"/>
    <row r="122" ht="15.75" customHeight="1" s="1264"/>
    <row r="123" ht="15.75" customHeight="1" s="1264"/>
    <row r="124" ht="15.75" customHeight="1" s="1264"/>
    <row r="125" ht="15.75" customHeight="1" s="1264"/>
    <row r="126" ht="15.75" customHeight="1" s="1264"/>
    <row r="127" ht="15.75" customHeight="1" s="1264"/>
    <row r="128" ht="15.75" customHeight="1" s="1264"/>
    <row r="129" ht="15.75" customHeight="1" s="1264"/>
    <row r="130" ht="15.75" customHeight="1" s="1264"/>
    <row r="131" ht="15.75" customHeight="1" s="1264"/>
    <row r="132" ht="15.75" customHeight="1" s="1264"/>
    <row r="133" ht="15.75" customHeight="1" s="1264"/>
    <row r="134" ht="15.75" customHeight="1" s="1264"/>
    <row r="135" ht="15.75" customHeight="1" s="1264"/>
    <row r="136" ht="15.75" customHeight="1" s="1264"/>
    <row r="137" ht="15.75" customHeight="1" s="1264"/>
    <row r="138" ht="15.75" customHeight="1" s="1264"/>
    <row r="139" ht="15.75" customHeight="1" s="1264"/>
    <row r="140" ht="15.75" customHeight="1" s="1264"/>
    <row r="141" ht="15.75" customHeight="1" s="1264"/>
    <row r="142" ht="15.75" customHeight="1" s="1264"/>
    <row r="143" ht="15.75" customHeight="1" s="1264"/>
    <row r="144" ht="15.75" customHeight="1" s="1264"/>
    <row r="145" ht="15.75" customHeight="1" s="1264"/>
    <row r="146" ht="15.75" customHeight="1" s="1264"/>
    <row r="147" ht="15.75" customHeight="1" s="1264"/>
    <row r="148" ht="15.75" customHeight="1" s="1264"/>
    <row r="149" ht="15.75" customHeight="1" s="1264"/>
    <row r="150" ht="15.75" customHeight="1" s="1264"/>
    <row r="151" ht="15.75" customHeight="1" s="1264"/>
    <row r="152" ht="15.75" customHeight="1" s="1264"/>
    <row r="153" ht="15.75" customHeight="1" s="1264"/>
    <row r="154" ht="15.75" customHeight="1" s="1264"/>
    <row r="155" ht="15.75" customHeight="1" s="1264"/>
    <row r="156" ht="15.75" customHeight="1" s="1264"/>
    <row r="157" ht="15.75" customHeight="1" s="1264"/>
    <row r="158" ht="15.75" customHeight="1" s="1264"/>
    <row r="159" ht="15.75" customHeight="1" s="1264"/>
    <row r="160" ht="15.75" customHeight="1" s="1264"/>
    <row r="161" ht="15.75" customHeight="1" s="1264"/>
    <row r="162" ht="15.75" customHeight="1" s="1264"/>
    <row r="163" ht="15.75" customHeight="1" s="1264"/>
    <row r="164" ht="15.75" customHeight="1" s="1264"/>
    <row r="165" ht="15.75" customHeight="1" s="1264"/>
    <row r="166" ht="15.75" customHeight="1" s="1264"/>
    <row r="167" ht="15.75" customHeight="1" s="1264"/>
    <row r="168" ht="15.75" customHeight="1" s="1264"/>
    <row r="169" ht="15.75" customHeight="1" s="1264"/>
    <row r="170" ht="15.75" customHeight="1" s="1264"/>
    <row r="171" ht="15.75" customHeight="1" s="1264"/>
    <row r="172" ht="15.75" customHeight="1" s="1264"/>
    <row r="173" ht="15.75" customHeight="1" s="1264"/>
    <row r="174" ht="15.75" customHeight="1" s="1264"/>
    <row r="175" ht="15.75" customHeight="1" s="1264"/>
    <row r="176" ht="15.75" customHeight="1" s="1264"/>
    <row r="177" ht="15.75" customHeight="1" s="1264"/>
    <row r="178" ht="15.75" customHeight="1" s="1264"/>
    <row r="179" ht="15.75" customHeight="1" s="1264"/>
    <row r="180" ht="15.75" customHeight="1" s="1264"/>
    <row r="181" ht="15.75" customHeight="1" s="1264"/>
    <row r="182" ht="15.75" customHeight="1" s="1264"/>
    <row r="183" ht="15.75" customHeight="1" s="1264"/>
    <row r="184" ht="15.75" customHeight="1" s="1264"/>
    <row r="185" ht="15.75" customHeight="1" s="1264"/>
    <row r="186" ht="15.75" customHeight="1" s="1264"/>
    <row r="187" ht="15.75" customHeight="1" s="1264"/>
    <row r="188" ht="15.75" customHeight="1" s="1264"/>
    <row r="189" ht="15.75" customHeight="1" s="1264"/>
    <row r="190" ht="15.75" customHeight="1" s="1264"/>
    <row r="191" ht="15.75" customHeight="1" s="1264"/>
    <row r="192" ht="15.75" customHeight="1" s="1264"/>
    <row r="193" ht="15.75" customHeight="1" s="1264"/>
    <row r="194" ht="15.75" customHeight="1" s="1264"/>
    <row r="195" ht="15.75" customHeight="1" s="1264"/>
    <row r="196" ht="15.75" customHeight="1" s="1264"/>
    <row r="197" ht="15.75" customHeight="1" s="1264"/>
    <row r="198" ht="15.75" customHeight="1" s="1264"/>
    <row r="199" ht="15.75" customHeight="1" s="1264"/>
    <row r="200" ht="15.75" customHeight="1" s="1264"/>
    <row r="201" ht="15.75" customHeight="1" s="1264"/>
    <row r="202" ht="15.75" customHeight="1" s="1264"/>
    <row r="203" ht="15.75" customHeight="1" s="1264"/>
    <row r="204" ht="15.75" customHeight="1" s="1264"/>
    <row r="205" ht="15.75" customHeight="1" s="1264"/>
    <row r="206" ht="15.75" customHeight="1" s="1264"/>
    <row r="207" ht="15.75" customHeight="1" s="1264"/>
    <row r="208" ht="15.75" customHeight="1" s="1264"/>
    <row r="209" ht="15.75" customHeight="1" s="1264"/>
    <row r="210" ht="15.75" customHeight="1" s="1264"/>
    <row r="211" ht="15.75" customHeight="1" s="1264"/>
    <row r="212" ht="15.75" customHeight="1" s="1264"/>
    <row r="213" ht="15.75" customHeight="1" s="1264"/>
    <row r="214" ht="15.75" customHeight="1" s="1264"/>
    <row r="215" ht="15.75" customHeight="1" s="1264"/>
    <row r="216" ht="15.75" customHeight="1" s="1264"/>
    <row r="217" ht="15.75" customHeight="1" s="1264"/>
    <row r="218" ht="15.75" customHeight="1" s="1264"/>
    <row r="219" ht="15.75" customHeight="1" s="1264"/>
    <row r="220" ht="15.75" customHeight="1" s="1264"/>
    <row r="221" ht="15.75" customHeight="1" s="1264"/>
    <row r="222" ht="15.75" customHeight="1" s="1264"/>
    <row r="223" ht="15.75" customHeight="1" s="1264"/>
    <row r="224" ht="15.75" customHeight="1" s="1264"/>
    <row r="225" ht="15.75" customHeight="1" s="1264"/>
    <row r="226" ht="15.75" customHeight="1" s="1264"/>
    <row r="227" ht="15.75" customHeight="1" s="1264"/>
    <row r="228" ht="15.75" customHeight="1" s="1264"/>
    <row r="229" ht="15.75" customHeight="1" s="1264"/>
    <row r="230" ht="15.75" customHeight="1" s="1264"/>
    <row r="231" ht="15.75" customHeight="1" s="1264"/>
    <row r="232" ht="15.75" customHeight="1" s="1264"/>
    <row r="233" ht="15.75" customHeight="1" s="1264"/>
    <row r="234" ht="15.75" customHeight="1" s="1264"/>
    <row r="235" ht="15.75" customHeight="1" s="1264"/>
    <row r="236" ht="15.75" customHeight="1" s="1264"/>
    <row r="237" ht="15.75" customHeight="1" s="1264"/>
    <row r="238" ht="15.75" customHeight="1" s="1264"/>
    <row r="239" ht="15.75" customHeight="1" s="1264"/>
    <row r="240" ht="15.75" customHeight="1" s="1264"/>
    <row r="241" ht="15.75" customHeight="1" s="1264"/>
    <row r="242" ht="15.75" customHeight="1" s="1264"/>
    <row r="243" ht="15.75" customHeight="1" s="1264"/>
    <row r="244" ht="15.75" customHeight="1" s="1264"/>
    <row r="245" ht="15.75" customHeight="1" s="1264"/>
    <row r="246" ht="15.75" customHeight="1" s="1264"/>
    <row r="247" ht="15.75" customHeight="1" s="1264"/>
    <row r="248" ht="15.75" customHeight="1" s="1264"/>
    <row r="249" ht="15.75" customHeight="1" s="1264"/>
    <row r="250" ht="15.75" customHeight="1" s="1264"/>
    <row r="251" ht="15.75" customHeight="1" s="1264"/>
    <row r="252" ht="15.75" customHeight="1" s="1264"/>
    <row r="253" ht="15.75" customHeight="1" s="1264"/>
    <row r="254" ht="15.75" customHeight="1" s="1264"/>
    <row r="255" ht="15.75" customHeight="1" s="1264"/>
    <row r="256" ht="15.75" customHeight="1" s="1264"/>
    <row r="257" ht="15.75" customHeight="1" s="1264"/>
    <row r="258" ht="15.75" customHeight="1" s="1264"/>
    <row r="259" ht="15.75" customHeight="1" s="1264"/>
    <row r="260" ht="15.75" customHeight="1" s="1264"/>
    <row r="261" ht="15.75" customHeight="1" s="1264"/>
    <row r="262" ht="15.75" customHeight="1" s="1264"/>
    <row r="263" ht="15.75" customHeight="1" s="1264"/>
    <row r="264" ht="15.75" customHeight="1" s="1264"/>
    <row r="265" ht="15.75" customHeight="1" s="1264"/>
    <row r="266" ht="15.75" customHeight="1" s="1264"/>
    <row r="267" ht="15.75" customHeight="1" s="1264"/>
    <row r="268" ht="15.75" customHeight="1" s="1264"/>
    <row r="269" ht="15.75" customHeight="1" s="1264"/>
    <row r="270" ht="15.75" customHeight="1" s="1264"/>
    <row r="271" ht="15.75" customHeight="1" s="1264"/>
    <row r="272" ht="15.75" customHeight="1" s="1264"/>
    <row r="273" ht="15.75" customHeight="1" s="1264"/>
    <row r="274" ht="15.75" customHeight="1" s="1264"/>
    <row r="275" ht="15.75" customHeight="1" s="1264"/>
    <row r="276" ht="15.75" customHeight="1" s="1264"/>
    <row r="277" ht="15.75" customHeight="1" s="1264"/>
    <row r="278" ht="15.75" customHeight="1" s="1264"/>
    <row r="279" ht="15.75" customHeight="1" s="1264"/>
    <row r="280" ht="15.75" customHeight="1" s="1264"/>
    <row r="281" ht="15.75" customHeight="1" s="1264"/>
    <row r="282" ht="15.75" customHeight="1" s="1264"/>
    <row r="283" ht="15.75" customHeight="1" s="1264"/>
    <row r="284" ht="15.75" customHeight="1" s="1264"/>
    <row r="285" ht="15.75" customHeight="1" s="1264"/>
    <row r="286" ht="15.75" customHeight="1" s="1264"/>
    <row r="287" ht="15.75" customHeight="1" s="1264"/>
    <row r="288" ht="15.75" customHeight="1" s="1264"/>
    <row r="289" ht="15.75" customHeight="1" s="1264"/>
    <row r="290" ht="15.75" customHeight="1" s="1264"/>
    <row r="291" ht="15.75" customHeight="1" s="1264"/>
    <row r="292" ht="15.75" customHeight="1" s="1264"/>
    <row r="293" ht="15.75" customHeight="1" s="1264"/>
    <row r="294" ht="15.75" customHeight="1" s="1264"/>
    <row r="295" ht="15.75" customHeight="1" s="1264"/>
    <row r="296" ht="15.75" customHeight="1" s="1264"/>
    <row r="297" ht="15.75" customHeight="1" s="1264"/>
    <row r="298" ht="15.75" customHeight="1" s="1264"/>
    <row r="299" ht="15.75" customHeight="1" s="1264"/>
    <row r="300" ht="15.75" customHeight="1" s="1264"/>
    <row r="301" ht="15.75" customHeight="1" s="1264"/>
    <row r="302" ht="15.75" customHeight="1" s="1264"/>
    <row r="303" ht="15.75" customHeight="1" s="1264"/>
    <row r="304" ht="15.75" customHeight="1" s="1264"/>
    <row r="305" ht="15.75" customHeight="1" s="1264"/>
    <row r="306" ht="15.75" customHeight="1" s="1264"/>
    <row r="307" ht="15.75" customHeight="1" s="1264"/>
    <row r="308" ht="15.75" customHeight="1" s="1264"/>
    <row r="309" ht="15.75" customHeight="1" s="1264"/>
    <row r="310" ht="15.75" customHeight="1" s="1264"/>
    <row r="311" ht="15.75" customHeight="1" s="1264"/>
    <row r="312" ht="15.75" customHeight="1" s="1264"/>
    <row r="313" ht="15.75" customHeight="1" s="1264"/>
    <row r="314" ht="15.75" customHeight="1" s="1264"/>
    <row r="315" ht="15.75" customHeight="1" s="1264"/>
    <row r="316" ht="15.75" customHeight="1" s="1264"/>
    <row r="317" ht="15.75" customHeight="1" s="1264"/>
    <row r="318" ht="15.75" customHeight="1" s="1264"/>
    <row r="319" ht="15.75" customHeight="1" s="1264"/>
    <row r="320" ht="15.75" customHeight="1" s="1264"/>
    <row r="321" ht="15.75" customHeight="1" s="1264"/>
    <row r="322" ht="15.75" customHeight="1" s="1264"/>
    <row r="323" ht="15.75" customHeight="1" s="1264"/>
    <row r="324" ht="15.75" customHeight="1" s="1264"/>
    <row r="325" ht="15.75" customHeight="1" s="1264"/>
    <row r="326" ht="15.75" customHeight="1" s="1264"/>
    <row r="327" ht="15.75" customHeight="1" s="1264"/>
    <row r="328" ht="15.75" customHeight="1" s="1264"/>
    <row r="329" ht="15.75" customHeight="1" s="1264"/>
    <row r="330" ht="15.75" customHeight="1" s="1264"/>
    <row r="331" ht="15.75" customHeight="1" s="1264"/>
    <row r="332" ht="15.75" customHeight="1" s="1264"/>
    <row r="333" ht="15.75" customHeight="1" s="1264"/>
    <row r="334" ht="15.75" customHeight="1" s="1264"/>
    <row r="335" ht="15.75" customHeight="1" s="1264"/>
    <row r="336" ht="15.75" customHeight="1" s="1264"/>
    <row r="337" ht="15.75" customHeight="1" s="1264"/>
    <row r="338" ht="15.75" customHeight="1" s="1264"/>
    <row r="339" ht="15.75" customHeight="1" s="1264"/>
    <row r="340" ht="15.75" customHeight="1" s="1264"/>
    <row r="341" ht="15.75" customHeight="1" s="1264"/>
    <row r="342" ht="15.75" customHeight="1" s="1264"/>
    <row r="343" ht="15.75" customHeight="1" s="1264"/>
    <row r="344" ht="15.75" customHeight="1" s="1264"/>
    <row r="345" ht="15.75" customHeight="1" s="1264"/>
    <row r="346" ht="15.75" customHeight="1" s="1264"/>
    <row r="347" ht="15.75" customHeight="1" s="1264"/>
    <row r="348" ht="15.75" customHeight="1" s="1264"/>
    <row r="349" ht="15.75" customHeight="1" s="1264"/>
    <row r="350" ht="15.75" customHeight="1" s="1264"/>
    <row r="351" ht="15.75" customHeight="1" s="1264"/>
    <row r="352" ht="15.75" customHeight="1" s="1264"/>
    <row r="353" ht="15.75" customHeight="1" s="1264"/>
    <row r="354" ht="15.75" customHeight="1" s="1264"/>
    <row r="355" ht="15.75" customHeight="1" s="1264"/>
    <row r="356" ht="15.75" customHeight="1" s="1264"/>
    <row r="357" ht="15.75" customHeight="1" s="1264"/>
    <row r="358" ht="15.75" customHeight="1" s="1264"/>
    <row r="359" ht="15.75" customHeight="1" s="1264"/>
    <row r="360" ht="15.75" customHeight="1" s="1264"/>
    <row r="361" ht="15.75" customHeight="1" s="1264"/>
    <row r="362" ht="15.75" customHeight="1" s="1264"/>
    <row r="363" ht="15.75" customHeight="1" s="1264"/>
    <row r="364" ht="15.75" customHeight="1" s="1264"/>
    <row r="365" ht="15.75" customHeight="1" s="1264"/>
    <row r="366" ht="15.75" customHeight="1" s="1264"/>
    <row r="367" ht="15.75" customHeight="1" s="1264"/>
    <row r="368" ht="15.75" customHeight="1" s="1264"/>
    <row r="369" ht="15.75" customHeight="1" s="1264"/>
    <row r="370" ht="15.75" customHeight="1" s="1264"/>
    <row r="371" ht="15.75" customHeight="1" s="1264"/>
    <row r="372" ht="15.75" customHeight="1" s="1264"/>
    <row r="373" ht="15.75" customHeight="1" s="1264"/>
    <row r="374" ht="15.75" customHeight="1" s="1264"/>
    <row r="375" ht="15.75" customHeight="1" s="1264"/>
    <row r="376" ht="15.75" customHeight="1" s="1264"/>
    <row r="377" ht="15.75" customHeight="1" s="1264"/>
    <row r="378" ht="15.75" customHeight="1" s="1264"/>
    <row r="379" ht="15.75" customHeight="1" s="1264"/>
    <row r="380" ht="15.75" customHeight="1" s="1264"/>
    <row r="381" ht="15.75" customHeight="1" s="1264"/>
    <row r="382" ht="15.75" customHeight="1" s="1264"/>
    <row r="383" ht="15.75" customHeight="1" s="1264"/>
    <row r="384" ht="15.75" customHeight="1" s="1264"/>
    <row r="385" ht="15.75" customHeight="1" s="1264"/>
    <row r="386" ht="15.75" customHeight="1" s="1264"/>
    <row r="387" ht="15.75" customHeight="1" s="1264"/>
    <row r="388" ht="15.75" customHeight="1" s="1264"/>
    <row r="389" ht="15.75" customHeight="1" s="1264"/>
    <row r="390" ht="15.75" customHeight="1" s="1264"/>
    <row r="391" ht="15.75" customHeight="1" s="1264"/>
    <row r="392" ht="15.75" customHeight="1" s="1264"/>
    <row r="393" ht="15.75" customHeight="1" s="1264"/>
    <row r="394" ht="15.75" customHeight="1" s="1264"/>
    <row r="395" ht="15.75" customHeight="1" s="1264"/>
    <row r="396" ht="15.75" customHeight="1" s="1264"/>
    <row r="397" ht="15.75" customHeight="1" s="1264"/>
    <row r="398" ht="15.75" customHeight="1" s="1264"/>
    <row r="399" ht="15.75" customHeight="1" s="1264"/>
    <row r="400" ht="15.75" customHeight="1" s="1264"/>
    <row r="401" ht="15.75" customHeight="1" s="1264"/>
    <row r="402" ht="15.75" customHeight="1" s="1264"/>
    <row r="403" ht="15.75" customHeight="1" s="1264"/>
    <row r="404" ht="15.75" customHeight="1" s="1264"/>
    <row r="405" ht="15.75" customHeight="1" s="1264"/>
    <row r="406" ht="15.75" customHeight="1" s="1264"/>
    <row r="407" ht="15.75" customHeight="1" s="1264"/>
    <row r="408" ht="15.75" customHeight="1" s="1264"/>
    <row r="409" ht="15.75" customHeight="1" s="1264"/>
    <row r="410" ht="15.75" customHeight="1" s="1264"/>
    <row r="411" ht="15.75" customHeight="1" s="1264"/>
    <row r="412" ht="15.75" customHeight="1" s="1264"/>
    <row r="413" ht="15.75" customHeight="1" s="1264"/>
    <row r="414" ht="15.75" customHeight="1" s="1264"/>
    <row r="415" ht="15.75" customHeight="1" s="1264"/>
    <row r="416" ht="15.75" customHeight="1" s="1264"/>
    <row r="417" ht="15.75" customHeight="1" s="1264"/>
    <row r="418" ht="15.75" customHeight="1" s="1264"/>
    <row r="419" ht="15.75" customHeight="1" s="1264"/>
    <row r="420" ht="15.75" customHeight="1" s="1264"/>
    <row r="421" ht="15.75" customHeight="1" s="1264"/>
    <row r="422" ht="15.75" customHeight="1" s="1264"/>
    <row r="423" ht="15.75" customHeight="1" s="1264"/>
    <row r="424" ht="15.75" customHeight="1" s="1264"/>
    <row r="425" ht="15.75" customHeight="1" s="1264"/>
    <row r="426" ht="15.75" customHeight="1" s="1264"/>
    <row r="427" ht="15.75" customHeight="1" s="1264"/>
    <row r="428" ht="15.75" customHeight="1" s="1264"/>
    <row r="429" ht="15.75" customHeight="1" s="1264"/>
    <row r="430" ht="15.75" customHeight="1" s="1264"/>
    <row r="431" ht="15.75" customHeight="1" s="1264"/>
    <row r="432" ht="15.75" customHeight="1" s="1264"/>
    <row r="433" ht="15.75" customHeight="1" s="1264"/>
    <row r="434" ht="15.75" customHeight="1" s="1264"/>
    <row r="435" ht="15.75" customHeight="1" s="1264"/>
    <row r="436" ht="15.75" customHeight="1" s="1264"/>
    <row r="437" ht="15.75" customHeight="1" s="1264"/>
    <row r="438" ht="15.75" customHeight="1" s="1264"/>
    <row r="439" ht="15.75" customHeight="1" s="1264"/>
    <row r="440" ht="15.75" customHeight="1" s="1264"/>
    <row r="441" ht="15.75" customHeight="1" s="1264"/>
    <row r="442" ht="15.75" customHeight="1" s="1264"/>
    <row r="443" ht="15.75" customHeight="1" s="1264"/>
    <row r="444" ht="15.75" customHeight="1" s="1264"/>
    <row r="445" ht="15.75" customHeight="1" s="1264"/>
    <row r="446" ht="15.75" customHeight="1" s="1264"/>
    <row r="447" ht="15.75" customHeight="1" s="1264"/>
    <row r="448" ht="15.75" customHeight="1" s="1264"/>
    <row r="449" ht="15.75" customHeight="1" s="1264"/>
    <row r="450" ht="15.75" customHeight="1" s="1264"/>
    <row r="451" ht="15.75" customHeight="1" s="1264"/>
    <row r="452" ht="15.75" customHeight="1" s="1264"/>
    <row r="453" ht="15.75" customHeight="1" s="1264"/>
    <row r="454" ht="15.75" customHeight="1" s="1264"/>
    <row r="455" ht="15.75" customHeight="1" s="1264"/>
    <row r="456" ht="15.75" customHeight="1" s="1264"/>
    <row r="457" ht="15.75" customHeight="1" s="1264"/>
    <row r="458" ht="15.75" customHeight="1" s="1264"/>
    <row r="459" ht="15.75" customHeight="1" s="1264"/>
    <row r="460" ht="15.75" customHeight="1" s="1264"/>
    <row r="461" ht="15.75" customHeight="1" s="1264"/>
    <row r="462" ht="15.75" customHeight="1" s="1264"/>
    <row r="463" ht="15.75" customHeight="1" s="1264"/>
    <row r="464" ht="15.75" customHeight="1" s="1264"/>
    <row r="465" ht="15.75" customHeight="1" s="1264"/>
    <row r="466" ht="15.75" customHeight="1" s="1264"/>
    <row r="467" ht="15.75" customHeight="1" s="1264"/>
    <row r="468" ht="15.75" customHeight="1" s="1264"/>
    <row r="469" ht="15.75" customHeight="1" s="1264"/>
    <row r="470" ht="15.75" customHeight="1" s="1264"/>
    <row r="471" ht="15.75" customHeight="1" s="1264"/>
    <row r="472" ht="15.75" customHeight="1" s="1264"/>
    <row r="473" ht="15.75" customHeight="1" s="1264"/>
    <row r="474" ht="15.75" customHeight="1" s="1264"/>
    <row r="475" ht="15.75" customHeight="1" s="1264"/>
    <row r="476" ht="15.75" customHeight="1" s="1264"/>
    <row r="477" ht="15.75" customHeight="1" s="1264"/>
    <row r="478" ht="15.75" customHeight="1" s="1264"/>
    <row r="479" ht="15.75" customHeight="1" s="1264"/>
    <row r="480" ht="15.75" customHeight="1" s="1264"/>
    <row r="481" ht="15.75" customHeight="1" s="1264"/>
    <row r="482" ht="15.75" customHeight="1" s="1264"/>
    <row r="483" ht="15.75" customHeight="1" s="1264"/>
    <row r="484" ht="15.75" customHeight="1" s="1264"/>
    <row r="485" ht="15.75" customHeight="1" s="1264"/>
    <row r="486" ht="15.75" customHeight="1" s="1264"/>
    <row r="487" ht="15.75" customHeight="1" s="1264"/>
    <row r="488" ht="15.75" customHeight="1" s="1264"/>
    <row r="489" ht="15.75" customHeight="1" s="1264"/>
    <row r="490" ht="15.75" customHeight="1" s="1264"/>
    <row r="491" ht="15.75" customHeight="1" s="1264"/>
    <row r="492" ht="15.75" customHeight="1" s="1264"/>
    <row r="493" ht="15.75" customHeight="1" s="1264"/>
    <row r="494" ht="15.75" customHeight="1" s="1264"/>
    <row r="495" ht="15.75" customHeight="1" s="1264"/>
    <row r="496" ht="15.75" customHeight="1" s="1264"/>
    <row r="497" ht="15.75" customHeight="1" s="1264"/>
    <row r="498" ht="15.75" customHeight="1" s="1264"/>
    <row r="499" ht="15.75" customHeight="1" s="1264"/>
    <row r="500" ht="15.75" customHeight="1" s="1264"/>
    <row r="501" ht="15.75" customHeight="1" s="1264"/>
    <row r="502" ht="15.75" customHeight="1" s="1264"/>
    <row r="503" ht="15.75" customHeight="1" s="1264"/>
    <row r="504" ht="15.75" customHeight="1" s="1264"/>
    <row r="505" ht="15.75" customHeight="1" s="1264"/>
    <row r="506" ht="15.75" customHeight="1" s="1264"/>
    <row r="507" ht="15.75" customHeight="1" s="1264"/>
    <row r="508" ht="15.75" customHeight="1" s="1264"/>
    <row r="509" ht="15.75" customHeight="1" s="1264"/>
    <row r="510" ht="15.75" customHeight="1" s="1264"/>
    <row r="511" ht="15.75" customHeight="1" s="1264"/>
    <row r="512" ht="15.75" customHeight="1" s="1264"/>
    <row r="513" ht="15.75" customHeight="1" s="1264"/>
    <row r="514" ht="15.75" customHeight="1" s="1264"/>
    <row r="515" ht="15.75" customHeight="1" s="1264"/>
    <row r="516" ht="15.75" customHeight="1" s="1264"/>
    <row r="517" ht="15.75" customHeight="1" s="1264"/>
    <row r="518" ht="15.75" customHeight="1" s="1264"/>
    <row r="519" ht="15.75" customHeight="1" s="1264"/>
    <row r="520" ht="15.75" customHeight="1" s="1264"/>
    <row r="521" ht="15.75" customHeight="1" s="1264"/>
    <row r="522" ht="15.75" customHeight="1" s="1264"/>
    <row r="523" ht="15.75" customHeight="1" s="1264"/>
    <row r="524" ht="15.75" customHeight="1" s="1264"/>
    <row r="525" ht="15.75" customHeight="1" s="1264"/>
    <row r="526" ht="15.75" customHeight="1" s="1264"/>
    <row r="527" ht="15.75" customHeight="1" s="1264"/>
    <row r="528" ht="15.75" customHeight="1" s="1264"/>
    <row r="529" ht="15.75" customHeight="1" s="1264"/>
    <row r="530" ht="15.75" customHeight="1" s="1264"/>
    <row r="531" ht="15.75" customHeight="1" s="1264"/>
    <row r="532" ht="15.75" customHeight="1" s="1264"/>
    <row r="533" ht="15.75" customHeight="1" s="1264"/>
    <row r="534" ht="15.75" customHeight="1" s="1264"/>
    <row r="535" ht="15.75" customHeight="1" s="1264"/>
    <row r="536" ht="15.75" customHeight="1" s="1264"/>
    <row r="537" ht="15.75" customHeight="1" s="1264"/>
    <row r="538" ht="15.75" customHeight="1" s="1264"/>
    <row r="539" ht="15.75" customHeight="1" s="1264"/>
    <row r="540" ht="15.75" customHeight="1" s="1264"/>
    <row r="541" ht="15.75" customHeight="1" s="1264"/>
    <row r="542" ht="15.75" customHeight="1" s="1264"/>
    <row r="543" ht="15.75" customHeight="1" s="1264"/>
    <row r="544" ht="15.75" customHeight="1" s="1264"/>
    <row r="545" ht="15.75" customHeight="1" s="1264"/>
    <row r="546" ht="15.75" customHeight="1" s="1264"/>
    <row r="547" ht="15.75" customHeight="1" s="1264"/>
    <row r="548" ht="15.75" customHeight="1" s="1264"/>
    <row r="549" ht="15.75" customHeight="1" s="1264"/>
    <row r="550" ht="15.75" customHeight="1" s="1264"/>
    <row r="551" ht="15.75" customHeight="1" s="1264"/>
    <row r="552" ht="15.75" customHeight="1" s="1264"/>
    <row r="553" ht="15.75" customHeight="1" s="1264"/>
    <row r="554" ht="15.75" customHeight="1" s="1264"/>
    <row r="555" ht="15.75" customHeight="1" s="1264"/>
    <row r="556" ht="15.75" customHeight="1" s="1264"/>
    <row r="557" ht="15.75" customHeight="1" s="1264"/>
    <row r="558" ht="15.75" customHeight="1" s="1264"/>
    <row r="559" ht="15.75" customHeight="1" s="1264"/>
    <row r="560" ht="15.75" customHeight="1" s="1264"/>
    <row r="561" ht="15.75" customHeight="1" s="1264"/>
    <row r="562" ht="15.75" customHeight="1" s="1264"/>
    <row r="563" ht="15.75" customHeight="1" s="1264"/>
    <row r="564" ht="15.75" customHeight="1" s="1264"/>
    <row r="565" ht="15.75" customHeight="1" s="1264"/>
    <row r="566" ht="15.75" customHeight="1" s="1264"/>
    <row r="567" ht="15.75" customHeight="1" s="1264"/>
    <row r="568" ht="15.75" customHeight="1" s="1264"/>
    <row r="569" ht="15.75" customHeight="1" s="1264"/>
    <row r="570" ht="15.75" customHeight="1" s="1264"/>
    <row r="571" ht="15.75" customHeight="1" s="1264"/>
    <row r="572" ht="15.75" customHeight="1" s="1264"/>
    <row r="573" ht="15.75" customHeight="1" s="1264"/>
    <row r="574" ht="15.75" customHeight="1" s="1264"/>
    <row r="575" ht="15.75" customHeight="1" s="1264"/>
    <row r="576" ht="15.75" customHeight="1" s="1264"/>
    <row r="577" ht="15.75" customHeight="1" s="1264"/>
    <row r="578" ht="15.75" customHeight="1" s="1264"/>
    <row r="579" ht="15.75" customHeight="1" s="1264"/>
    <row r="580" ht="15.75" customHeight="1" s="1264"/>
    <row r="581" ht="15.75" customHeight="1" s="1264"/>
    <row r="582" ht="15.75" customHeight="1" s="1264"/>
    <row r="583" ht="15.75" customHeight="1" s="1264"/>
    <row r="584" ht="15.75" customHeight="1" s="1264"/>
    <row r="585" ht="15.75" customHeight="1" s="1264"/>
    <row r="586" ht="15.75" customHeight="1" s="1264"/>
    <row r="587" ht="15.75" customHeight="1" s="1264"/>
    <row r="588" ht="15.75" customHeight="1" s="1264"/>
    <row r="589" ht="15.75" customHeight="1" s="1264"/>
    <row r="590" ht="15.75" customHeight="1" s="1264"/>
    <row r="591" ht="15.75" customHeight="1" s="1264"/>
    <row r="592" ht="15.75" customHeight="1" s="1264"/>
    <row r="593" ht="15.75" customHeight="1" s="1264"/>
    <row r="594" ht="15.75" customHeight="1" s="1264"/>
    <row r="595" ht="15.75" customHeight="1" s="1264"/>
    <row r="596" ht="15.75" customHeight="1" s="1264"/>
    <row r="597" ht="15.75" customHeight="1" s="1264"/>
    <row r="598" ht="15.75" customHeight="1" s="1264"/>
    <row r="599" ht="15.75" customHeight="1" s="1264"/>
    <row r="600" ht="15.75" customHeight="1" s="1264"/>
    <row r="601" ht="15.75" customHeight="1" s="1264"/>
    <row r="602" ht="15.75" customHeight="1" s="1264"/>
    <row r="603" ht="15.75" customHeight="1" s="1264"/>
    <row r="604" ht="15.75" customHeight="1" s="1264"/>
    <row r="605" ht="15.75" customHeight="1" s="1264"/>
    <row r="606" ht="15.75" customHeight="1" s="1264"/>
    <row r="607" ht="15.75" customHeight="1" s="1264"/>
    <row r="608" ht="15.75" customHeight="1" s="1264"/>
    <row r="609" ht="15.75" customHeight="1" s="1264"/>
    <row r="610" ht="15.75" customHeight="1" s="1264"/>
    <row r="611" ht="15.75" customHeight="1" s="1264"/>
    <row r="612" ht="15.75" customHeight="1" s="1264"/>
    <row r="613" ht="15.75" customHeight="1" s="1264"/>
    <row r="614" ht="15.75" customHeight="1" s="1264"/>
    <row r="615" ht="15.75" customHeight="1" s="1264"/>
    <row r="616" ht="15.75" customHeight="1" s="1264"/>
    <row r="617" ht="15.75" customHeight="1" s="1264"/>
    <row r="618" ht="15.75" customHeight="1" s="1264"/>
    <row r="619" ht="15.75" customHeight="1" s="1264"/>
    <row r="620" ht="15.75" customHeight="1" s="1264"/>
    <row r="621" ht="15.75" customHeight="1" s="1264"/>
    <row r="622" ht="15.75" customHeight="1" s="1264"/>
    <row r="623" ht="15.75" customHeight="1" s="1264"/>
    <row r="624" ht="15.75" customHeight="1" s="1264"/>
    <row r="625" ht="15.75" customHeight="1" s="1264"/>
    <row r="626" ht="15.75" customHeight="1" s="1264"/>
    <row r="627" ht="15.75" customHeight="1" s="1264"/>
    <row r="628" ht="15.75" customHeight="1" s="1264"/>
    <row r="629" ht="15.75" customHeight="1" s="1264"/>
    <row r="630" ht="15.75" customHeight="1" s="1264"/>
    <row r="631" ht="15.75" customHeight="1" s="1264"/>
    <row r="632" ht="15.75" customHeight="1" s="1264"/>
    <row r="633" ht="15.75" customHeight="1" s="1264"/>
    <row r="634" ht="15.75" customHeight="1" s="1264"/>
    <row r="635" ht="15.75" customHeight="1" s="1264"/>
    <row r="636" ht="15.75" customHeight="1" s="1264"/>
    <row r="637" ht="15.75" customHeight="1" s="1264"/>
    <row r="638" ht="15.75" customHeight="1" s="1264"/>
    <row r="639" ht="15.75" customHeight="1" s="1264"/>
    <row r="640" ht="15.75" customHeight="1" s="1264"/>
    <row r="641" ht="15.75" customHeight="1" s="1264"/>
    <row r="642" ht="15.75" customHeight="1" s="1264"/>
    <row r="643" ht="15.75" customHeight="1" s="1264"/>
    <row r="644" ht="15.75" customHeight="1" s="1264"/>
    <row r="645" ht="15.75" customHeight="1" s="1264"/>
    <row r="646" ht="15.75" customHeight="1" s="1264"/>
    <row r="647" ht="15.75" customHeight="1" s="1264"/>
    <row r="648" ht="15.75" customHeight="1" s="1264"/>
    <row r="649" ht="15.75" customHeight="1" s="1264"/>
    <row r="650" ht="15.75" customHeight="1" s="1264"/>
    <row r="651" ht="15.75" customHeight="1" s="1264"/>
    <row r="652" ht="15.75" customHeight="1" s="1264"/>
    <row r="653" ht="15.75" customHeight="1" s="1264"/>
    <row r="654" ht="15.75" customHeight="1" s="1264"/>
    <row r="655" ht="15.75" customHeight="1" s="1264"/>
    <row r="656" ht="15.75" customHeight="1" s="1264"/>
    <row r="657" ht="15.75" customHeight="1" s="1264"/>
    <row r="658" ht="15.75" customHeight="1" s="1264"/>
    <row r="659" ht="15.75" customHeight="1" s="1264"/>
    <row r="660" ht="15.75" customHeight="1" s="1264"/>
    <row r="661" ht="15.75" customHeight="1" s="1264"/>
    <row r="662" ht="15.75" customHeight="1" s="1264"/>
    <row r="663" ht="15.75" customHeight="1" s="1264"/>
    <row r="664" ht="15.75" customHeight="1" s="1264"/>
    <row r="665" ht="15.75" customHeight="1" s="1264"/>
    <row r="666" ht="15.75" customHeight="1" s="1264"/>
    <row r="667" ht="15.75" customHeight="1" s="1264"/>
    <row r="668" ht="15.75" customHeight="1" s="1264"/>
    <row r="669" ht="15.75" customHeight="1" s="1264"/>
    <row r="670" ht="15.75" customHeight="1" s="1264"/>
    <row r="671" ht="15.75" customHeight="1" s="1264"/>
    <row r="672" ht="15.75" customHeight="1" s="1264"/>
    <row r="673" ht="15.75" customHeight="1" s="1264"/>
    <row r="674" ht="15.75" customHeight="1" s="1264"/>
    <row r="675" ht="15.75" customHeight="1" s="1264"/>
    <row r="676" ht="15.75" customHeight="1" s="1264"/>
    <row r="677" ht="15.75" customHeight="1" s="1264"/>
    <row r="678" ht="15.75" customHeight="1" s="1264"/>
    <row r="679" ht="15.75" customHeight="1" s="1264"/>
    <row r="680" ht="15.75" customHeight="1" s="1264"/>
    <row r="681" ht="15.75" customHeight="1" s="1264"/>
    <row r="682" ht="15.75" customHeight="1" s="1264"/>
    <row r="683" ht="15.75" customHeight="1" s="1264"/>
    <row r="684" ht="15.75" customHeight="1" s="1264"/>
    <row r="685" ht="15.75" customHeight="1" s="1264"/>
    <row r="686" ht="15.75" customHeight="1" s="1264"/>
    <row r="687" ht="15.75" customHeight="1" s="1264"/>
    <row r="688" ht="15.75" customHeight="1" s="1264"/>
    <row r="689" ht="15.75" customHeight="1" s="1264"/>
    <row r="690" ht="15.75" customHeight="1" s="1264"/>
    <row r="691" ht="15.75" customHeight="1" s="1264"/>
    <row r="692" ht="15.75" customHeight="1" s="1264"/>
    <row r="693" ht="15.75" customHeight="1" s="1264"/>
    <row r="694" ht="15.75" customHeight="1" s="1264"/>
    <row r="695" ht="15.75" customHeight="1" s="1264"/>
    <row r="696" ht="15.75" customHeight="1" s="1264"/>
    <row r="697" ht="15.75" customHeight="1" s="1264"/>
    <row r="698" ht="15.75" customHeight="1" s="1264"/>
    <row r="699" ht="15.75" customHeight="1" s="1264"/>
    <row r="700" ht="15.75" customHeight="1" s="1264"/>
    <row r="701" ht="15.75" customHeight="1" s="1264"/>
    <row r="702" ht="15.75" customHeight="1" s="1264"/>
    <row r="703" ht="15.75" customHeight="1" s="1264"/>
    <row r="704" ht="15.75" customHeight="1" s="1264"/>
    <row r="705" ht="15.75" customHeight="1" s="1264"/>
    <row r="706" ht="15.75" customHeight="1" s="1264"/>
    <row r="707" ht="15.75" customHeight="1" s="1264"/>
    <row r="708" ht="15.75" customHeight="1" s="1264"/>
    <row r="709" ht="15.75" customHeight="1" s="1264"/>
    <row r="710" ht="15.75" customHeight="1" s="1264"/>
    <row r="711" ht="15.75" customHeight="1" s="1264"/>
    <row r="712" ht="15.75" customHeight="1" s="1264"/>
    <row r="713" ht="15.75" customHeight="1" s="1264"/>
    <row r="714" ht="15.75" customHeight="1" s="1264"/>
    <row r="715" ht="15.75" customHeight="1" s="1264"/>
    <row r="716" ht="15.75" customHeight="1" s="1264"/>
    <row r="717" ht="15.75" customHeight="1" s="1264"/>
    <row r="718" ht="15.75" customHeight="1" s="1264"/>
    <row r="719" ht="15.75" customHeight="1" s="1264"/>
    <row r="720" ht="15.75" customHeight="1" s="1264"/>
    <row r="721" ht="15.75" customHeight="1" s="1264"/>
    <row r="722" ht="15.75" customHeight="1" s="1264"/>
    <row r="723" ht="15.75" customHeight="1" s="1264"/>
    <row r="724" ht="15.75" customHeight="1" s="1264"/>
    <row r="725" ht="15.75" customHeight="1" s="1264"/>
    <row r="726" ht="15.75" customHeight="1" s="1264"/>
    <row r="727" ht="15.75" customHeight="1" s="1264"/>
    <row r="728" ht="15.75" customHeight="1" s="1264"/>
    <row r="729" ht="15.75" customHeight="1" s="1264"/>
    <row r="730" ht="15.75" customHeight="1" s="1264"/>
    <row r="731" ht="15.75" customHeight="1" s="1264"/>
    <row r="732" ht="15.75" customHeight="1" s="1264"/>
    <row r="733" ht="15.75" customHeight="1" s="1264"/>
    <row r="734" ht="15.75" customHeight="1" s="1264"/>
    <row r="735" ht="15.75" customHeight="1" s="1264"/>
    <row r="736" ht="15.75" customHeight="1" s="1264"/>
    <row r="737" ht="15.75" customHeight="1" s="1264"/>
    <row r="738" ht="15.75" customHeight="1" s="1264"/>
    <row r="739" ht="15.75" customHeight="1" s="1264"/>
    <row r="740" ht="15.75" customHeight="1" s="1264"/>
    <row r="741" ht="15.75" customHeight="1" s="1264"/>
    <row r="742" ht="15.75" customHeight="1" s="1264"/>
    <row r="743" ht="15.75" customHeight="1" s="1264"/>
    <row r="744" ht="15.75" customHeight="1" s="1264"/>
    <row r="745" ht="15.75" customHeight="1" s="1264"/>
    <row r="746" ht="15.75" customHeight="1" s="1264"/>
    <row r="747" ht="15.75" customHeight="1" s="1264"/>
    <row r="748" ht="15.75" customHeight="1" s="1264"/>
    <row r="749" ht="15.75" customHeight="1" s="1264"/>
    <row r="750" ht="15.75" customHeight="1" s="1264"/>
    <row r="751" ht="15.75" customHeight="1" s="1264"/>
    <row r="752" ht="15.75" customHeight="1" s="1264"/>
    <row r="753" ht="15.75" customHeight="1" s="1264"/>
    <row r="754" ht="15.75" customHeight="1" s="1264"/>
    <row r="755" ht="15.75" customHeight="1" s="1264"/>
    <row r="756" ht="15.75" customHeight="1" s="1264"/>
    <row r="757" ht="15.75" customHeight="1" s="1264"/>
    <row r="758" ht="15.75" customHeight="1" s="1264"/>
    <row r="759" ht="15.75" customHeight="1" s="1264"/>
    <row r="760" ht="15.75" customHeight="1" s="1264"/>
    <row r="761" ht="15.75" customHeight="1" s="1264"/>
    <row r="762" ht="15.75" customHeight="1" s="1264"/>
    <row r="763" ht="15.75" customHeight="1" s="1264"/>
    <row r="764" ht="15.75" customHeight="1" s="1264"/>
    <row r="765" ht="15.75" customHeight="1" s="1264"/>
    <row r="766" ht="15.75" customHeight="1" s="1264"/>
    <row r="767" ht="15.75" customHeight="1" s="1264"/>
    <row r="768" ht="15.75" customHeight="1" s="1264"/>
    <row r="769" ht="15.75" customHeight="1" s="1264"/>
    <row r="770" ht="15.75" customHeight="1" s="1264"/>
    <row r="771" ht="15.75" customHeight="1" s="1264"/>
    <row r="772" ht="15.75" customHeight="1" s="1264"/>
    <row r="773" ht="15.75" customHeight="1" s="1264"/>
    <row r="774" ht="15.75" customHeight="1" s="1264"/>
    <row r="775" ht="15.75" customHeight="1" s="1264"/>
    <row r="776" ht="15.75" customHeight="1" s="1264"/>
    <row r="777" ht="15.75" customHeight="1" s="1264"/>
    <row r="778" ht="15.75" customHeight="1" s="1264"/>
    <row r="779" ht="15.75" customHeight="1" s="1264"/>
    <row r="780" ht="15.75" customHeight="1" s="1264"/>
    <row r="781" ht="15.75" customHeight="1" s="1264"/>
    <row r="782" ht="15.75" customHeight="1" s="1264"/>
    <row r="783" ht="15.75" customHeight="1" s="1264"/>
    <row r="784" ht="15.75" customHeight="1" s="1264"/>
    <row r="785" ht="15.75" customHeight="1" s="1264"/>
    <row r="786" ht="15.75" customHeight="1" s="1264"/>
    <row r="787" ht="15.75" customHeight="1" s="1264"/>
    <row r="788" ht="15.75" customHeight="1" s="1264"/>
    <row r="789" ht="15.75" customHeight="1" s="1264"/>
    <row r="790" ht="15.75" customHeight="1" s="1264"/>
    <row r="791" ht="15.75" customHeight="1" s="1264"/>
    <row r="792" ht="15.75" customHeight="1" s="1264"/>
    <row r="793" ht="15.75" customHeight="1" s="1264"/>
    <row r="794" ht="15.75" customHeight="1" s="1264"/>
    <row r="795" ht="15.75" customHeight="1" s="1264"/>
    <row r="796" ht="15.75" customHeight="1" s="1264"/>
    <row r="797" ht="15.75" customHeight="1" s="1264"/>
    <row r="798" ht="15.75" customHeight="1" s="1264"/>
    <row r="799" ht="15.75" customHeight="1" s="1264"/>
    <row r="800" ht="15.75" customHeight="1" s="1264"/>
    <row r="801" ht="15.75" customHeight="1" s="1264"/>
    <row r="802" ht="15.75" customHeight="1" s="1264"/>
    <row r="803" ht="15.75" customHeight="1" s="1264"/>
    <row r="804" ht="15.75" customHeight="1" s="1264"/>
    <row r="805" ht="15.75" customHeight="1" s="1264"/>
    <row r="806" ht="15.75" customHeight="1" s="1264"/>
    <row r="807" ht="15.75" customHeight="1" s="1264"/>
    <row r="808" ht="15.75" customHeight="1" s="1264"/>
    <row r="809" ht="15.75" customHeight="1" s="1264"/>
    <row r="810" ht="15.75" customHeight="1" s="1264"/>
    <row r="811" ht="15.75" customHeight="1" s="1264"/>
    <row r="812" ht="15.75" customHeight="1" s="1264"/>
    <row r="813" ht="15.75" customHeight="1" s="1264"/>
    <row r="814" ht="15.75" customHeight="1" s="1264"/>
    <row r="815" ht="15.75" customHeight="1" s="1264"/>
    <row r="816" ht="15.75" customHeight="1" s="1264"/>
    <row r="817" ht="15.75" customHeight="1" s="1264"/>
    <row r="818" ht="15.75" customHeight="1" s="1264"/>
    <row r="819" ht="15.75" customHeight="1" s="1264"/>
    <row r="820" ht="15.75" customHeight="1" s="1264"/>
    <row r="821" ht="15.75" customHeight="1" s="1264"/>
    <row r="822" ht="15.75" customHeight="1" s="1264"/>
    <row r="823" ht="15.75" customHeight="1" s="1264"/>
    <row r="824" ht="15.75" customHeight="1" s="1264"/>
    <row r="825" ht="15.75" customHeight="1" s="1264"/>
    <row r="826" ht="15.75" customHeight="1" s="1264"/>
    <row r="827" ht="15.75" customHeight="1" s="1264"/>
    <row r="828" ht="15.75" customHeight="1" s="1264"/>
    <row r="829" ht="15.75" customHeight="1" s="1264"/>
    <row r="830" ht="15.75" customHeight="1" s="1264"/>
    <row r="831" ht="15.75" customHeight="1" s="1264"/>
    <row r="832" ht="15.75" customHeight="1" s="1264"/>
    <row r="833" ht="15.75" customHeight="1" s="1264"/>
    <row r="834" ht="15.75" customHeight="1" s="1264"/>
    <row r="835" ht="15.75" customHeight="1" s="1264"/>
    <row r="836" ht="15.75" customHeight="1" s="1264"/>
    <row r="837" ht="15.75" customHeight="1" s="1264"/>
    <row r="838" ht="15.75" customHeight="1" s="1264"/>
    <row r="839" ht="15.75" customHeight="1" s="1264"/>
    <row r="840" ht="15.75" customHeight="1" s="1264"/>
    <row r="841" ht="15.75" customHeight="1" s="1264"/>
    <row r="842" ht="15.75" customHeight="1" s="1264"/>
    <row r="843" ht="15.75" customHeight="1" s="1264"/>
    <row r="844" ht="15.75" customHeight="1" s="1264"/>
    <row r="845" ht="15.75" customHeight="1" s="1264"/>
    <row r="846" ht="15.75" customHeight="1" s="1264"/>
    <row r="847" ht="15.75" customHeight="1" s="1264"/>
    <row r="848" ht="15.75" customHeight="1" s="1264"/>
    <row r="849" ht="15.75" customHeight="1" s="1264"/>
    <row r="850" ht="15.75" customHeight="1" s="1264"/>
    <row r="851" ht="15.75" customHeight="1" s="1264"/>
    <row r="852" ht="15.75" customHeight="1" s="1264"/>
    <row r="853" ht="15.75" customHeight="1" s="1264"/>
    <row r="854" ht="15.75" customHeight="1" s="1264"/>
    <row r="855" ht="15.75" customHeight="1" s="1264"/>
    <row r="856" ht="15.75" customHeight="1" s="1264"/>
    <row r="857" ht="15.75" customHeight="1" s="1264"/>
    <row r="858" ht="15.75" customHeight="1" s="1264"/>
    <row r="859" ht="15.75" customHeight="1" s="1264"/>
    <row r="860" ht="15.75" customHeight="1" s="1264"/>
    <row r="861" ht="15.75" customHeight="1" s="1264"/>
    <row r="862" ht="15.75" customHeight="1" s="1264"/>
    <row r="863" ht="15.75" customHeight="1" s="1264"/>
    <row r="864" ht="15.75" customHeight="1" s="1264"/>
    <row r="865" ht="15.75" customHeight="1" s="1264"/>
    <row r="866" ht="15.75" customHeight="1" s="1264"/>
    <row r="867" ht="15.75" customHeight="1" s="1264"/>
    <row r="868" ht="15.75" customHeight="1" s="1264"/>
    <row r="869" ht="15.75" customHeight="1" s="1264"/>
    <row r="870" ht="15.75" customHeight="1" s="1264"/>
    <row r="871" ht="15.75" customHeight="1" s="1264"/>
    <row r="872" ht="15.75" customHeight="1" s="1264"/>
    <row r="873" ht="15.75" customHeight="1" s="1264"/>
    <row r="874" ht="15.75" customHeight="1" s="1264"/>
    <row r="875" ht="15.75" customHeight="1" s="1264"/>
    <row r="876" ht="15.75" customHeight="1" s="1264"/>
    <row r="877" ht="15.75" customHeight="1" s="1264"/>
    <row r="878" ht="15.75" customHeight="1" s="1264"/>
    <row r="879" ht="15.75" customHeight="1" s="1264"/>
    <row r="880" ht="15.75" customHeight="1" s="1264"/>
    <row r="881" ht="15.75" customHeight="1" s="1264"/>
    <row r="882" ht="15.75" customHeight="1" s="1264"/>
    <row r="883" ht="15.75" customHeight="1" s="1264"/>
    <row r="884" ht="15.75" customHeight="1" s="1264"/>
    <row r="885" ht="15.75" customHeight="1" s="1264"/>
    <row r="886" ht="15.75" customHeight="1" s="1264"/>
    <row r="887" ht="15.75" customHeight="1" s="1264"/>
    <row r="888" ht="15.75" customHeight="1" s="1264"/>
    <row r="889" ht="15.75" customHeight="1" s="1264"/>
    <row r="890" ht="15.75" customHeight="1" s="1264"/>
    <row r="891" ht="15.75" customHeight="1" s="1264"/>
    <row r="892" ht="15.75" customHeight="1" s="1264"/>
    <row r="893" ht="15.75" customHeight="1" s="1264"/>
    <row r="894" ht="15.75" customHeight="1" s="1264"/>
    <row r="895" ht="15.75" customHeight="1" s="1264"/>
    <row r="896" ht="15.75" customHeight="1" s="1264"/>
    <row r="897" ht="15.75" customHeight="1" s="1264"/>
    <row r="898" ht="15.75" customHeight="1" s="1264"/>
    <row r="899" ht="15.75" customHeight="1" s="1264"/>
    <row r="900" ht="15.75" customHeight="1" s="1264"/>
    <row r="901" ht="15.75" customHeight="1" s="1264"/>
    <row r="902" ht="15.75" customHeight="1" s="1264"/>
    <row r="903" ht="15.75" customHeight="1" s="1264"/>
    <row r="904" ht="15.75" customHeight="1" s="1264"/>
    <row r="905" ht="15.75" customHeight="1" s="1264"/>
    <row r="906" ht="15.75" customHeight="1" s="1264"/>
    <row r="907" ht="15.75" customHeight="1" s="1264"/>
    <row r="908" ht="15.75" customHeight="1" s="1264"/>
    <row r="909" ht="15.75" customHeight="1" s="1264"/>
    <row r="910" ht="15.75" customHeight="1" s="1264"/>
    <row r="911" ht="15.75" customHeight="1" s="1264"/>
    <row r="912" ht="15.75" customHeight="1" s="1264"/>
    <row r="913" ht="15.75" customHeight="1" s="1264"/>
    <row r="914" ht="15.75" customHeight="1" s="1264"/>
    <row r="915" ht="15.75" customHeight="1" s="1264"/>
    <row r="916" ht="15.75" customHeight="1" s="1264"/>
    <row r="917" ht="15.75" customHeight="1" s="1264"/>
    <row r="918" ht="15.75" customHeight="1" s="1264"/>
    <row r="919" ht="15.75" customHeight="1" s="1264"/>
    <row r="920" ht="15.75" customHeight="1" s="1264"/>
    <row r="921" ht="15.75" customHeight="1" s="1264"/>
    <row r="922" ht="15.75" customHeight="1" s="1264"/>
    <row r="923" ht="15.75" customHeight="1" s="1264"/>
    <row r="924" ht="15.75" customHeight="1" s="1264"/>
    <row r="925" ht="15.75" customHeight="1" s="1264"/>
    <row r="926" ht="15.75" customHeight="1" s="1264"/>
    <row r="927" ht="15.75" customHeight="1" s="1264"/>
    <row r="928" ht="15.75" customHeight="1" s="1264"/>
    <row r="929" ht="15.75" customHeight="1" s="1264"/>
    <row r="930" ht="15.75" customHeight="1" s="1264"/>
    <row r="931" ht="15.75" customHeight="1" s="1264"/>
    <row r="932" ht="15.75" customHeight="1" s="1264"/>
    <row r="933" ht="15.75" customHeight="1" s="1264"/>
    <row r="934" ht="15.75" customHeight="1" s="1264"/>
    <row r="935" ht="15.75" customHeight="1" s="1264"/>
    <row r="936" ht="15.75" customHeight="1" s="1264"/>
    <row r="937" ht="15.75" customHeight="1" s="1264"/>
    <row r="938" ht="15.75" customHeight="1" s="1264"/>
    <row r="939" ht="15.75" customHeight="1" s="1264"/>
    <row r="940" ht="15.75" customHeight="1" s="1264"/>
    <row r="941" ht="15.75" customHeight="1" s="1264"/>
    <row r="942" ht="15.75" customHeight="1" s="1264"/>
    <row r="943" ht="15.75" customHeight="1" s="1264"/>
    <row r="944" ht="15.75" customHeight="1" s="1264"/>
    <row r="945" ht="15.75" customHeight="1" s="1264"/>
    <row r="946" ht="15.75" customHeight="1" s="1264"/>
    <row r="947" ht="15.75" customHeight="1" s="1264"/>
    <row r="948" ht="15.75" customHeight="1" s="1264"/>
    <row r="949" ht="15.75" customHeight="1" s="1264"/>
    <row r="950" ht="15.75" customHeight="1" s="1264"/>
    <row r="951" ht="15.75" customHeight="1" s="1264"/>
    <row r="952" ht="15.75" customHeight="1" s="1264"/>
    <row r="953" ht="15.75" customHeight="1" s="1264"/>
    <row r="954" ht="15.75" customHeight="1" s="1264"/>
    <row r="955" ht="15.75" customHeight="1" s="1264"/>
    <row r="956" ht="15.75" customHeight="1" s="1264"/>
    <row r="957" ht="15.75" customHeight="1" s="1264"/>
    <row r="958" ht="15.75" customHeight="1" s="1264"/>
    <row r="959" ht="15.75" customHeight="1" s="1264"/>
    <row r="960" ht="15.75" customHeight="1" s="1264"/>
    <row r="961" ht="15.75" customHeight="1" s="1264"/>
    <row r="962" ht="15.75" customHeight="1" s="1264"/>
    <row r="963" ht="15.75" customHeight="1" s="1264"/>
    <row r="964" ht="15.75" customHeight="1" s="1264"/>
    <row r="965" ht="15.75" customHeight="1" s="1264"/>
    <row r="966" ht="15.75" customHeight="1" s="1264"/>
    <row r="967" ht="15.75" customHeight="1" s="1264"/>
    <row r="968" ht="15.75" customHeight="1" s="1264"/>
    <row r="969" ht="15.75" customHeight="1" s="1264"/>
    <row r="970" ht="15.75" customHeight="1" s="1264"/>
    <row r="971" ht="15.75" customHeight="1" s="1264"/>
    <row r="972" ht="15.75" customHeight="1" s="1264"/>
    <row r="973" ht="15.75" customHeight="1" s="1264"/>
    <row r="974" ht="15.75" customHeight="1" s="1264"/>
    <row r="975" ht="15.75" customHeight="1" s="1264"/>
    <row r="976" ht="15.75" customHeight="1" s="1264"/>
    <row r="977" ht="15.75" customHeight="1" s="1264"/>
    <row r="978" ht="15.75" customHeight="1" s="1264"/>
    <row r="979" ht="15.75" customHeight="1" s="1264"/>
    <row r="980" ht="15.75" customHeight="1" s="1264"/>
    <row r="981" ht="15.75" customHeight="1" s="1264"/>
    <row r="982" ht="15.75" customHeight="1" s="1264"/>
    <row r="983" ht="15.75" customHeight="1" s="1264"/>
    <row r="984" ht="15.75" customHeight="1" s="1264"/>
    <row r="985" ht="15.75" customHeight="1" s="1264"/>
    <row r="986" ht="15.75" customHeight="1" s="1264"/>
    <row r="987" ht="15.75" customHeight="1" s="1264"/>
    <row r="988" ht="15.75" customHeight="1" s="1264"/>
    <row r="989" ht="15.75" customHeight="1" s="1264"/>
    <row r="990" ht="15.75" customHeight="1" s="1264"/>
    <row r="991" ht="15.75" customHeight="1" s="1264"/>
    <row r="992" ht="15.75" customHeight="1" s="1264"/>
    <row r="993" ht="15.75" customHeight="1" s="1264"/>
    <row r="994" ht="15.75" customHeight="1" s="1264"/>
    <row r="995" ht="15.75" customHeight="1" s="1264"/>
    <row r="996" ht="15.75" customHeight="1" s="1264"/>
    <row r="997" ht="15.75" customHeight="1" s="1264"/>
    <row r="998" ht="15.75" customHeight="1" s="1264"/>
    <row r="999" ht="15.75" customHeight="1" s="1264"/>
    <row r="1000" ht="15.75" customHeight="1" s="1264"/>
  </sheetData>
  <mergeCells count="1">
    <mergeCell ref="B2:D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3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14.88671875" customWidth="1" style="1264" min="1" max="1"/>
    <col width="21.33203125" customWidth="1" style="1264" min="2" max="2"/>
    <col width="25" customWidth="1" style="1264" min="3" max="3"/>
    <col width="17.88671875" customWidth="1" style="1264" min="4" max="4"/>
    <col width="19.44140625" customWidth="1" style="1264" min="5" max="5"/>
    <col width="14.33203125" customWidth="1" style="1264" min="6" max="6"/>
    <col width="43.33203125" customWidth="1" style="1264" min="7" max="7"/>
    <col width="23.6640625" customWidth="1" style="1264" min="8" max="8"/>
    <col width="58.109375" customWidth="1" style="1264" min="9" max="9"/>
  </cols>
  <sheetData>
    <row r="1" ht="37.5" customHeight="1" s="1264">
      <c r="A1" s="46" t="inlineStr">
        <is>
          <t>BỘ PHẬN</t>
        </is>
      </c>
      <c r="B1" s="46" t="inlineStr">
        <is>
          <t xml:space="preserve">ĐI TỪ TÀI KHOẢN </t>
        </is>
      </c>
      <c r="C1" s="46" t="n"/>
      <c r="D1" s="46" t="inlineStr">
        <is>
          <t>Số TK</t>
        </is>
      </c>
      <c r="E1" s="46" t="inlineStr">
        <is>
          <t>Ngân hàng</t>
        </is>
      </c>
      <c r="F1" s="46" t="inlineStr">
        <is>
          <t>Số tiền thanh toán</t>
        </is>
      </c>
      <c r="G1" s="46" t="inlineStr">
        <is>
          <t>Nội dung thanh toán</t>
        </is>
      </c>
      <c r="H1" s="46" t="inlineStr">
        <is>
          <t>Ghi chú</t>
        </is>
      </c>
      <c r="I1" s="46" t="inlineStr">
        <is>
          <t>Nội dung thanh toán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17.25" customHeight="1" s="1264">
      <c r="A2" s="42" t="inlineStr">
        <is>
          <t>MEDIGO</t>
        </is>
      </c>
      <c r="B2" s="47" t="n"/>
      <c r="C2" s="47" t="n"/>
      <c r="D2" s="47" t="n"/>
      <c r="E2" s="47" t="n"/>
      <c r="F2" s="47" t="n"/>
      <c r="G2" s="47" t="n"/>
      <c r="H2" s="47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" customHeight="1" s="1264">
      <c r="A3" s="30" t="inlineStr">
        <is>
          <t xml:space="preserve">BOD - </t>
        </is>
      </c>
      <c r="B3" s="30" t="inlineStr">
        <is>
          <t>Medigo 015</t>
        </is>
      </c>
      <c r="C3" s="30" t="inlineStr">
        <is>
          <t>Le Huu Ha</t>
        </is>
      </c>
      <c r="D3" s="31" t="inlineStr">
        <is>
          <t>19130751923025</t>
        </is>
      </c>
      <c r="E3" s="30" t="inlineStr">
        <is>
          <t>Techcombank</t>
        </is>
      </c>
      <c r="F3" s="48">
        <f>#REF!</f>
        <v/>
      </c>
      <c r="G3" s="30" t="inlineStr">
        <is>
          <t xml:space="preserve">Medigo TT Luong T10.2024 -  BOD -  </t>
        </is>
      </c>
      <c r="H3" s="30">
        <f>C3</f>
        <v/>
      </c>
      <c r="I3" s="35">
        <f>G3&amp;" "&amp;H3</f>
        <v/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27" customHeight="1" s="1264">
      <c r="A4" s="30" t="inlineStr">
        <is>
          <t xml:space="preserve">P.HCNS - </t>
        </is>
      </c>
      <c r="B4" s="30" t="inlineStr">
        <is>
          <t>Medigo 015</t>
        </is>
      </c>
      <c r="C4" s="33" t="inlineStr">
        <is>
          <t>Ngo Thi Huong</t>
        </is>
      </c>
      <c r="D4" s="1195" t="inlineStr">
        <is>
          <t>19033415015018</t>
        </is>
      </c>
      <c r="E4" s="30" t="inlineStr">
        <is>
          <t>Techcombank</t>
        </is>
      </c>
      <c r="F4" s="48">
        <f>#REF!</f>
        <v/>
      </c>
      <c r="G4" s="30" t="inlineStr">
        <is>
          <t xml:space="preserve">Medigo TT Luong T10.2024 -  P.HCNS - </t>
        </is>
      </c>
      <c r="H4" s="30">
        <f>C4</f>
        <v/>
      </c>
      <c r="I4" s="35">
        <f>G4&amp;" "&amp;H4</f>
        <v/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 ht="27" customHeight="1" s="1264">
      <c r="A5" s="30" t="inlineStr">
        <is>
          <t xml:space="preserve">P.HCNS - </t>
        </is>
      </c>
      <c r="B5" s="30" t="inlineStr">
        <is>
          <t>Medigo 015</t>
        </is>
      </c>
      <c r="C5" s="33" t="inlineStr">
        <is>
          <t>Nguyen Ut Nguyen</t>
        </is>
      </c>
      <c r="D5" s="31" t="inlineStr">
        <is>
          <t>105870966796</t>
        </is>
      </c>
      <c r="E5" s="30" t="inlineStr">
        <is>
          <t>Ngân hàng Vietinbank</t>
        </is>
      </c>
      <c r="F5" s="48">
        <f>#REF!</f>
        <v/>
      </c>
      <c r="G5" s="30" t="inlineStr">
        <is>
          <t xml:space="preserve">Medigo TT Luong T10.2024 -  P.HCNS - </t>
        </is>
      </c>
      <c r="H5" s="30">
        <f>C5</f>
        <v/>
      </c>
      <c r="I5" s="35">
        <f>G5&amp;" "&amp;H5</f>
        <v/>
      </c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 ht="26.25" customHeight="1" s="1264">
      <c r="A6" s="30" t="inlineStr">
        <is>
          <t xml:space="preserve">P.HCNS - </t>
        </is>
      </c>
      <c r="B6" s="30" t="inlineStr">
        <is>
          <t>Medigo 015</t>
        </is>
      </c>
      <c r="C6" s="31" t="inlineStr">
        <is>
          <t>Ngo Thi Truc Phuong</t>
        </is>
      </c>
      <c r="D6" s="31" t="n">
        <v>1018179290</v>
      </c>
      <c r="E6" s="30" t="inlineStr">
        <is>
          <t>VCB</t>
        </is>
      </c>
      <c r="F6" s="48">
        <f>#REF!</f>
        <v/>
      </c>
      <c r="G6" s="30" t="inlineStr">
        <is>
          <t xml:space="preserve">Medigo TT Luong T10.2024 -  P.HCNS - </t>
        </is>
      </c>
      <c r="H6" s="30">
        <f>C6</f>
        <v/>
      </c>
      <c r="I6" s="35">
        <f>G6&amp;" "&amp;H6</f>
        <v/>
      </c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 ht="27" customHeight="1" s="1264">
      <c r="A7" s="30" t="inlineStr">
        <is>
          <t xml:space="preserve">P.IT - </t>
        </is>
      </c>
      <c r="B7" s="30" t="inlineStr">
        <is>
          <t>Medigo 015</t>
        </is>
      </c>
      <c r="C7" s="33" t="inlineStr">
        <is>
          <t>Le Thai Hien</t>
        </is>
      </c>
      <c r="D7" s="31" t="inlineStr">
        <is>
          <t>0071003715489</t>
        </is>
      </c>
      <c r="E7" s="30" t="inlineStr">
        <is>
          <t>Vietcombank</t>
        </is>
      </c>
      <c r="F7" s="48">
        <f>#REF!</f>
        <v/>
      </c>
      <c r="G7" s="30" t="inlineStr">
        <is>
          <t xml:space="preserve">Medigo TT Luong T10.2024 -  P.IT -  </t>
        </is>
      </c>
      <c r="H7" s="30">
        <f>C7</f>
        <v/>
      </c>
      <c r="I7" s="35">
        <f>G7&amp;" "&amp;H7</f>
        <v/>
      </c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27" customHeight="1" s="1264">
      <c r="A8" s="30" t="inlineStr">
        <is>
          <t xml:space="preserve">P.IT - </t>
        </is>
      </c>
      <c r="B8" s="30" t="inlineStr">
        <is>
          <t>Medigo 015</t>
        </is>
      </c>
      <c r="C8" s="31" t="inlineStr">
        <is>
          <t>Nguyen Thanh Tai</t>
        </is>
      </c>
      <c r="D8" s="31" t="inlineStr">
        <is>
          <t>107868923760</t>
        </is>
      </c>
      <c r="E8" s="30" t="inlineStr">
        <is>
          <t>Vietinbank</t>
        </is>
      </c>
      <c r="F8" s="48">
        <f>#REF!</f>
        <v/>
      </c>
      <c r="G8" s="30" t="inlineStr">
        <is>
          <t xml:space="preserve">Medigo TT Luong T10.2024 -  P.IT -  </t>
        </is>
      </c>
      <c r="H8" s="30">
        <f>C8</f>
        <v/>
      </c>
      <c r="I8" s="35">
        <f>G8&amp;" "&amp;H8</f>
        <v/>
      </c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 ht="27" customHeight="1" s="1264">
      <c r="A9" s="30" t="inlineStr">
        <is>
          <t xml:space="preserve">P.IT - </t>
        </is>
      </c>
      <c r="B9" s="30" t="inlineStr">
        <is>
          <t>Medigo 015</t>
        </is>
      </c>
      <c r="C9" s="31" t="inlineStr">
        <is>
          <t>Pham Dang Khoa</t>
        </is>
      </c>
      <c r="D9" s="31" t="inlineStr">
        <is>
          <t>109870512653</t>
        </is>
      </c>
      <c r="E9" s="30" t="inlineStr">
        <is>
          <t>Vietinbank</t>
        </is>
      </c>
      <c r="F9" s="48">
        <f>#REF!</f>
        <v/>
      </c>
      <c r="G9" s="30" t="inlineStr">
        <is>
          <t xml:space="preserve">Medigo TT Luong T10.2024 -  P.IT -  </t>
        </is>
      </c>
      <c r="H9" s="30">
        <f>C9</f>
        <v/>
      </c>
      <c r="I9" s="35">
        <f>G9&amp;" "&amp;H9</f>
        <v/>
      </c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 ht="27" customHeight="1" s="1264">
      <c r="A10" s="30" t="inlineStr">
        <is>
          <t xml:space="preserve">P.IT - </t>
        </is>
      </c>
      <c r="B10" s="30" t="inlineStr">
        <is>
          <t>Medigo 015</t>
        </is>
      </c>
      <c r="C10" s="31" t="inlineStr">
        <is>
          <t>Nguyen Dinh Hieu</t>
        </is>
      </c>
      <c r="D10" s="31" t="inlineStr">
        <is>
          <t>20010129108</t>
        </is>
      </c>
      <c r="E10" s="30" t="inlineStr">
        <is>
          <t xml:space="preserve">TPBANK </t>
        </is>
      </c>
      <c r="F10" s="48">
        <f>#REF!</f>
        <v/>
      </c>
      <c r="G10" s="30" t="inlineStr">
        <is>
          <t xml:space="preserve">Medigo TT Luong T10.2024 -  P.IT -  </t>
        </is>
      </c>
      <c r="H10" s="30">
        <f>C10</f>
        <v/>
      </c>
      <c r="I10" s="35">
        <f>G10&amp;" "&amp;H10</f>
        <v/>
      </c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 ht="27" customHeight="1" s="1264">
      <c r="A11" s="30" t="inlineStr">
        <is>
          <t xml:space="preserve">P.MARKETING·- </t>
        </is>
      </c>
      <c r="B11" s="30" t="inlineStr">
        <is>
          <t>Medigo 015</t>
        </is>
      </c>
      <c r="C11" s="30" t="inlineStr">
        <is>
          <t>Le Thi Thuy My</t>
        </is>
      </c>
      <c r="D11" s="31" t="inlineStr">
        <is>
          <t>61510000535071</t>
        </is>
      </c>
      <c r="E11" s="30" t="inlineStr">
        <is>
          <t>BIDV</t>
        </is>
      </c>
      <c r="F11" s="48">
        <f>#REF!</f>
        <v/>
      </c>
      <c r="G11" s="30" t="inlineStr">
        <is>
          <t xml:space="preserve">Medigo TT Luong T10.2024 -  P.MARKETING -  </t>
        </is>
      </c>
      <c r="H11" s="30">
        <f>C11</f>
        <v/>
      </c>
      <c r="I11" s="35">
        <f>G11&amp;" "&amp;H11</f>
        <v/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 ht="27" customHeight="1" s="1264">
      <c r="A12" s="30" t="inlineStr">
        <is>
          <t xml:space="preserve">P.ADMIN-CSKH - </t>
        </is>
      </c>
      <c r="B12" s="30" t="inlineStr">
        <is>
          <t>Medigo 015</t>
        </is>
      </c>
      <c r="C12" s="30" t="inlineStr">
        <is>
          <t>Le Phu Qui</t>
        </is>
      </c>
      <c r="D12" s="1195" t="inlineStr">
        <is>
          <t>07183522701</t>
        </is>
      </c>
      <c r="E12" s="30" t="inlineStr">
        <is>
          <t>Ngân hàng Thương mại Cổ phần Tiên Phong (TP Bank)</t>
        </is>
      </c>
      <c r="F12" s="48">
        <f>#REF!</f>
        <v/>
      </c>
      <c r="G12" s="30" t="inlineStr">
        <is>
          <t xml:space="preserve">Medigo TT Luong T10.2024 -  P.ADMIN-CSKH -  </t>
        </is>
      </c>
      <c r="H12" s="30">
        <f>C12</f>
        <v/>
      </c>
      <c r="I12" s="35">
        <f>G12&amp;" "&amp;H12</f>
        <v/>
      </c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 ht="27" customHeight="1" s="1264">
      <c r="A13" s="30" t="inlineStr">
        <is>
          <t xml:space="preserve">P.ADMIN-CSKH - </t>
        </is>
      </c>
      <c r="B13" s="30" t="inlineStr">
        <is>
          <t>Medigo 015</t>
        </is>
      </c>
      <c r="C13" s="30" t="inlineStr">
        <is>
          <t>Luu Thanh Tuyen</t>
        </is>
      </c>
      <c r="D13" s="31" t="inlineStr">
        <is>
          <t>0181000337432</t>
        </is>
      </c>
      <c r="E13" s="30" t="inlineStr">
        <is>
          <t>Vietcombank</t>
        </is>
      </c>
      <c r="F13" s="48">
        <f>#REF!</f>
        <v/>
      </c>
      <c r="G13" s="30" t="inlineStr">
        <is>
          <t xml:space="preserve">Medigo TT Luong T10.2024 -  P.ADMIN-CSKH -  </t>
        </is>
      </c>
      <c r="H13" s="30">
        <f>C13</f>
        <v/>
      </c>
      <c r="I13" s="35">
        <f>G13&amp;" "&amp;H13</f>
        <v/>
      </c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 ht="27" customHeight="1" s="1264">
      <c r="A14" s="30" t="inlineStr">
        <is>
          <t xml:space="preserve">P.ADMIN-CSKH - </t>
        </is>
      </c>
      <c r="B14" s="30" t="inlineStr">
        <is>
          <t>Medigo 015</t>
        </is>
      </c>
      <c r="C14" s="30" t="inlineStr">
        <is>
          <t>Nguyen Ho Phuong Anh</t>
        </is>
      </c>
      <c r="D14" s="31" t="inlineStr">
        <is>
          <t>19033258827011</t>
        </is>
      </c>
      <c r="E14" s="30" t="inlineStr">
        <is>
          <t>Techcombank</t>
        </is>
      </c>
      <c r="F14" s="48">
        <f>#REF!</f>
        <v/>
      </c>
      <c r="G14" s="30" t="inlineStr">
        <is>
          <t xml:space="preserve">Medigo TT Luong T10.2024 -  P.ADMIN-CSKH -  </t>
        </is>
      </c>
      <c r="H14" s="30">
        <f>C14</f>
        <v/>
      </c>
      <c r="I14" s="35">
        <f>G14&amp;" "&amp;H14</f>
        <v/>
      </c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 ht="27" customHeight="1" s="1264">
      <c r="A15" s="30" t="inlineStr">
        <is>
          <t xml:space="preserve">P.ADMIN-CSKH - </t>
        </is>
      </c>
      <c r="B15" s="30" t="inlineStr">
        <is>
          <t>Medigo 015</t>
        </is>
      </c>
      <c r="C15" s="30" t="inlineStr">
        <is>
          <t>Nguyen Thi Ngoc Han</t>
        </is>
      </c>
      <c r="D15" s="31" t="inlineStr">
        <is>
          <t>104002495110</t>
        </is>
      </c>
      <c r="E15" s="30" t="inlineStr">
        <is>
          <t>Vietinbank</t>
        </is>
      </c>
      <c r="F15" s="48">
        <f>#REF!</f>
        <v/>
      </c>
      <c r="G15" s="30" t="inlineStr">
        <is>
          <t xml:space="preserve">Medigo TT Luong T10.2024 -  P.ADMIN-CSKH -  </t>
        </is>
      </c>
      <c r="H15" s="30">
        <f>C15</f>
        <v/>
      </c>
      <c r="I15" s="35">
        <f>G15&amp;" "&amp;H15</f>
        <v/>
      </c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 ht="27" customHeight="1" s="1264">
      <c r="A16" s="30" t="inlineStr">
        <is>
          <t xml:space="preserve">P.ADMIN-CSKH - </t>
        </is>
      </c>
      <c r="B16" s="30" t="inlineStr">
        <is>
          <t>Medigo 015</t>
        </is>
      </c>
      <c r="C16" s="30" t="inlineStr">
        <is>
          <t>Truong Hoang Ngan</t>
        </is>
      </c>
      <c r="D16" s="31" t="inlineStr">
        <is>
          <t>0251002776128</t>
        </is>
      </c>
      <c r="E16" s="30" t="inlineStr">
        <is>
          <t>Vietcombank</t>
        </is>
      </c>
      <c r="F16" s="48">
        <f>#REF!</f>
        <v/>
      </c>
      <c r="G16" s="30" t="inlineStr">
        <is>
          <t xml:space="preserve">Medigo TT Luong T10.2024 -  P.ADMIN-CSKH -  </t>
        </is>
      </c>
      <c r="H16" s="30">
        <f>C16</f>
        <v/>
      </c>
      <c r="I16" s="35">
        <f>G16&amp;" "&amp;H16</f>
        <v/>
      </c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 ht="27" customHeight="1" s="1264">
      <c r="A17" s="30" t="inlineStr">
        <is>
          <t xml:space="preserve">P.ADMIN-CSKH - </t>
        </is>
      </c>
      <c r="B17" s="30" t="inlineStr">
        <is>
          <t>Medigo 015</t>
        </is>
      </c>
      <c r="C17" s="30" t="inlineStr">
        <is>
          <t>Nguyen Thi Diem Mi</t>
        </is>
      </c>
      <c r="D17" s="31" t="inlineStr">
        <is>
          <t>8899779989</t>
        </is>
      </c>
      <c r="E17" s="30" t="inlineStr">
        <is>
          <t>Seabank</t>
        </is>
      </c>
      <c r="F17" s="48">
        <f>#REF!</f>
        <v/>
      </c>
      <c r="G17" s="30" t="inlineStr">
        <is>
          <t xml:space="preserve">Medigo TT Luong T10.2024 -  P.ADMIN-CSKH -  </t>
        </is>
      </c>
      <c r="H17" s="30">
        <f>C17</f>
        <v/>
      </c>
      <c r="I17" s="35">
        <f>G17&amp;" "&amp;H17</f>
        <v/>
      </c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 ht="26.25" customHeight="1" s="1264">
      <c r="A18" s="30" t="inlineStr">
        <is>
          <t xml:space="preserve">P.ADMIN-CSKH - </t>
        </is>
      </c>
      <c r="B18" s="30" t="inlineStr">
        <is>
          <t>Medigo 015</t>
        </is>
      </c>
      <c r="C18" s="30" t="inlineStr">
        <is>
          <t>Vo Thi Dieu Hien</t>
        </is>
      </c>
      <c r="D18" s="31" t="inlineStr">
        <is>
          <t>238349327</t>
        </is>
      </c>
      <c r="E18" s="30" t="inlineStr">
        <is>
          <t>VPbank</t>
        </is>
      </c>
      <c r="F18" s="48">
        <f>#REF!</f>
        <v/>
      </c>
      <c r="G18" s="30" t="inlineStr">
        <is>
          <t xml:space="preserve">Medigo TT Luong T10.2024 -  P.ADMIN-CSKH -  </t>
        </is>
      </c>
      <c r="H18" s="30">
        <f>C18</f>
        <v/>
      </c>
      <c r="I18" s="35">
        <f>G18&amp;" "&amp;H18</f>
        <v/>
      </c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 ht="26.25" customHeight="1" s="1264">
      <c r="A19" s="30" t="inlineStr">
        <is>
          <t xml:space="preserve">P.ADMIN-NT - </t>
        </is>
      </c>
      <c r="B19" s="30" t="inlineStr">
        <is>
          <t>Medigo 015</t>
        </is>
      </c>
      <c r="C19" s="30" t="inlineStr">
        <is>
          <t>Nguyen Thi Cam Binh</t>
        </is>
      </c>
      <c r="D19" s="31" t="inlineStr">
        <is>
          <t>0381000583650</t>
        </is>
      </c>
      <c r="E19" s="30" t="inlineStr">
        <is>
          <t>Vietcombank</t>
        </is>
      </c>
      <c r="F19" s="48">
        <f>#REF!</f>
        <v/>
      </c>
      <c r="G19" s="30" t="inlineStr">
        <is>
          <t xml:space="preserve">Medigo TT Luong T10.2024 -  P.ADMIN-NT -  </t>
        </is>
      </c>
      <c r="H19" s="30">
        <f>C19</f>
        <v/>
      </c>
      <c r="I19" s="35">
        <f>G19&amp;" "&amp;H19</f>
        <v/>
      </c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 ht="26.25" customHeight="1" s="1264">
      <c r="A20" s="30" t="inlineStr">
        <is>
          <t xml:space="preserve">P.VẬN HÀNH NT - </t>
        </is>
      </c>
      <c r="B20" s="30" t="inlineStr">
        <is>
          <t>Medigo 015</t>
        </is>
      </c>
      <c r="C20" s="30" t="inlineStr">
        <is>
          <t>Nguyen Tuan Nghia</t>
        </is>
      </c>
      <c r="D20" s="31" t="inlineStr">
        <is>
          <t>9333757326</t>
        </is>
      </c>
      <c r="E20" s="30" t="inlineStr">
        <is>
          <t xml:space="preserve">Vietcombank </t>
        </is>
      </c>
      <c r="F20" s="48">
        <f>#REF!</f>
        <v/>
      </c>
      <c r="G20" s="30" t="inlineStr">
        <is>
          <t xml:space="preserve">Medigo TT Luong T10.2024 -  P.VẬN HÀNH NT -  </t>
        </is>
      </c>
      <c r="H20" s="30">
        <f>C20</f>
        <v/>
      </c>
      <c r="I20" s="35">
        <f>G20&amp;" "&amp;H20</f>
        <v/>
      </c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26.25" customHeight="1" s="1264">
      <c r="A21" s="30" t="inlineStr">
        <is>
          <t xml:space="preserve">P.MARKETING·- </t>
        </is>
      </c>
      <c r="B21" s="30" t="inlineStr">
        <is>
          <t>Medigo 015</t>
        </is>
      </c>
      <c r="C21" s="30" t="inlineStr">
        <is>
          <t>Do Hoang Anh Vuong</t>
        </is>
      </c>
      <c r="D21" s="31" t="inlineStr">
        <is>
          <t>224722709</t>
        </is>
      </c>
      <c r="E21" s="30" t="inlineStr">
        <is>
          <t>ACB</t>
        </is>
      </c>
      <c r="F21" s="48">
        <f>#REF!</f>
        <v/>
      </c>
      <c r="G21" s="30" t="inlineStr">
        <is>
          <t xml:space="preserve">Medigo TT Luong T10.2024 -  P.XN·-  </t>
        </is>
      </c>
      <c r="H21" s="30">
        <f>C21</f>
        <v/>
      </c>
      <c r="I21" s="35">
        <f>G21&amp;" "&amp;H21</f>
        <v/>
      </c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26.25" customHeight="1" s="1264">
      <c r="A22" s="30" t="inlineStr">
        <is>
          <t xml:space="preserve">P.XN - </t>
        </is>
      </c>
      <c r="B22" s="30" t="inlineStr">
        <is>
          <t>Medigo 015</t>
        </is>
      </c>
      <c r="C22" s="30" t="inlineStr">
        <is>
          <t>Phan Thi Truc Giang</t>
        </is>
      </c>
      <c r="D22" s="31" t="inlineStr">
        <is>
          <t>0000234047237</t>
        </is>
      </c>
      <c r="E22" s="30" t="inlineStr">
        <is>
          <t>MB Bank</t>
        </is>
      </c>
      <c r="F22" s="48">
        <f>#REF!</f>
        <v/>
      </c>
      <c r="G22" s="30" t="inlineStr">
        <is>
          <t xml:space="preserve">Medigo TT Luong T10.2024 -  P.XN·-  </t>
        </is>
      </c>
      <c r="H22" s="30">
        <f>C22</f>
        <v/>
      </c>
      <c r="I22" s="35">
        <f>G22&amp;" "&amp;H22</f>
        <v/>
      </c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26.25" customHeight="1" s="1264">
      <c r="A23" s="30" t="inlineStr">
        <is>
          <t xml:space="preserve">P.XN - </t>
        </is>
      </c>
      <c r="B23" s="30" t="inlineStr">
        <is>
          <t>Medigo 015</t>
        </is>
      </c>
      <c r="C23" s="30" t="inlineStr">
        <is>
          <t>Tran Thi Nhu Y</t>
        </is>
      </c>
      <c r="D23" s="31" t="inlineStr">
        <is>
          <t>7211317355</t>
        </is>
      </c>
      <c r="E23" s="30" t="inlineStr">
        <is>
          <t>BIDV</t>
        </is>
      </c>
      <c r="F23" s="48">
        <f>#REF!</f>
        <v/>
      </c>
      <c r="G23" s="30" t="inlineStr">
        <is>
          <t xml:space="preserve">Medigo TT Luong T10.2024 -  P.XN·-  </t>
        </is>
      </c>
      <c r="H23" s="30">
        <f>C23</f>
        <v/>
      </c>
      <c r="I23" s="35">
        <f>G23&amp;" "&amp;H23</f>
        <v/>
      </c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26.25" customHeight="1" s="1264">
      <c r="A24" s="30" t="inlineStr">
        <is>
          <t xml:space="preserve">P.XN - </t>
        </is>
      </c>
      <c r="B24" s="30" t="inlineStr">
        <is>
          <t>Medigo 015</t>
        </is>
      </c>
      <c r="C24" s="30" t="inlineStr">
        <is>
          <t>Tran Phu Quy</t>
        </is>
      </c>
      <c r="D24" s="31" t="inlineStr">
        <is>
          <t>070078132221</t>
        </is>
      </c>
      <c r="E24" s="30" t="inlineStr">
        <is>
          <t>Sacombank</t>
        </is>
      </c>
      <c r="F24" s="48">
        <f>#REF!</f>
        <v/>
      </c>
      <c r="G24" s="30" t="inlineStr">
        <is>
          <t xml:space="preserve">Medigo TT Luong T10.2024 -  P.XN·-  </t>
        </is>
      </c>
      <c r="H24" s="30">
        <f>C24</f>
        <v/>
      </c>
      <c r="I24" s="35">
        <f>G24&amp;" "&amp;H24</f>
        <v/>
      </c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26.25" customHeight="1" s="1264">
      <c r="A25" s="30" t="inlineStr">
        <is>
          <t>P.XN -</t>
        </is>
      </c>
      <c r="B25" s="30" t="inlineStr">
        <is>
          <t>Medigo 015</t>
        </is>
      </c>
      <c r="C25" s="30" t="inlineStr">
        <is>
          <t>Dinh Thi My Hau</t>
        </is>
      </c>
      <c r="D25" s="31" t="n">
        <v>3863983701</v>
      </c>
      <c r="E25" s="30" t="inlineStr">
        <is>
          <t>Ngân Hàng Tiên Phong ( TP BANK)</t>
        </is>
      </c>
      <c r="F25" s="48">
        <f>#REF!</f>
        <v/>
      </c>
      <c r="G25" s="30" t="inlineStr">
        <is>
          <t xml:space="preserve">Medigo TT Luong T10.2024 -  P.XN·-  </t>
        </is>
      </c>
      <c r="H25" s="30" t="inlineStr">
        <is>
          <t>Dinh Thi My Hau</t>
        </is>
      </c>
      <c r="I25" s="35" t="inlineStr">
        <is>
          <t>Medigo TT Luong T09.2024 - P.XN - Dinh Thi My Hau Dinh Thi My Hau</t>
        </is>
      </c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26.25" customHeight="1" s="1264">
      <c r="A26" s="30" t="inlineStr">
        <is>
          <t xml:space="preserve">P.KT - </t>
        </is>
      </c>
      <c r="B26" s="30" t="inlineStr">
        <is>
          <t>Medigo 015</t>
        </is>
      </c>
      <c r="C26" s="30" t="inlineStr">
        <is>
          <t>Vu Quang Truong</t>
        </is>
      </c>
      <c r="D26" s="31" t="inlineStr">
        <is>
          <t>0071001099946</t>
        </is>
      </c>
      <c r="E26" s="30" t="inlineStr">
        <is>
          <t>Vietcombank</t>
        </is>
      </c>
      <c r="F26" s="48">
        <f>#REF!</f>
        <v/>
      </c>
      <c r="G26" s="30" t="inlineStr">
        <is>
          <t xml:space="preserve">Medigo TT Luong T10.2024 -  P.KT -  </t>
        </is>
      </c>
      <c r="H26" s="30">
        <f>C26</f>
        <v/>
      </c>
      <c r="I26" s="35">
        <f>G26&amp;" "&amp;H26</f>
        <v/>
      </c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26.25" customHeight="1" s="1264">
      <c r="A27" s="30" t="inlineStr">
        <is>
          <t xml:space="preserve">P.KT - </t>
        </is>
      </c>
      <c r="B27" s="30" t="inlineStr">
        <is>
          <t>Medigo 015</t>
        </is>
      </c>
      <c r="C27" s="30" t="inlineStr">
        <is>
          <t>Nguyen Cao Nhan</t>
        </is>
      </c>
      <c r="D27" s="1195" t="inlineStr">
        <is>
          <t>0071001008815</t>
        </is>
      </c>
      <c r="E27" s="30" t="inlineStr">
        <is>
          <t>Vietcombank</t>
        </is>
      </c>
      <c r="F27" s="48">
        <f>#REF!</f>
        <v/>
      </c>
      <c r="G27" s="30" t="inlineStr">
        <is>
          <t xml:space="preserve">Medigo TT Luong T10.2024 -  P.KT -  </t>
        </is>
      </c>
      <c r="H27" s="30">
        <f>C27</f>
        <v/>
      </c>
      <c r="I27" s="35">
        <f>G27&amp;" "&amp;H27</f>
        <v/>
      </c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26.25" customHeight="1" s="1264">
      <c r="A28" s="30" t="inlineStr">
        <is>
          <t xml:space="preserve">P.KT - </t>
        </is>
      </c>
      <c r="B28" s="30" t="inlineStr">
        <is>
          <t>Medigo 015</t>
        </is>
      </c>
      <c r="C28" s="30" t="inlineStr">
        <is>
          <t>Nguyen Tan Trong</t>
        </is>
      </c>
      <c r="D28" s="1195" t="inlineStr">
        <is>
          <t>19033541313016</t>
        </is>
      </c>
      <c r="E28" s="30" t="inlineStr">
        <is>
          <t>Techcombank</t>
        </is>
      </c>
      <c r="F28" s="48">
        <f>#REF!</f>
        <v/>
      </c>
      <c r="G28" s="30" t="inlineStr">
        <is>
          <t xml:space="preserve">Medigo TT Luong T10.2024 -  P.KT -  </t>
        </is>
      </c>
      <c r="H28" s="30">
        <f>C28</f>
        <v/>
      </c>
      <c r="I28" s="35">
        <f>G28&amp;" "&amp;H28</f>
        <v/>
      </c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26.25" customHeight="1" s="1264">
      <c r="A29" s="30" t="inlineStr">
        <is>
          <t xml:space="preserve">P.KT - </t>
        </is>
      </c>
      <c r="B29" s="30" t="inlineStr">
        <is>
          <t>Medigo 015</t>
        </is>
      </c>
      <c r="C29" s="30" t="inlineStr">
        <is>
          <t>Nguyen Tương Vi</t>
        </is>
      </c>
      <c r="D29" s="1195" t="inlineStr">
        <is>
          <t>19037078157013</t>
        </is>
      </c>
      <c r="E29" s="30" t="inlineStr">
        <is>
          <t>Techcombank</t>
        </is>
      </c>
      <c r="F29" s="48">
        <f>#REF!</f>
        <v/>
      </c>
      <c r="G29" s="30" t="inlineStr">
        <is>
          <t xml:space="preserve">Medigo TT Luong T10.2024 -  P.KT -  </t>
        </is>
      </c>
      <c r="H29" s="30">
        <f>C29</f>
        <v/>
      </c>
      <c r="I29" s="35">
        <f>G29&amp;" "&amp;H29</f>
        <v/>
      </c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26.25" customHeight="1" s="1264">
      <c r="A30" s="30" t="inlineStr">
        <is>
          <t xml:space="preserve">P.KT - </t>
        </is>
      </c>
      <c r="B30" s="30" t="inlineStr">
        <is>
          <t>Medigo 015</t>
        </is>
      </c>
      <c r="C30" s="30" t="inlineStr">
        <is>
          <t>Vu Thi Thu Ha</t>
        </is>
      </c>
      <c r="D30" s="1195" t="inlineStr">
        <is>
          <t>19028134071020</t>
        </is>
      </c>
      <c r="E30" s="30" t="inlineStr">
        <is>
          <t>Techcombank</t>
        </is>
      </c>
      <c r="F30" s="48">
        <f>#REF!</f>
        <v/>
      </c>
      <c r="G30" s="30" t="inlineStr">
        <is>
          <t xml:space="preserve">Medigo TT Luong T10.2024 -  P.KT -  </t>
        </is>
      </c>
      <c r="H30" s="30">
        <f>C30</f>
        <v/>
      </c>
      <c r="I30" s="35">
        <f>G30&amp;" "&amp;H30</f>
        <v/>
      </c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26.25" customHeight="1" s="1264">
      <c r="A31" s="30" t="n"/>
      <c r="B31" s="30" t="n"/>
      <c r="C31" s="30" t="n"/>
      <c r="D31" s="31" t="n"/>
      <c r="E31" s="48" t="n"/>
      <c r="F31" s="49">
        <f>SUM(F3:F30)</f>
        <v/>
      </c>
      <c r="G31" s="30" t="n"/>
      <c r="H31" s="30" t="n"/>
      <c r="I31" s="35">
        <f>G31&amp;" "&amp;H31</f>
        <v/>
      </c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5" customHeight="1" s="1264">
      <c r="A32" s="42" t="inlineStr">
        <is>
          <t>BÁC SĨ ONLINE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27" customHeight="1" s="1264">
      <c r="A33" s="30" t="inlineStr">
        <is>
          <t xml:space="preserve">BS.ONL - </t>
        </is>
      </c>
      <c r="B33" s="30" t="inlineStr">
        <is>
          <t>Medigo 015</t>
        </is>
      </c>
      <c r="C33" s="31" t="inlineStr">
        <is>
          <t>Truong Vinh Thai</t>
        </is>
      </c>
      <c r="D33" s="30" t="inlineStr">
        <is>
          <t>1028950088</t>
        </is>
      </c>
      <c r="E33" s="51" t="inlineStr">
        <is>
          <t>VCB</t>
        </is>
      </c>
      <c r="F33" s="48">
        <f>#REF!</f>
        <v/>
      </c>
      <c r="G33" s="30" t="inlineStr">
        <is>
          <t xml:space="preserve">Medigo TT Luong T10.2024 -  BS.ONL -  </t>
        </is>
      </c>
      <c r="H33" s="30">
        <f>C33</f>
        <v/>
      </c>
      <c r="I33" s="35">
        <f>G33&amp;" "&amp;H33</f>
        <v/>
      </c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27" customHeight="1" s="1264">
      <c r="A34" s="30" t="inlineStr">
        <is>
          <t xml:space="preserve">BS.ONL - </t>
        </is>
      </c>
      <c r="B34" s="30" t="inlineStr">
        <is>
          <t>Medigo 015</t>
        </is>
      </c>
      <c r="C34" s="31" t="inlineStr">
        <is>
          <t>Vo Tran Minh Tri</t>
        </is>
      </c>
      <c r="D34" s="30" t="inlineStr">
        <is>
          <t>trivtm</t>
        </is>
      </c>
      <c r="E34" s="30" t="inlineStr">
        <is>
          <t>Vietinbank</t>
        </is>
      </c>
      <c r="F34" s="48">
        <f>#REF!</f>
        <v/>
      </c>
      <c r="G34" s="30" t="inlineStr">
        <is>
          <t xml:space="preserve">Medigo TT Luong T10.2024 -  BS.ONL -  </t>
        </is>
      </c>
      <c r="H34" s="30">
        <f>C34</f>
        <v/>
      </c>
      <c r="I34" s="35">
        <f>G34&amp;" "&amp;H34</f>
        <v/>
      </c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27" customHeight="1" s="1264">
      <c r="A35" s="30" t="inlineStr">
        <is>
          <t xml:space="preserve">BS.ONL - </t>
        </is>
      </c>
      <c r="B35" s="30" t="inlineStr">
        <is>
          <t>Medigo 015</t>
        </is>
      </c>
      <c r="C35" s="31" t="inlineStr">
        <is>
          <t>Le Thi Thu Huong</t>
        </is>
      </c>
      <c r="D35" s="31" t="inlineStr">
        <is>
          <t>108872596477</t>
        </is>
      </c>
      <c r="E35" s="30" t="inlineStr">
        <is>
          <t>Vietinbank</t>
        </is>
      </c>
      <c r="F35" s="48">
        <f>#REF!</f>
        <v/>
      </c>
      <c r="G35" s="30" t="inlineStr">
        <is>
          <t xml:space="preserve">Medigo TT Luong T10.2024 -  BS.ONL -  </t>
        </is>
      </c>
      <c r="H35" s="30">
        <f>C35</f>
        <v/>
      </c>
      <c r="I35" s="35">
        <f>G35&amp;" "&amp;H35</f>
        <v/>
      </c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27" customHeight="1" s="1264">
      <c r="A36" s="30" t="inlineStr">
        <is>
          <t xml:space="preserve">BS.ONL - </t>
        </is>
      </c>
      <c r="B36" s="30" t="inlineStr">
        <is>
          <t>Medigo 015</t>
        </is>
      </c>
      <c r="C36" s="31" t="inlineStr">
        <is>
          <t>Luong To Quyen</t>
        </is>
      </c>
      <c r="D36" s="30" t="inlineStr">
        <is>
          <t>0071001317398</t>
        </is>
      </c>
      <c r="E36" s="51" t="inlineStr">
        <is>
          <t>VCB</t>
        </is>
      </c>
      <c r="F36" s="48">
        <f>#REF!</f>
        <v/>
      </c>
      <c r="G36" s="30" t="inlineStr">
        <is>
          <t xml:space="preserve">Medigo TT Luong T10.2024 -  BS.ONL -  </t>
        </is>
      </c>
      <c r="H36" s="30">
        <f>C36</f>
        <v/>
      </c>
      <c r="I36" s="35">
        <f>G36&amp;" "&amp;H36</f>
        <v/>
      </c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 ht="27" customHeight="1" s="1264">
      <c r="A37" s="30" t="inlineStr">
        <is>
          <t xml:space="preserve">BS.ONL - </t>
        </is>
      </c>
      <c r="B37" s="30" t="inlineStr">
        <is>
          <t>Medigo 015</t>
        </is>
      </c>
      <c r="C37" s="31" t="inlineStr">
        <is>
          <t>Lê Thị Thùy Ngân</t>
        </is>
      </c>
      <c r="D37" s="50" t="inlineStr">
        <is>
          <t>0511000416577</t>
        </is>
      </c>
      <c r="E37" s="50" t="inlineStr">
        <is>
          <t>VCB</t>
        </is>
      </c>
      <c r="F37" s="48">
        <f>#REF!</f>
        <v/>
      </c>
      <c r="G37" s="30" t="inlineStr">
        <is>
          <t xml:space="preserve">Medigo TT Luong T10.2024 -  BS.ONL -  </t>
        </is>
      </c>
      <c r="H37" s="30">
        <f>C37</f>
        <v/>
      </c>
      <c r="I37" s="35">
        <f>G37&amp;" "&amp;H37</f>
        <v/>
      </c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27" customHeight="1" s="1264">
      <c r="A38" s="30" t="inlineStr">
        <is>
          <t xml:space="preserve">BS.ONL - </t>
        </is>
      </c>
      <c r="B38" s="30" t="inlineStr">
        <is>
          <t>Medigo 015</t>
        </is>
      </c>
      <c r="C38" s="31" t="inlineStr">
        <is>
          <t>Pham Thi Ngoc Dung</t>
        </is>
      </c>
      <c r="D38" s="30" t="inlineStr">
        <is>
          <t>1961347</t>
        </is>
      </c>
      <c r="E38" s="51" t="inlineStr">
        <is>
          <t>ACB</t>
        </is>
      </c>
      <c r="F38" s="48">
        <f>#REF!</f>
        <v/>
      </c>
      <c r="G38" s="30" t="inlineStr">
        <is>
          <t xml:space="preserve">Medigo TT Luong T10.2024 -  BS.ONL -  </t>
        </is>
      </c>
      <c r="H38" s="30">
        <f>C38</f>
        <v/>
      </c>
      <c r="I38" s="35">
        <f>G38&amp;" "&amp;H38</f>
        <v/>
      </c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27" customHeight="1" s="1264">
      <c r="A39" s="30" t="inlineStr">
        <is>
          <t xml:space="preserve">BS.ONL - </t>
        </is>
      </c>
      <c r="B39" s="30" t="inlineStr">
        <is>
          <t>Medigo 015</t>
        </is>
      </c>
      <c r="C39" s="31" t="inlineStr">
        <is>
          <t>Vo Duy Tam</t>
        </is>
      </c>
      <c r="D39" s="30" t="inlineStr">
        <is>
          <t>1600190310893</t>
        </is>
      </c>
      <c r="E39" s="51" t="inlineStr">
        <is>
          <t>MBbank</t>
        </is>
      </c>
      <c r="F39" s="48">
        <f>#REF!</f>
        <v/>
      </c>
      <c r="G39" s="30" t="inlineStr">
        <is>
          <t xml:space="preserve">Medigo TT Luong T10.2024 -  BS.ONL -  </t>
        </is>
      </c>
      <c r="H39" s="30">
        <f>C39</f>
        <v/>
      </c>
      <c r="I39" s="35">
        <f>G39&amp;" "&amp;H39</f>
        <v/>
      </c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27" customHeight="1" s="1264">
      <c r="A40" s="30" t="inlineStr">
        <is>
          <t xml:space="preserve">BS.ONL - </t>
        </is>
      </c>
      <c r="B40" s="30" t="inlineStr">
        <is>
          <t>Medigo 015</t>
        </is>
      </c>
      <c r="C40" s="31" t="inlineStr">
        <is>
          <t>Duong Tan Thanh</t>
        </is>
      </c>
      <c r="D40" s="30" t="inlineStr">
        <is>
          <t>0360470758888</t>
        </is>
      </c>
      <c r="E40" s="51" t="inlineStr">
        <is>
          <t>MBbank</t>
        </is>
      </c>
      <c r="F40" s="48">
        <f>#REF!</f>
        <v/>
      </c>
      <c r="G40" s="30" t="inlineStr">
        <is>
          <t xml:space="preserve">Medigo TT Luong T10.2024 -  BS.ONL -  </t>
        </is>
      </c>
      <c r="H40" s="30">
        <f>C40</f>
        <v/>
      </c>
      <c r="I40" s="35">
        <f>G40&amp;" "&amp;H40</f>
        <v/>
      </c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27" customHeight="1" s="1264">
      <c r="A41" s="30" t="inlineStr">
        <is>
          <t xml:space="preserve">BS.ONL - </t>
        </is>
      </c>
      <c r="B41" s="30" t="inlineStr">
        <is>
          <t>Medigo 015</t>
        </is>
      </c>
      <c r="C41" s="31" t="inlineStr">
        <is>
          <t>Do Thi Lam Oanh</t>
        </is>
      </c>
      <c r="D41" s="31" t="inlineStr">
        <is>
          <t>1540106953005</t>
        </is>
      </c>
      <c r="E41" s="30" t="inlineStr">
        <is>
          <t>MB bank</t>
        </is>
      </c>
      <c r="F41" s="48">
        <f>#REF!</f>
        <v/>
      </c>
      <c r="G41" s="30" t="inlineStr">
        <is>
          <t xml:space="preserve">Medigo TT Luong T10.2024 -  BS.ONL -  </t>
        </is>
      </c>
      <c r="H41" s="30">
        <f>C41</f>
        <v/>
      </c>
      <c r="I41" s="35">
        <f>G41&amp;" "&amp;H41</f>
        <v/>
      </c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27" customHeight="1" s="1264">
      <c r="A42" s="30" t="inlineStr">
        <is>
          <t xml:space="preserve">BS.ONL - </t>
        </is>
      </c>
      <c r="B42" s="30" t="inlineStr">
        <is>
          <t>Medigo 015</t>
        </is>
      </c>
      <c r="C42" s="31" t="inlineStr">
        <is>
          <t>Nguyen Thanh Hoang Loc</t>
        </is>
      </c>
      <c r="D42" s="31" t="inlineStr">
        <is>
          <t>0891000658962</t>
        </is>
      </c>
      <c r="E42" s="30" t="inlineStr">
        <is>
          <t>VCB</t>
        </is>
      </c>
      <c r="F42" s="48">
        <f>#REF!</f>
        <v/>
      </c>
      <c r="G42" s="30" t="inlineStr">
        <is>
          <t xml:space="preserve">Medigo TT Luong T10.2024 -  BS.ONL -  </t>
        </is>
      </c>
      <c r="H42" s="30">
        <f>C42</f>
        <v/>
      </c>
      <c r="I42" s="35">
        <f>G42&amp;" "&amp;H42</f>
        <v/>
      </c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27" customHeight="1" s="1264">
      <c r="A43" s="30" t="inlineStr">
        <is>
          <t xml:space="preserve">BS.ONL - </t>
        </is>
      </c>
      <c r="B43" s="30" t="inlineStr">
        <is>
          <t>Medigo 015</t>
        </is>
      </c>
      <c r="C43" s="31" t="inlineStr">
        <is>
          <t>Tran Thi Thu Ha</t>
        </is>
      </c>
      <c r="D43" s="30" t="inlineStr">
        <is>
          <t>173167865</t>
        </is>
      </c>
      <c r="E43" s="51" t="inlineStr">
        <is>
          <t>VP bank</t>
        </is>
      </c>
      <c r="F43" s="48">
        <f>#REF!</f>
        <v/>
      </c>
      <c r="G43" s="30" t="inlineStr">
        <is>
          <t xml:space="preserve">Medigo TT Luong T10.2024 -  BS.ONL -  </t>
        </is>
      </c>
      <c r="H43" s="30">
        <f>C43</f>
        <v/>
      </c>
      <c r="I43" s="35">
        <f>G43&amp;" "&amp;H43</f>
        <v/>
      </c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27" customHeight="1" s="1264">
      <c r="A44" s="30" t="inlineStr">
        <is>
          <t xml:space="preserve">BS.ONL - </t>
        </is>
      </c>
      <c r="B44" s="30" t="inlineStr">
        <is>
          <t>Medigo 015</t>
        </is>
      </c>
      <c r="C44" s="31" t="inlineStr">
        <is>
          <t>Do Thai Phuong Ngoc</t>
        </is>
      </c>
      <c r="D44" s="30" t="inlineStr">
        <is>
          <t>0071000610531</t>
        </is>
      </c>
      <c r="E44" s="51" t="inlineStr">
        <is>
          <t>VCB</t>
        </is>
      </c>
      <c r="F44" s="48">
        <f>#REF!</f>
        <v/>
      </c>
      <c r="G44" s="30" t="inlineStr">
        <is>
          <t xml:space="preserve">Medigo TT Luong T10.2024 -  BS.ONL -  </t>
        </is>
      </c>
      <c r="H44" s="30">
        <f>C44</f>
        <v/>
      </c>
      <c r="I44" s="35">
        <f>G44&amp;" "&amp;H44</f>
        <v/>
      </c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27" customHeight="1" s="1264">
      <c r="A45" s="30" t="inlineStr">
        <is>
          <t xml:space="preserve">BS.ONL - </t>
        </is>
      </c>
      <c r="B45" s="30" t="inlineStr">
        <is>
          <t>Medigo 015</t>
        </is>
      </c>
      <c r="C45" s="31" t="inlineStr">
        <is>
          <t>Tran Phuoc Duy Bao</t>
        </is>
      </c>
      <c r="D45" s="31" t="inlineStr">
        <is>
          <t>1600179050294</t>
        </is>
      </c>
      <c r="E45" s="30" t="inlineStr">
        <is>
          <t>MB bank</t>
        </is>
      </c>
      <c r="F45" s="48">
        <f>#REF!</f>
        <v/>
      </c>
      <c r="G45" s="30" t="inlineStr">
        <is>
          <t xml:space="preserve">Medigo TT Luong T10.2024 -  BS.ONL -  </t>
        </is>
      </c>
      <c r="H45" s="30">
        <f>C45</f>
        <v/>
      </c>
      <c r="I45" s="35">
        <f>G45&amp;" "&amp;H45</f>
        <v/>
      </c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27" customHeight="1" s="1264">
      <c r="A46" s="30" t="inlineStr">
        <is>
          <t xml:space="preserve">BS.ONL - </t>
        </is>
      </c>
      <c r="B46" s="30" t="inlineStr">
        <is>
          <t>Medigo 015</t>
        </is>
      </c>
      <c r="C46" s="31" t="inlineStr">
        <is>
          <t>Nguyen Minh Bao</t>
        </is>
      </c>
      <c r="D46" s="31" t="inlineStr">
        <is>
          <t>100007117555</t>
        </is>
      </c>
      <c r="E46" s="30" t="inlineStr">
        <is>
          <t>Vietinbank</t>
        </is>
      </c>
      <c r="F46" s="48">
        <f>#REF!</f>
        <v/>
      </c>
      <c r="G46" s="30" t="inlineStr">
        <is>
          <t xml:space="preserve">Medigo TT Luong T10.2024 -  BS.ONL -  </t>
        </is>
      </c>
      <c r="H46" s="30">
        <f>C46</f>
        <v/>
      </c>
      <c r="I46" s="35">
        <f>G46&amp;" "&amp;H46</f>
        <v/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27" customHeight="1" s="1264">
      <c r="A47" s="30" t="inlineStr">
        <is>
          <t xml:space="preserve">BS.ONL - </t>
        </is>
      </c>
      <c r="B47" s="30" t="inlineStr">
        <is>
          <t>Medigo 015</t>
        </is>
      </c>
      <c r="C47" s="31" t="inlineStr">
        <is>
          <t>Nguyen Ly Nhat Tam</t>
        </is>
      </c>
      <c r="D47" s="30" t="inlineStr">
        <is>
          <t>0331000463292</t>
        </is>
      </c>
      <c r="E47" s="30" t="inlineStr">
        <is>
          <t>VCB</t>
        </is>
      </c>
      <c r="F47" s="48">
        <f>#REF!</f>
        <v/>
      </c>
      <c r="G47" s="30" t="inlineStr">
        <is>
          <t xml:space="preserve">Medigo TT Luong T10.2024 -  BS.ONL -  </t>
        </is>
      </c>
      <c r="H47" s="30">
        <f>C47</f>
        <v/>
      </c>
      <c r="I47" s="35">
        <f>G47&amp;" "&amp;H47</f>
        <v/>
      </c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27" customHeight="1" s="1264">
      <c r="A48" s="30" t="inlineStr">
        <is>
          <t xml:space="preserve">BS.ONL - </t>
        </is>
      </c>
      <c r="B48" s="30" t="inlineStr">
        <is>
          <t>Medigo 015</t>
        </is>
      </c>
      <c r="C48" s="31" t="inlineStr">
        <is>
          <t>Tran Thi Kieu My</t>
        </is>
      </c>
      <c r="D48" s="30" t="inlineStr">
        <is>
          <t>2040108751001</t>
        </is>
      </c>
      <c r="E48" s="30" t="inlineStr">
        <is>
          <t>MB Bank</t>
        </is>
      </c>
      <c r="F48" s="48">
        <f>#REF!</f>
        <v/>
      </c>
      <c r="G48" s="30" t="inlineStr">
        <is>
          <t xml:space="preserve">Medigo TT Luong T10.2024 -  BS.ONL -  </t>
        </is>
      </c>
      <c r="H48" s="30">
        <f>C48</f>
        <v/>
      </c>
      <c r="I48" s="35">
        <f>G48&amp;" "&amp;H48</f>
        <v/>
      </c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27" customHeight="1" s="1264">
      <c r="A49" s="30" t="inlineStr">
        <is>
          <t xml:space="preserve">BS.ONL - </t>
        </is>
      </c>
      <c r="B49" s="30" t="inlineStr">
        <is>
          <t>Medigo 015</t>
        </is>
      </c>
      <c r="C49" s="31" t="inlineStr">
        <is>
          <t>Nguyen Thuy Thuy Duong</t>
        </is>
      </c>
      <c r="D49" s="30" t="inlineStr">
        <is>
          <t>3466927061994</t>
        </is>
      </c>
      <c r="E49" s="51" t="inlineStr">
        <is>
          <t>MB Bank</t>
        </is>
      </c>
      <c r="F49" s="48">
        <f>#REF!</f>
        <v/>
      </c>
      <c r="G49" s="30" t="inlineStr">
        <is>
          <t xml:space="preserve">Medigo TT Luong T10.2024 -  BS.ONL -  </t>
        </is>
      </c>
      <c r="H49" s="30">
        <f>C49</f>
        <v/>
      </c>
      <c r="I49" s="35">
        <f>G49&amp;" "&amp;H49</f>
        <v/>
      </c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27" customHeight="1" s="1264">
      <c r="A50" s="30" t="inlineStr">
        <is>
          <t xml:space="preserve">BS.ONL - </t>
        </is>
      </c>
      <c r="B50" s="30" t="inlineStr">
        <is>
          <t>Medigo 015</t>
        </is>
      </c>
      <c r="C50" s="31" t="inlineStr">
        <is>
          <t>Ho Duc Ha</t>
        </is>
      </c>
      <c r="D50" s="30" t="inlineStr">
        <is>
          <t>102869279221</t>
        </is>
      </c>
      <c r="E50" s="51" t="inlineStr">
        <is>
          <t>Vietinbank</t>
        </is>
      </c>
      <c r="F50" s="48">
        <f>#REF!</f>
        <v/>
      </c>
      <c r="G50" s="30" t="inlineStr">
        <is>
          <t xml:space="preserve">Medigo TT Luong T10.2024 -  BS.ONL -  </t>
        </is>
      </c>
      <c r="H50" s="30">
        <f>C50</f>
        <v/>
      </c>
      <c r="I50" s="35">
        <f>G50&amp;" "&amp;H50</f>
        <v/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27" customHeight="1" s="1264">
      <c r="A51" s="30" t="inlineStr">
        <is>
          <t xml:space="preserve">BS.ONL - </t>
        </is>
      </c>
      <c r="B51" s="30" t="inlineStr">
        <is>
          <t>Medigo 015</t>
        </is>
      </c>
      <c r="C51" s="31" t="inlineStr">
        <is>
          <t>Huynh Nhu Huynh</t>
        </is>
      </c>
      <c r="D51" s="30" t="inlineStr">
        <is>
          <t>0111000375684</t>
        </is>
      </c>
      <c r="E51" s="51" t="inlineStr">
        <is>
          <t>Vietcombank</t>
        </is>
      </c>
      <c r="F51" s="48">
        <f>#REF!</f>
        <v/>
      </c>
      <c r="G51" s="30" t="inlineStr">
        <is>
          <t xml:space="preserve">Medigo TT Luong T10.2024 -  BS.ONL -  </t>
        </is>
      </c>
      <c r="H51" s="30">
        <f>C51</f>
        <v/>
      </c>
      <c r="I51" s="35">
        <f>G51&amp;" "&amp;H51</f>
        <v/>
      </c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27" customHeight="1" s="1264">
      <c r="A52" s="30" t="inlineStr">
        <is>
          <t xml:space="preserve">BS.ONL - </t>
        </is>
      </c>
      <c r="B52" s="30" t="inlineStr">
        <is>
          <t>Medigo 015</t>
        </is>
      </c>
      <c r="C52" s="31" t="inlineStr">
        <is>
          <t>Pham Hong Toan</t>
        </is>
      </c>
      <c r="D52" s="30" t="inlineStr">
        <is>
          <t>101872881861</t>
        </is>
      </c>
      <c r="E52" s="51" t="inlineStr">
        <is>
          <t>Vietinbank</t>
        </is>
      </c>
      <c r="F52" s="48">
        <f>#REF!</f>
        <v/>
      </c>
      <c r="G52" s="30" t="inlineStr">
        <is>
          <t xml:space="preserve">Medigo TT Luong T10.2024 -  BS.ONL -  </t>
        </is>
      </c>
      <c r="H52" s="30">
        <f>C52</f>
        <v/>
      </c>
      <c r="I52" s="35">
        <f>G52&amp;" "&amp;H52</f>
        <v/>
      </c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27" customHeight="1" s="1264">
      <c r="A53" s="30" t="inlineStr">
        <is>
          <t xml:space="preserve">BS.ONL - </t>
        </is>
      </c>
      <c r="B53" s="30" t="inlineStr">
        <is>
          <t>Medigo 015</t>
        </is>
      </c>
      <c r="C53" s="31" t="inlineStr">
        <is>
          <t>Pham Hoang Vu</t>
        </is>
      </c>
      <c r="D53" s="31" t="inlineStr">
        <is>
          <t>0010148837002</t>
        </is>
      </c>
      <c r="E53" s="30" t="inlineStr">
        <is>
          <t>MB Bank</t>
        </is>
      </c>
      <c r="F53" s="48">
        <f>#REF!</f>
        <v/>
      </c>
      <c r="G53" s="30" t="inlineStr">
        <is>
          <t xml:space="preserve">Medigo TT Luong T10.2024 -  BS.ONL -  </t>
        </is>
      </c>
      <c r="H53" s="30">
        <f>C53</f>
        <v/>
      </c>
      <c r="I53" s="35">
        <f>G53&amp;" "&amp;H53</f>
        <v/>
      </c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27" customHeight="1" s="1264">
      <c r="A54" s="30" t="inlineStr">
        <is>
          <t xml:space="preserve">BS.ONL - </t>
        </is>
      </c>
      <c r="B54" s="30" t="inlineStr">
        <is>
          <t>Medigo 015</t>
        </is>
      </c>
      <c r="C54" s="31" t="inlineStr">
        <is>
          <t>Nguyen Huynh Quang Tin</t>
        </is>
      </c>
      <c r="D54" s="31" t="n">
        <v>1013264128</v>
      </c>
      <c r="E54" s="30" t="inlineStr">
        <is>
          <t>Vietcombank</t>
        </is>
      </c>
      <c r="F54" s="48">
        <f>#REF!</f>
        <v/>
      </c>
      <c r="G54" s="30" t="inlineStr">
        <is>
          <t xml:space="preserve">Medigo TT Luong T10.2024 -  BS.ONL -  </t>
        </is>
      </c>
      <c r="H54" s="30">
        <f>C54</f>
        <v/>
      </c>
      <c r="I54" s="35">
        <f>G54&amp;" "&amp;H54</f>
        <v/>
      </c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27" customHeight="1" s="1264">
      <c r="A55" s="30" t="inlineStr">
        <is>
          <t xml:space="preserve">BS.ONL - </t>
        </is>
      </c>
      <c r="B55" s="30" t="inlineStr">
        <is>
          <t>Medigo 015</t>
        </is>
      </c>
      <c r="C55" s="31" t="inlineStr">
        <is>
          <t>Le Thi Kieu Trinh</t>
        </is>
      </c>
      <c r="D55" s="31" t="n">
        <v>1035692744</v>
      </c>
      <c r="E55" s="30" t="inlineStr">
        <is>
          <t xml:space="preserve"> vietcombank</t>
        </is>
      </c>
      <c r="F55" s="48">
        <f>#REF!</f>
        <v/>
      </c>
      <c r="G55" s="30" t="inlineStr">
        <is>
          <t xml:space="preserve">Medigo TT Luong T10.2024 -  BS.ONL -  </t>
        </is>
      </c>
      <c r="H55" s="30">
        <f>C55</f>
        <v/>
      </c>
      <c r="I55" s="35">
        <f>G55&amp;" "&amp;H55</f>
        <v/>
      </c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27" customHeight="1" s="1264">
      <c r="A56" s="30" t="inlineStr">
        <is>
          <t xml:space="preserve">BS.ONL - </t>
        </is>
      </c>
      <c r="B56" s="30" t="inlineStr">
        <is>
          <t>Medigo 015</t>
        </is>
      </c>
      <c r="C56" s="30" t="inlineStr">
        <is>
          <t>Tran Thi Quynh</t>
        </is>
      </c>
      <c r="D56" s="31" t="inlineStr">
        <is>
          <t>0868082514</t>
        </is>
      </c>
      <c r="E56" s="30" t="inlineStr">
        <is>
          <t>MB Bank</t>
        </is>
      </c>
      <c r="F56" s="48">
        <f>#REF!</f>
        <v/>
      </c>
      <c r="G56" s="30" t="inlineStr">
        <is>
          <t xml:space="preserve">Medigo TT Luong T10.2024 -  BS.ONL -  </t>
        </is>
      </c>
      <c r="H56" s="30">
        <f>C56</f>
        <v/>
      </c>
      <c r="I56" s="35">
        <f>G56&amp;" "&amp;H56</f>
        <v/>
      </c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27" customHeight="1" s="1264">
      <c r="A57" s="30" t="inlineStr">
        <is>
          <t xml:space="preserve">BS.ONL - </t>
        </is>
      </c>
      <c r="B57" s="30" t="inlineStr">
        <is>
          <t>Medigo 015</t>
        </is>
      </c>
      <c r="C57" s="31" t="inlineStr">
        <is>
          <t>Dinh Thi Thu Trang</t>
        </is>
      </c>
      <c r="D57" s="30" t="inlineStr">
        <is>
          <t>0984890769</t>
        </is>
      </c>
      <c r="E57" s="51" t="inlineStr">
        <is>
          <t>Vietinbank</t>
        </is>
      </c>
      <c r="F57" s="48">
        <f>#REF!</f>
        <v/>
      </c>
      <c r="G57" s="30" t="inlineStr">
        <is>
          <t xml:space="preserve">Medigo TT Luong T10.2024 -  BS.ONL -  </t>
        </is>
      </c>
      <c r="H57" s="30">
        <f>C57</f>
        <v/>
      </c>
      <c r="I57" s="35">
        <f>G57&amp;" "&amp;H57</f>
        <v/>
      </c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23.25" customHeight="1" s="1264">
      <c r="A58" s="50" t="n"/>
      <c r="B58" s="30" t="n"/>
      <c r="C58" s="30" t="n"/>
      <c r="D58" s="31" t="n"/>
      <c r="E58" s="30" t="n"/>
      <c r="F58" s="49">
        <f>SUM(F33:F57)</f>
        <v/>
      </c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5" customHeight="1" s="1264">
      <c r="A59" s="34" t="inlineStr">
        <is>
          <t>MEDIGO_CTV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26.25" customHeight="1" s="1264">
      <c r="A60" s="30" t="inlineStr">
        <is>
          <t xml:space="preserve">P.IT - </t>
        </is>
      </c>
      <c r="B60" s="30" t="inlineStr">
        <is>
          <t>Medigo 015</t>
        </is>
      </c>
      <c r="C60" s="31" t="inlineStr">
        <is>
          <t>Vo Nguyen Doan Thao</t>
        </is>
      </c>
      <c r="D60" s="31" t="inlineStr">
        <is>
          <t>0004100038772006</t>
        </is>
      </c>
      <c r="E60" s="30" t="inlineStr">
        <is>
          <t>OCB</t>
        </is>
      </c>
      <c r="F60" s="48">
        <f>#REF!</f>
        <v/>
      </c>
      <c r="G60" s="30" t="inlineStr">
        <is>
          <t xml:space="preserve">Medigo TT Luong T10.2024 -  P.IT -  </t>
        </is>
      </c>
      <c r="H60" s="30">
        <f>C60</f>
        <v/>
      </c>
      <c r="I60" s="35">
        <f>G60&amp;" "&amp;H60</f>
        <v/>
      </c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26.25" customHeight="1" s="1264">
      <c r="A61" s="30" t="inlineStr">
        <is>
          <t xml:space="preserve">P.IT - </t>
        </is>
      </c>
      <c r="B61" s="30" t="inlineStr">
        <is>
          <t>Medigo 015</t>
        </is>
      </c>
      <c r="C61" s="31" t="inlineStr">
        <is>
          <t>Dang Quang Vinh</t>
        </is>
      </c>
      <c r="D61" s="1195" t="inlineStr">
        <is>
          <t>0704833644</t>
        </is>
      </c>
      <c r="E61" s="30" t="inlineStr">
        <is>
          <t>MB Bank</t>
        </is>
      </c>
      <c r="F61" s="48">
        <f>#REF!</f>
        <v/>
      </c>
      <c r="G61" s="30" t="inlineStr">
        <is>
          <t xml:space="preserve">Medigo TT Luong T10.2024 -  P.IT -  </t>
        </is>
      </c>
      <c r="H61" s="30">
        <f>C61</f>
        <v/>
      </c>
      <c r="I61" s="35">
        <f>G61&amp;" "&amp;H61</f>
        <v/>
      </c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26.25" customHeight="1" s="1264">
      <c r="A62" s="30" t="inlineStr">
        <is>
          <t xml:space="preserve">P.IT - </t>
        </is>
      </c>
      <c r="B62" s="30" t="inlineStr">
        <is>
          <t>Medigo 015</t>
        </is>
      </c>
      <c r="C62" s="31" t="inlineStr">
        <is>
          <t>Luu Chan Hung</t>
        </is>
      </c>
      <c r="D62" s="1195" t="inlineStr">
        <is>
          <t>0004100037733007</t>
        </is>
      </c>
      <c r="E62" s="1195" t="inlineStr">
        <is>
          <t>OCB</t>
        </is>
      </c>
      <c r="F62" s="48">
        <f>#REF!</f>
        <v/>
      </c>
      <c r="G62" s="30" t="inlineStr">
        <is>
          <t xml:space="preserve">Medigo TT Luong T10.2024 -  P.IT -  </t>
        </is>
      </c>
      <c r="H62" s="30">
        <f>C62</f>
        <v/>
      </c>
      <c r="I62" s="35">
        <f>G62&amp;" "&amp;H62</f>
        <v/>
      </c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26.25" customHeight="1" s="1264">
      <c r="A63" s="30" t="inlineStr">
        <is>
          <t xml:space="preserve">P.IT - </t>
        </is>
      </c>
      <c r="B63" s="30" t="inlineStr">
        <is>
          <t>Medigo 015</t>
        </is>
      </c>
      <c r="C63" s="31" t="inlineStr">
        <is>
          <t>Nguyen Phan Hoang Phuc</t>
        </is>
      </c>
      <c r="D63" s="1195" t="inlineStr">
        <is>
          <t>0369322789</t>
        </is>
      </c>
      <c r="E63" s="1195" t="inlineStr">
        <is>
          <t>MB bank</t>
        </is>
      </c>
      <c r="F63" s="48">
        <f>#REF!</f>
        <v/>
      </c>
      <c r="G63" s="30" t="inlineStr">
        <is>
          <t xml:space="preserve">Medigo TT Luong T10.2024 -  P.IT -  </t>
        </is>
      </c>
      <c r="H63" s="30">
        <f>C63</f>
        <v/>
      </c>
      <c r="I63" s="35">
        <f>G63&amp;" "&amp;H63</f>
        <v/>
      </c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26.25" customHeight="1" s="1264">
      <c r="A64" s="30" t="inlineStr">
        <is>
          <t xml:space="preserve">P.VAN HANH NT - </t>
        </is>
      </c>
      <c r="B64" s="52" t="inlineStr">
        <is>
          <t>Medigo 015</t>
        </is>
      </c>
      <c r="C64" s="52" t="inlineStr">
        <is>
          <t>Nguyen Duc Viet Khoa</t>
        </is>
      </c>
      <c r="D64" s="1196" t="inlineStr">
        <is>
          <t>100874109827</t>
        </is>
      </c>
      <c r="E64" s="52" t="inlineStr">
        <is>
          <t>Vietinbank</t>
        </is>
      </c>
      <c r="F64" s="48">
        <f>#REF!</f>
        <v/>
      </c>
      <c r="G64" s="30" t="inlineStr">
        <is>
          <t xml:space="preserve">Medigo TT Luong T10.2024 -  P.VAN HANH NT -  </t>
        </is>
      </c>
      <c r="H64" s="30">
        <f>C64</f>
        <v/>
      </c>
      <c r="I64" s="35">
        <f>G64&amp;" "&amp;H64</f>
        <v/>
      </c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6.25" customHeight="1" s="1264">
      <c r="A65" s="30" t="inlineStr">
        <is>
          <t xml:space="preserve">P.MARKETING - </t>
        </is>
      </c>
      <c r="B65" s="30" t="inlineStr">
        <is>
          <t>Medigo 015</t>
        </is>
      </c>
      <c r="C65" s="31" t="inlineStr">
        <is>
          <t>Nguyen Thi Xuan Phuong</t>
        </is>
      </c>
      <c r="D65" s="31" t="inlineStr">
        <is>
          <t>Xp200104</t>
        </is>
      </c>
      <c r="E65" s="30" t="inlineStr">
        <is>
          <t>Tiên Phong bank (TP bank)</t>
        </is>
      </c>
      <c r="F65" s="48">
        <f>#REF!</f>
        <v/>
      </c>
      <c r="G65" s="30" t="inlineStr">
        <is>
          <t xml:space="preserve">Medigo TT Luong T10.2024 -  P.MARKETING -  </t>
        </is>
      </c>
      <c r="H65" s="30">
        <f>C65</f>
        <v/>
      </c>
      <c r="I65" s="35">
        <f>G65&amp;" "&amp;H65</f>
        <v/>
      </c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26.25" customHeight="1" s="1264">
      <c r="A66" s="30" t="inlineStr">
        <is>
          <t xml:space="preserve">P.KT - </t>
        </is>
      </c>
      <c r="B66" s="30" t="inlineStr">
        <is>
          <t>Medigo 015</t>
        </is>
      </c>
      <c r="C66" s="31" t="inlineStr">
        <is>
          <t>Duong Ngoc Vy</t>
        </is>
      </c>
      <c r="D66" s="31" t="inlineStr">
        <is>
          <t>0251002763091</t>
        </is>
      </c>
      <c r="E66" s="30" t="inlineStr">
        <is>
          <t>VCB</t>
        </is>
      </c>
      <c r="F66" s="48">
        <f>#REF!</f>
        <v/>
      </c>
      <c r="G66" s="30" t="inlineStr">
        <is>
          <t xml:space="preserve">Medigo TT Luong T10.2024 -  P.KT - </t>
        </is>
      </c>
      <c r="H66" s="30">
        <f>C66</f>
        <v/>
      </c>
      <c r="I66" s="35">
        <f>G66&amp;" "&amp;H66</f>
        <v/>
      </c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26.25" customHeight="1" s="1264">
      <c r="A67" s="30" t="inlineStr">
        <is>
          <t xml:space="preserve">P.KT - </t>
        </is>
      </c>
      <c r="B67" s="30" t="inlineStr">
        <is>
          <t>Medigo 015</t>
        </is>
      </c>
      <c r="C67" s="31" t="inlineStr">
        <is>
          <t>Thai Ngoc Hanh</t>
        </is>
      </c>
      <c r="D67" s="1197" t="inlineStr">
        <is>
          <t>0001624671534</t>
        </is>
      </c>
      <c r="E67" s="30" t="inlineStr">
        <is>
          <t>MB Bank</t>
        </is>
      </c>
      <c r="F67" s="48">
        <f>#REF!</f>
        <v/>
      </c>
      <c r="G67" s="30" t="inlineStr">
        <is>
          <t xml:space="preserve">Medigo TT Luong T10.2024 -  P.KT - </t>
        </is>
      </c>
      <c r="H67" s="30">
        <f>C67</f>
        <v/>
      </c>
      <c r="I67" s="35">
        <f>G67&amp;" "&amp;H67</f>
        <v/>
      </c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26.25" customHeight="1" s="1264">
      <c r="A68" s="30" t="inlineStr">
        <is>
          <t xml:space="preserve">P.PD - </t>
        </is>
      </c>
      <c r="B68" s="30" t="inlineStr">
        <is>
          <t>Medigo 015</t>
        </is>
      </c>
      <c r="C68" s="31" t="inlineStr">
        <is>
          <t>Le Thi Thuy Huong</t>
        </is>
      </c>
      <c r="D68" s="1197" t="inlineStr">
        <is>
          <t>1015816066</t>
        </is>
      </c>
      <c r="E68" s="30" t="inlineStr">
        <is>
          <t>Vietcombank - Ngân hàng thương mại cổ phần Ngoại thương Việt Nam</t>
        </is>
      </c>
      <c r="F68" s="48">
        <f>#REF!</f>
        <v/>
      </c>
      <c r="G68" s="30" t="inlineStr">
        <is>
          <t xml:space="preserve">Medigo TT Luong T10.2024 -  P.PD - </t>
        </is>
      </c>
      <c r="H68" s="30">
        <f>C68</f>
        <v/>
      </c>
      <c r="I68" s="35">
        <f>G68&amp;" "&amp;H68</f>
        <v/>
      </c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5.75" customHeight="1" s="1264">
      <c r="A69" s="30" t="n"/>
      <c r="B69" s="30" t="n"/>
      <c r="C69" s="31" t="n"/>
      <c r="D69" s="30" t="n"/>
      <c r="E69" s="30" t="n"/>
      <c r="F69" s="49">
        <f>SUM(F60:F68)</f>
        <v/>
      </c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5.75" customHeight="1" s="1264">
      <c r="A70" s="54" t="inlineStr">
        <is>
          <t>LƯƠNG NỘI BỘ</t>
        </is>
      </c>
      <c r="B70" s="30" t="n"/>
      <c r="C70" s="30" t="n"/>
      <c r="D70" s="31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5.75" customHeight="1" s="1264">
      <c r="A71" s="50" t="n"/>
      <c r="B71" s="30" t="inlineStr">
        <is>
          <t>Medigo 012</t>
        </is>
      </c>
      <c r="C71" s="30" t="inlineStr">
        <is>
          <t>Le Huu Ha</t>
        </is>
      </c>
      <c r="D71" s="31" t="inlineStr">
        <is>
          <t>19130751923025</t>
        </is>
      </c>
      <c r="E71" s="30" t="inlineStr">
        <is>
          <t>Techcombank</t>
        </is>
      </c>
      <c r="F71" s="48" t="n">
        <v>30665000</v>
      </c>
      <c r="G71" s="30" t="inlineStr">
        <is>
          <t>Medigo TT Luong T10.2024 - BOD - Le Huu Ha</t>
        </is>
      </c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1264">
      <c r="A72" s="50" t="n"/>
      <c r="B72" s="30" t="n"/>
      <c r="C72" s="30" t="n"/>
      <c r="D72" s="31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5.75" customHeight="1" s="1264">
      <c r="A73" s="55" t="inlineStr">
        <is>
          <t>MED SERVICE</t>
        </is>
      </c>
      <c r="B73" s="56" t="n"/>
      <c r="C73" s="56" t="n"/>
      <c r="D73" s="57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 ht="26.25" customHeight="1" s="1264">
      <c r="A74" s="30" t="inlineStr">
        <is>
          <t xml:space="preserve">P.VAN HANH - </t>
        </is>
      </c>
      <c r="B74" s="30" t="inlineStr">
        <is>
          <t>Med Service 018</t>
        </is>
      </c>
      <c r="C74" s="30" t="inlineStr">
        <is>
          <t>Nong Thi Bich</t>
        </is>
      </c>
      <c r="D74" s="31" t="inlineStr">
        <is>
          <t>4701205145047</t>
        </is>
      </c>
      <c r="E74" s="30" t="inlineStr">
        <is>
          <t>Agribank - TP. Nha Trang, tỉnh Khánh Hòa</t>
        </is>
      </c>
      <c r="F74" s="48">
        <f>#REF!</f>
        <v/>
      </c>
      <c r="G74" s="30" t="inlineStr">
        <is>
          <t xml:space="preserve">Med TT Luong T10.2024 P.VAN HANH - </t>
        </is>
      </c>
      <c r="H74" s="30">
        <f>C74</f>
        <v/>
      </c>
      <c r="I74" s="35">
        <f>G74&amp;" "&amp;H74</f>
        <v/>
      </c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26.25" customHeight="1" s="1264">
      <c r="A75" s="30" t="inlineStr">
        <is>
          <t xml:space="preserve">P.VAN HANH - </t>
        </is>
      </c>
      <c r="B75" s="30" t="inlineStr">
        <is>
          <t>Med Service 018</t>
        </is>
      </c>
      <c r="C75" s="30" t="inlineStr">
        <is>
          <t>Le Thi Quy Ngoc</t>
        </is>
      </c>
      <c r="D75" s="31" t="inlineStr">
        <is>
          <t>0441000768646</t>
        </is>
      </c>
      <c r="E75" s="30" t="inlineStr">
        <is>
          <t>VCB</t>
        </is>
      </c>
      <c r="F75" s="48">
        <f>#REF!</f>
        <v/>
      </c>
      <c r="G75" s="30" t="inlineStr">
        <is>
          <t xml:space="preserve">Med TT Luong T10.2024 P.VAN HANH - </t>
        </is>
      </c>
      <c r="H75" s="30">
        <f>C75</f>
        <v/>
      </c>
      <c r="I75" s="35">
        <f>G75&amp;" "&amp;H75</f>
        <v/>
      </c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26.25" customHeight="1" s="1264">
      <c r="A76" s="30" t="inlineStr">
        <is>
          <t xml:space="preserve">P.VAN HANH - </t>
        </is>
      </c>
      <c r="B76" s="30" t="inlineStr">
        <is>
          <t>Med Service 018</t>
        </is>
      </c>
      <c r="C76" s="30" t="inlineStr">
        <is>
          <t>Le Thu Ha</t>
        </is>
      </c>
      <c r="D76" s="1195" t="inlineStr">
        <is>
          <t>0511000409951</t>
        </is>
      </c>
      <c r="E76" s="30" t="inlineStr">
        <is>
          <t>Vietcombank</t>
        </is>
      </c>
      <c r="F76" s="48">
        <f>#REF!</f>
        <v/>
      </c>
      <c r="G76" s="30" t="inlineStr">
        <is>
          <t xml:space="preserve">Med TT Luong T10.2024 P.VAN HANH - </t>
        </is>
      </c>
      <c r="H76" s="30">
        <f>C76</f>
        <v/>
      </c>
      <c r="I76" s="35">
        <f>G76&amp;" "&amp;H76</f>
        <v/>
      </c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26.25" customHeight="1" s="1264">
      <c r="A77" s="30" t="inlineStr">
        <is>
          <t xml:space="preserve">P.VAN HANH - </t>
        </is>
      </c>
      <c r="B77" s="30" t="inlineStr">
        <is>
          <t>Med Service 018</t>
        </is>
      </c>
      <c r="C77" s="30" t="inlineStr">
        <is>
          <t>Vu Thi Kim Phung</t>
        </is>
      </c>
      <c r="D77" s="31" t="inlineStr">
        <is>
          <t>19036786706012</t>
        </is>
      </c>
      <c r="E77" s="30" t="inlineStr">
        <is>
          <t>Techcombank</t>
        </is>
      </c>
      <c r="F77" s="48">
        <f>#REF!</f>
        <v/>
      </c>
      <c r="G77" s="30" t="inlineStr">
        <is>
          <t xml:space="preserve">Med TT Luong T10.2024 P.VAN HANH - </t>
        </is>
      </c>
      <c r="H77" s="30">
        <f>C77</f>
        <v/>
      </c>
      <c r="I77" s="35">
        <f>G77&amp;" "&amp;H77</f>
        <v/>
      </c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26.25" customHeight="1" s="1264">
      <c r="A78" s="30" t="inlineStr">
        <is>
          <t xml:space="preserve">P.VAN HANH - </t>
        </is>
      </c>
      <c r="B78" s="30" t="inlineStr">
        <is>
          <t>Med Service 018</t>
        </is>
      </c>
      <c r="C78" s="30" t="inlineStr">
        <is>
          <t>Tran Pham Thi Khanh Vy</t>
        </is>
      </c>
      <c r="D78" s="31" t="inlineStr">
        <is>
          <t>1018632367</t>
        </is>
      </c>
      <c r="E78" s="30" t="inlineStr">
        <is>
          <t>VCB</t>
        </is>
      </c>
      <c r="F78" s="48">
        <f>#REF!</f>
        <v/>
      </c>
      <c r="G78" s="30" t="inlineStr">
        <is>
          <t xml:space="preserve">Med TT Luong T10.2024 P.VAN HANH - </t>
        </is>
      </c>
      <c r="H78" s="30">
        <f>C78</f>
        <v/>
      </c>
      <c r="I78" s="35">
        <f>G78&amp;" "&amp;H78</f>
        <v/>
      </c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26.25" customHeight="1" s="1264">
      <c r="A79" s="30" t="inlineStr">
        <is>
          <t xml:space="preserve">P.VAN HANH - </t>
        </is>
      </c>
      <c r="B79" s="30" t="inlineStr">
        <is>
          <t>Med Service 018</t>
        </is>
      </c>
      <c r="C79" s="30" t="inlineStr">
        <is>
          <t>Nguyen Thi Thanh Sang</t>
        </is>
      </c>
      <c r="D79" s="31" t="inlineStr">
        <is>
          <t>20069666879</t>
        </is>
      </c>
      <c r="E79" s="30" t="inlineStr">
        <is>
          <t>TP Bank</t>
        </is>
      </c>
      <c r="F79" s="48">
        <f>#REF!</f>
        <v/>
      </c>
      <c r="G79" s="30" t="inlineStr">
        <is>
          <t xml:space="preserve">Med TT Luong T10.2024 P.VAN HANH - </t>
        </is>
      </c>
      <c r="H79" s="30">
        <f>C79</f>
        <v/>
      </c>
      <c r="I79" s="35">
        <f>G79&amp;" "&amp;H79</f>
        <v/>
      </c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26.25" customHeight="1" s="1264">
      <c r="A80" s="30" t="inlineStr">
        <is>
          <t xml:space="preserve">P.VAN HANH - </t>
        </is>
      </c>
      <c r="B80" s="30" t="inlineStr">
        <is>
          <t>Med Service 018</t>
        </is>
      </c>
      <c r="C80" s="30" t="inlineStr">
        <is>
          <t>Ngo Phuong Quynh</t>
        </is>
      </c>
      <c r="D80" s="31" t="inlineStr">
        <is>
          <t>0531002575415</t>
        </is>
      </c>
      <c r="E80" s="30" t="inlineStr">
        <is>
          <t>Vietcombank</t>
        </is>
      </c>
      <c r="F80" s="48">
        <f>#REF!</f>
        <v/>
      </c>
      <c r="G80" s="30" t="inlineStr">
        <is>
          <t xml:space="preserve">Med TT Luong T10.2024 P.VAN HANH - </t>
        </is>
      </c>
      <c r="H80" s="30">
        <f>C80</f>
        <v/>
      </c>
      <c r="I80" s="35">
        <f>G80&amp;" "&amp;H80</f>
        <v/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26.25" customHeight="1" s="1264">
      <c r="A81" s="30" t="inlineStr">
        <is>
          <t xml:space="preserve">P.VAN HANH - </t>
        </is>
      </c>
      <c r="B81" s="30" t="inlineStr">
        <is>
          <t>Med Service 018</t>
        </is>
      </c>
      <c r="C81" s="30" t="inlineStr">
        <is>
          <t>Nguyen Hong Hai</t>
        </is>
      </c>
      <c r="D81" s="31" t="inlineStr">
        <is>
          <t>19036983446014</t>
        </is>
      </c>
      <c r="E81" s="30" t="inlineStr">
        <is>
          <t>Techcombank</t>
        </is>
      </c>
      <c r="F81" s="48">
        <f>#REF!</f>
        <v/>
      </c>
      <c r="G81" s="30" t="inlineStr">
        <is>
          <t xml:space="preserve">Med TT Luong T10.2024 P.VAN HANH - </t>
        </is>
      </c>
      <c r="H81" s="30">
        <f>C81</f>
        <v/>
      </c>
      <c r="I81" s="35">
        <f>G81&amp;" "&amp;H81</f>
        <v/>
      </c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26.25" customHeight="1" s="1264">
      <c r="A82" s="30" t="inlineStr">
        <is>
          <t xml:space="preserve">P.ADMIN-CSKH - </t>
        </is>
      </c>
      <c r="B82" s="30" t="inlineStr">
        <is>
          <t>Med Service 018</t>
        </is>
      </c>
      <c r="C82" s="30" t="inlineStr">
        <is>
          <t>Nguyen Thi Kim Hue</t>
        </is>
      </c>
      <c r="D82" s="31" t="inlineStr">
        <is>
          <t>101877631559</t>
        </is>
      </c>
      <c r="E82" s="30" t="inlineStr">
        <is>
          <t>Vietinbank</t>
        </is>
      </c>
      <c r="F82" s="48">
        <f>#REF!</f>
        <v/>
      </c>
      <c r="G82" s="30" t="inlineStr">
        <is>
          <t xml:space="preserve">Med TT Luong T10.2024 P.ADMIN-CSKH -  </t>
        </is>
      </c>
      <c r="H82" s="30">
        <f>C82</f>
        <v/>
      </c>
      <c r="I82" s="35">
        <f>G82&amp;" "&amp;H82</f>
        <v/>
      </c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26.25" customHeight="1" s="1264">
      <c r="A83" s="30" t="inlineStr">
        <is>
          <t xml:space="preserve">P.PD - </t>
        </is>
      </c>
      <c r="B83" s="30" t="inlineStr">
        <is>
          <t>Med Service 018</t>
        </is>
      </c>
      <c r="C83" s="30" t="inlineStr">
        <is>
          <t>Nguyen Hoang Nguyen Dan</t>
        </is>
      </c>
      <c r="D83" s="31" t="inlineStr">
        <is>
          <t>0865817107</t>
        </is>
      </c>
      <c r="E83" s="30" t="inlineStr">
        <is>
          <t>Shinhanbank</t>
        </is>
      </c>
      <c r="F83" s="48">
        <f>#REF!</f>
        <v/>
      </c>
      <c r="G83" s="30" t="inlineStr">
        <is>
          <t xml:space="preserve">Med TT Luong T10.2024 P.PD -  </t>
        </is>
      </c>
      <c r="H83" s="30">
        <f>C83</f>
        <v/>
      </c>
      <c r="I83" s="35">
        <f>G83&amp;" "&amp;H83</f>
        <v/>
      </c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26.25" customHeight="1" s="1264">
      <c r="A84" s="30" t="inlineStr">
        <is>
          <t xml:space="preserve">P.XN - </t>
        </is>
      </c>
      <c r="B84" s="30" t="inlineStr">
        <is>
          <t>Med Service 018</t>
        </is>
      </c>
      <c r="C84" s="30" t="inlineStr">
        <is>
          <t>Vo Hong Duyen</t>
        </is>
      </c>
      <c r="D84" s="31" t="inlineStr">
        <is>
          <t>0421000492697</t>
        </is>
      </c>
      <c r="E84" s="30" t="inlineStr">
        <is>
          <t>Vietcombank</t>
        </is>
      </c>
      <c r="F84" s="48">
        <f>#REF!</f>
        <v/>
      </c>
      <c r="G84" s="30" t="inlineStr">
        <is>
          <t xml:space="preserve">Med TT Luong T10.2024 P.XN -  </t>
        </is>
      </c>
      <c r="H84" s="30">
        <f>C84</f>
        <v/>
      </c>
      <c r="I84" s="35">
        <f>G84&amp;" "&amp;H84</f>
        <v/>
      </c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26.25" customHeight="1" s="1264">
      <c r="A85" s="30" t="inlineStr">
        <is>
          <t xml:space="preserve">P.XN - </t>
        </is>
      </c>
      <c r="B85" s="30" t="inlineStr">
        <is>
          <t>Med Service 018</t>
        </is>
      </c>
      <c r="C85" s="30" t="inlineStr">
        <is>
          <t>Le Thanh Toan</t>
        </is>
      </c>
      <c r="D85" s="31" t="inlineStr">
        <is>
          <t>19038793631012</t>
        </is>
      </c>
      <c r="E85" s="30" t="inlineStr">
        <is>
          <t>Techcombank</t>
        </is>
      </c>
      <c r="F85" s="48">
        <f>#REF!</f>
        <v/>
      </c>
      <c r="G85" s="30" t="inlineStr">
        <is>
          <t xml:space="preserve">Med TT Luong T10.2024 P.XN -  </t>
        </is>
      </c>
      <c r="H85" s="30">
        <f>C85</f>
        <v/>
      </c>
      <c r="I85" s="35">
        <f>G85&amp;" "&amp;H85</f>
        <v/>
      </c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26.25" customHeight="1" s="1264">
      <c r="A86" s="30" t="inlineStr">
        <is>
          <t xml:space="preserve">P.XN - </t>
        </is>
      </c>
      <c r="B86" s="30" t="inlineStr">
        <is>
          <t>Med Service 018</t>
        </is>
      </c>
      <c r="C86" s="30" t="inlineStr">
        <is>
          <t>Tran Minh Nhat</t>
        </is>
      </c>
      <c r="D86" s="31" t="inlineStr">
        <is>
          <t>19031654726020</t>
        </is>
      </c>
      <c r="E86" s="30" t="inlineStr">
        <is>
          <t>Techcombank</t>
        </is>
      </c>
      <c r="F86" s="48">
        <f>#REF!</f>
        <v/>
      </c>
      <c r="G86" s="30" t="inlineStr">
        <is>
          <t xml:space="preserve">Med TT Luong T10.2024 P.XN -  </t>
        </is>
      </c>
      <c r="H86" s="30">
        <f>C86</f>
        <v/>
      </c>
      <c r="I86" s="35">
        <f>G86&amp;" "&amp;H86</f>
        <v/>
      </c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5.75" customHeight="1" s="1264">
      <c r="A87" s="30" t="n"/>
      <c r="B87" s="30" t="n"/>
      <c r="C87" s="30" t="n"/>
      <c r="D87" s="31" t="n"/>
      <c r="E87" s="30" t="n"/>
      <c r="F87" s="49">
        <f>SUM(F74:F86)</f>
        <v/>
      </c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5.75" customHeight="1" s="1264">
      <c r="A88" s="58" t="inlineStr">
        <is>
          <t>MED_CTV INVENTORY TEAM</t>
        </is>
      </c>
      <c r="B88" s="58" t="n"/>
      <c r="C88" s="58" t="n"/>
      <c r="D88" s="31" t="n"/>
      <c r="E88" s="30" t="n"/>
      <c r="F88" s="48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5.75" customHeight="1" s="1264">
      <c r="A89" s="30" t="inlineStr">
        <is>
          <t xml:space="preserve">P.PD - </t>
        </is>
      </c>
      <c r="B89" s="30" t="inlineStr">
        <is>
          <t>Med Service 018</t>
        </is>
      </c>
      <c r="C89" s="31" t="inlineStr">
        <is>
          <t>Phạm Trần Vân An</t>
        </is>
      </c>
      <c r="D89" s="31" t="inlineStr">
        <is>
          <t>104877160004</t>
        </is>
      </c>
      <c r="E89" s="31" t="inlineStr">
        <is>
          <t>Vietinbank</t>
        </is>
      </c>
      <c r="F89" s="48">
        <f>#REF!</f>
        <v/>
      </c>
      <c r="G89" s="30" t="inlineStr">
        <is>
          <t>Med TT Luong T10.2024 P.PD -  Pham Tran Van Anh</t>
        </is>
      </c>
      <c r="H89" s="30" t="n"/>
      <c r="I89" s="30" t="inlineStr">
        <is>
          <t>Med TT Luong T10.2024 P.PD -  Pham Tran Van Anh</t>
        </is>
      </c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5.75" customHeight="1" s="1264">
      <c r="A90" s="30" t="n"/>
      <c r="B90" s="30" t="n"/>
      <c r="C90" s="30" t="n"/>
      <c r="D90" s="31" t="n"/>
      <c r="E90" s="30" t="n"/>
      <c r="F90" s="49">
        <f>SUM(F89)</f>
        <v/>
      </c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5.75" customHeight="1" s="1264">
      <c r="A91" s="59" t="inlineStr">
        <is>
          <t>DƯỢC SĨ ĐỨNG BẰNG</t>
        </is>
      </c>
      <c r="B91" s="30" t="n"/>
      <c r="C91" s="30" t="n"/>
      <c r="D91" s="31" t="n"/>
      <c r="E91" s="30" t="n"/>
      <c r="F91" s="48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5.75" customHeight="1" s="1264">
      <c r="A92" s="30" t="inlineStr">
        <is>
          <t>P.XN</t>
        </is>
      </c>
      <c r="B92" s="30" t="n"/>
      <c r="C92" s="30" t="inlineStr">
        <is>
          <t>Nguyen Anh Tuan</t>
        </is>
      </c>
      <c r="D92" s="31" t="inlineStr">
        <is>
          <t>6380215021812</t>
        </is>
      </c>
      <c r="E92" s="30" t="inlineStr">
        <is>
          <t>Agribank  chi nhánh Bình Triệu, HCM</t>
        </is>
      </c>
      <c r="F92" s="48">
        <f>#REF!</f>
        <v/>
      </c>
      <c r="G92" s="30" t="inlineStr">
        <is>
          <t>Med TT Luong T10.2024 - DSDB</t>
        </is>
      </c>
      <c r="H92" s="30">
        <f>C92</f>
        <v/>
      </c>
      <c r="I92" s="35">
        <f>G92&amp;" "&amp;H92</f>
        <v/>
      </c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5.75" customHeight="1" s="1264">
      <c r="A93" s="30" t="inlineStr">
        <is>
          <t>P.VẬN HÀNH NT</t>
        </is>
      </c>
      <c r="B93" s="30" t="n"/>
      <c r="C93" s="30" t="inlineStr">
        <is>
          <t>Tran Thanh Long</t>
        </is>
      </c>
      <c r="D93" s="31" t="inlineStr">
        <is>
          <t>0367851304</t>
        </is>
      </c>
      <c r="E93" s="30" t="inlineStr">
        <is>
          <t>TP Bank</t>
        </is>
      </c>
      <c r="F93" s="48">
        <f>#REF!</f>
        <v/>
      </c>
      <c r="G93" s="30" t="inlineStr">
        <is>
          <t>Med TT Luong T10.2024 - DSDB</t>
        </is>
      </c>
      <c r="H93" s="30">
        <f>C93</f>
        <v/>
      </c>
      <c r="I93" s="35">
        <f>G93&amp;" "&amp;H93</f>
        <v/>
      </c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5.75" customHeight="1" s="1264">
      <c r="A94" s="30" t="inlineStr">
        <is>
          <t>P.VẬN HÀNH NT</t>
        </is>
      </c>
      <c r="B94" s="30" t="n"/>
      <c r="C94" s="30" t="inlineStr">
        <is>
          <t>Hoang Anh Tai</t>
        </is>
      </c>
      <c r="D94" s="31" t="inlineStr">
        <is>
          <t>0938265135</t>
        </is>
      </c>
      <c r="E94" s="30" t="inlineStr">
        <is>
          <t>TP bank</t>
        </is>
      </c>
      <c r="F94" s="48">
        <f>#REF!</f>
        <v/>
      </c>
      <c r="G94" s="30" t="inlineStr">
        <is>
          <t>Med TT Luong T10.2024 - DSDB</t>
        </is>
      </c>
      <c r="H94" s="30">
        <f>C94</f>
        <v/>
      </c>
      <c r="I94" s="35">
        <f>G94&amp;" "&amp;H94</f>
        <v/>
      </c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5.75" customHeight="1" s="1264">
      <c r="A95" s="30" t="inlineStr">
        <is>
          <t>P.VẬN HÀNH NT</t>
        </is>
      </c>
      <c r="B95" s="30" t="n"/>
      <c r="C95" s="30" t="inlineStr">
        <is>
          <t>Ton Nu Thanh Hien</t>
        </is>
      </c>
      <c r="D95" s="31" t="inlineStr">
        <is>
          <t>1020418091</t>
        </is>
      </c>
      <c r="E95" s="30" t="inlineStr">
        <is>
          <t>VCB</t>
        </is>
      </c>
      <c r="F95" s="48">
        <f>#REF!</f>
        <v/>
      </c>
      <c r="G95" s="30" t="inlineStr">
        <is>
          <t>Med TT Luong T10.2024 - DSDB</t>
        </is>
      </c>
      <c r="H95" s="30">
        <f>C95</f>
        <v/>
      </c>
      <c r="I95" s="35">
        <f>G95&amp;" "&amp;H95</f>
        <v/>
      </c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5.75" customHeight="1" s="1264">
      <c r="A96" s="30" t="inlineStr">
        <is>
          <t>P.VẬN HÀNH NT</t>
        </is>
      </c>
      <c r="B96" s="30" t="n"/>
      <c r="C96" s="30" t="inlineStr">
        <is>
          <t>Bui Thi Hong Phuong</t>
        </is>
      </c>
      <c r="D96" s="31" t="inlineStr">
        <is>
          <t>0071001114247</t>
        </is>
      </c>
      <c r="E96" s="30" t="inlineStr">
        <is>
          <t>VCB</t>
        </is>
      </c>
      <c r="F96" s="48">
        <f>#REF!</f>
        <v/>
      </c>
      <c r="G96" s="30" t="inlineStr">
        <is>
          <t>Med TT Luong T10.2024 - DSDB</t>
        </is>
      </c>
      <c r="H96" s="30">
        <f>C96</f>
        <v/>
      </c>
      <c r="I96" s="35">
        <f>G96&amp;" "&amp;H96</f>
        <v/>
      </c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5.75" customHeight="1" s="1264">
      <c r="A97" s="30" t="inlineStr">
        <is>
          <t>P.VẬN HÀNH NT</t>
        </is>
      </c>
      <c r="B97" s="30" t="n"/>
      <c r="C97" s="30" t="inlineStr">
        <is>
          <t>Pham Tuyet Mai</t>
        </is>
      </c>
      <c r="D97" s="31" t="inlineStr">
        <is>
          <t>19036740571015</t>
        </is>
      </c>
      <c r="E97" s="30" t="inlineStr">
        <is>
          <t xml:space="preserve">Techcombank </t>
        </is>
      </c>
      <c r="F97" s="48">
        <f>#REF!</f>
        <v/>
      </c>
      <c r="G97" s="30" t="inlineStr">
        <is>
          <t>Med TT Luong T10.2024 - DSDB</t>
        </is>
      </c>
      <c r="H97" s="30">
        <f>C97</f>
        <v/>
      </c>
      <c r="I97" s="35">
        <f>G97&amp;" "&amp;H97</f>
        <v/>
      </c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5.75" customHeight="1" s="1264">
      <c r="A98" s="30" t="inlineStr">
        <is>
          <t>P.VẬN HÀNH NT</t>
        </is>
      </c>
      <c r="B98" s="30" t="n"/>
      <c r="C98" s="30" t="inlineStr">
        <is>
          <t xml:space="preserve">Le Thi Mai </t>
        </is>
      </c>
      <c r="D98" s="31" t="inlineStr">
        <is>
          <t xml:space="preserve">034 923 5409 </t>
        </is>
      </c>
      <c r="E98" s="30" t="inlineStr">
        <is>
          <t>MB Bank</t>
        </is>
      </c>
      <c r="F98" s="48">
        <f>#REF!</f>
        <v/>
      </c>
      <c r="G98" s="30" t="inlineStr">
        <is>
          <t>Med TT Luong T10.2024 - DSDB</t>
        </is>
      </c>
      <c r="H98" s="30">
        <f>C98</f>
        <v/>
      </c>
      <c r="I98" s="35">
        <f>G98&amp;" "&amp;H98</f>
        <v/>
      </c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5.75" customHeight="1" s="1264">
      <c r="A99" s="30" t="inlineStr">
        <is>
          <t>P.VẬN HÀNH NT</t>
        </is>
      </c>
      <c r="B99" s="30" t="n"/>
      <c r="C99" s="30" t="inlineStr">
        <is>
          <t>Thi Meo</t>
        </is>
      </c>
      <c r="D99" s="31" t="inlineStr">
        <is>
          <t xml:space="preserve">0511000416697   </t>
        </is>
      </c>
      <c r="E99" s="30" t="inlineStr">
        <is>
          <t>VCB</t>
        </is>
      </c>
      <c r="F99" s="48">
        <f>#REF!</f>
        <v/>
      </c>
      <c r="G99" s="30" t="inlineStr">
        <is>
          <t>Med TT Luong T10.2024 - DSDB</t>
        </is>
      </c>
      <c r="H99" s="30">
        <f>C99</f>
        <v/>
      </c>
      <c r="I99" s="35">
        <f>G99&amp;" "&amp;H99</f>
        <v/>
      </c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5.75" customHeight="1" s="1264">
      <c r="A100" s="30" t="inlineStr">
        <is>
          <t>P.VẬN HÀNH NT</t>
        </is>
      </c>
      <c r="B100" s="30" t="n"/>
      <c r="C100" s="30" t="inlineStr">
        <is>
          <t>Vu Thi Kim Phung</t>
        </is>
      </c>
      <c r="D100" s="31" t="inlineStr">
        <is>
          <t>19036786706012</t>
        </is>
      </c>
      <c r="E100" s="30" t="inlineStr">
        <is>
          <t>Techcombank</t>
        </is>
      </c>
      <c r="F100" s="48">
        <f>#REF!</f>
        <v/>
      </c>
      <c r="G100" s="30" t="inlineStr">
        <is>
          <t>Med TT Luong T10.2024 - DSDB</t>
        </is>
      </c>
      <c r="H100" s="30">
        <f>C100</f>
        <v/>
      </c>
      <c r="I100" s="35">
        <f>G100&amp;" "&amp;H100</f>
        <v/>
      </c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5.75" customHeight="1" s="1264">
      <c r="A101" s="30" t="inlineStr">
        <is>
          <t>P.VẬN HÀNH NT</t>
        </is>
      </c>
      <c r="B101" s="30" t="n"/>
      <c r="C101" s="30" t="inlineStr">
        <is>
          <t>Nguyen Thanh Van</t>
        </is>
      </c>
      <c r="D101" s="31" t="inlineStr">
        <is>
          <t>19034603067013</t>
        </is>
      </c>
      <c r="E101" s="30" t="inlineStr">
        <is>
          <t>Techcombank</t>
        </is>
      </c>
      <c r="F101" s="48">
        <f>#REF!</f>
        <v/>
      </c>
      <c r="G101" s="30" t="inlineStr">
        <is>
          <t>Med TT Luong T10.2024 - DSDB</t>
        </is>
      </c>
      <c r="H101" s="30">
        <f>C101</f>
        <v/>
      </c>
      <c r="I101" s="35">
        <f>G101&amp;" "&amp;H101</f>
        <v/>
      </c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5.75" customHeight="1" s="1264">
      <c r="A102" s="30" t="inlineStr">
        <is>
          <t>P.VẬN HÀNH NT</t>
        </is>
      </c>
      <c r="B102" s="30" t="n"/>
      <c r="C102" s="30" t="inlineStr">
        <is>
          <t>Nguyen Van Manh</t>
        </is>
      </c>
      <c r="D102" s="31" t="inlineStr">
        <is>
          <t>122445089</t>
        </is>
      </c>
      <c r="E102" s="30" t="inlineStr">
        <is>
          <t>Vp Bank</t>
        </is>
      </c>
      <c r="F102" s="48">
        <f>#REF!</f>
        <v/>
      </c>
      <c r="G102" s="30" t="inlineStr">
        <is>
          <t>Med TT Luong T10.2024 - DSDB</t>
        </is>
      </c>
      <c r="H102" s="30">
        <f>C102</f>
        <v/>
      </c>
      <c r="I102" s="35">
        <f>G102&amp;" "&amp;H102</f>
        <v/>
      </c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5.75" customHeight="1" s="1264">
      <c r="A103" s="30" t="inlineStr">
        <is>
          <t>P.VẬN HÀNH NT</t>
        </is>
      </c>
      <c r="B103" s="30" t="n"/>
      <c r="C103" s="30" t="inlineStr">
        <is>
          <t>Dang Nhu Minh Tam</t>
        </is>
      </c>
      <c r="D103" s="31" t="inlineStr">
        <is>
          <t>7773838686868</t>
        </is>
      </c>
      <c r="E103" s="30" t="inlineStr">
        <is>
          <t>MB Bank</t>
        </is>
      </c>
      <c r="F103" s="48">
        <f>#REF!</f>
        <v/>
      </c>
      <c r="G103" s="30" t="inlineStr">
        <is>
          <t>Med TT Luong T10.2024 - DSDB</t>
        </is>
      </c>
      <c r="H103" s="30">
        <f>C103</f>
        <v/>
      </c>
      <c r="I103" s="35">
        <f>G103&amp;" "&amp;H103</f>
        <v/>
      </c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5.75" customHeight="1" s="1264">
      <c r="A104" s="30" t="n"/>
      <c r="B104" s="30" t="n"/>
      <c r="C104" s="30" t="n"/>
      <c r="D104" s="31" t="n"/>
      <c r="E104" s="30" t="n"/>
      <c r="F104" s="49">
        <f>SUM(F92:F103)</f>
        <v/>
      </c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5.75" customHeight="1" s="1264">
      <c r="A105" s="30" t="n"/>
      <c r="B105" s="30" t="n"/>
      <c r="C105" s="30" t="n"/>
      <c r="D105" s="31" t="n"/>
      <c r="E105" s="30" t="n"/>
      <c r="F105" s="48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5" customHeight="1" s="1264">
      <c r="A106" s="60" t="inlineStr">
        <is>
          <t>LƯƠNG NỘI BỘ</t>
        </is>
      </c>
      <c r="B106" s="50" t="n"/>
      <c r="C106" s="50" t="n"/>
      <c r="D106" s="50" t="n"/>
      <c r="E106" s="50" t="n"/>
      <c r="F106" s="48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1264">
      <c r="A107" s="50" t="n"/>
      <c r="B107" s="30" t="inlineStr">
        <is>
          <t>Medigo 012</t>
        </is>
      </c>
      <c r="C107" s="30" t="inlineStr">
        <is>
          <t>Luu Thanh Tuyen</t>
        </is>
      </c>
      <c r="D107" s="1195" t="inlineStr">
        <is>
          <t>0181000337432</t>
        </is>
      </c>
      <c r="E107" s="30" t="inlineStr">
        <is>
          <t>Vietcombank</t>
        </is>
      </c>
      <c r="F107" s="48">
        <f>#REF!</f>
        <v/>
      </c>
      <c r="G107" s="30" t="inlineStr">
        <is>
          <t>Medigo TT Luong T10.2024 - NOI BO -  Luu Thanh Tuyen</t>
        </is>
      </c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5.75" customHeight="1" s="1264">
      <c r="A108" s="50" t="n"/>
      <c r="B108" s="30" t="inlineStr">
        <is>
          <t>Medigo 012</t>
        </is>
      </c>
      <c r="C108" s="30" t="inlineStr">
        <is>
          <t>Doan Huu Luan</t>
        </is>
      </c>
      <c r="D108" s="31" t="inlineStr">
        <is>
          <t>1020112968002</t>
        </is>
      </c>
      <c r="E108" s="30" t="inlineStr">
        <is>
          <t>MBbank</t>
        </is>
      </c>
      <c r="F108" s="48" t="n">
        <v>9000000</v>
      </c>
      <c r="G108" s="30" t="inlineStr">
        <is>
          <t>Medigo TT Luong T10.2024 - NOI BO -  Doan Huu Luan</t>
        </is>
      </c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8" customHeight="1" s="1264">
      <c r="A109" s="50" t="n"/>
      <c r="B109" s="30" t="inlineStr">
        <is>
          <t>Medigo 012</t>
        </is>
      </c>
      <c r="C109" s="30" t="inlineStr">
        <is>
          <t>Ngo Thi Huong</t>
        </is>
      </c>
      <c r="D109" s="31" t="inlineStr">
        <is>
          <t>19033415015018</t>
        </is>
      </c>
      <c r="E109" s="30" t="inlineStr">
        <is>
          <t>Techcombank</t>
        </is>
      </c>
      <c r="F109" s="48" t="n">
        <v>1400000</v>
      </c>
      <c r="G109" s="30" t="inlineStr">
        <is>
          <t>Medigo TT Luong T10.2024 - NOI BO -  Ngo Thi Huong</t>
        </is>
      </c>
      <c r="H109" s="61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5.75" customHeight="1" s="1264">
      <c r="A110" s="50" t="n"/>
      <c r="B110" s="30" t="n"/>
      <c r="C110" s="30" t="n"/>
      <c r="D110" s="31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5.75" customHeight="1" s="1264">
      <c r="A111" s="50" t="n"/>
      <c r="B111" s="30" t="n"/>
      <c r="C111" s="30" t="n"/>
      <c r="D111" s="31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5.75" customHeight="1" s="1264">
      <c r="A112" s="50" t="n"/>
      <c r="B112" s="30" t="n"/>
      <c r="C112" s="30" t="n"/>
      <c r="D112" s="31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5.75" customHeight="1" s="1264">
      <c r="A113" s="50" t="n"/>
      <c r="B113" s="30" t="n"/>
      <c r="C113" s="30" t="n"/>
      <c r="D113" s="31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5.75" customHeight="1" s="1264">
      <c r="A114" s="50" t="n"/>
      <c r="B114" s="30" t="n"/>
      <c r="C114" s="30" t="n"/>
      <c r="D114" s="31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1264">
      <c r="A115" s="50" t="n"/>
      <c r="B115" s="30" t="n"/>
      <c r="C115" s="30" t="n"/>
      <c r="D115" s="31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5.75" customHeight="1" s="1264">
      <c r="A116" s="50" t="n"/>
      <c r="B116" s="30" t="n"/>
      <c r="C116" s="30" t="n"/>
      <c r="D116" s="31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5.75" customHeight="1" s="1264">
      <c r="A117" s="50" t="n"/>
      <c r="B117" s="30" t="n"/>
      <c r="C117" s="30" t="n"/>
      <c r="D117" s="31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5.75" customHeight="1" s="1264">
      <c r="A118" s="50" t="n"/>
      <c r="B118" s="30" t="n"/>
      <c r="C118" s="30" t="n"/>
      <c r="D118" s="31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5.75" customHeight="1" s="1264">
      <c r="A119" s="50" t="n"/>
      <c r="B119" s="30" t="n"/>
      <c r="C119" s="30" t="n"/>
      <c r="D119" s="31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5.75" customHeight="1" s="1264">
      <c r="A120" s="50" t="n"/>
      <c r="B120" s="30" t="n"/>
      <c r="C120" s="30" t="n"/>
      <c r="D120" s="31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5.75" customHeight="1" s="1264">
      <c r="A121" s="50" t="n"/>
      <c r="B121" s="30" t="n"/>
      <c r="C121" s="30" t="n"/>
      <c r="D121" s="31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5.75" customHeight="1" s="1264">
      <c r="A122" s="50" t="n"/>
      <c r="B122" s="30" t="n"/>
      <c r="C122" s="30" t="n"/>
      <c r="D122" s="31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5.75" customHeight="1" s="1264">
      <c r="A123" s="50" t="n"/>
      <c r="B123" s="30" t="n"/>
      <c r="C123" s="30" t="n"/>
      <c r="D123" s="31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5.75" customHeight="1" s="1264">
      <c r="A124" s="50" t="n"/>
      <c r="B124" s="30" t="n"/>
      <c r="C124" s="30" t="n"/>
      <c r="D124" s="31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5.75" customHeight="1" s="1264">
      <c r="A125" s="50" t="n"/>
      <c r="B125" s="30" t="n"/>
      <c r="C125" s="30" t="n"/>
      <c r="D125" s="31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5.75" customHeight="1" s="1264">
      <c r="A126" s="50" t="n"/>
      <c r="B126" s="30" t="n"/>
      <c r="C126" s="30" t="n"/>
      <c r="D126" s="31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5.75" customHeight="1" s="1264">
      <c r="A127" s="50" t="n"/>
      <c r="B127" s="30" t="n"/>
      <c r="C127" s="30" t="n"/>
      <c r="D127" s="31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5.75" customHeight="1" s="1264">
      <c r="A128" s="50" t="n"/>
      <c r="B128" s="30" t="n"/>
      <c r="C128" s="30" t="n"/>
      <c r="D128" s="31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5.75" customHeight="1" s="1264">
      <c r="A129" s="50" t="n"/>
      <c r="B129" s="30" t="n"/>
      <c r="C129" s="30" t="n"/>
      <c r="D129" s="31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5.75" customHeight="1" s="1264">
      <c r="A130" s="50" t="n"/>
      <c r="B130" s="30" t="n"/>
      <c r="C130" s="30" t="n"/>
      <c r="D130" s="31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5.75" customHeight="1" s="1264">
      <c r="A131" s="50" t="n"/>
      <c r="B131" s="30" t="n"/>
      <c r="C131" s="30" t="n"/>
      <c r="D131" s="31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5.75" customHeight="1" s="1264">
      <c r="A132" s="50" t="n"/>
      <c r="B132" s="30" t="n"/>
      <c r="C132" s="30" t="n"/>
      <c r="D132" s="31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5.75" customHeight="1" s="1264">
      <c r="A133" s="50" t="n"/>
      <c r="B133" s="30" t="n"/>
      <c r="C133" s="30" t="n"/>
      <c r="D133" s="31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5.75" customHeight="1" s="1264">
      <c r="A134" s="50" t="n"/>
      <c r="B134" s="30" t="n"/>
      <c r="C134" s="30" t="n"/>
      <c r="D134" s="31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5.75" customHeight="1" s="1264">
      <c r="A135" s="50" t="n"/>
      <c r="B135" s="30" t="n"/>
      <c r="C135" s="30" t="n"/>
      <c r="D135" s="31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5.75" customHeight="1" s="1264">
      <c r="A136" s="50" t="n"/>
      <c r="B136" s="30" t="n"/>
      <c r="C136" s="30" t="n"/>
      <c r="D136" s="31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5.75" customHeight="1" s="1264">
      <c r="A137" s="50" t="n"/>
      <c r="B137" s="30" t="n"/>
      <c r="C137" s="30" t="n"/>
      <c r="D137" s="31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5.75" customHeight="1" s="1264">
      <c r="A138" s="50" t="n"/>
      <c r="B138" s="30" t="n"/>
      <c r="C138" s="30" t="n"/>
      <c r="D138" s="31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5.75" customHeight="1" s="1264">
      <c r="A139" s="50" t="n"/>
      <c r="B139" s="30" t="n"/>
      <c r="C139" s="30" t="n"/>
      <c r="D139" s="31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5.75" customHeight="1" s="1264">
      <c r="A140" s="50" t="n"/>
      <c r="B140" s="30" t="n"/>
      <c r="C140" s="30" t="n"/>
      <c r="D140" s="31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5.75" customHeight="1" s="1264">
      <c r="A141" s="50" t="n"/>
      <c r="B141" s="30" t="n"/>
      <c r="C141" s="30" t="n"/>
      <c r="D141" s="31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5.75" customHeight="1" s="1264">
      <c r="A142" s="50" t="n"/>
      <c r="B142" s="30" t="n"/>
      <c r="C142" s="30" t="n"/>
      <c r="D142" s="31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5.75" customHeight="1" s="1264">
      <c r="A143" s="50" t="n"/>
      <c r="B143" s="30" t="n"/>
      <c r="C143" s="30" t="n"/>
      <c r="D143" s="31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5.75" customHeight="1" s="1264">
      <c r="A144" s="50" t="n"/>
      <c r="B144" s="30" t="n"/>
      <c r="C144" s="30" t="n"/>
      <c r="D144" s="31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5.75" customHeight="1" s="1264">
      <c r="A145" s="50" t="n"/>
      <c r="B145" s="30" t="n"/>
      <c r="C145" s="30" t="n"/>
      <c r="D145" s="31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5.75" customHeight="1" s="1264">
      <c r="A146" s="50" t="n"/>
      <c r="B146" s="30" t="n"/>
      <c r="C146" s="30" t="n"/>
      <c r="D146" s="31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5.75" customHeight="1" s="1264">
      <c r="A147" s="50" t="n"/>
      <c r="B147" s="30" t="n"/>
      <c r="C147" s="30" t="n"/>
      <c r="D147" s="31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5.75" customHeight="1" s="1264">
      <c r="A148" s="50" t="n"/>
      <c r="B148" s="30" t="n"/>
      <c r="C148" s="30" t="n"/>
      <c r="D148" s="31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5.75" customHeight="1" s="1264">
      <c r="A149" s="50" t="n"/>
      <c r="B149" s="30" t="n"/>
      <c r="C149" s="30" t="n"/>
      <c r="D149" s="31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5.75" customHeight="1" s="1264">
      <c r="A150" s="50" t="n"/>
      <c r="B150" s="30" t="n"/>
      <c r="C150" s="30" t="n"/>
      <c r="D150" s="31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5.75" customHeight="1" s="1264">
      <c r="A151" s="50" t="n"/>
      <c r="B151" s="30" t="n"/>
      <c r="C151" s="30" t="n"/>
      <c r="D151" s="31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5.75" customHeight="1" s="1264">
      <c r="A152" s="50" t="n"/>
      <c r="B152" s="30" t="n"/>
      <c r="C152" s="30" t="n"/>
      <c r="D152" s="31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5.75" customHeight="1" s="1264">
      <c r="A153" s="50" t="n"/>
      <c r="B153" s="30" t="n"/>
      <c r="C153" s="30" t="n"/>
      <c r="D153" s="31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5.75" customHeight="1" s="1264">
      <c r="A154" s="50" t="n"/>
      <c r="B154" s="30" t="n"/>
      <c r="C154" s="30" t="n"/>
      <c r="D154" s="31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5.75" customHeight="1" s="1264">
      <c r="A155" s="50" t="n"/>
      <c r="B155" s="30" t="n"/>
      <c r="C155" s="30" t="n"/>
      <c r="D155" s="31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5.75" customHeight="1" s="1264">
      <c r="A156" s="50" t="n"/>
      <c r="B156" s="30" t="n"/>
      <c r="C156" s="30" t="n"/>
      <c r="D156" s="31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5.75" customHeight="1" s="1264">
      <c r="A157" s="50" t="n"/>
      <c r="B157" s="30" t="n"/>
      <c r="C157" s="30" t="n"/>
      <c r="D157" s="31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5.75" customHeight="1" s="1264">
      <c r="A158" s="50" t="n"/>
      <c r="B158" s="30" t="n"/>
      <c r="C158" s="30" t="n"/>
      <c r="D158" s="31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5.75" customHeight="1" s="1264">
      <c r="A159" s="50" t="n"/>
      <c r="B159" s="30" t="n"/>
      <c r="C159" s="30" t="n"/>
      <c r="D159" s="31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5.75" customHeight="1" s="1264">
      <c r="A160" s="50" t="n"/>
      <c r="B160" s="30" t="n"/>
      <c r="C160" s="30" t="n"/>
      <c r="D160" s="31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5.75" customHeight="1" s="1264">
      <c r="A161" s="50" t="n"/>
      <c r="B161" s="30" t="n"/>
      <c r="C161" s="30" t="n"/>
      <c r="D161" s="31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5.75" customHeight="1" s="1264">
      <c r="A162" s="50" t="n"/>
      <c r="B162" s="30" t="n"/>
      <c r="C162" s="30" t="n"/>
      <c r="D162" s="31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5.75" customHeight="1" s="1264">
      <c r="A163" s="50" t="n"/>
      <c r="B163" s="30" t="n"/>
      <c r="C163" s="30" t="n"/>
      <c r="D163" s="31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5.75" customHeight="1" s="1264">
      <c r="A164" s="50" t="n"/>
      <c r="B164" s="30" t="n"/>
      <c r="C164" s="30" t="n"/>
      <c r="D164" s="31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5.75" customHeight="1" s="1264">
      <c r="A165" s="50" t="n"/>
      <c r="B165" s="30" t="n"/>
      <c r="C165" s="30" t="n"/>
      <c r="D165" s="31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5.75" customHeight="1" s="1264">
      <c r="A166" s="50" t="n"/>
      <c r="B166" s="30" t="n"/>
      <c r="C166" s="30" t="n"/>
      <c r="D166" s="31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5.75" customHeight="1" s="1264">
      <c r="A167" s="50" t="n"/>
      <c r="B167" s="30" t="n"/>
      <c r="C167" s="30" t="n"/>
      <c r="D167" s="31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5.75" customHeight="1" s="1264">
      <c r="A168" s="50" t="n"/>
      <c r="B168" s="30" t="n"/>
      <c r="C168" s="30" t="n"/>
      <c r="D168" s="31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5.75" customHeight="1" s="1264">
      <c r="A169" s="50" t="n"/>
      <c r="B169" s="30" t="n"/>
      <c r="C169" s="30" t="n"/>
      <c r="D169" s="31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5.75" customHeight="1" s="1264">
      <c r="A170" s="50" t="n"/>
      <c r="B170" s="30" t="n"/>
      <c r="C170" s="30" t="n"/>
      <c r="D170" s="31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5.75" customHeight="1" s="1264">
      <c r="A171" s="50" t="n"/>
      <c r="B171" s="30" t="n"/>
      <c r="C171" s="30" t="n"/>
      <c r="D171" s="31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5.75" customHeight="1" s="1264">
      <c r="A172" s="50" t="n"/>
      <c r="B172" s="30" t="n"/>
      <c r="C172" s="30" t="n"/>
      <c r="D172" s="31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5.75" customHeight="1" s="1264">
      <c r="A173" s="50" t="n"/>
      <c r="B173" s="30" t="n"/>
      <c r="C173" s="30" t="n"/>
      <c r="D173" s="31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5.75" customHeight="1" s="1264">
      <c r="A174" s="50" t="n"/>
      <c r="B174" s="30" t="n"/>
      <c r="C174" s="30" t="n"/>
      <c r="D174" s="31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5.75" customHeight="1" s="1264">
      <c r="A175" s="50" t="n"/>
      <c r="B175" s="30" t="n"/>
      <c r="C175" s="30" t="n"/>
      <c r="D175" s="31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5.75" customHeight="1" s="1264">
      <c r="A176" s="50" t="n"/>
      <c r="B176" s="30" t="n"/>
      <c r="C176" s="30" t="n"/>
      <c r="D176" s="31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5.75" customHeight="1" s="1264">
      <c r="A177" s="50" t="n"/>
      <c r="B177" s="30" t="n"/>
      <c r="C177" s="30" t="n"/>
      <c r="D177" s="31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5.75" customHeight="1" s="1264">
      <c r="A178" s="50" t="n"/>
      <c r="B178" s="30" t="n"/>
      <c r="C178" s="30" t="n"/>
      <c r="D178" s="31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5.75" customHeight="1" s="1264">
      <c r="A179" s="50" t="n"/>
      <c r="B179" s="30" t="n"/>
      <c r="C179" s="30" t="n"/>
      <c r="D179" s="31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5.75" customHeight="1" s="1264">
      <c r="A180" s="50" t="n"/>
      <c r="B180" s="30" t="n"/>
      <c r="C180" s="30" t="n"/>
      <c r="D180" s="31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5.75" customHeight="1" s="1264">
      <c r="A181" s="50" t="n"/>
      <c r="B181" s="30" t="n"/>
      <c r="C181" s="30" t="n"/>
      <c r="D181" s="31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5.75" customHeight="1" s="1264">
      <c r="A182" s="50" t="n"/>
      <c r="B182" s="30" t="n"/>
      <c r="C182" s="30" t="n"/>
      <c r="D182" s="31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5.75" customHeight="1" s="1264">
      <c r="A183" s="50" t="n"/>
      <c r="B183" s="30" t="n"/>
      <c r="C183" s="30" t="n"/>
      <c r="D183" s="31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5.75" customHeight="1" s="1264">
      <c r="A184" s="50" t="n"/>
      <c r="B184" s="30" t="n"/>
      <c r="C184" s="30" t="n"/>
      <c r="D184" s="31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5.75" customHeight="1" s="1264">
      <c r="A185" s="50" t="n"/>
      <c r="B185" s="30" t="n"/>
      <c r="C185" s="30" t="n"/>
      <c r="D185" s="31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5.75" customHeight="1" s="1264">
      <c r="A186" s="50" t="n"/>
      <c r="B186" s="30" t="n"/>
      <c r="C186" s="30" t="n"/>
      <c r="D186" s="31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5.75" customHeight="1" s="1264">
      <c r="A187" s="50" t="n"/>
      <c r="B187" s="30" t="n"/>
      <c r="C187" s="30" t="n"/>
      <c r="D187" s="31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5.75" customHeight="1" s="1264">
      <c r="A188" s="50" t="n"/>
      <c r="B188" s="30" t="n"/>
      <c r="C188" s="30" t="n"/>
      <c r="D188" s="31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5.75" customHeight="1" s="1264">
      <c r="A189" s="50" t="n"/>
      <c r="B189" s="30" t="n"/>
      <c r="C189" s="30" t="n"/>
      <c r="D189" s="31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5.75" customHeight="1" s="1264">
      <c r="A190" s="50" t="n"/>
      <c r="B190" s="30" t="n"/>
      <c r="C190" s="30" t="n"/>
      <c r="D190" s="31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5.75" customHeight="1" s="1264">
      <c r="A191" s="50" t="n"/>
      <c r="B191" s="30" t="n"/>
      <c r="C191" s="30" t="n"/>
      <c r="D191" s="31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5.75" customHeight="1" s="1264">
      <c r="A192" s="50" t="n"/>
      <c r="B192" s="30" t="n"/>
      <c r="C192" s="30" t="n"/>
      <c r="D192" s="31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5.75" customHeight="1" s="1264">
      <c r="A193" s="50" t="n"/>
      <c r="B193" s="30" t="n"/>
      <c r="C193" s="30" t="n"/>
      <c r="D193" s="31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5.75" customHeight="1" s="1264">
      <c r="A194" s="50" t="n"/>
      <c r="B194" s="30" t="n"/>
      <c r="C194" s="30" t="n"/>
      <c r="D194" s="31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5.75" customHeight="1" s="1264">
      <c r="A195" s="50" t="n"/>
      <c r="B195" s="30" t="n"/>
      <c r="C195" s="30" t="n"/>
      <c r="D195" s="31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5.75" customHeight="1" s="1264">
      <c r="A196" s="50" t="n"/>
      <c r="B196" s="30" t="n"/>
      <c r="C196" s="30" t="n"/>
      <c r="D196" s="31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5.75" customHeight="1" s="1264">
      <c r="A197" s="50" t="n"/>
      <c r="B197" s="30" t="n"/>
      <c r="C197" s="30" t="n"/>
      <c r="D197" s="31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5.75" customHeight="1" s="1264">
      <c r="A198" s="50" t="n"/>
      <c r="B198" s="30" t="n"/>
      <c r="C198" s="30" t="n"/>
      <c r="D198" s="31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5.75" customHeight="1" s="1264">
      <c r="A199" s="50" t="n"/>
      <c r="B199" s="30" t="n"/>
      <c r="C199" s="30" t="n"/>
      <c r="D199" s="31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5.75" customHeight="1" s="1264">
      <c r="A200" s="50" t="n"/>
      <c r="B200" s="30" t="n"/>
      <c r="C200" s="30" t="n"/>
      <c r="D200" s="31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5.75" customHeight="1" s="1264">
      <c r="A201" s="50" t="n"/>
      <c r="B201" s="30" t="n"/>
      <c r="C201" s="30" t="n"/>
      <c r="D201" s="31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5.75" customHeight="1" s="1264">
      <c r="A202" s="50" t="n"/>
      <c r="B202" s="30" t="n"/>
      <c r="C202" s="30" t="n"/>
      <c r="D202" s="31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5.75" customHeight="1" s="1264">
      <c r="A203" s="50" t="n"/>
      <c r="B203" s="30" t="n"/>
      <c r="C203" s="30" t="n"/>
      <c r="D203" s="31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5.75" customHeight="1" s="1264">
      <c r="A204" s="50" t="n"/>
      <c r="B204" s="30" t="n"/>
      <c r="C204" s="30" t="n"/>
      <c r="D204" s="31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5.75" customHeight="1" s="1264">
      <c r="A205" s="50" t="n"/>
      <c r="B205" s="30" t="n"/>
      <c r="C205" s="30" t="n"/>
      <c r="D205" s="31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5.75" customHeight="1" s="1264">
      <c r="A206" s="50" t="n"/>
      <c r="B206" s="30" t="n"/>
      <c r="C206" s="30" t="n"/>
      <c r="D206" s="31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5.75" customHeight="1" s="1264">
      <c r="A207" s="50" t="n"/>
      <c r="B207" s="30" t="n"/>
      <c r="C207" s="30" t="n"/>
      <c r="D207" s="31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5.75" customHeight="1" s="1264">
      <c r="A208" s="50" t="n"/>
      <c r="B208" s="30" t="n"/>
      <c r="C208" s="30" t="n"/>
      <c r="D208" s="31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5.75" customHeight="1" s="1264">
      <c r="A209" s="50" t="n"/>
      <c r="B209" s="30" t="n"/>
      <c r="C209" s="30" t="n"/>
      <c r="D209" s="31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5.75" customHeight="1" s="1264">
      <c r="A210" s="50" t="n"/>
      <c r="B210" s="30" t="n"/>
      <c r="C210" s="30" t="n"/>
      <c r="D210" s="31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5.75" customHeight="1" s="1264">
      <c r="A211" s="50" t="n"/>
      <c r="B211" s="30" t="n"/>
      <c r="C211" s="30" t="n"/>
      <c r="D211" s="31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5.75" customHeight="1" s="1264">
      <c r="A212" s="50" t="n"/>
      <c r="B212" s="30" t="n"/>
      <c r="C212" s="30" t="n"/>
      <c r="D212" s="31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5.75" customHeight="1" s="1264">
      <c r="A213" s="50" t="n"/>
      <c r="B213" s="30" t="n"/>
      <c r="C213" s="30" t="n"/>
      <c r="D213" s="31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5.75" customHeight="1" s="1264">
      <c r="A214" s="50" t="n"/>
      <c r="B214" s="30" t="n"/>
      <c r="C214" s="30" t="n"/>
      <c r="D214" s="31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5.75" customHeight="1" s="1264">
      <c r="A215" s="50" t="n"/>
      <c r="B215" s="30" t="n"/>
      <c r="C215" s="30" t="n"/>
      <c r="D215" s="31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5.75" customHeight="1" s="1264">
      <c r="A216" s="50" t="n"/>
      <c r="B216" s="30" t="n"/>
      <c r="C216" s="30" t="n"/>
      <c r="D216" s="31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5.75" customHeight="1" s="1264">
      <c r="A217" s="50" t="n"/>
      <c r="B217" s="30" t="n"/>
      <c r="C217" s="30" t="n"/>
      <c r="D217" s="31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5.75" customHeight="1" s="1264">
      <c r="A218" s="50" t="n"/>
      <c r="B218" s="30" t="n"/>
      <c r="C218" s="30" t="n"/>
      <c r="D218" s="31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5.75" customHeight="1" s="1264">
      <c r="A219" s="50" t="n"/>
      <c r="B219" s="30" t="n"/>
      <c r="C219" s="30" t="n"/>
      <c r="D219" s="31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5.75" customHeight="1" s="1264">
      <c r="A220" s="50" t="n"/>
      <c r="B220" s="30" t="n"/>
      <c r="C220" s="30" t="n"/>
      <c r="D220" s="31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5.75" customHeight="1" s="1264">
      <c r="A221" s="50" t="n"/>
      <c r="B221" s="30" t="n"/>
      <c r="C221" s="30" t="n"/>
      <c r="D221" s="31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5.75" customHeight="1" s="1264">
      <c r="A222" s="50" t="n"/>
      <c r="B222" s="30" t="n"/>
      <c r="C222" s="30" t="n"/>
      <c r="D222" s="31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5.75" customHeight="1" s="1264">
      <c r="A223" s="50" t="n"/>
      <c r="B223" s="30" t="n"/>
      <c r="C223" s="30" t="n"/>
      <c r="D223" s="31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5.75" customHeight="1" s="1264">
      <c r="A224" s="50" t="n"/>
      <c r="B224" s="30" t="n"/>
      <c r="C224" s="30" t="n"/>
      <c r="D224" s="31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5.75" customHeight="1" s="1264">
      <c r="A225" s="50" t="n"/>
      <c r="B225" s="30" t="n"/>
      <c r="C225" s="30" t="n"/>
      <c r="D225" s="31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5.75" customHeight="1" s="1264">
      <c r="A226" s="50" t="n"/>
      <c r="B226" s="30" t="n"/>
      <c r="C226" s="30" t="n"/>
      <c r="D226" s="31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5.75" customHeight="1" s="1264">
      <c r="A227" s="50" t="n"/>
      <c r="B227" s="30" t="n"/>
      <c r="C227" s="30" t="n"/>
      <c r="D227" s="31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 ht="15.75" customHeight="1" s="1264">
      <c r="A228" s="50" t="n"/>
      <c r="B228" s="30" t="n"/>
      <c r="C228" s="30" t="n"/>
      <c r="D228" s="31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 ht="15.75" customHeight="1" s="1264">
      <c r="A229" s="50" t="n"/>
      <c r="B229" s="30" t="n"/>
      <c r="C229" s="30" t="n"/>
      <c r="D229" s="31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 ht="15.75" customHeight="1" s="1264">
      <c r="A230" s="50" t="n"/>
      <c r="B230" s="30" t="n"/>
      <c r="C230" s="30" t="n"/>
      <c r="D230" s="31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 ht="15.75" customHeight="1" s="1264">
      <c r="A231" s="50" t="n"/>
      <c r="B231" s="30" t="n"/>
      <c r="C231" s="30" t="n"/>
      <c r="D231" s="31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 ht="15.75" customHeight="1" s="1264">
      <c r="A232" s="50" t="n"/>
      <c r="B232" s="30" t="n"/>
      <c r="C232" s="30" t="n"/>
      <c r="D232" s="31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 ht="15.75" customHeight="1" s="1264">
      <c r="A233" s="50" t="n"/>
      <c r="B233" s="30" t="n"/>
      <c r="C233" s="30" t="n"/>
      <c r="D233" s="31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 ht="15.75" customHeight="1" s="1264">
      <c r="A234" s="50" t="n"/>
      <c r="B234" s="30" t="n"/>
      <c r="C234" s="30" t="n"/>
      <c r="D234" s="31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 ht="15.75" customHeight="1" s="1264">
      <c r="A235" s="50" t="n"/>
      <c r="B235" s="30" t="n"/>
      <c r="C235" s="30" t="n"/>
      <c r="D235" s="31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 ht="15.75" customHeight="1" s="1264">
      <c r="A236" s="50" t="n"/>
      <c r="B236" s="30" t="n"/>
      <c r="C236" s="30" t="n"/>
      <c r="D236" s="31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 ht="15.75" customHeight="1" s="1264">
      <c r="A237" s="50" t="n"/>
      <c r="B237" s="30" t="n"/>
      <c r="C237" s="30" t="n"/>
      <c r="D237" s="31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 ht="15.75" customHeight="1" s="1264">
      <c r="A238" s="50" t="n"/>
      <c r="B238" s="30" t="n"/>
      <c r="C238" s="30" t="n"/>
      <c r="D238" s="31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 ht="15.75" customHeight="1" s="1264">
      <c r="A239" s="50" t="n"/>
      <c r="B239" s="30" t="n"/>
      <c r="C239" s="30" t="n"/>
      <c r="D239" s="31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 ht="15.75" customHeight="1" s="1264">
      <c r="A240" s="50" t="n"/>
      <c r="B240" s="30" t="n"/>
      <c r="C240" s="30" t="n"/>
      <c r="D240" s="31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 ht="15.75" customHeight="1" s="1264">
      <c r="A241" s="50" t="n"/>
      <c r="B241" s="30" t="n"/>
      <c r="C241" s="30" t="n"/>
      <c r="D241" s="31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 ht="15.75" customHeight="1" s="1264">
      <c r="A242" s="50" t="n"/>
      <c r="B242" s="30" t="n"/>
      <c r="C242" s="30" t="n"/>
      <c r="D242" s="31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 ht="15.75" customHeight="1" s="1264">
      <c r="A243" s="50" t="n"/>
      <c r="B243" s="30" t="n"/>
      <c r="C243" s="30" t="n"/>
      <c r="D243" s="31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 ht="15.75" customHeight="1" s="1264">
      <c r="A244" s="50" t="n"/>
      <c r="B244" s="30" t="n"/>
      <c r="C244" s="30" t="n"/>
      <c r="D244" s="31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 ht="15.75" customHeight="1" s="1264">
      <c r="A245" s="50" t="n"/>
      <c r="B245" s="30" t="n"/>
      <c r="C245" s="30" t="n"/>
      <c r="D245" s="31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 ht="15.75" customHeight="1" s="1264">
      <c r="A246" s="50" t="n"/>
      <c r="B246" s="30" t="n"/>
      <c r="C246" s="30" t="n"/>
      <c r="D246" s="31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 ht="15.75" customHeight="1" s="1264">
      <c r="A247" s="50" t="n"/>
      <c r="B247" s="30" t="n"/>
      <c r="C247" s="30" t="n"/>
      <c r="D247" s="31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 ht="15.75" customHeight="1" s="1264">
      <c r="A248" s="50" t="n"/>
      <c r="B248" s="30" t="n"/>
      <c r="C248" s="30" t="n"/>
      <c r="D248" s="31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 ht="15.75" customHeight="1" s="1264">
      <c r="A249" s="50" t="n"/>
      <c r="B249" s="30" t="n"/>
      <c r="C249" s="30" t="n"/>
      <c r="D249" s="31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 ht="15.75" customHeight="1" s="1264">
      <c r="A250" s="50" t="n"/>
      <c r="B250" s="30" t="n"/>
      <c r="C250" s="30" t="n"/>
      <c r="D250" s="31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 ht="15.75" customHeight="1" s="1264">
      <c r="A251" s="50" t="n"/>
      <c r="B251" s="30" t="n"/>
      <c r="C251" s="30" t="n"/>
      <c r="D251" s="31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 ht="15.75" customHeight="1" s="1264">
      <c r="A252" s="50" t="n"/>
      <c r="B252" s="30" t="n"/>
      <c r="C252" s="30" t="n"/>
      <c r="D252" s="31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 ht="15.75" customHeight="1" s="1264">
      <c r="A253" s="50" t="n"/>
      <c r="B253" s="30" t="n"/>
      <c r="C253" s="30" t="n"/>
      <c r="D253" s="31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 ht="15.75" customHeight="1" s="1264">
      <c r="A254" s="50" t="n"/>
      <c r="B254" s="30" t="n"/>
      <c r="C254" s="30" t="n"/>
      <c r="D254" s="31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 ht="15.75" customHeight="1" s="1264">
      <c r="A255" s="50" t="n"/>
      <c r="B255" s="30" t="n"/>
      <c r="C255" s="30" t="n"/>
      <c r="D255" s="31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 ht="15.75" customHeight="1" s="1264">
      <c r="A256" s="50" t="n"/>
      <c r="B256" s="30" t="n"/>
      <c r="C256" s="30" t="n"/>
      <c r="D256" s="31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 ht="15.75" customHeight="1" s="1264">
      <c r="A257" s="50" t="n"/>
      <c r="B257" s="30" t="n"/>
      <c r="C257" s="30" t="n"/>
      <c r="D257" s="31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 ht="15.75" customHeight="1" s="1264">
      <c r="A258" s="50" t="n"/>
      <c r="B258" s="30" t="n"/>
      <c r="C258" s="30" t="n"/>
      <c r="D258" s="31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 ht="15.75" customHeight="1" s="1264">
      <c r="A259" s="50" t="n"/>
      <c r="B259" s="30" t="n"/>
      <c r="C259" s="30" t="n"/>
      <c r="D259" s="31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 ht="15.75" customHeight="1" s="1264">
      <c r="A260" s="50" t="n"/>
      <c r="B260" s="30" t="n"/>
      <c r="C260" s="30" t="n"/>
      <c r="D260" s="31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 ht="15.75" customHeight="1" s="1264">
      <c r="A261" s="50" t="n"/>
      <c r="B261" s="30" t="n"/>
      <c r="C261" s="30" t="n"/>
      <c r="D261" s="31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 ht="15.75" customHeight="1" s="1264">
      <c r="A262" s="50" t="n"/>
      <c r="B262" s="30" t="n"/>
      <c r="C262" s="30" t="n"/>
      <c r="D262" s="31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 ht="15.75" customHeight="1" s="1264">
      <c r="A263" s="50" t="n"/>
      <c r="B263" s="30" t="n"/>
      <c r="C263" s="30" t="n"/>
      <c r="D263" s="31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 ht="15.75" customHeight="1" s="1264">
      <c r="A264" s="50" t="n"/>
      <c r="B264" s="30" t="n"/>
      <c r="C264" s="30" t="n"/>
      <c r="D264" s="31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 ht="15.75" customHeight="1" s="1264">
      <c r="A265" s="50" t="n"/>
      <c r="B265" s="30" t="n"/>
      <c r="C265" s="30" t="n"/>
      <c r="D265" s="31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 ht="15.75" customHeight="1" s="1264">
      <c r="A266" s="50" t="n"/>
      <c r="B266" s="30" t="n"/>
      <c r="C266" s="30" t="n"/>
      <c r="D266" s="31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 ht="15.75" customHeight="1" s="1264">
      <c r="A267" s="50" t="n"/>
      <c r="B267" s="30" t="n"/>
      <c r="C267" s="30" t="n"/>
      <c r="D267" s="31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 ht="15.75" customHeight="1" s="1264">
      <c r="A268" s="50" t="n"/>
      <c r="B268" s="30" t="n"/>
      <c r="C268" s="30" t="n"/>
      <c r="D268" s="31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 ht="15.75" customHeight="1" s="1264">
      <c r="A269" s="50" t="n"/>
      <c r="B269" s="30" t="n"/>
      <c r="C269" s="30" t="n"/>
      <c r="D269" s="31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 ht="15.75" customHeight="1" s="1264">
      <c r="A270" s="50" t="n"/>
      <c r="B270" s="30" t="n"/>
      <c r="C270" s="30" t="n"/>
      <c r="D270" s="31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 ht="15.75" customHeight="1" s="1264">
      <c r="A271" s="50" t="n"/>
      <c r="B271" s="30" t="n"/>
      <c r="C271" s="30" t="n"/>
      <c r="D271" s="31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 ht="15.75" customHeight="1" s="1264">
      <c r="A272" s="50" t="n"/>
      <c r="B272" s="30" t="n"/>
      <c r="C272" s="30" t="n"/>
      <c r="D272" s="31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 ht="15.75" customHeight="1" s="1264">
      <c r="A273" s="50" t="n"/>
      <c r="B273" s="30" t="n"/>
      <c r="C273" s="30" t="n"/>
      <c r="D273" s="31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 ht="15.75" customHeight="1" s="1264">
      <c r="A274" s="50" t="n"/>
      <c r="B274" s="30" t="n"/>
      <c r="C274" s="30" t="n"/>
      <c r="D274" s="31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 ht="15.75" customHeight="1" s="1264">
      <c r="A275" s="50" t="n"/>
      <c r="B275" s="30" t="n"/>
      <c r="C275" s="30" t="n"/>
      <c r="D275" s="31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 ht="15.75" customHeight="1" s="1264">
      <c r="A276" s="50" t="n"/>
      <c r="B276" s="30" t="n"/>
      <c r="C276" s="30" t="n"/>
      <c r="D276" s="31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 ht="15.75" customHeight="1" s="1264">
      <c r="A277" s="50" t="n"/>
      <c r="B277" s="30" t="n"/>
      <c r="C277" s="30" t="n"/>
      <c r="D277" s="31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 ht="15.75" customHeight="1" s="1264">
      <c r="A278" s="50" t="n"/>
      <c r="B278" s="30" t="n"/>
      <c r="C278" s="30" t="n"/>
      <c r="D278" s="31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 ht="15.75" customHeight="1" s="1264">
      <c r="A279" s="50" t="n"/>
      <c r="B279" s="30" t="n"/>
      <c r="C279" s="30" t="n"/>
      <c r="D279" s="31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 ht="15.75" customHeight="1" s="1264">
      <c r="A280" s="50" t="n"/>
      <c r="B280" s="30" t="n"/>
      <c r="C280" s="30" t="n"/>
      <c r="D280" s="31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 ht="15.75" customHeight="1" s="1264">
      <c r="A281" s="50" t="n"/>
      <c r="B281" s="30" t="n"/>
      <c r="C281" s="30" t="n"/>
      <c r="D281" s="31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 ht="15.75" customHeight="1" s="1264">
      <c r="A282" s="50" t="n"/>
      <c r="B282" s="30" t="n"/>
      <c r="C282" s="30" t="n"/>
      <c r="D282" s="31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 ht="15.75" customHeight="1" s="1264">
      <c r="A283" s="50" t="n"/>
      <c r="B283" s="30" t="n"/>
      <c r="C283" s="30" t="n"/>
      <c r="D283" s="31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 ht="15.75" customHeight="1" s="1264">
      <c r="A284" s="50" t="n"/>
      <c r="B284" s="30" t="n"/>
      <c r="C284" s="30" t="n"/>
      <c r="D284" s="31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 ht="15.75" customHeight="1" s="1264">
      <c r="A285" s="50" t="n"/>
      <c r="B285" s="30" t="n"/>
      <c r="C285" s="30" t="n"/>
      <c r="D285" s="31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 ht="15.75" customHeight="1" s="1264">
      <c r="A286" s="50" t="n"/>
      <c r="B286" s="30" t="n"/>
      <c r="C286" s="30" t="n"/>
      <c r="D286" s="31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 ht="15.75" customHeight="1" s="1264">
      <c r="A287" s="50" t="n"/>
      <c r="B287" s="30" t="n"/>
      <c r="C287" s="30" t="n"/>
      <c r="D287" s="31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 ht="15.75" customHeight="1" s="1264">
      <c r="A288" s="50" t="n"/>
      <c r="B288" s="30" t="n"/>
      <c r="C288" s="30" t="n"/>
      <c r="D288" s="31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 ht="15.75" customHeight="1" s="1264">
      <c r="A289" s="50" t="n"/>
      <c r="B289" s="30" t="n"/>
      <c r="C289" s="30" t="n"/>
      <c r="D289" s="31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 ht="15.75" customHeight="1" s="1264">
      <c r="A290" s="50" t="n"/>
      <c r="B290" s="30" t="n"/>
      <c r="C290" s="30" t="n"/>
      <c r="D290" s="31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 ht="15.75" customHeight="1" s="1264">
      <c r="A291" s="50" t="n"/>
      <c r="B291" s="30" t="n"/>
      <c r="C291" s="30" t="n"/>
      <c r="D291" s="31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 ht="15.75" customHeight="1" s="1264">
      <c r="A292" s="50" t="n"/>
      <c r="B292" s="30" t="n"/>
      <c r="C292" s="30" t="n"/>
      <c r="D292" s="31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 ht="15.75" customHeight="1" s="1264">
      <c r="A293" s="50" t="n"/>
      <c r="B293" s="30" t="n"/>
      <c r="C293" s="30" t="n"/>
      <c r="D293" s="31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 ht="15.75" customHeight="1" s="1264">
      <c r="A294" s="50" t="n"/>
      <c r="B294" s="30" t="n"/>
      <c r="C294" s="30" t="n"/>
      <c r="D294" s="31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 ht="15.75" customHeight="1" s="1264">
      <c r="A295" s="50" t="n"/>
      <c r="B295" s="30" t="n"/>
      <c r="C295" s="30" t="n"/>
      <c r="D295" s="31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 ht="15.75" customHeight="1" s="1264">
      <c r="A296" s="50" t="n"/>
      <c r="B296" s="30" t="n"/>
      <c r="C296" s="30" t="n"/>
      <c r="D296" s="31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 ht="15.75" customHeight="1" s="1264">
      <c r="A297" s="50" t="n"/>
      <c r="B297" s="30" t="n"/>
      <c r="C297" s="30" t="n"/>
      <c r="D297" s="31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 ht="15.75" customHeight="1" s="1264">
      <c r="A298" s="50" t="n"/>
      <c r="B298" s="30" t="n"/>
      <c r="C298" s="30" t="n"/>
      <c r="D298" s="31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 ht="15.75" customHeight="1" s="1264">
      <c r="A299" s="50" t="n"/>
      <c r="B299" s="30" t="n"/>
      <c r="C299" s="30" t="n"/>
      <c r="D299" s="31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 ht="15.75" customHeight="1" s="1264">
      <c r="A300" s="50" t="n"/>
      <c r="B300" s="30" t="n"/>
      <c r="C300" s="30" t="n"/>
      <c r="D300" s="31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 ht="15.75" customHeight="1" s="1264">
      <c r="A301" s="50" t="n"/>
      <c r="B301" s="30" t="n"/>
      <c r="C301" s="30" t="n"/>
      <c r="D301" s="31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 ht="15.75" customHeight="1" s="1264">
      <c r="A302" s="50" t="n"/>
      <c r="B302" s="30" t="n"/>
      <c r="C302" s="30" t="n"/>
      <c r="D302" s="31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 ht="15.75" customHeight="1" s="1264">
      <c r="A303" s="50" t="n"/>
      <c r="B303" s="30" t="n"/>
      <c r="C303" s="30" t="n"/>
      <c r="D303" s="31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 ht="15.75" customHeight="1" s="1264">
      <c r="A304" s="50" t="n"/>
      <c r="B304" s="30" t="n"/>
      <c r="C304" s="30" t="n"/>
      <c r="D304" s="31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 ht="15.75" customHeight="1" s="1264">
      <c r="A305" s="50" t="n"/>
      <c r="B305" s="30" t="n"/>
      <c r="C305" s="30" t="n"/>
      <c r="D305" s="31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 ht="15.75" customHeight="1" s="1264">
      <c r="A306" s="50" t="n"/>
      <c r="B306" s="30" t="n"/>
      <c r="C306" s="30" t="n"/>
      <c r="D306" s="31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 ht="15.75" customHeight="1" s="1264">
      <c r="A307" s="50" t="n"/>
      <c r="B307" s="30" t="n"/>
      <c r="C307" s="30" t="n"/>
      <c r="D307" s="31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 ht="15.75" customHeight="1" s="1264">
      <c r="A308" s="50" t="n"/>
      <c r="B308" s="30" t="n"/>
      <c r="C308" s="30" t="n"/>
      <c r="D308" s="31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 ht="15.75" customHeight="1" s="1264">
      <c r="A309" s="50" t="n"/>
      <c r="B309" s="30" t="n"/>
      <c r="C309" s="30" t="n"/>
      <c r="D309" s="31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 ht="15.75" customHeight="1" s="1264"/>
    <row r="311" ht="15.75" customHeight="1" s="1264"/>
    <row r="312" ht="15.75" customHeight="1" s="1264"/>
    <row r="313" ht="15.75" customHeight="1" s="1264"/>
    <row r="314" ht="15.75" customHeight="1" s="1264"/>
    <row r="315" ht="15.75" customHeight="1" s="1264"/>
    <row r="316" ht="15.75" customHeight="1" s="1264"/>
    <row r="317" ht="15.75" customHeight="1" s="1264"/>
    <row r="318" ht="15.75" customHeight="1" s="1264"/>
    <row r="319" ht="15.75" customHeight="1" s="1264"/>
    <row r="320" ht="15.75" customHeight="1" s="1264"/>
    <row r="321" ht="15.75" customHeight="1" s="1264"/>
    <row r="322" ht="15.75" customHeight="1" s="1264"/>
    <row r="323" ht="15.75" customHeight="1" s="1264"/>
    <row r="324" ht="15.75" customHeight="1" s="1264"/>
    <row r="325" ht="15.75" customHeight="1" s="1264"/>
    <row r="326" ht="15.75" customHeight="1" s="1264"/>
    <row r="327" ht="15.75" customHeight="1" s="1264"/>
    <row r="328" ht="15.75" customHeight="1" s="1264"/>
    <row r="329" ht="15.75" customHeight="1" s="1264"/>
    <row r="330" ht="15.75" customHeight="1" s="1264"/>
    <row r="331" ht="15.75" customHeight="1" s="1264"/>
    <row r="332" ht="15.75" customHeight="1" s="1264"/>
    <row r="333" ht="15.75" customHeight="1" s="1264"/>
    <row r="334" ht="15.75" customHeight="1" s="1264"/>
    <row r="335" ht="15.75" customHeight="1" s="1264"/>
    <row r="336" ht="15.75" customHeight="1" s="1264"/>
    <row r="337" ht="15.75" customHeight="1" s="1264"/>
    <row r="338" ht="15.75" customHeight="1" s="1264"/>
    <row r="339" ht="15.75" customHeight="1" s="1264"/>
    <row r="340" ht="15.75" customHeight="1" s="1264"/>
    <row r="341" ht="15.75" customHeight="1" s="1264"/>
    <row r="342" ht="15.75" customHeight="1" s="1264"/>
    <row r="343" ht="15.75" customHeight="1" s="1264"/>
    <row r="344" ht="15.75" customHeight="1" s="1264"/>
    <row r="345" ht="15.75" customHeight="1" s="1264"/>
    <row r="346" ht="15.75" customHeight="1" s="1264"/>
    <row r="347" ht="15.75" customHeight="1" s="1264"/>
    <row r="348" ht="15.75" customHeight="1" s="1264"/>
    <row r="349" ht="15.75" customHeight="1" s="1264"/>
    <row r="350" ht="15.75" customHeight="1" s="1264"/>
    <row r="351" ht="15.75" customHeight="1" s="1264"/>
    <row r="352" ht="15.75" customHeight="1" s="1264"/>
    <row r="353" ht="15.75" customHeight="1" s="1264"/>
    <row r="354" ht="15.75" customHeight="1" s="1264"/>
    <row r="355" ht="15.75" customHeight="1" s="1264"/>
    <row r="356" ht="15.75" customHeight="1" s="1264"/>
    <row r="357" ht="15.75" customHeight="1" s="1264"/>
    <row r="358" ht="15.75" customHeight="1" s="1264"/>
    <row r="359" ht="15.75" customHeight="1" s="1264"/>
    <row r="360" ht="15.75" customHeight="1" s="1264"/>
    <row r="361" ht="15.75" customHeight="1" s="1264"/>
    <row r="362" ht="15.75" customHeight="1" s="1264"/>
    <row r="363" ht="15.75" customHeight="1" s="1264"/>
    <row r="364" ht="15.75" customHeight="1" s="1264"/>
    <row r="365" ht="15.75" customHeight="1" s="1264"/>
    <row r="366" ht="15.75" customHeight="1" s="1264"/>
    <row r="367" ht="15.75" customHeight="1" s="1264"/>
    <row r="368" ht="15.75" customHeight="1" s="1264"/>
    <row r="369" ht="15.75" customHeight="1" s="1264"/>
    <row r="370" ht="15.75" customHeight="1" s="1264"/>
    <row r="371" ht="15.75" customHeight="1" s="1264"/>
    <row r="372" ht="15.75" customHeight="1" s="1264"/>
    <row r="373" ht="15.75" customHeight="1" s="1264"/>
    <row r="374" ht="15.75" customHeight="1" s="1264"/>
    <row r="375" ht="15.75" customHeight="1" s="1264"/>
    <row r="376" ht="15.75" customHeight="1" s="1264"/>
    <row r="377" ht="15.75" customHeight="1" s="1264"/>
    <row r="378" ht="15.75" customHeight="1" s="1264"/>
    <row r="379" ht="15.75" customHeight="1" s="1264"/>
    <row r="380" ht="15.75" customHeight="1" s="1264"/>
    <row r="381" ht="15.75" customHeight="1" s="1264"/>
    <row r="382" ht="15.75" customHeight="1" s="1264"/>
    <row r="383" ht="15.75" customHeight="1" s="1264"/>
    <row r="384" ht="15.75" customHeight="1" s="1264"/>
    <row r="385" ht="15.75" customHeight="1" s="1264"/>
    <row r="386" ht="15.75" customHeight="1" s="1264"/>
    <row r="387" ht="15.75" customHeight="1" s="1264"/>
    <row r="388" ht="15.75" customHeight="1" s="1264"/>
    <row r="389" ht="15.75" customHeight="1" s="1264"/>
    <row r="390" ht="15.75" customHeight="1" s="1264"/>
    <row r="391" ht="15.75" customHeight="1" s="1264"/>
    <row r="392" ht="15.75" customHeight="1" s="1264"/>
    <row r="393" ht="15.75" customHeight="1" s="1264"/>
    <row r="394" ht="15.75" customHeight="1" s="1264"/>
    <row r="395" ht="15.75" customHeight="1" s="1264"/>
    <row r="396" ht="15.75" customHeight="1" s="1264"/>
    <row r="397" ht="15.75" customHeight="1" s="1264"/>
    <row r="398" ht="15.75" customHeight="1" s="1264"/>
    <row r="399" ht="15.75" customHeight="1" s="1264"/>
    <row r="400" ht="15.75" customHeight="1" s="1264"/>
    <row r="401" ht="15.75" customHeight="1" s="1264"/>
    <row r="402" ht="15.75" customHeight="1" s="1264"/>
    <row r="403" ht="15.75" customHeight="1" s="1264"/>
    <row r="404" ht="15.75" customHeight="1" s="1264"/>
    <row r="405" ht="15.75" customHeight="1" s="1264"/>
    <row r="406" ht="15.75" customHeight="1" s="1264"/>
    <row r="407" ht="15.75" customHeight="1" s="1264"/>
    <row r="408" ht="15.75" customHeight="1" s="1264"/>
    <row r="409" ht="15.75" customHeight="1" s="1264"/>
    <row r="410" ht="15.75" customHeight="1" s="1264"/>
    <row r="411" ht="15.75" customHeight="1" s="1264"/>
    <row r="412" ht="15.75" customHeight="1" s="1264"/>
    <row r="413" ht="15.75" customHeight="1" s="1264"/>
    <row r="414" ht="15.75" customHeight="1" s="1264"/>
    <row r="415" ht="15.75" customHeight="1" s="1264"/>
    <row r="416" ht="15.75" customHeight="1" s="1264"/>
    <row r="417" ht="15.75" customHeight="1" s="1264"/>
    <row r="418" ht="15.75" customHeight="1" s="1264"/>
    <row r="419" ht="15.75" customHeight="1" s="1264"/>
    <row r="420" ht="15.75" customHeight="1" s="1264"/>
    <row r="421" ht="15.75" customHeight="1" s="1264"/>
    <row r="422" ht="15.75" customHeight="1" s="1264"/>
    <row r="423" ht="15.75" customHeight="1" s="1264"/>
    <row r="424" ht="15.75" customHeight="1" s="1264"/>
    <row r="425" ht="15.75" customHeight="1" s="1264"/>
    <row r="426" ht="15.75" customHeight="1" s="1264"/>
    <row r="427" ht="15.75" customHeight="1" s="1264"/>
    <row r="428" ht="15.75" customHeight="1" s="1264"/>
    <row r="429" ht="15.75" customHeight="1" s="1264"/>
    <row r="430" ht="15.75" customHeight="1" s="1264"/>
    <row r="431" ht="15.75" customHeight="1" s="1264"/>
    <row r="432" ht="15.75" customHeight="1" s="1264"/>
    <row r="433" ht="15.75" customHeight="1" s="1264"/>
    <row r="434" ht="15.75" customHeight="1" s="1264"/>
    <row r="435" ht="15.75" customHeight="1" s="1264"/>
    <row r="436" ht="15.75" customHeight="1" s="1264"/>
    <row r="437" ht="15.75" customHeight="1" s="1264"/>
    <row r="438" ht="15.75" customHeight="1" s="1264"/>
    <row r="439" ht="15.75" customHeight="1" s="1264"/>
    <row r="440" ht="15.75" customHeight="1" s="1264"/>
    <row r="441" ht="15.75" customHeight="1" s="1264"/>
    <row r="442" ht="15.75" customHeight="1" s="1264"/>
    <row r="443" ht="15.75" customHeight="1" s="1264"/>
    <row r="444" ht="15.75" customHeight="1" s="1264"/>
    <row r="445" ht="15.75" customHeight="1" s="1264"/>
    <row r="446" ht="15.75" customHeight="1" s="1264"/>
    <row r="447" ht="15.75" customHeight="1" s="1264"/>
    <row r="448" ht="15.75" customHeight="1" s="1264"/>
    <row r="449" ht="15.75" customHeight="1" s="1264"/>
    <row r="450" ht="15.75" customHeight="1" s="1264"/>
    <row r="451" ht="15.75" customHeight="1" s="1264"/>
    <row r="452" ht="15.75" customHeight="1" s="1264"/>
    <row r="453" ht="15.75" customHeight="1" s="1264"/>
    <row r="454" ht="15.75" customHeight="1" s="1264"/>
    <row r="455" ht="15.75" customHeight="1" s="1264"/>
    <row r="456" ht="15.75" customHeight="1" s="1264"/>
    <row r="457" ht="15.75" customHeight="1" s="1264"/>
    <row r="458" ht="15.75" customHeight="1" s="1264"/>
    <row r="459" ht="15.75" customHeight="1" s="1264"/>
    <row r="460" ht="15.75" customHeight="1" s="1264"/>
    <row r="461" ht="15.75" customHeight="1" s="1264"/>
    <row r="462" ht="15.75" customHeight="1" s="1264"/>
    <row r="463" ht="15.75" customHeight="1" s="1264"/>
    <row r="464" ht="15.75" customHeight="1" s="1264"/>
    <row r="465" ht="15.75" customHeight="1" s="1264"/>
    <row r="466" ht="15.75" customHeight="1" s="1264"/>
    <row r="467" ht="15.75" customHeight="1" s="1264"/>
    <row r="468" ht="15.75" customHeight="1" s="1264"/>
    <row r="469" ht="15.75" customHeight="1" s="1264"/>
    <row r="470" ht="15.75" customHeight="1" s="1264"/>
    <row r="471" ht="15.75" customHeight="1" s="1264"/>
    <row r="472" ht="15.75" customHeight="1" s="1264"/>
    <row r="473" ht="15.75" customHeight="1" s="1264"/>
    <row r="474" ht="15.75" customHeight="1" s="1264"/>
    <row r="475" ht="15.75" customHeight="1" s="1264"/>
    <row r="476" ht="15.75" customHeight="1" s="1264"/>
    <row r="477" ht="15.75" customHeight="1" s="1264"/>
    <row r="478" ht="15.75" customHeight="1" s="1264"/>
    <row r="479" ht="15.75" customHeight="1" s="1264"/>
    <row r="480" ht="15.75" customHeight="1" s="1264"/>
    <row r="481" ht="15.75" customHeight="1" s="1264"/>
    <row r="482" ht="15.75" customHeight="1" s="1264"/>
    <row r="483" ht="15.75" customHeight="1" s="1264"/>
    <row r="484" ht="15.75" customHeight="1" s="1264"/>
    <row r="485" ht="15.75" customHeight="1" s="1264"/>
    <row r="486" ht="15.75" customHeight="1" s="1264"/>
    <row r="487" ht="15.75" customHeight="1" s="1264"/>
    <row r="488" ht="15.75" customHeight="1" s="1264"/>
    <row r="489" ht="15.75" customHeight="1" s="1264"/>
    <row r="490" ht="15.75" customHeight="1" s="1264"/>
    <row r="491" ht="15.75" customHeight="1" s="1264"/>
    <row r="492" ht="15.75" customHeight="1" s="1264"/>
    <row r="493" ht="15.75" customHeight="1" s="1264"/>
    <row r="494" ht="15.75" customHeight="1" s="1264"/>
    <row r="495" ht="15.75" customHeight="1" s="1264"/>
    <row r="496" ht="15.75" customHeight="1" s="1264"/>
    <row r="497" ht="15.75" customHeight="1" s="1264"/>
    <row r="498" ht="15.75" customHeight="1" s="1264"/>
    <row r="499" ht="15.75" customHeight="1" s="1264"/>
    <row r="500" ht="15.75" customHeight="1" s="1264"/>
    <row r="501" ht="15.75" customHeight="1" s="1264"/>
    <row r="502" ht="15.75" customHeight="1" s="1264"/>
    <row r="503" ht="15.75" customHeight="1" s="1264"/>
    <row r="504" ht="15.75" customHeight="1" s="1264"/>
    <row r="505" ht="15.75" customHeight="1" s="1264"/>
    <row r="506" ht="15.75" customHeight="1" s="1264"/>
    <row r="507" ht="15.75" customHeight="1" s="1264"/>
    <row r="508" ht="15.75" customHeight="1" s="1264"/>
    <row r="509" ht="15.75" customHeight="1" s="1264"/>
    <row r="510" ht="15.75" customHeight="1" s="1264"/>
    <row r="511" ht="15.75" customHeight="1" s="1264"/>
    <row r="512" ht="15.75" customHeight="1" s="1264"/>
    <row r="513" ht="15.75" customHeight="1" s="1264"/>
    <row r="514" ht="15.75" customHeight="1" s="1264"/>
    <row r="515" ht="15.75" customHeight="1" s="1264"/>
    <row r="516" ht="15.75" customHeight="1" s="1264"/>
    <row r="517" ht="15.75" customHeight="1" s="1264"/>
    <row r="518" ht="15.75" customHeight="1" s="1264"/>
    <row r="519" ht="15.75" customHeight="1" s="1264"/>
    <row r="520" ht="15.75" customHeight="1" s="1264"/>
    <row r="521" ht="15.75" customHeight="1" s="1264"/>
    <row r="522" ht="15.75" customHeight="1" s="1264"/>
    <row r="523" ht="15.75" customHeight="1" s="1264"/>
    <row r="524" ht="15.75" customHeight="1" s="1264"/>
    <row r="525" ht="15.75" customHeight="1" s="1264"/>
    <row r="526" ht="15.75" customHeight="1" s="1264"/>
    <row r="527" ht="15.75" customHeight="1" s="1264"/>
    <row r="528" ht="15.75" customHeight="1" s="1264"/>
    <row r="529" ht="15.75" customHeight="1" s="1264"/>
    <row r="530" ht="15.75" customHeight="1" s="1264"/>
    <row r="531" ht="15.75" customHeight="1" s="1264"/>
    <row r="532" ht="15.75" customHeight="1" s="1264"/>
    <row r="533" ht="15.75" customHeight="1" s="1264"/>
    <row r="534" ht="15.75" customHeight="1" s="1264"/>
    <row r="535" ht="15.75" customHeight="1" s="1264"/>
    <row r="536" ht="15.75" customHeight="1" s="1264"/>
    <row r="537" ht="15.75" customHeight="1" s="1264"/>
    <row r="538" ht="15.75" customHeight="1" s="1264"/>
    <row r="539" ht="15.75" customHeight="1" s="1264"/>
    <row r="540" ht="15.75" customHeight="1" s="1264"/>
    <row r="541" ht="15.75" customHeight="1" s="1264"/>
    <row r="542" ht="15.75" customHeight="1" s="1264"/>
    <row r="543" ht="15.75" customHeight="1" s="1264"/>
    <row r="544" ht="15.75" customHeight="1" s="1264"/>
    <row r="545" ht="15.75" customHeight="1" s="1264"/>
    <row r="546" ht="15.75" customHeight="1" s="1264"/>
    <row r="547" ht="15.75" customHeight="1" s="1264"/>
    <row r="548" ht="15.75" customHeight="1" s="1264"/>
    <row r="549" ht="15.75" customHeight="1" s="1264"/>
    <row r="550" ht="15.75" customHeight="1" s="1264"/>
    <row r="551" ht="15.75" customHeight="1" s="1264"/>
    <row r="552" ht="15.75" customHeight="1" s="1264"/>
    <row r="553" ht="15.75" customHeight="1" s="1264"/>
    <row r="554" ht="15.75" customHeight="1" s="1264"/>
    <row r="555" ht="15.75" customHeight="1" s="1264"/>
    <row r="556" ht="15.75" customHeight="1" s="1264"/>
    <row r="557" ht="15.75" customHeight="1" s="1264"/>
    <row r="558" ht="15.75" customHeight="1" s="1264"/>
    <row r="559" ht="15.75" customHeight="1" s="1264"/>
    <row r="560" ht="15.75" customHeight="1" s="1264"/>
    <row r="561" ht="15.75" customHeight="1" s="1264"/>
    <row r="562" ht="15.75" customHeight="1" s="1264"/>
    <row r="563" ht="15.75" customHeight="1" s="1264"/>
    <row r="564" ht="15.75" customHeight="1" s="1264"/>
    <row r="565" ht="15.75" customHeight="1" s="1264"/>
    <row r="566" ht="15.75" customHeight="1" s="1264"/>
    <row r="567" ht="15.75" customHeight="1" s="1264"/>
    <row r="568" ht="15.75" customHeight="1" s="1264"/>
    <row r="569" ht="15.75" customHeight="1" s="1264"/>
    <row r="570" ht="15.75" customHeight="1" s="1264"/>
    <row r="571" ht="15.75" customHeight="1" s="1264"/>
    <row r="572" ht="15.75" customHeight="1" s="1264"/>
    <row r="573" ht="15.75" customHeight="1" s="1264"/>
    <row r="574" ht="15.75" customHeight="1" s="1264"/>
    <row r="575" ht="15.75" customHeight="1" s="1264"/>
    <row r="576" ht="15.75" customHeight="1" s="1264"/>
    <row r="577" ht="15.75" customHeight="1" s="1264"/>
    <row r="578" ht="15.75" customHeight="1" s="1264"/>
    <row r="579" ht="15.75" customHeight="1" s="1264"/>
    <row r="580" ht="15.75" customHeight="1" s="1264"/>
    <row r="581" ht="15.75" customHeight="1" s="1264"/>
    <row r="582" ht="15.75" customHeight="1" s="1264"/>
    <row r="583" ht="15.75" customHeight="1" s="1264"/>
    <row r="584" ht="15.75" customHeight="1" s="1264"/>
    <row r="585" ht="15.75" customHeight="1" s="1264"/>
    <row r="586" ht="15.75" customHeight="1" s="1264"/>
    <row r="587" ht="15.75" customHeight="1" s="1264"/>
    <row r="588" ht="15.75" customHeight="1" s="1264"/>
    <row r="589" ht="15.75" customHeight="1" s="1264"/>
    <row r="590" ht="15.75" customHeight="1" s="1264"/>
    <row r="591" ht="15.75" customHeight="1" s="1264"/>
    <row r="592" ht="15.75" customHeight="1" s="1264"/>
    <row r="593" ht="15.75" customHeight="1" s="1264"/>
    <row r="594" ht="15.75" customHeight="1" s="1264"/>
    <row r="595" ht="15.75" customHeight="1" s="1264"/>
    <row r="596" ht="15.75" customHeight="1" s="1264"/>
    <row r="597" ht="15.75" customHeight="1" s="1264"/>
    <row r="598" ht="15.75" customHeight="1" s="1264"/>
    <row r="599" ht="15.75" customHeight="1" s="1264"/>
    <row r="600" ht="15.75" customHeight="1" s="1264"/>
    <row r="601" ht="15.75" customHeight="1" s="1264"/>
    <row r="602" ht="15.75" customHeight="1" s="1264"/>
    <row r="603" ht="15.75" customHeight="1" s="1264"/>
    <row r="604" ht="15.75" customHeight="1" s="1264"/>
    <row r="605" ht="15.75" customHeight="1" s="1264"/>
    <row r="606" ht="15.75" customHeight="1" s="1264"/>
    <row r="607" ht="15.75" customHeight="1" s="1264"/>
    <row r="608" ht="15.75" customHeight="1" s="1264"/>
    <row r="609" ht="15.75" customHeight="1" s="1264"/>
    <row r="610" ht="15.75" customHeight="1" s="1264"/>
    <row r="611" ht="15.75" customHeight="1" s="1264"/>
    <row r="612" ht="15.75" customHeight="1" s="1264"/>
    <row r="613" ht="15.75" customHeight="1" s="1264"/>
    <row r="614" ht="15.75" customHeight="1" s="1264"/>
    <row r="615" ht="15.75" customHeight="1" s="1264"/>
    <row r="616" ht="15.75" customHeight="1" s="1264"/>
    <row r="617" ht="15.75" customHeight="1" s="1264"/>
    <row r="618" ht="15.75" customHeight="1" s="1264"/>
    <row r="619" ht="15.75" customHeight="1" s="1264"/>
    <row r="620" ht="15.75" customHeight="1" s="1264"/>
    <row r="621" ht="15.75" customHeight="1" s="1264"/>
    <row r="622" ht="15.75" customHeight="1" s="1264"/>
    <row r="623" ht="15.75" customHeight="1" s="1264"/>
    <row r="624" ht="15.75" customHeight="1" s="1264"/>
    <row r="625" ht="15.75" customHeight="1" s="1264"/>
    <row r="626" ht="15.75" customHeight="1" s="1264"/>
    <row r="627" ht="15.75" customHeight="1" s="1264"/>
    <row r="628" ht="15.75" customHeight="1" s="1264"/>
    <row r="629" ht="15.75" customHeight="1" s="1264"/>
    <row r="630" ht="15.75" customHeight="1" s="1264"/>
    <row r="631" ht="15.75" customHeight="1" s="1264"/>
    <row r="632" ht="15.75" customHeight="1" s="1264"/>
    <row r="633" ht="15.75" customHeight="1" s="1264"/>
    <row r="634" ht="15.75" customHeight="1" s="1264"/>
    <row r="635" ht="15.75" customHeight="1" s="1264"/>
    <row r="636" ht="15.75" customHeight="1" s="1264"/>
    <row r="637" ht="15.75" customHeight="1" s="1264"/>
    <row r="638" ht="15.75" customHeight="1" s="1264"/>
    <row r="639" ht="15.75" customHeight="1" s="1264"/>
    <row r="640" ht="15.75" customHeight="1" s="1264"/>
    <row r="641" ht="15.75" customHeight="1" s="1264"/>
    <row r="642" ht="15.75" customHeight="1" s="1264"/>
    <row r="643" ht="15.75" customHeight="1" s="1264"/>
    <row r="644" ht="15.75" customHeight="1" s="1264"/>
    <row r="645" ht="15.75" customHeight="1" s="1264"/>
    <row r="646" ht="15.75" customHeight="1" s="1264"/>
    <row r="647" ht="15.75" customHeight="1" s="1264"/>
    <row r="648" ht="15.75" customHeight="1" s="1264"/>
    <row r="649" ht="15.75" customHeight="1" s="1264"/>
    <row r="650" ht="15.75" customHeight="1" s="1264"/>
    <row r="651" ht="15.75" customHeight="1" s="1264"/>
    <row r="652" ht="15.75" customHeight="1" s="1264"/>
    <row r="653" ht="15.75" customHeight="1" s="1264"/>
    <row r="654" ht="15.75" customHeight="1" s="1264"/>
    <row r="655" ht="15.75" customHeight="1" s="1264"/>
    <row r="656" ht="15.75" customHeight="1" s="1264"/>
    <row r="657" ht="15.75" customHeight="1" s="1264"/>
    <row r="658" ht="15.75" customHeight="1" s="1264"/>
    <row r="659" ht="15.75" customHeight="1" s="1264"/>
    <row r="660" ht="15.75" customHeight="1" s="1264"/>
    <row r="661" ht="15.75" customHeight="1" s="1264"/>
    <row r="662" ht="15.75" customHeight="1" s="1264"/>
    <row r="663" ht="15.75" customHeight="1" s="1264"/>
    <row r="664" ht="15.75" customHeight="1" s="1264"/>
    <row r="665" ht="15.75" customHeight="1" s="1264"/>
    <row r="666" ht="15.75" customHeight="1" s="1264"/>
    <row r="667" ht="15.75" customHeight="1" s="1264"/>
    <row r="668" ht="15.75" customHeight="1" s="1264"/>
    <row r="669" ht="15.75" customHeight="1" s="1264"/>
    <row r="670" ht="15.75" customHeight="1" s="1264"/>
    <row r="671" ht="15.75" customHeight="1" s="1264"/>
    <row r="672" ht="15.75" customHeight="1" s="1264"/>
    <row r="673" ht="15.75" customHeight="1" s="1264"/>
    <row r="674" ht="15.75" customHeight="1" s="1264"/>
    <row r="675" ht="15.75" customHeight="1" s="1264"/>
    <row r="676" ht="15.75" customHeight="1" s="1264"/>
    <row r="677" ht="15.75" customHeight="1" s="1264"/>
    <row r="678" ht="15.75" customHeight="1" s="1264"/>
    <row r="679" ht="15.75" customHeight="1" s="1264"/>
    <row r="680" ht="15.75" customHeight="1" s="1264"/>
    <row r="681" ht="15.75" customHeight="1" s="1264"/>
    <row r="682" ht="15.75" customHeight="1" s="1264"/>
    <row r="683" ht="15.75" customHeight="1" s="1264"/>
    <row r="684" ht="15.75" customHeight="1" s="1264"/>
    <row r="685" ht="15.75" customHeight="1" s="1264"/>
    <row r="686" ht="15.75" customHeight="1" s="1264"/>
    <row r="687" ht="15.75" customHeight="1" s="1264"/>
    <row r="688" ht="15.75" customHeight="1" s="1264"/>
    <row r="689" ht="15.75" customHeight="1" s="1264"/>
    <row r="690" ht="15.75" customHeight="1" s="1264"/>
    <row r="691" ht="15.75" customHeight="1" s="1264"/>
    <row r="692" ht="15.75" customHeight="1" s="1264"/>
    <row r="693" ht="15.75" customHeight="1" s="1264"/>
    <row r="694" ht="15.75" customHeight="1" s="1264"/>
    <row r="695" ht="15.75" customHeight="1" s="1264"/>
    <row r="696" ht="15.75" customHeight="1" s="1264"/>
    <row r="697" ht="15.75" customHeight="1" s="1264"/>
    <row r="698" ht="15.75" customHeight="1" s="1264"/>
    <row r="699" ht="15.75" customHeight="1" s="1264"/>
    <row r="700" ht="15.75" customHeight="1" s="1264"/>
    <row r="701" ht="15.75" customHeight="1" s="1264"/>
    <row r="702" ht="15.75" customHeight="1" s="1264"/>
    <row r="703" ht="15.75" customHeight="1" s="1264"/>
    <row r="704" ht="15.75" customHeight="1" s="1264"/>
    <row r="705" ht="15.75" customHeight="1" s="1264"/>
    <row r="706" ht="15.75" customHeight="1" s="1264"/>
    <row r="707" ht="15.75" customHeight="1" s="1264"/>
    <row r="708" ht="15.75" customHeight="1" s="1264"/>
    <row r="709" ht="15.75" customHeight="1" s="1264"/>
    <row r="710" ht="15.75" customHeight="1" s="1264"/>
    <row r="711" ht="15.75" customHeight="1" s="1264"/>
    <row r="712" ht="15.75" customHeight="1" s="1264"/>
    <row r="713" ht="15.75" customHeight="1" s="1264"/>
    <row r="714" ht="15.75" customHeight="1" s="1264"/>
    <row r="715" ht="15.75" customHeight="1" s="1264"/>
    <row r="716" ht="15.75" customHeight="1" s="1264"/>
    <row r="717" ht="15.75" customHeight="1" s="1264"/>
    <row r="718" ht="15.75" customHeight="1" s="1264"/>
    <row r="719" ht="15.75" customHeight="1" s="1264"/>
    <row r="720" ht="15.75" customHeight="1" s="1264"/>
    <row r="721" ht="15.75" customHeight="1" s="1264"/>
    <row r="722" ht="15.75" customHeight="1" s="1264"/>
    <row r="723" ht="15.75" customHeight="1" s="1264"/>
    <row r="724" ht="15.75" customHeight="1" s="1264"/>
    <row r="725" ht="15.75" customHeight="1" s="1264"/>
    <row r="726" ht="15.75" customHeight="1" s="1264"/>
    <row r="727" ht="15.75" customHeight="1" s="1264"/>
    <row r="728" ht="15.75" customHeight="1" s="1264"/>
    <row r="729" ht="15.75" customHeight="1" s="1264"/>
    <row r="730" ht="15.75" customHeight="1" s="1264"/>
    <row r="731" ht="15.75" customHeight="1" s="1264"/>
    <row r="732" ht="15.75" customHeight="1" s="1264"/>
    <row r="733" ht="15.75" customHeight="1" s="1264"/>
    <row r="734" ht="15.75" customHeight="1" s="1264"/>
    <row r="735" ht="15.75" customHeight="1" s="1264"/>
    <row r="736" ht="15.75" customHeight="1" s="1264"/>
    <row r="737" ht="15.75" customHeight="1" s="1264"/>
    <row r="738" ht="15.75" customHeight="1" s="1264"/>
    <row r="739" ht="15.75" customHeight="1" s="1264"/>
    <row r="740" ht="15.75" customHeight="1" s="1264"/>
    <row r="741" ht="15.75" customHeight="1" s="1264"/>
    <row r="742" ht="15.75" customHeight="1" s="1264"/>
    <row r="743" ht="15.75" customHeight="1" s="1264"/>
    <row r="744" ht="15.75" customHeight="1" s="1264"/>
    <row r="745" ht="15.75" customHeight="1" s="1264"/>
    <row r="746" ht="15.75" customHeight="1" s="1264"/>
    <row r="747" ht="15.75" customHeight="1" s="1264"/>
    <row r="748" ht="15.75" customHeight="1" s="1264"/>
    <row r="749" ht="15.75" customHeight="1" s="1264"/>
    <row r="750" ht="15.75" customHeight="1" s="1264"/>
    <row r="751" ht="15.75" customHeight="1" s="1264"/>
    <row r="752" ht="15.75" customHeight="1" s="1264"/>
    <row r="753" ht="15.75" customHeight="1" s="1264"/>
    <row r="754" ht="15.75" customHeight="1" s="1264"/>
    <row r="755" ht="15.75" customHeight="1" s="1264"/>
    <row r="756" ht="15.75" customHeight="1" s="1264"/>
    <row r="757" ht="15.75" customHeight="1" s="1264"/>
    <row r="758" ht="15.75" customHeight="1" s="1264"/>
    <row r="759" ht="15.75" customHeight="1" s="1264"/>
    <row r="760" ht="15.75" customHeight="1" s="1264"/>
    <row r="761" ht="15.75" customHeight="1" s="1264"/>
    <row r="762" ht="15.75" customHeight="1" s="1264"/>
    <row r="763" ht="15.75" customHeight="1" s="1264"/>
    <row r="764" ht="15.75" customHeight="1" s="1264"/>
    <row r="765" ht="15.75" customHeight="1" s="1264"/>
    <row r="766" ht="15.75" customHeight="1" s="1264"/>
    <row r="767" ht="15.75" customHeight="1" s="1264"/>
    <row r="768" ht="15.75" customHeight="1" s="1264"/>
    <row r="769" ht="15.75" customHeight="1" s="1264"/>
    <row r="770" ht="15.75" customHeight="1" s="1264"/>
    <row r="771" ht="15.75" customHeight="1" s="1264"/>
    <row r="772" ht="15.75" customHeight="1" s="1264"/>
    <row r="773" ht="15.75" customHeight="1" s="1264"/>
    <row r="774" ht="15.75" customHeight="1" s="1264"/>
    <row r="775" ht="15.75" customHeight="1" s="1264"/>
    <row r="776" ht="15.75" customHeight="1" s="1264"/>
    <row r="777" ht="15.75" customHeight="1" s="1264"/>
    <row r="778" ht="15.75" customHeight="1" s="1264"/>
    <row r="779" ht="15.75" customHeight="1" s="1264"/>
    <row r="780" ht="15.75" customHeight="1" s="1264"/>
    <row r="781" ht="15.75" customHeight="1" s="1264"/>
    <row r="782" ht="15.75" customHeight="1" s="1264"/>
    <row r="783" ht="15.75" customHeight="1" s="1264"/>
    <row r="784" ht="15.75" customHeight="1" s="1264"/>
    <row r="785" ht="15.75" customHeight="1" s="1264"/>
    <row r="786" ht="15.75" customHeight="1" s="1264"/>
    <row r="787" ht="15.75" customHeight="1" s="1264"/>
    <row r="788" ht="15.75" customHeight="1" s="1264"/>
    <row r="789" ht="15.75" customHeight="1" s="1264"/>
    <row r="790" ht="15.75" customHeight="1" s="1264"/>
    <row r="791" ht="15.75" customHeight="1" s="1264"/>
    <row r="792" ht="15.75" customHeight="1" s="1264"/>
    <row r="793" ht="15.75" customHeight="1" s="1264"/>
    <row r="794" ht="15.75" customHeight="1" s="1264"/>
    <row r="795" ht="15.75" customHeight="1" s="1264"/>
    <row r="796" ht="15.75" customHeight="1" s="1264"/>
    <row r="797" ht="15.75" customHeight="1" s="1264"/>
    <row r="798" ht="15.75" customHeight="1" s="1264"/>
    <row r="799" ht="15.75" customHeight="1" s="1264"/>
    <row r="800" ht="15.75" customHeight="1" s="1264"/>
    <row r="801" ht="15.75" customHeight="1" s="1264"/>
    <row r="802" ht="15.75" customHeight="1" s="1264"/>
    <row r="803" ht="15.75" customHeight="1" s="1264"/>
    <row r="804" ht="15.75" customHeight="1" s="1264"/>
    <row r="805" ht="15.75" customHeight="1" s="1264"/>
    <row r="806" ht="15.75" customHeight="1" s="1264"/>
    <row r="807" ht="15.75" customHeight="1" s="1264"/>
    <row r="808" ht="15.75" customHeight="1" s="1264"/>
    <row r="809" ht="15.75" customHeight="1" s="1264"/>
    <row r="810" ht="15.75" customHeight="1" s="1264"/>
    <row r="811" ht="15.75" customHeight="1" s="1264"/>
    <row r="812" ht="15.75" customHeight="1" s="1264"/>
    <row r="813" ht="15.75" customHeight="1" s="1264"/>
    <row r="814" ht="15.75" customHeight="1" s="1264"/>
    <row r="815" ht="15.75" customHeight="1" s="1264"/>
    <row r="816" ht="15.75" customHeight="1" s="1264"/>
    <row r="817" ht="15.75" customHeight="1" s="1264"/>
    <row r="818" ht="15.75" customHeight="1" s="1264"/>
    <row r="819" ht="15.75" customHeight="1" s="1264"/>
    <row r="820" ht="15.75" customHeight="1" s="1264"/>
    <row r="821" ht="15.75" customHeight="1" s="1264"/>
    <row r="822" ht="15.75" customHeight="1" s="1264"/>
    <row r="823" ht="15.75" customHeight="1" s="1264"/>
    <row r="824" ht="15.75" customHeight="1" s="1264"/>
    <row r="825" ht="15.75" customHeight="1" s="1264"/>
    <row r="826" ht="15.75" customHeight="1" s="1264"/>
    <row r="827" ht="15.75" customHeight="1" s="1264"/>
    <row r="828" ht="15.75" customHeight="1" s="1264"/>
    <row r="829" ht="15.75" customHeight="1" s="1264"/>
    <row r="830" ht="15.75" customHeight="1" s="1264"/>
    <row r="831" ht="15.75" customHeight="1" s="1264"/>
    <row r="832" ht="15.75" customHeight="1" s="1264"/>
    <row r="833" ht="15.75" customHeight="1" s="1264"/>
    <row r="834" ht="15.75" customHeight="1" s="1264"/>
    <row r="835" ht="15.75" customHeight="1" s="1264"/>
    <row r="836" ht="15.75" customHeight="1" s="1264"/>
    <row r="837" ht="15.75" customHeight="1" s="1264"/>
    <row r="838" ht="15.75" customHeight="1" s="1264"/>
    <row r="839" ht="15.75" customHeight="1" s="1264"/>
    <row r="840" ht="15.75" customHeight="1" s="1264"/>
    <row r="841" ht="15.75" customHeight="1" s="1264"/>
    <row r="842" ht="15.75" customHeight="1" s="1264"/>
    <row r="843" ht="15.75" customHeight="1" s="1264"/>
    <row r="844" ht="15.75" customHeight="1" s="1264"/>
    <row r="845" ht="15.75" customHeight="1" s="1264"/>
    <row r="846" ht="15.75" customHeight="1" s="1264"/>
    <row r="847" ht="15.75" customHeight="1" s="1264"/>
    <row r="848" ht="15.75" customHeight="1" s="1264"/>
    <row r="849" ht="15.75" customHeight="1" s="1264"/>
    <row r="850" ht="15.75" customHeight="1" s="1264"/>
    <row r="851" ht="15.75" customHeight="1" s="1264"/>
    <row r="852" ht="15.75" customHeight="1" s="1264"/>
    <row r="853" ht="15.75" customHeight="1" s="1264"/>
    <row r="854" ht="15.75" customHeight="1" s="1264"/>
    <row r="855" ht="15.75" customHeight="1" s="1264"/>
    <row r="856" ht="15.75" customHeight="1" s="1264"/>
    <row r="857" ht="15.75" customHeight="1" s="1264"/>
    <row r="858" ht="15.75" customHeight="1" s="1264"/>
    <row r="859" ht="15.75" customHeight="1" s="1264"/>
    <row r="860" ht="15.75" customHeight="1" s="1264"/>
    <row r="861" ht="15.75" customHeight="1" s="1264"/>
    <row r="862" ht="15.75" customHeight="1" s="1264"/>
    <row r="863" ht="15.75" customHeight="1" s="1264"/>
    <row r="864" ht="15.75" customHeight="1" s="1264"/>
    <row r="865" ht="15.75" customHeight="1" s="1264"/>
    <row r="866" ht="15.75" customHeight="1" s="1264"/>
    <row r="867" ht="15.75" customHeight="1" s="1264"/>
    <row r="868" ht="15.75" customHeight="1" s="1264"/>
    <row r="869" ht="15.75" customHeight="1" s="1264"/>
    <row r="870" ht="15.75" customHeight="1" s="1264"/>
    <row r="871" ht="15.75" customHeight="1" s="1264"/>
    <row r="872" ht="15.75" customHeight="1" s="1264"/>
    <row r="873" ht="15.75" customHeight="1" s="1264"/>
    <row r="874" ht="15.75" customHeight="1" s="1264"/>
    <row r="875" ht="15.75" customHeight="1" s="1264"/>
    <row r="876" ht="15.75" customHeight="1" s="1264"/>
    <row r="877" ht="15.75" customHeight="1" s="1264"/>
    <row r="878" ht="15.75" customHeight="1" s="1264"/>
    <row r="879" ht="15.75" customHeight="1" s="1264"/>
    <row r="880" ht="15.75" customHeight="1" s="1264"/>
    <row r="881" ht="15.75" customHeight="1" s="1264"/>
    <row r="882" ht="15.75" customHeight="1" s="1264"/>
    <row r="883" ht="15.75" customHeight="1" s="1264"/>
    <row r="884" ht="15.75" customHeight="1" s="1264"/>
    <row r="885" ht="15.75" customHeight="1" s="1264"/>
    <row r="886" ht="15.75" customHeight="1" s="1264"/>
    <row r="887" ht="15.75" customHeight="1" s="1264"/>
    <row r="888" ht="15.75" customHeight="1" s="1264"/>
    <row r="889" ht="15.75" customHeight="1" s="1264"/>
    <row r="890" ht="15.75" customHeight="1" s="1264"/>
    <row r="891" ht="15.75" customHeight="1" s="1264"/>
    <row r="892" ht="15.75" customHeight="1" s="1264"/>
    <row r="893" ht="15.75" customHeight="1" s="1264"/>
    <row r="894" ht="15.75" customHeight="1" s="1264"/>
    <row r="895" ht="15.75" customHeight="1" s="1264"/>
    <row r="896" ht="15.75" customHeight="1" s="1264"/>
    <row r="897" ht="15.75" customHeight="1" s="1264"/>
    <row r="898" ht="15.75" customHeight="1" s="1264"/>
    <row r="899" ht="15.75" customHeight="1" s="1264"/>
    <row r="900" ht="15.75" customHeight="1" s="1264"/>
    <row r="901" ht="15.75" customHeight="1" s="1264"/>
    <row r="902" ht="15.75" customHeight="1" s="1264"/>
    <row r="903" ht="15.75" customHeight="1" s="1264"/>
    <row r="904" ht="15.75" customHeight="1" s="1264"/>
    <row r="905" ht="15.75" customHeight="1" s="1264"/>
    <row r="906" ht="15.75" customHeight="1" s="1264"/>
    <row r="907" ht="15.75" customHeight="1" s="1264"/>
    <row r="908" ht="15.75" customHeight="1" s="1264"/>
    <row r="909" ht="15.75" customHeight="1" s="1264"/>
    <row r="910" ht="15.75" customHeight="1" s="1264"/>
    <row r="911" ht="15.75" customHeight="1" s="1264"/>
    <row r="912" ht="15.75" customHeight="1" s="1264"/>
    <row r="913" ht="15.75" customHeight="1" s="1264"/>
    <row r="914" ht="15.75" customHeight="1" s="1264"/>
    <row r="915" ht="15.75" customHeight="1" s="1264"/>
    <row r="916" ht="15.75" customHeight="1" s="1264"/>
    <row r="917" ht="15.75" customHeight="1" s="1264"/>
    <row r="918" ht="15.75" customHeight="1" s="1264"/>
    <row r="919" ht="15.75" customHeight="1" s="1264"/>
    <row r="920" ht="15.75" customHeight="1" s="1264"/>
    <row r="921" ht="15.75" customHeight="1" s="1264"/>
    <row r="922" ht="15.75" customHeight="1" s="1264"/>
    <row r="923" ht="15.75" customHeight="1" s="1264"/>
    <row r="924" ht="15.75" customHeight="1" s="1264"/>
    <row r="925" ht="15.75" customHeight="1" s="1264"/>
    <row r="926" ht="15.75" customHeight="1" s="1264"/>
    <row r="927" ht="15.75" customHeight="1" s="1264"/>
    <row r="928" ht="15.75" customHeight="1" s="1264"/>
    <row r="929" ht="15.75" customHeight="1" s="1264"/>
    <row r="930" ht="15.75" customHeight="1" s="1264"/>
    <row r="931" ht="15.75" customHeight="1" s="1264"/>
    <row r="932" ht="15.75" customHeight="1" s="1264"/>
    <row r="933" ht="15.75" customHeight="1" s="1264"/>
    <row r="934" ht="15.75" customHeight="1" s="1264"/>
    <row r="935" ht="15.75" customHeight="1" s="1264"/>
    <row r="936" ht="15.75" customHeight="1" s="1264"/>
    <row r="937" ht="15.75" customHeight="1" s="1264"/>
    <row r="938" ht="15.75" customHeight="1" s="1264"/>
    <row r="939" ht="15.75" customHeight="1" s="1264"/>
    <row r="940" ht="15.75" customHeight="1" s="1264"/>
    <row r="941" ht="15.75" customHeight="1" s="1264"/>
    <row r="942" ht="15.75" customHeight="1" s="1264"/>
    <row r="943" ht="15.75" customHeight="1" s="1264"/>
    <row r="944" ht="15.75" customHeight="1" s="1264"/>
    <row r="945" ht="15.75" customHeight="1" s="1264"/>
    <row r="946" ht="15.75" customHeight="1" s="1264"/>
    <row r="947" ht="15.75" customHeight="1" s="1264"/>
    <row r="948" ht="15.75" customHeight="1" s="1264"/>
    <row r="949" ht="15.75" customHeight="1" s="1264"/>
    <row r="950" ht="15.75" customHeight="1" s="1264"/>
    <row r="951" ht="15.75" customHeight="1" s="1264"/>
    <row r="952" ht="15.75" customHeight="1" s="1264"/>
    <row r="953" ht="15.75" customHeight="1" s="1264"/>
    <row r="954" ht="15.75" customHeight="1" s="1264"/>
    <row r="955" ht="15.75" customHeight="1" s="1264"/>
    <row r="956" ht="15.75" customHeight="1" s="1264"/>
    <row r="957" ht="15.75" customHeight="1" s="1264"/>
    <row r="958" ht="15.75" customHeight="1" s="1264"/>
    <row r="959" ht="15.75" customHeight="1" s="1264"/>
    <row r="960" ht="15.75" customHeight="1" s="1264"/>
    <row r="961" ht="15.75" customHeight="1" s="1264"/>
    <row r="962" ht="15.75" customHeight="1" s="1264"/>
    <row r="963" ht="15.75" customHeight="1" s="1264"/>
    <row r="964" ht="15.75" customHeight="1" s="1264"/>
    <row r="965" ht="15.75" customHeight="1" s="1264"/>
    <row r="966" ht="15.75" customHeight="1" s="1264"/>
    <row r="967" ht="15.75" customHeight="1" s="1264"/>
    <row r="968" ht="15.75" customHeight="1" s="1264"/>
    <row r="969" ht="15.75" customHeight="1" s="1264"/>
    <row r="970" ht="15.75" customHeight="1" s="1264"/>
    <row r="971" ht="15.75" customHeight="1" s="1264"/>
    <row r="972" ht="15.75" customHeight="1" s="1264"/>
    <row r="973" ht="15.75" customHeight="1" s="1264"/>
    <row r="974" ht="15.75" customHeight="1" s="1264"/>
    <row r="975" ht="15.75" customHeight="1" s="1264"/>
    <row r="976" ht="15.75" customHeight="1" s="1264"/>
    <row r="977" ht="15.75" customHeight="1" s="1264"/>
    <row r="978" ht="15.75" customHeight="1" s="1264"/>
    <row r="979" ht="15.75" customHeight="1" s="1264"/>
    <row r="980" ht="15.75" customHeight="1" s="1264"/>
    <row r="981" ht="15.75" customHeight="1" s="1264"/>
    <row r="982" ht="15.75" customHeight="1" s="1264"/>
    <row r="983" ht="15.75" customHeight="1" s="1264"/>
    <row r="984" ht="15.75" customHeight="1" s="1264"/>
    <row r="985" ht="15.75" customHeight="1" s="1264"/>
    <row r="986" ht="15.75" customHeight="1" s="1264"/>
    <row r="987" ht="15.75" customHeight="1" s="1264"/>
    <row r="988" ht="15.75" customHeight="1" s="1264"/>
    <row r="989" ht="15.75" customHeight="1" s="1264"/>
    <row r="990" ht="15.75" customHeight="1" s="1264"/>
    <row r="991" ht="15.75" customHeight="1" s="1264"/>
    <row r="992" ht="15.75" customHeight="1" s="1264"/>
    <row r="993" ht="15.75" customHeight="1" s="1264"/>
    <row r="994" ht="15.75" customHeight="1" s="1264"/>
    <row r="995" ht="15.75" customHeight="1" s="1264"/>
    <row r="996" ht="15.75" customHeight="1" s="1264"/>
    <row r="997" ht="15.75" customHeight="1" s="1264"/>
    <row r="998" ht="15.75" customHeight="1" s="1264"/>
    <row r="999" ht="15.75" customHeight="1" s="1264"/>
    <row r="1000" ht="15.75" customHeight="1" s="1264"/>
  </sheetData>
  <autoFilter ref="B1:Y1"/>
  <conditionalFormatting sqref="I74:I86">
    <cfRule type="beginsWith" priority="1" operator="beginsWith" dxfId="1" text="tech">
      <formula>LEFT(I74,LEN("tech"))="tech"</formula>
    </cfRule>
    <cfRule type="beginsWith" priority="2" operator="beginsWith" dxfId="0" text="0">
      <formula>LEFT(I74,LEN("0"))="0"</formula>
    </cfRule>
  </conditionalFormatting>
  <conditionalFormatting sqref="I92:I103">
    <cfRule type="beginsWith" priority="3" operator="beginsWith" dxfId="1" text="tech">
      <formula>LEFT(I92,LEN("tech"))="tech"</formula>
    </cfRule>
    <cfRule type="beginsWith" priority="4" operator="beginsWith" dxfId="0" text="0">
      <formula>LEFT(I92,LEN("0"))="0"</formula>
    </cfRule>
  </conditionalFormatting>
  <dataValidations count="1">
    <dataValidation sqref="E68:E69" showDropDown="0" showInputMessage="0" showErrorMessage="1" allowBlank="1" type="list">
      <formula1>$I$4:$I$5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84"/>
  <sheetViews>
    <sheetView workbookViewId="0">
      <selection activeCell="A1" sqref="A1"/>
    </sheetView>
  </sheetViews>
  <sheetFormatPr baseColWidth="8" defaultColWidth="14.44140625" defaultRowHeight="15" customHeight="1"/>
  <cols>
    <col width="14" customWidth="1" style="1264" min="1" max="1"/>
    <col width="6.33203125" customWidth="1" style="1264" min="2" max="2"/>
    <col width="23.109375" customWidth="1" style="1264" min="3" max="3"/>
    <col hidden="1" width="23.109375" customWidth="1" style="1264" min="4" max="4"/>
    <col width="16" customWidth="1" style="1264" min="5" max="5"/>
    <col width="20.33203125" customWidth="1" style="1264" min="6" max="6"/>
    <col width="15.33203125" customWidth="1" style="1264" min="7" max="7"/>
    <col hidden="1" width="55.88671875" customWidth="1" style="1264" min="8" max="8"/>
    <col hidden="1" width="37.6640625" customWidth="1" style="1264" min="9" max="9"/>
    <col width="60.88671875" customWidth="1" style="1264" min="10" max="10"/>
    <col width="12.44140625" customWidth="1" style="1264" min="11" max="26"/>
    <col width="12.6640625" customWidth="1" style="1264" min="27" max="28"/>
  </cols>
  <sheetData>
    <row r="1" ht="15.75" customHeight="1" s="1264">
      <c r="A1" s="25" t="inlineStr">
        <is>
          <t>HỒ CHÍ MINH</t>
        </is>
      </c>
      <c r="B1" s="26" t="n"/>
      <c r="C1" s="26" t="inlineStr">
        <is>
          <t>Tên chủ TK</t>
        </is>
      </c>
      <c r="D1" s="26" t="n"/>
      <c r="E1" s="26" t="inlineStr">
        <is>
          <t>Số TK</t>
        </is>
      </c>
      <c r="F1" s="26" t="inlineStr">
        <is>
          <t>Ngân hàng</t>
        </is>
      </c>
      <c r="G1" s="26" t="inlineStr">
        <is>
          <t>Số tiền</t>
        </is>
      </c>
      <c r="H1" s="26" t="inlineStr">
        <is>
          <t>Nội dung chuyển khoản lương</t>
        </is>
      </c>
      <c r="I1" s="25" t="n"/>
      <c r="J1" s="26" t="inlineStr">
        <is>
          <t>Nội dung chuyển khoản lương</t>
        </is>
      </c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7" t="n"/>
      <c r="AB1" s="27" t="n"/>
    </row>
    <row r="2" ht="22.5" customHeight="1" s="1264">
      <c r="A2" s="28" t="inlineStr">
        <is>
          <t>24H</t>
        </is>
      </c>
      <c r="B2" s="29" t="n"/>
      <c r="C2" s="30" t="n"/>
      <c r="D2" s="30" t="n"/>
      <c r="E2" s="31" t="n"/>
      <c r="F2" s="31" t="n"/>
      <c r="G2" s="1571" t="n"/>
      <c r="H2" s="30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 ht="21" customHeight="1" s="1264">
      <c r="A3" s="34" t="n"/>
      <c r="B3" s="29" t="n">
        <v>1</v>
      </c>
      <c r="C3" s="30" t="inlineStr">
        <is>
          <t>Quách Thị Hậu</t>
        </is>
      </c>
      <c r="D3" s="30" t="inlineStr">
        <is>
          <t>Quach Thi Hau</t>
        </is>
      </c>
      <c r="E3" s="1195" t="inlineStr">
        <is>
          <t>19032089518024</t>
        </is>
      </c>
      <c r="F3" s="31" t="inlineStr">
        <is>
          <t>NH Techcombank</t>
        </is>
      </c>
      <c r="G3" s="1571">
        <f>#REF!</f>
        <v/>
      </c>
      <c r="H3" s="30" t="inlineStr">
        <is>
          <t>Med Service TT Luong T10.2024 - CNT 24H -</t>
        </is>
      </c>
      <c r="I3" s="24" t="n"/>
      <c r="J3" s="35" t="inlineStr">
        <is>
          <t>Med Service TT Luong T10.2024 - CNT 24H - Quach Thi Hau</t>
        </is>
      </c>
      <c r="K3" s="30" t="n"/>
      <c r="L3" s="30" t="n"/>
      <c r="M3" s="33" t="inlineStr">
        <is>
          <t>·</t>
        </is>
      </c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</row>
    <row r="4" ht="21" customHeight="1" s="1264">
      <c r="A4" s="34" t="n"/>
      <c r="B4" s="29" t="n">
        <v>2</v>
      </c>
      <c r="C4" s="30" t="inlineStr">
        <is>
          <t>Ngô Trần Tuyết Vy</t>
        </is>
      </c>
      <c r="D4" s="30" t="inlineStr">
        <is>
          <t>Ngo Tran Tuyet Vy</t>
        </is>
      </c>
      <c r="E4" s="1195" t="inlineStr">
        <is>
          <t>060260188766</t>
        </is>
      </c>
      <c r="F4" s="31" t="inlineStr">
        <is>
          <t>Sacombank</t>
        </is>
      </c>
      <c r="G4" s="1571">
        <f>#REF!</f>
        <v/>
      </c>
      <c r="H4" s="30" t="inlineStr">
        <is>
          <t>Med Service TT Luong T10.2024 - CNT 24H -</t>
        </is>
      </c>
      <c r="I4" s="24" t="n"/>
      <c r="J4" s="35" t="inlineStr">
        <is>
          <t>Med Service TT Luong T10.2024 - CNT 24H - Ngo Tran Tuyet Vy</t>
        </is>
      </c>
      <c r="K4" s="30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</row>
    <row r="5" ht="21" customHeight="1" s="1264">
      <c r="A5" s="34" t="n"/>
      <c r="B5" s="29" t="n">
        <v>3</v>
      </c>
      <c r="C5" s="30" t="inlineStr">
        <is>
          <t>Trần Thị Kim Khánh</t>
        </is>
      </c>
      <c r="D5" s="30" t="inlineStr">
        <is>
          <t>Tran Thi Kim Khanh</t>
        </is>
      </c>
      <c r="E5" s="1195" t="inlineStr">
        <is>
          <t>69110000565904</t>
        </is>
      </c>
      <c r="F5" s="31" t="inlineStr">
        <is>
          <t>BIDV</t>
        </is>
      </c>
      <c r="G5" s="1571">
        <f>#REF!</f>
        <v/>
      </c>
      <c r="H5" s="30" t="inlineStr">
        <is>
          <t>Med Service TT Luong T10.2024 - CNT 24H -</t>
        </is>
      </c>
      <c r="I5" s="24" t="n"/>
      <c r="J5" s="35" t="inlineStr">
        <is>
          <t>Med Service TT Luong T10.2024 - CNT 24H - Tran Thi Kim Khanh</t>
        </is>
      </c>
      <c r="K5" s="30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</row>
    <row r="6" ht="21" customHeight="1" s="1264">
      <c r="A6" s="34" t="n"/>
      <c r="B6" s="29" t="n">
        <v>4</v>
      </c>
      <c r="C6" s="30" t="inlineStr">
        <is>
          <t>Huỳnh Ngọc Liểu</t>
        </is>
      </c>
      <c r="D6" s="30" t="inlineStr">
        <is>
          <t>Huynh Ngoc Lieu</t>
        </is>
      </c>
      <c r="E6" s="1195" t="inlineStr">
        <is>
          <t>0111000173413</t>
        </is>
      </c>
      <c r="F6" s="31" t="inlineStr">
        <is>
          <t>Vietcombank CN Cần Thơ</t>
        </is>
      </c>
      <c r="G6" s="1571">
        <f>#REF!</f>
        <v/>
      </c>
      <c r="H6" s="30" t="inlineStr">
        <is>
          <t>Med Service TT Luong T10.2024 - CNT 24H -</t>
        </is>
      </c>
      <c r="I6" s="24" t="n"/>
      <c r="J6" s="35" t="inlineStr">
        <is>
          <t>Med Service TT Luong T10.2024 - CNT 24H - Huynh Ngoc Lieu</t>
        </is>
      </c>
      <c r="K6" s="30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</row>
    <row r="7" ht="21" customHeight="1" s="1264">
      <c r="A7" s="34" t="n"/>
      <c r="B7" s="29" t="n"/>
      <c r="C7" s="30" t="n"/>
      <c r="D7" s="30" t="n"/>
      <c r="E7" s="31" t="n"/>
      <c r="F7" s="31" t="n"/>
      <c r="G7" s="1572">
        <f>SUM(G3:G6)</f>
        <v/>
      </c>
      <c r="H7" s="30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</row>
    <row r="8" ht="21" customHeight="1" s="1264">
      <c r="A8" s="37" t="inlineStr">
        <is>
          <t>08 LQV</t>
        </is>
      </c>
      <c r="B8" s="29" t="n"/>
      <c r="C8" s="30" t="n"/>
      <c r="D8" s="30" t="n"/>
      <c r="E8" s="31" t="n"/>
      <c r="F8" s="31" t="n"/>
      <c r="G8" s="1571" t="n"/>
      <c r="H8" s="30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</row>
    <row r="9" ht="21" customHeight="1" s="1264">
      <c r="A9" s="34" t="n"/>
      <c r="B9" s="29" t="n">
        <v>1</v>
      </c>
      <c r="C9" s="30" t="inlineStr">
        <is>
          <t>Thái Thùy Linh</t>
        </is>
      </c>
      <c r="D9" s="30" t="inlineStr">
        <is>
          <t>Thai Thuy Linh</t>
        </is>
      </c>
      <c r="E9" s="1195" t="inlineStr">
        <is>
          <t>070077077837</t>
        </is>
      </c>
      <c r="F9" s="31" t="inlineStr">
        <is>
          <t>Sacombank</t>
        </is>
      </c>
      <c r="G9" s="1571">
        <f>#REF!</f>
        <v/>
      </c>
      <c r="H9" s="30" t="inlineStr">
        <is>
          <t>Med Service TT Luong T10.2024 - 8LVQ -</t>
        </is>
      </c>
      <c r="I9" s="24" t="n"/>
      <c r="J9" s="35" t="inlineStr">
        <is>
          <t>Med Service TT Luong T10.2024 - 8LVQ - Thai Thuy Linh</t>
        </is>
      </c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</row>
    <row r="10" ht="21" customHeight="1" s="1264">
      <c r="A10" s="34" t="n"/>
      <c r="B10" s="29" t="n">
        <v>2</v>
      </c>
      <c r="C10" s="30" t="inlineStr">
        <is>
          <t>Trịnh Thị Phượng</t>
        </is>
      </c>
      <c r="D10" s="30" t="inlineStr">
        <is>
          <t>Trinh Thi Phuong</t>
        </is>
      </c>
      <c r="E10" s="1195" t="inlineStr">
        <is>
          <t>10200014211025</t>
        </is>
      </c>
      <c r="F10" s="31" t="inlineStr">
        <is>
          <t>Seabank</t>
        </is>
      </c>
      <c r="G10" s="1571">
        <f>#REF!</f>
        <v/>
      </c>
      <c r="H10" s="30" t="inlineStr">
        <is>
          <t>Med Service TT Luong T10.2024 - 8LVQ -</t>
        </is>
      </c>
      <c r="I10" s="24" t="n"/>
      <c r="J10" s="35" t="inlineStr">
        <is>
          <t>Med Service TT Luong T10.2024 - 8LVQ - Trinh Thi Phuong</t>
        </is>
      </c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</row>
    <row r="11" ht="21" customHeight="1" s="1264">
      <c r="A11" s="34" t="n"/>
      <c r="B11" s="29" t="n">
        <v>3</v>
      </c>
      <c r="C11" s="30" t="inlineStr">
        <is>
          <t>Võ Thị Ngọc Ánh</t>
        </is>
      </c>
      <c r="D11" s="30" t="inlineStr">
        <is>
          <t>Vo Thi Ngoc Anh</t>
        </is>
      </c>
      <c r="E11" s="31" t="n">
        <v>1012757264</v>
      </c>
      <c r="F11" s="31" t="inlineStr">
        <is>
          <t>Vietcombank</t>
        </is>
      </c>
      <c r="G11" s="1571">
        <f>#REF!</f>
        <v/>
      </c>
      <c r="H11" s="30" t="inlineStr">
        <is>
          <t>Med Service TT Luong T10.2024 - 8LVQ -</t>
        </is>
      </c>
      <c r="I11" s="24" t="n"/>
      <c r="J11" s="35" t="inlineStr">
        <is>
          <t>Med Service TT Luong T10.2024 - 8LVQ - Vo Thi Ngoc Anh</t>
        </is>
      </c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</row>
    <row r="12" ht="21" customHeight="1" s="1264">
      <c r="A12" s="34" t="n"/>
      <c r="B12" s="29" t="n">
        <v>4</v>
      </c>
      <c r="C12" s="30" t="inlineStr">
        <is>
          <t>Đoàn Quốc Tâm</t>
        </is>
      </c>
      <c r="D12" s="30" t="inlineStr">
        <is>
          <t>Doan Quoc Tam</t>
        </is>
      </c>
      <c r="E12" s="31" t="n">
        <v>23241857</v>
      </c>
      <c r="F12" s="31" t="inlineStr">
        <is>
          <t>ACB</t>
        </is>
      </c>
      <c r="G12" s="1571">
        <f>#REF!</f>
        <v/>
      </c>
      <c r="H12" s="30" t="inlineStr">
        <is>
          <t>Med Service TT Luong T10.2024 - 8LVQ -</t>
        </is>
      </c>
      <c r="I12" s="24" t="n"/>
      <c r="J12" s="35" t="inlineStr">
        <is>
          <t>Med Service TT Luong T10.2024 - 8LVQ - Doan Quoc Tam</t>
        </is>
      </c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</row>
    <row r="13" ht="21" customHeight="1" s="1264">
      <c r="A13" s="34" t="n"/>
      <c r="B13" s="29" t="n"/>
      <c r="C13" s="30" t="n"/>
      <c r="D13" s="30" t="n"/>
      <c r="E13" s="31" t="n"/>
      <c r="F13" s="31" t="n"/>
      <c r="G13" s="1572">
        <f>SUM(G9:G12)</f>
        <v/>
      </c>
      <c r="H13" s="30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</row>
    <row r="14" ht="21" customHeight="1" s="1264">
      <c r="A14" s="28" t="inlineStr">
        <is>
          <t>Q5</t>
        </is>
      </c>
      <c r="B14" s="29" t="n"/>
      <c r="C14" s="30" t="n"/>
      <c r="D14" s="30" t="n"/>
      <c r="E14" s="31" t="n"/>
      <c r="F14" s="31" t="n"/>
      <c r="G14" s="1571" t="n"/>
      <c r="H14" s="30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</row>
    <row r="15" ht="21" customHeight="1" s="1264">
      <c r="A15" s="34" t="n"/>
      <c r="B15" s="29" t="n">
        <v>1</v>
      </c>
      <c r="C15" s="30" t="inlineStr">
        <is>
          <t>Phạm Thị Diệu</t>
        </is>
      </c>
      <c r="D15" s="30" t="inlineStr">
        <is>
          <t>Pham Thi Dieu</t>
        </is>
      </c>
      <c r="E15" s="31" t="n">
        <v>1017320957</v>
      </c>
      <c r="F15" s="31" t="inlineStr">
        <is>
          <t>Vietcombank</t>
        </is>
      </c>
      <c r="G15" s="1571">
        <f>#REF!</f>
        <v/>
      </c>
      <c r="H15" s="30" t="inlineStr">
        <is>
          <t>Med Service TT Luong T10.2024 - QUAN 5 -</t>
        </is>
      </c>
      <c r="I15" s="24" t="n"/>
      <c r="J15" s="35" t="inlineStr">
        <is>
          <t>Med Service TT Luong T10.2024 - QUAN 5 - Pham Thi Dieu</t>
        </is>
      </c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</row>
    <row r="16" ht="21" customHeight="1" s="1264">
      <c r="A16" s="34" t="n"/>
      <c r="B16" s="29" t="n">
        <v>2</v>
      </c>
      <c r="C16" s="30" t="inlineStr">
        <is>
          <t>Bùi Mỹ Nhàn</t>
        </is>
      </c>
      <c r="D16" s="30" t="inlineStr">
        <is>
          <t>Bui My Nhan</t>
        </is>
      </c>
      <c r="E16" s="1195" t="inlineStr">
        <is>
          <t>070116652781</t>
        </is>
      </c>
      <c r="F16" s="31" t="inlineStr">
        <is>
          <t>Sacombank</t>
        </is>
      </c>
      <c r="G16" s="1571">
        <f>#REF!</f>
        <v/>
      </c>
      <c r="H16" s="30" t="inlineStr">
        <is>
          <t>Med Service TT Luong T10.2024 - QUAN 5 -</t>
        </is>
      </c>
      <c r="I16" s="24" t="n"/>
      <c r="J16" s="35" t="inlineStr">
        <is>
          <t>Med Service TT Luong T10.2024 - QUAN 5 - Bui My Nhan</t>
        </is>
      </c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</row>
    <row r="17" ht="21" customHeight="1" s="1264">
      <c r="A17" s="34" t="n"/>
      <c r="B17" s="29" t="n">
        <v>3</v>
      </c>
      <c r="C17" s="30" t="inlineStr">
        <is>
          <t>Hoàng Trung Thuần</t>
        </is>
      </c>
      <c r="D17" s="30" t="inlineStr">
        <is>
          <t>Hoang Trung Thuan</t>
        </is>
      </c>
      <c r="E17" s="1195" t="inlineStr">
        <is>
          <t>111220005678</t>
        </is>
      </c>
      <c r="F17" s="31" t="inlineStr">
        <is>
          <t>MB bank</t>
        </is>
      </c>
      <c r="G17" s="1571">
        <f>#REF!</f>
        <v/>
      </c>
      <c r="H17" s="30" t="inlineStr">
        <is>
          <t>Med Service TT Luong T10.2024 - QUAN 5 -</t>
        </is>
      </c>
      <c r="I17" s="24" t="n"/>
      <c r="J17" s="35" t="inlineStr">
        <is>
          <t>Med Service TT Luong T10.2024 - QUAN 5 - Hoang Trung Thuan</t>
        </is>
      </c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</row>
    <row r="18" ht="21" customHeight="1" s="1264">
      <c r="A18" s="34" t="n"/>
      <c r="B18" s="29" t="n">
        <v>4</v>
      </c>
      <c r="C18" s="30" t="inlineStr">
        <is>
          <t>Vũ Thị Hoàng Hiếu</t>
        </is>
      </c>
      <c r="D18" s="30" t="inlineStr">
        <is>
          <t>Vu Thi Hoang Hieu</t>
        </is>
      </c>
      <c r="E18" s="1195" t="inlineStr">
        <is>
          <t>5002205087854</t>
        </is>
      </c>
      <c r="F18" s="31" t="inlineStr">
        <is>
          <t>agribank chi nhánh An Khê - Gia Lai</t>
        </is>
      </c>
      <c r="G18" s="1571">
        <f>#REF!</f>
        <v/>
      </c>
      <c r="H18" s="30" t="inlineStr">
        <is>
          <t>Med Service TT Luong T10.2024 - QUAN 5 -</t>
        </is>
      </c>
      <c r="I18" s="24" t="n"/>
      <c r="J18" s="35" t="inlineStr">
        <is>
          <t>Med Service TT Luong T10.2024 - QUAN 5 - Vu Thi Hoang Hieu</t>
        </is>
      </c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</row>
    <row r="19" ht="21" customHeight="1" s="1264">
      <c r="A19" s="34" t="n"/>
      <c r="B19" s="29" t="n">
        <v>5</v>
      </c>
      <c r="C19" s="30" t="inlineStr">
        <is>
          <t>Phạm Thị Nghĩa Hương</t>
        </is>
      </c>
      <c r="D19" s="30" t="inlineStr">
        <is>
          <t>Pham Thi Nghia Huong</t>
        </is>
      </c>
      <c r="E19" s="1195" t="inlineStr">
        <is>
          <t>0968249073</t>
        </is>
      </c>
      <c r="F19" s="31" t="inlineStr">
        <is>
          <t>Mb bank</t>
        </is>
      </c>
      <c r="G19" s="1571">
        <f>#REF!</f>
        <v/>
      </c>
      <c r="H19" s="30" t="inlineStr">
        <is>
          <t>Med Service TT Luong T10.2024 - QUAN 5 -</t>
        </is>
      </c>
      <c r="I19" s="24" t="n"/>
      <c r="J19" s="35" t="inlineStr">
        <is>
          <t>Med Service TT Luong T10.2024 - QUAN 5 - Pham Thi Nghia Huong</t>
        </is>
      </c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</row>
    <row r="20" ht="21" customHeight="1" s="1264">
      <c r="A20" s="34" t="n"/>
      <c r="B20" s="29" t="n"/>
      <c r="C20" s="30" t="n"/>
      <c r="D20" s="30" t="n"/>
      <c r="E20" s="31" t="n"/>
      <c r="F20" s="31" t="n"/>
      <c r="G20" s="1572">
        <f>SUM(G15:G19)</f>
        <v/>
      </c>
      <c r="H20" s="30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24" t="n"/>
      <c r="AB20" s="24" t="n"/>
    </row>
    <row r="21" ht="21" customHeight="1" s="1264">
      <c r="A21" s="28" t="inlineStr">
        <is>
          <t>Q8</t>
        </is>
      </c>
      <c r="B21" s="29" t="n"/>
      <c r="C21" s="30" t="n"/>
      <c r="D21" s="30" t="n"/>
      <c r="E21" s="31" t="n"/>
      <c r="F21" s="31" t="n"/>
      <c r="G21" s="1572" t="n"/>
      <c r="H21" s="30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</row>
    <row r="22" ht="21" customHeight="1" s="1264">
      <c r="A22" s="34" t="n"/>
      <c r="B22" s="29" t="n">
        <v>1</v>
      </c>
      <c r="C22" s="30" t="inlineStr">
        <is>
          <t>Nguyễn Trí Nghĩa</t>
        </is>
      </c>
      <c r="D22" s="30" t="inlineStr">
        <is>
          <t>Nguyen Tri Nghia</t>
        </is>
      </c>
      <c r="E22" s="1195" t="inlineStr">
        <is>
          <t>0251002787705</t>
        </is>
      </c>
      <c r="F22" s="31" t="inlineStr">
        <is>
          <t>Vietcomebank</t>
        </is>
      </c>
      <c r="G22" s="1571">
        <f>#REF!</f>
        <v/>
      </c>
      <c r="H22" s="30" t="inlineStr">
        <is>
          <t>Med Service TT Luong T10.2024 - QUAN 8 -</t>
        </is>
      </c>
      <c r="I22" s="24" t="n"/>
      <c r="J22" s="35" t="inlineStr">
        <is>
          <t>Med Service TT Luong T10.2024 - QUAN 8 - Nguyen Tri Nghia</t>
        </is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</row>
    <row r="23" ht="21" customHeight="1" s="1264">
      <c r="A23" s="34" t="n"/>
      <c r="B23" s="29" t="n">
        <v>2</v>
      </c>
      <c r="C23" s="30" t="inlineStr">
        <is>
          <t>Nguyễn Kim Xuân</t>
        </is>
      </c>
      <c r="D23" s="30" t="inlineStr">
        <is>
          <t>Nguyen Kim Xuan</t>
        </is>
      </c>
      <c r="E23" s="1195" t="inlineStr">
        <is>
          <t>03831562501</t>
        </is>
      </c>
      <c r="F23" s="31" t="inlineStr">
        <is>
          <t>TP Bank</t>
        </is>
      </c>
      <c r="G23" s="1571">
        <f>#REF!</f>
        <v/>
      </c>
      <c r="H23" s="30" t="inlineStr">
        <is>
          <t>Med Service TT Luong T10.2024 - QUAN 8 -</t>
        </is>
      </c>
      <c r="I23" s="24" t="n"/>
      <c r="J23" s="35" t="inlineStr">
        <is>
          <t>Med Service TT Luong T10.2024 - QUAN 8 - Nguyen Kim Xuan</t>
        </is>
      </c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</row>
    <row r="24" ht="21" customHeight="1" s="1264">
      <c r="A24" s="34" t="n"/>
      <c r="B24" s="29" t="n">
        <v>3</v>
      </c>
      <c r="C24" s="30" t="inlineStr">
        <is>
          <t>Nguyễn Thanh Nhàn</t>
        </is>
      </c>
      <c r="D24" s="30" t="inlineStr">
        <is>
          <t>Nguyen Thanh Nhan</t>
        </is>
      </c>
      <c r="E24" s="1198" t="inlineStr">
        <is>
          <t>060314907690</t>
        </is>
      </c>
      <c r="F24" s="38" t="inlineStr">
        <is>
          <t>Sacombank</t>
        </is>
      </c>
      <c r="G24" s="1571">
        <f>#REF!</f>
        <v/>
      </c>
      <c r="H24" s="30" t="inlineStr">
        <is>
          <t>Med Service TT Luong T10.2024 - QUAN 8 -</t>
        </is>
      </c>
      <c r="I24" s="24" t="n"/>
      <c r="J24" s="35" t="inlineStr">
        <is>
          <t>Med Service TT Luong T10.2024 - QUAN 8 - Nguyen Thanh Nhan</t>
        </is>
      </c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</row>
    <row r="25" ht="21" customHeight="1" s="1264">
      <c r="A25" s="34" t="n"/>
      <c r="B25" s="29" t="n">
        <v>4</v>
      </c>
      <c r="C25" s="30" t="inlineStr">
        <is>
          <t>Cao Thị Minh Hà</t>
        </is>
      </c>
      <c r="D25" s="30" t="inlineStr">
        <is>
          <t>Cao Thi Minh Ha</t>
        </is>
      </c>
      <c r="E25" s="38" t="n">
        <v>7601076077</v>
      </c>
      <c r="F25" s="38" t="inlineStr">
        <is>
          <t>Ngân hàng Thương mại cổ phần Đầu tư và Phát triển Việt Nam (BIDV)</t>
        </is>
      </c>
      <c r="G25" s="1571">
        <f>#REF!</f>
        <v/>
      </c>
      <c r="H25" s="30" t="inlineStr">
        <is>
          <t>Med Service TT Luong T10.2024 - QUAN 8 -</t>
        </is>
      </c>
      <c r="I25" s="24" t="n"/>
      <c r="J25" s="35" t="inlineStr">
        <is>
          <t>Med Service TT Luong T10.2024 - QUAN 8 - Cao Thi Minh Ha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</row>
    <row r="26" ht="21" customHeight="1" s="1264">
      <c r="A26" s="34" t="n"/>
      <c r="B26" s="29" t="n">
        <v>5</v>
      </c>
      <c r="C26" s="30" t="inlineStr">
        <is>
          <t>Nguyễn Thị Thủy Tiên</t>
        </is>
      </c>
      <c r="D26" s="30" t="inlineStr">
        <is>
          <t>Nguyen Thi Thuy Tien</t>
        </is>
      </c>
      <c r="E26" s="38" t="n">
        <v>4306017</v>
      </c>
      <c r="F26" s="38" t="inlineStr">
        <is>
          <t>ACB</t>
        </is>
      </c>
      <c r="G26" s="1571">
        <f>#REF!</f>
        <v/>
      </c>
      <c r="H26" s="30" t="inlineStr">
        <is>
          <t>Med Service TT Luong T10.2024 - QUAN 8 -</t>
        </is>
      </c>
      <c r="I26" s="24" t="n"/>
      <c r="J26" s="35" t="inlineStr">
        <is>
          <t>Med Service TT Luong T10.2024 - QUAN 8 - Nguyen Thi Thuy Tien</t>
        </is>
      </c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</row>
    <row r="27" ht="21" customHeight="1" s="1264">
      <c r="A27" s="34" t="n"/>
      <c r="B27" s="29" t="n"/>
      <c r="C27" s="30" t="n"/>
      <c r="D27" s="30" t="n"/>
      <c r="E27" s="31" t="n"/>
      <c r="F27" s="31" t="n"/>
      <c r="G27" s="1572">
        <f>SUM(G22:G26)</f>
        <v/>
      </c>
      <c r="H27" s="30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</row>
    <row r="28" ht="21" customHeight="1" s="1264">
      <c r="A28" s="28" t="inlineStr">
        <is>
          <t>Q7</t>
        </is>
      </c>
      <c r="B28" s="29" t="n"/>
      <c r="C28" s="30" t="n"/>
      <c r="D28" s="30" t="n"/>
      <c r="E28" s="31" t="n"/>
      <c r="F28" s="31" t="n"/>
      <c r="G28" s="1571" t="n"/>
      <c r="H28" s="30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</row>
    <row r="29" ht="21" customHeight="1" s="1264">
      <c r="A29" s="34" t="n"/>
      <c r="B29" s="29" t="n">
        <v>1</v>
      </c>
      <c r="C29" s="30" t="inlineStr">
        <is>
          <t>Cù Thị Tường Vy</t>
        </is>
      </c>
      <c r="D29" s="30" t="inlineStr">
        <is>
          <t>Cu Thi Tuong Vy</t>
        </is>
      </c>
      <c r="E29" s="1195" t="inlineStr">
        <is>
          <t>0071000937911</t>
        </is>
      </c>
      <c r="F29" s="31" t="inlineStr">
        <is>
          <t>Vietcombank</t>
        </is>
      </c>
      <c r="G29" s="1571">
        <f>#REF!</f>
        <v/>
      </c>
      <c r="H29" s="30" t="inlineStr">
        <is>
          <t>Med Service TT Luong T10.2024 - QUAN 7 -</t>
        </is>
      </c>
      <c r="I29" s="24" t="n"/>
      <c r="J29" s="35" t="inlineStr">
        <is>
          <t>Med Service TT Luong T10.2024 - QUAN 7 - Cu Thi Tuong Vy</t>
        </is>
      </c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</row>
    <row r="30" ht="21" customHeight="1" s="1264">
      <c r="A30" s="34" t="n"/>
      <c r="B30" s="29" t="n">
        <v>2</v>
      </c>
      <c r="C30" s="30" t="inlineStr">
        <is>
          <t>Triệu Thị Ngọc Lý</t>
        </is>
      </c>
      <c r="D30" s="30" t="inlineStr">
        <is>
          <t>Trieu Thi Ngoc Ly</t>
        </is>
      </c>
      <c r="E30" s="1195" t="inlineStr">
        <is>
          <t>0989442883</t>
        </is>
      </c>
      <c r="F30" s="31" t="inlineStr">
        <is>
          <t>MBbank</t>
        </is>
      </c>
      <c r="G30" s="1571">
        <f>#REF!</f>
        <v/>
      </c>
      <c r="H30" s="30" t="inlineStr">
        <is>
          <t>Med Service TT Luong T10.2024 - QUAN 7 -</t>
        </is>
      </c>
      <c r="I30" s="24" t="n"/>
      <c r="J30" s="35" t="inlineStr">
        <is>
          <t>Med Service TT Luong T10.2024 - QUAN 7 - Trieu Thi Ngoc Ly</t>
        </is>
      </c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</row>
    <row r="31" ht="21" customHeight="1" s="1264">
      <c r="A31" s="34" t="n"/>
      <c r="B31" s="29" t="n">
        <v>3</v>
      </c>
      <c r="C31" s="30" t="inlineStr">
        <is>
          <t>Võ Thị Thùy Trang</t>
        </is>
      </c>
      <c r="D31" s="30" t="inlineStr">
        <is>
          <t>Vo Thi Thuy Trang</t>
        </is>
      </c>
      <c r="E31" s="1195" t="inlineStr">
        <is>
          <t>13200014565612</t>
        </is>
      </c>
      <c r="F31" s="31" t="inlineStr">
        <is>
          <t>SeABank</t>
        </is>
      </c>
      <c r="G31" s="1571">
        <f>#REF!</f>
        <v/>
      </c>
      <c r="H31" s="30" t="inlineStr">
        <is>
          <t>Med Service TT Luong T10.2024 - QUAN 7 -</t>
        </is>
      </c>
      <c r="I31" s="24" t="n"/>
      <c r="J31" s="35" t="inlineStr">
        <is>
          <t>Med Service TT Luong T10.2024 - QUAN 7 - Vo Thi Thuy Trang</t>
        </is>
      </c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</row>
    <row r="32" ht="21" customHeight="1" s="1264">
      <c r="A32" s="34" t="n"/>
      <c r="B32" s="29" t="n">
        <v>4</v>
      </c>
      <c r="C32" s="30" t="inlineStr">
        <is>
          <t>Trần Ngọc Lợi</t>
        </is>
      </c>
      <c r="D32" s="30" t="inlineStr">
        <is>
          <t>Tran Ngoc Loi</t>
        </is>
      </c>
      <c r="E32" s="31" t="n">
        <v>10000294427</v>
      </c>
      <c r="F32" s="31" t="inlineStr">
        <is>
          <t>Tp Bank</t>
        </is>
      </c>
      <c r="G32" s="1571">
        <f>#REF!</f>
        <v/>
      </c>
      <c r="H32" s="30" t="inlineStr">
        <is>
          <t>Med Service TT Luong T10.2024 - QUAN 7 -</t>
        </is>
      </c>
      <c r="I32" s="24" t="n"/>
      <c r="J32" s="35" t="inlineStr">
        <is>
          <t>Med Service TT Luong T10.2024 - QUAN 7 - Tran Ngoc Loi</t>
        </is>
      </c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</row>
    <row r="33" ht="21" customHeight="1" s="1264">
      <c r="A33" s="34" t="n"/>
      <c r="B33" s="29" t="n">
        <v>5</v>
      </c>
      <c r="C33" s="30" t="inlineStr">
        <is>
          <t>Trần Thị Minh Châu</t>
        </is>
      </c>
      <c r="D33" s="30" t="inlineStr">
        <is>
          <t>Tran Thi Minh Chau</t>
        </is>
      </c>
      <c r="E33" s="1195" t="inlineStr">
        <is>
          <t>0471000320172</t>
        </is>
      </c>
      <c r="F33" s="31" t="inlineStr">
        <is>
          <t>Vietcombank</t>
        </is>
      </c>
      <c r="G33" s="1571">
        <f>#REF!</f>
        <v/>
      </c>
      <c r="H33" s="30" t="inlineStr">
        <is>
          <t>Med Service TT Luong T10.2024 - QUAN 7 -</t>
        </is>
      </c>
      <c r="I33" s="24" t="n"/>
      <c r="J33" s="35" t="inlineStr">
        <is>
          <t>Med Service TT Luong T10.2024 - QUAN 7 - Tran Thi Minh Chau</t>
        </is>
      </c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</row>
    <row r="34" ht="21" customHeight="1" s="1264">
      <c r="A34" s="34" t="n"/>
      <c r="B34" s="29" t="n">
        <v>6</v>
      </c>
      <c r="C34" s="30" t="inlineStr">
        <is>
          <t>Nguyễn Khánh Duy</t>
        </is>
      </c>
      <c r="D34" s="30" t="inlineStr">
        <is>
          <t>Nguyen Khanh Duy</t>
        </is>
      </c>
      <c r="E34" s="1195" t="inlineStr">
        <is>
          <t>19039521237011</t>
        </is>
      </c>
      <c r="F34" s="31" t="inlineStr">
        <is>
          <t>Techcombank</t>
        </is>
      </c>
      <c r="G34" s="1571">
        <f>#REF!</f>
        <v/>
      </c>
      <c r="H34" s="30" t="inlineStr">
        <is>
          <t>Med Service TT Luong T10.2024 - QUAN 7 -</t>
        </is>
      </c>
      <c r="I34" s="24" t="n"/>
      <c r="J34" s="35" t="inlineStr">
        <is>
          <t>Med Service TT Luong T10.2024 - QUAN 7 - Nguyen Khanh Duy</t>
        </is>
      </c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</row>
    <row r="35" ht="21" customHeight="1" s="1264">
      <c r="A35" s="34" t="n"/>
      <c r="B35" s="29" t="n"/>
      <c r="C35" s="30" t="n"/>
      <c r="D35" s="30" t="n"/>
      <c r="E35" s="31" t="n"/>
      <c r="F35" s="31" t="n"/>
      <c r="G35" s="1572">
        <f>SUM(G29:G34)</f>
        <v/>
      </c>
      <c r="H35" s="30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24" t="n"/>
      <c r="AB35" s="24" t="n"/>
    </row>
    <row r="36" ht="21" customHeight="1" s="1264">
      <c r="A36" s="28" t="inlineStr">
        <is>
          <t>GÒ VẤP</t>
        </is>
      </c>
      <c r="B36" s="29" t="n"/>
      <c r="C36" s="30" t="n"/>
      <c r="D36" s="30" t="n"/>
      <c r="E36" s="31" t="n"/>
      <c r="F36" s="31" t="n"/>
      <c r="G36" s="1571" t="n"/>
      <c r="H36" s="30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</row>
    <row r="37" ht="21" customHeight="1" s="1264">
      <c r="A37" s="34" t="n"/>
      <c r="B37" s="29" t="n">
        <v>1</v>
      </c>
      <c r="C37" s="30" t="inlineStr">
        <is>
          <t>Hồ Thị Minh Hòa</t>
        </is>
      </c>
      <c r="D37" s="30" t="inlineStr">
        <is>
          <t>Ho Thi Minh Hoa</t>
        </is>
      </c>
      <c r="E37" s="1195" t="inlineStr">
        <is>
          <t>0051000542226</t>
        </is>
      </c>
      <c r="F37" s="31" t="inlineStr">
        <is>
          <t>Vietcombank</t>
        </is>
      </c>
      <c r="G37" s="1571">
        <f>#REF!</f>
        <v/>
      </c>
      <c r="H37" s="30" t="inlineStr">
        <is>
          <t>Med Service TT Luong T10.2024 - QUAN GV -</t>
        </is>
      </c>
      <c r="I37" s="24" t="n"/>
      <c r="J37" s="35" t="inlineStr">
        <is>
          <t>Med Service TT Luong T10.2024 - QUAN GV - Ho Thi Minh Hoa</t>
        </is>
      </c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3" t="n"/>
      <c r="W37" s="33" t="n"/>
      <c r="X37" s="33" t="n"/>
      <c r="Y37" s="33" t="n"/>
      <c r="Z37" s="33" t="n"/>
      <c r="AA37" s="33" t="n"/>
      <c r="AB37" s="33" t="n"/>
    </row>
    <row r="38" ht="21" customHeight="1" s="1264">
      <c r="A38" s="34" t="n"/>
      <c r="B38" s="29" t="n">
        <v>2</v>
      </c>
      <c r="C38" s="30" t="inlineStr">
        <is>
          <t>Lê Hữu Thắng</t>
        </is>
      </c>
      <c r="D38" s="30" t="inlineStr">
        <is>
          <t>Le Huu Thang</t>
        </is>
      </c>
      <c r="E38" s="1195" t="inlineStr">
        <is>
          <t>107870955263</t>
        </is>
      </c>
      <c r="F38" s="31" t="inlineStr">
        <is>
          <t>Vietinbank</t>
        </is>
      </c>
      <c r="G38" s="1571">
        <f>#REF!</f>
        <v/>
      </c>
      <c r="H38" s="30" t="inlineStr">
        <is>
          <t>Med Service TT Luong T10.2024 - QUAN GV -</t>
        </is>
      </c>
      <c r="I38" s="24" t="n"/>
      <c r="J38" s="35" t="inlineStr">
        <is>
          <t>Med Service TT Luong T10.2024 - QUAN GV - Le Huu Thang</t>
        </is>
      </c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</row>
    <row r="39" ht="21" customHeight="1" s="1264">
      <c r="A39" s="34" t="n"/>
      <c r="B39" s="29" t="n">
        <v>3</v>
      </c>
      <c r="C39" s="30" t="inlineStr">
        <is>
          <t>Nguyễn Thị Hồng Hạnh</t>
        </is>
      </c>
      <c r="D39" s="30" t="inlineStr">
        <is>
          <t>Nguyen Thi Hong Hanh</t>
        </is>
      </c>
      <c r="E39" s="1195" t="inlineStr">
        <is>
          <t>19036469088011</t>
        </is>
      </c>
      <c r="F39" s="31" t="inlineStr">
        <is>
          <t>Techcombank</t>
        </is>
      </c>
      <c r="G39" s="1571">
        <f>#REF!</f>
        <v/>
      </c>
      <c r="H39" s="30" t="inlineStr">
        <is>
          <t>Med Service TT Luong T10.2024 - QUAN GV -</t>
        </is>
      </c>
      <c r="I39" s="24" t="n"/>
      <c r="J39" s="35" t="inlineStr">
        <is>
          <t>Med Service TT Luong T10.2024 - QUAN GV - Nguyen Thi Hong Hanh</t>
        </is>
      </c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</row>
    <row r="40" ht="21" customHeight="1" s="1264">
      <c r="A40" s="34" t="n"/>
      <c r="B40" s="29" t="n">
        <v>4</v>
      </c>
      <c r="C40" s="30" t="inlineStr">
        <is>
          <t>Trần Lưu Triều Ân</t>
        </is>
      </c>
      <c r="D40" s="30" t="inlineStr">
        <is>
          <t>Tran Luu Trieu An</t>
        </is>
      </c>
      <c r="E40" s="31" t="n">
        <v>9976633384</v>
      </c>
      <c r="F40" s="31" t="inlineStr">
        <is>
          <t>Vietcombank</t>
        </is>
      </c>
      <c r="G40" s="1571">
        <f>#REF!</f>
        <v/>
      </c>
      <c r="H40" s="30" t="inlineStr">
        <is>
          <t>Med Service TT Luong T10.2024 - QUAN GV -</t>
        </is>
      </c>
      <c r="I40" s="24" t="n"/>
      <c r="J40" s="35" t="inlineStr">
        <is>
          <t>Med Service TT Luong T10.2024 - QUAN GV - Tran Luu Trieu An</t>
        </is>
      </c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</row>
    <row r="41" ht="21" customHeight="1" s="1264">
      <c r="A41" s="34" t="n"/>
      <c r="B41" s="29" t="n">
        <v>5</v>
      </c>
      <c r="C41" s="30" t="inlineStr">
        <is>
          <t>Nguyễn Thị Hương Giang</t>
        </is>
      </c>
      <c r="D41" s="30" t="inlineStr">
        <is>
          <t>Nguyen Thi Hương Giang</t>
        </is>
      </c>
      <c r="E41" s="31" t="n">
        <v>1028255437</v>
      </c>
      <c r="F41" s="31" t="inlineStr">
        <is>
          <t>Vietcombank</t>
        </is>
      </c>
      <c r="G41" s="1571">
        <f>#REF!</f>
        <v/>
      </c>
      <c r="H41" s="30" t="inlineStr">
        <is>
          <t>Med Service TT Luong T10.2024 - QUAN GV -</t>
        </is>
      </c>
      <c r="I41" s="24" t="n"/>
      <c r="J41" s="35" t="inlineStr">
        <is>
          <t>Med Service TT Luong T10.2024 - QUAN GV - Nguyen Thi Hương Giang</t>
        </is>
      </c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</row>
    <row r="42" ht="21" customHeight="1" s="1264">
      <c r="A42" s="34" t="n"/>
      <c r="B42" s="29" t="n"/>
      <c r="C42" s="30" t="n"/>
      <c r="D42" s="30" t="n"/>
      <c r="E42" s="31" t="n"/>
      <c r="F42" s="31" t="n"/>
      <c r="G42" s="1572">
        <f>SUM(G37:G41)</f>
        <v/>
      </c>
      <c r="H42" s="30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</row>
    <row r="43" ht="21" customHeight="1" s="1264">
      <c r="A43" s="28" t="inlineStr">
        <is>
          <t>Q12</t>
        </is>
      </c>
      <c r="B43" s="29" t="n"/>
      <c r="C43" s="30" t="n"/>
      <c r="D43" s="30" t="n"/>
      <c r="E43" s="31" t="n"/>
      <c r="F43" s="31" t="n"/>
      <c r="G43" s="1571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3" t="n"/>
      <c r="U43" s="33" t="n"/>
      <c r="V43" s="33" t="n"/>
      <c r="W43" s="33" t="n"/>
      <c r="X43" s="33" t="n"/>
      <c r="Y43" s="33" t="n"/>
      <c r="Z43" s="33" t="n"/>
    </row>
    <row r="44" ht="21" customHeight="1" s="1264">
      <c r="A44" s="34" t="n"/>
      <c r="B44" s="29" t="n">
        <v>1</v>
      </c>
      <c r="C44" s="30" t="inlineStr">
        <is>
          <t>Võ Ngọc Giàu Sang</t>
        </is>
      </c>
      <c r="D44" s="30" t="inlineStr">
        <is>
          <t>Vo Ngoc Giau Sang</t>
        </is>
      </c>
      <c r="E44" s="1195" t="inlineStr">
        <is>
          <t>04015933001</t>
        </is>
      </c>
      <c r="F44" s="31" t="inlineStr">
        <is>
          <t>TP bank</t>
        </is>
      </c>
      <c r="G44" s="1571">
        <f>#REF!</f>
        <v/>
      </c>
      <c r="H44" s="30" t="inlineStr">
        <is>
          <t>Med Service TT Luong T10.2024 - CNT 24H - QUAN 12 -</t>
        </is>
      </c>
      <c r="I44" s="24" t="n"/>
      <c r="J44" s="35" t="inlineStr">
        <is>
          <t>Med Service TT Luong T10.2024 - CNT 24H - QUAN 12 - Vo Ngoc Giau Sang</t>
        </is>
      </c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3" t="n"/>
      <c r="W44" s="33" t="n"/>
      <c r="X44" s="33" t="n"/>
      <c r="Y44" s="33" t="n"/>
      <c r="Z44" s="33" t="n"/>
      <c r="AA44" s="33" t="n"/>
      <c r="AB44" s="33" t="n"/>
    </row>
    <row r="45" ht="21" customHeight="1" s="1264">
      <c r="A45" s="34" t="n"/>
      <c r="B45" s="29" t="n">
        <v>2</v>
      </c>
      <c r="C45" s="30" t="inlineStr">
        <is>
          <t>Hồ Ngọc Lý</t>
        </is>
      </c>
      <c r="D45" s="30" t="inlineStr">
        <is>
          <t>Ho Ngoc Ly</t>
        </is>
      </c>
      <c r="E45" s="1195" t="inlineStr">
        <is>
          <t>0081765868686</t>
        </is>
      </c>
      <c r="F45" s="31" t="inlineStr">
        <is>
          <t>MB bank</t>
        </is>
      </c>
      <c r="G45" s="1571">
        <f>#REF!</f>
        <v/>
      </c>
      <c r="H45" s="30" t="inlineStr">
        <is>
          <t>Med Service TT Luong T10.2024 - CNT 24H - QUAN 12 -</t>
        </is>
      </c>
      <c r="I45" s="24" t="n"/>
      <c r="J45" s="35" t="inlineStr">
        <is>
          <t>Med Service TT Luong T10.2024 - CNT 24H - QUAN 12 - Ho Ngoc Ly</t>
        </is>
      </c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3" t="n"/>
      <c r="W45" s="33" t="n"/>
      <c r="X45" s="33" t="n"/>
      <c r="Y45" s="33" t="n"/>
      <c r="Z45" s="33" t="n"/>
      <c r="AA45" s="33" t="n"/>
      <c r="AB45" s="33" t="n"/>
    </row>
    <row r="46" ht="21" customHeight="1" s="1264">
      <c r="A46" s="34" t="n"/>
      <c r="B46" s="29" t="n">
        <v>3</v>
      </c>
      <c r="C46" s="30" t="inlineStr">
        <is>
          <t>Vũ Đăng Khoa</t>
        </is>
      </c>
      <c r="D46" s="30" t="inlineStr">
        <is>
          <t>Vu Dang Khoa</t>
        </is>
      </c>
      <c r="E46" s="1195" t="inlineStr">
        <is>
          <t>0111000245244</t>
        </is>
      </c>
      <c r="F46" s="31" t="inlineStr">
        <is>
          <t>Vietcombank</t>
        </is>
      </c>
      <c r="G46" s="1571">
        <f>#REF!</f>
        <v/>
      </c>
      <c r="H46" s="30" t="inlineStr">
        <is>
          <t>Med Service TT Luong T10.2024 - CNT 24H - QUAN 12 -</t>
        </is>
      </c>
      <c r="I46" s="24" t="n"/>
      <c r="J46" s="35" t="inlineStr">
        <is>
          <t>Med Service TT Luong T10.2024 - CNT 24H - QUAN 12 - Vu Dang Khoa</t>
        </is>
      </c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3" t="n"/>
      <c r="W46" s="33" t="n"/>
      <c r="X46" s="33" t="n"/>
      <c r="Y46" s="33" t="n"/>
      <c r="Z46" s="33" t="n"/>
      <c r="AA46" s="33" t="n"/>
      <c r="AB46" s="33" t="n"/>
    </row>
    <row r="47" ht="21" customHeight="1" s="1264">
      <c r="A47" s="34" t="n"/>
      <c r="B47" s="29" t="n">
        <v>4</v>
      </c>
      <c r="C47" s="30" t="inlineStr">
        <is>
          <t>Nguyễn Thị Hương Giang</t>
        </is>
      </c>
      <c r="D47" s="30" t="inlineStr">
        <is>
          <t>Nguyen Thi Hương Giang</t>
        </is>
      </c>
      <c r="E47" s="31" t="n">
        <v>1028255437</v>
      </c>
      <c r="F47" s="31" t="inlineStr">
        <is>
          <t>Vietcombank</t>
        </is>
      </c>
      <c r="G47" s="1571">
        <f>#REF!</f>
        <v/>
      </c>
      <c r="H47" s="30" t="inlineStr">
        <is>
          <t>Med Service TT Luong T10.2024 - CNT 24H - QUAN 12 -</t>
        </is>
      </c>
      <c r="I47" s="24" t="n"/>
      <c r="J47" s="35" t="inlineStr">
        <is>
          <t>Med Service TT Luong T10.2024 - CNT 24H - QUAN 12 - Nguyen Thi Hương Giang</t>
        </is>
      </c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3" t="n"/>
      <c r="W47" s="33" t="n"/>
      <c r="X47" s="33" t="n"/>
      <c r="Y47" s="33" t="n"/>
      <c r="Z47" s="33" t="n"/>
      <c r="AA47" s="33" t="n"/>
      <c r="AB47" s="33" t="n"/>
    </row>
    <row r="48" ht="21" customHeight="1" s="1264">
      <c r="A48" s="34" t="n"/>
      <c r="B48" s="29" t="n"/>
      <c r="C48" s="30" t="n"/>
      <c r="D48" s="30" t="n"/>
      <c r="E48" s="31" t="n"/>
      <c r="F48" s="31" t="n"/>
      <c r="G48" s="1572">
        <f>SUM(G44:G47)</f>
        <v/>
      </c>
      <c r="H48" s="30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</row>
    <row r="49" ht="21" customHeight="1" s="1264">
      <c r="A49" s="28" t="inlineStr">
        <is>
          <t>Q1</t>
        </is>
      </c>
      <c r="B49" s="29" t="n"/>
      <c r="C49" s="30" t="n"/>
      <c r="D49" s="30" t="n"/>
      <c r="E49" s="31" t="n"/>
      <c r="F49" s="31" t="n"/>
      <c r="G49" s="1571" t="n"/>
      <c r="H49" s="30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</row>
    <row r="50" ht="21" customHeight="1" s="1264">
      <c r="A50" s="34" t="n"/>
      <c r="B50" s="29" t="n">
        <v>1</v>
      </c>
      <c r="C50" s="30" t="inlineStr">
        <is>
          <t>Ngô Thị Thanh Thắm</t>
        </is>
      </c>
      <c r="D50" s="30" t="inlineStr">
        <is>
          <t>Ngo Thi Thanh Tham</t>
        </is>
      </c>
      <c r="E50" s="1195" t="inlineStr">
        <is>
          <t>0431000219840</t>
        </is>
      </c>
      <c r="F50" s="31" t="inlineStr">
        <is>
          <t>Vietcombank</t>
        </is>
      </c>
      <c r="G50" s="1571">
        <f>#REF!</f>
        <v/>
      </c>
      <c r="H50" s="30" t="inlineStr">
        <is>
          <t>Med Service TT Luong T10.2024 - CNT 24H - QUAN 1 -</t>
        </is>
      </c>
      <c r="I50" s="24" t="n"/>
      <c r="J50" s="35" t="inlineStr">
        <is>
          <t>Med Service TT Luong T10.2024 - CNT 24H - QUAN 1 - Ngo Thi Thanh Tham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</row>
    <row r="51" ht="21" customHeight="1" s="1264">
      <c r="A51" s="34" t="n"/>
      <c r="B51" s="29" t="n">
        <v>2</v>
      </c>
      <c r="C51" s="30" t="inlineStr">
        <is>
          <t>Phan Dương Liên Phương</t>
        </is>
      </c>
      <c r="D51" s="30" t="inlineStr">
        <is>
          <t>Phan Duong Lien Phuong</t>
        </is>
      </c>
      <c r="E51" s="1195" t="inlineStr">
        <is>
          <t>107870415682</t>
        </is>
      </c>
      <c r="F51" s="31" t="inlineStr">
        <is>
          <t>Vietinbank</t>
        </is>
      </c>
      <c r="G51" s="1571">
        <f>#REF!</f>
        <v/>
      </c>
      <c r="H51" s="30" t="inlineStr">
        <is>
          <t>Med Service TT Luong T10.2024 - CNT 24H - QUAN 1 -</t>
        </is>
      </c>
      <c r="I51" s="24" t="n"/>
      <c r="J51" s="35" t="inlineStr">
        <is>
          <t>Med Service TT Luong T10.2024 - CNT 24H - QUAN 1 - Phan Duong Lien Phuong</t>
        </is>
      </c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</row>
    <row r="52" ht="21" customHeight="1" s="1264">
      <c r="A52" s="34" t="n"/>
      <c r="B52" s="29" t="n">
        <v>3</v>
      </c>
      <c r="C52" s="30" t="inlineStr">
        <is>
          <t>Huỳnh Thị Kim Ngân</t>
        </is>
      </c>
      <c r="D52" s="30" t="inlineStr">
        <is>
          <t>Huynh Thi Kim Ngan</t>
        </is>
      </c>
      <c r="E52" s="1195" t="inlineStr">
        <is>
          <t>00199839396666</t>
        </is>
      </c>
      <c r="F52" s="31" t="inlineStr">
        <is>
          <t>MB Bank</t>
        </is>
      </c>
      <c r="G52" s="1571">
        <f>#REF!</f>
        <v/>
      </c>
      <c r="H52" s="30" t="inlineStr">
        <is>
          <t>Med Service TT Luong T10.2024 - CNT 24H - QUAN 1 -</t>
        </is>
      </c>
      <c r="I52" s="24" t="n"/>
      <c r="J52" s="35" t="inlineStr">
        <is>
          <t>Med Service TT Luong T10.2024 - CNT 24H - QUAN 1 - Huynh Thi Kim Ngan</t>
        </is>
      </c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</row>
    <row r="53" ht="21" customHeight="1" s="1264">
      <c r="A53" s="34" t="n"/>
      <c r="B53" s="29" t="n">
        <v>4</v>
      </c>
      <c r="C53" s="30" t="inlineStr">
        <is>
          <t>Lê Thị Huyền Trân</t>
        </is>
      </c>
      <c r="D53" s="30" t="inlineStr">
        <is>
          <t>Le Thi Huyen Tran</t>
        </is>
      </c>
      <c r="E53" s="1195" t="inlineStr">
        <is>
          <t>03130767201</t>
        </is>
      </c>
      <c r="F53" s="31" t="inlineStr">
        <is>
          <t>Tiên Phong Bank</t>
        </is>
      </c>
      <c r="G53" s="1571">
        <f>#REF!</f>
        <v/>
      </c>
      <c r="H53" s="30" t="inlineStr">
        <is>
          <t>Med Service TT Luong T10.2024 - CNT 24H - QUAN 1 -</t>
        </is>
      </c>
      <c r="I53" s="24" t="n"/>
      <c r="J53" s="35" t="inlineStr">
        <is>
          <t>Med Service TT Luong T10.2024 - CNT 24H - QUAN 1 - Le Thi Huyen Tran</t>
        </is>
      </c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</row>
    <row r="54" ht="21" customHeight="1" s="1264">
      <c r="A54" s="34" t="n"/>
      <c r="B54" s="29" t="n">
        <v>5</v>
      </c>
      <c r="C54" s="30" t="inlineStr">
        <is>
          <t>Nguyễn Khánh Duy</t>
        </is>
      </c>
      <c r="D54" s="30" t="inlineStr">
        <is>
          <t>Nguyen Khanh Duy</t>
        </is>
      </c>
      <c r="E54" s="1195" t="inlineStr">
        <is>
          <t>19039521237011</t>
        </is>
      </c>
      <c r="F54" s="31" t="inlineStr">
        <is>
          <t>Techcombank</t>
        </is>
      </c>
      <c r="G54" s="1571">
        <f>#REF!</f>
        <v/>
      </c>
      <c r="H54" s="30" t="inlineStr">
        <is>
          <t>Med Service TT Luong T10.2024 - CNT 24H - QUAN 1 -</t>
        </is>
      </c>
      <c r="I54" s="24" t="n"/>
      <c r="J54" s="35" t="inlineStr">
        <is>
          <t>Med Service TT Luong T10.2024 - CNT 24H - QUAN 1 - Nguyen Khanh Duy</t>
        </is>
      </c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</row>
    <row r="55" ht="21" customHeight="1" s="1264">
      <c r="A55" s="34" t="n"/>
      <c r="B55" s="29" t="n">
        <v>6</v>
      </c>
      <c r="C55" s="30" t="inlineStr">
        <is>
          <t>Lê Trung Nguyên</t>
        </is>
      </c>
      <c r="D55" s="30" t="inlineStr">
        <is>
          <t>Le Trung Nguyen</t>
        </is>
      </c>
      <c r="E55" s="1195" t="inlineStr">
        <is>
          <t>0721000554392</t>
        </is>
      </c>
      <c r="F55" s="31" t="inlineStr">
        <is>
          <t>Vietcombank</t>
        </is>
      </c>
      <c r="G55" s="1571">
        <f>#REF!</f>
        <v/>
      </c>
      <c r="H55" s="30" t="inlineStr">
        <is>
          <t>Med Service TT Luong T10.2024 - CNT 24H - QUAN 1 -</t>
        </is>
      </c>
      <c r="I55" s="24" t="n"/>
      <c r="J55" s="35" t="inlineStr">
        <is>
          <t>Med Service TT Luong T10.2024 - CNT 24H - QUAN 1 - Le Trung Nguyen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</row>
    <row r="56" ht="21" customHeight="1" s="1264">
      <c r="A56" s="34" t="n"/>
      <c r="B56" s="29" t="n">
        <v>7</v>
      </c>
      <c r="C56" s="30" t="inlineStr">
        <is>
          <t>Văn Ngọc Phương Trinh</t>
        </is>
      </c>
      <c r="D56" s="30" t="inlineStr">
        <is>
          <t>Van Ngoc Phuong Trinh</t>
        </is>
      </c>
      <c r="E56" s="1195" t="inlineStr">
        <is>
          <t>169722064</t>
        </is>
      </c>
      <c r="F56" s="31" t="inlineStr">
        <is>
          <t>VP BANK</t>
        </is>
      </c>
      <c r="G56" s="1571">
        <f>#REF!</f>
        <v/>
      </c>
      <c r="H56" s="30" t="inlineStr">
        <is>
          <t>Med Service TT Luong T10.2024 - CNT 24H - QUAN 1 -</t>
        </is>
      </c>
      <c r="I56" s="24" t="n"/>
      <c r="J56" s="35" t="inlineStr">
        <is>
          <t>Med Service TT Luong T10.2024 - CNT 24H - QUAN 1 - Van Ngoc Phuong Trinh</t>
        </is>
      </c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</row>
    <row r="57" ht="15.75" customHeight="1" s="1264">
      <c r="A57" s="33" t="n"/>
      <c r="B57" s="39" t="n"/>
      <c r="C57" s="33" t="n"/>
      <c r="D57" s="33" t="n"/>
      <c r="E57" s="31" t="n"/>
      <c r="F57" s="31" t="n"/>
      <c r="G57" s="1572">
        <f>SUM(G50:G56)</f>
        <v/>
      </c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</row>
    <row r="58" ht="15.75" customHeight="1" s="1264">
      <c r="A58" s="25" t="inlineStr">
        <is>
          <t>HÀ NỘI</t>
        </is>
      </c>
      <c r="B58" s="25" t="n"/>
      <c r="C58" s="25" t="n"/>
      <c r="D58" s="26" t="inlineStr">
        <is>
          <t>Tên TK</t>
        </is>
      </c>
      <c r="E58" s="40" t="inlineStr">
        <is>
          <t>Số TK</t>
        </is>
      </c>
      <c r="F58" s="26" t="inlineStr">
        <is>
          <t>Ngân hàng</t>
        </is>
      </c>
      <c r="G58" s="26" t="inlineStr">
        <is>
          <t>Số tiền</t>
        </is>
      </c>
      <c r="H58" s="26" t="inlineStr">
        <is>
          <t>Nội dung chuyển khoản</t>
        </is>
      </c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7" t="n"/>
      <c r="AB58" s="27" t="n"/>
    </row>
    <row r="59" ht="20.25" customHeight="1" s="1264">
      <c r="A59" s="34" t="inlineStr">
        <is>
          <t>247 Đường Láng</t>
        </is>
      </c>
      <c r="B59" s="39" t="n"/>
      <c r="C59" s="33" t="n"/>
      <c r="D59" s="30" t="n"/>
      <c r="E59" s="41" t="n"/>
      <c r="F59" s="31" t="n"/>
      <c r="G59" s="42" t="n"/>
      <c r="H59" s="30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</row>
    <row r="60" ht="20.25" customHeight="1" s="1264">
      <c r="A60" s="34" t="n"/>
      <c r="B60" s="39" t="n">
        <v>1</v>
      </c>
      <c r="C60" s="33" t="inlineStr">
        <is>
          <t>Hứa Thị Kim Thoa</t>
        </is>
      </c>
      <c r="D60" s="33" t="inlineStr">
        <is>
          <t>Hua Thi Kim Thoa</t>
        </is>
      </c>
      <c r="E60" s="41" t="inlineStr">
        <is>
          <t>30961328046</t>
        </is>
      </c>
      <c r="F60" s="31" t="inlineStr">
        <is>
          <t>TPbank</t>
        </is>
      </c>
      <c r="G60" s="1573">
        <f>#REF!</f>
        <v/>
      </c>
      <c r="H60" s="30" t="inlineStr">
        <is>
          <t>Med Service TT Luong T10.2024 - 247 DUONG LANG -</t>
        </is>
      </c>
      <c r="I60" s="1199" t="inlineStr">
        <is>
          <t>Hua Thi Kim Thoa</t>
        </is>
      </c>
      <c r="J60" s="33" t="inlineStr">
        <is>
          <t>Med Service TT Luong T10.2024 - 247 DUONG LANG - Hua Thi Kim Thoa</t>
        </is>
      </c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</row>
    <row r="61" ht="20.25" customHeight="1" s="1264">
      <c r="A61" s="34" t="n"/>
      <c r="B61" s="39" t="n">
        <v>2</v>
      </c>
      <c r="C61" s="33" t="inlineStr">
        <is>
          <t>Lê Thị Soạn</t>
        </is>
      </c>
      <c r="D61" s="30" t="inlineStr">
        <is>
          <t>Nguyễn Thị Phiên</t>
        </is>
      </c>
      <c r="E61" s="41" t="inlineStr">
        <is>
          <t>0987524738</t>
        </is>
      </c>
      <c r="F61" s="31" t="inlineStr">
        <is>
          <t>Vietinbank</t>
        </is>
      </c>
      <c r="G61" s="1573">
        <f>#REF!</f>
        <v/>
      </c>
      <c r="H61" s="30" t="inlineStr">
        <is>
          <t>Med Service TT Luong T10.2024 - 247 DUONG LANG -</t>
        </is>
      </c>
      <c r="I61" s="1199" t="inlineStr">
        <is>
          <t>Nguyễn Thị Phiên</t>
        </is>
      </c>
      <c r="J61" s="33" t="inlineStr">
        <is>
          <t>Med Service TT Luong T10.2024 - 247 DUONG LANG - Nguyễn Thị Phiên</t>
        </is>
      </c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</row>
    <row r="62" ht="20.25" customHeight="1" s="1264">
      <c r="A62" s="34" t="n"/>
      <c r="B62" s="39" t="n">
        <v>3</v>
      </c>
      <c r="C62" s="33" t="inlineStr">
        <is>
          <t>Nguyễn Thị Tâm</t>
        </is>
      </c>
      <c r="D62" s="30" t="inlineStr">
        <is>
          <t>Nguyen Thi Tam</t>
        </is>
      </c>
      <c r="E62" s="41" t="inlineStr">
        <is>
          <t>0924479717</t>
        </is>
      </c>
      <c r="F62" s="31" t="inlineStr">
        <is>
          <t>Vietinbank</t>
        </is>
      </c>
      <c r="G62" s="1573">
        <f>#REF!</f>
        <v/>
      </c>
      <c r="H62" s="30" t="inlineStr">
        <is>
          <t>Med Service TT Luong T10.2024 - 247 DUONG LANG -</t>
        </is>
      </c>
      <c r="I62" s="1199" t="inlineStr">
        <is>
          <t>Nguyen Thi Tam</t>
        </is>
      </c>
      <c r="J62" s="33" t="inlineStr">
        <is>
          <t>Med Service TT Luong T10.2024 - 247 DUONG LANG - Nguyen Thi Tam</t>
        </is>
      </c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</row>
    <row r="63" ht="20.25" customHeight="1" s="1264">
      <c r="A63" s="34" t="n"/>
      <c r="B63" s="39" t="n">
        <v>4</v>
      </c>
      <c r="C63" s="33" t="inlineStr">
        <is>
          <t>Lê Duy Hiệu</t>
        </is>
      </c>
      <c r="D63" s="30" t="inlineStr">
        <is>
          <t>Le Duy Hieu</t>
        </is>
      </c>
      <c r="E63" s="41" t="inlineStr">
        <is>
          <t>37110001168020</t>
        </is>
      </c>
      <c r="F63" s="31" t="inlineStr">
        <is>
          <t>Bidv</t>
        </is>
      </c>
      <c r="G63" s="1573">
        <f>#REF!</f>
        <v/>
      </c>
      <c r="H63" s="30" t="inlineStr">
        <is>
          <t>Med Service TT Luong T10.2024 - 247 DUONG LANG -</t>
        </is>
      </c>
      <c r="I63" s="1199" t="inlineStr">
        <is>
          <t>Le Duy Hieu</t>
        </is>
      </c>
      <c r="J63" s="33" t="inlineStr">
        <is>
          <t>Med Service TT Luong T10.2024 - 247 DUONG LANG - Le Duy Hieu</t>
        </is>
      </c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33" t="n"/>
    </row>
    <row r="64" ht="20.25" customHeight="1" s="1264">
      <c r="A64" s="34" t="n"/>
      <c r="B64" s="39" t="n">
        <v>5</v>
      </c>
      <c r="C64" s="33" t="inlineStr">
        <is>
          <t>Đàm Thu Quỳnh</t>
        </is>
      </c>
      <c r="D64" s="30" t="inlineStr">
        <is>
          <t>Dam Thu Quynh</t>
        </is>
      </c>
      <c r="E64" s="41" t="inlineStr">
        <is>
          <t>106005208202</t>
        </is>
      </c>
      <c r="F64" s="31" t="inlineStr">
        <is>
          <t>Viettinbank</t>
        </is>
      </c>
      <c r="G64" s="1573">
        <f>#REF!</f>
        <v/>
      </c>
      <c r="H64" s="30" t="inlineStr">
        <is>
          <t>Med Service TT Luong T10.2024 - 247 DUONG LANG -</t>
        </is>
      </c>
      <c r="I64" s="1199" t="inlineStr">
        <is>
          <t>Dam Thu Quynh</t>
        </is>
      </c>
      <c r="J64" s="33" t="inlineStr">
        <is>
          <t>Med Service TT Luong T10.2024 - 247 DUONG LANG - Dam Thu Quynh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</row>
    <row r="65" ht="20.25" customHeight="1" s="1264">
      <c r="A65" s="34" t="n"/>
      <c r="B65" s="39" t="n">
        <v>6</v>
      </c>
      <c r="C65" s="33" t="inlineStr">
        <is>
          <t>Phan Kiều Trang</t>
        </is>
      </c>
      <c r="D65" s="33" t="inlineStr">
        <is>
          <t>Phan Kieu Trang</t>
        </is>
      </c>
      <c r="E65" s="41" t="inlineStr">
        <is>
          <t>8871948321</t>
        </is>
      </c>
      <c r="F65" s="31" t="inlineStr">
        <is>
          <t>BIDV</t>
        </is>
      </c>
      <c r="G65" s="1573">
        <f>#REF!</f>
        <v/>
      </c>
      <c r="H65" s="30" t="inlineStr">
        <is>
          <t>Med Service TT Luong T10.2024 - 247 DUONG LANG -</t>
        </is>
      </c>
      <c r="I65" s="33" t="inlineStr">
        <is>
          <t>Phan Kieu Trang</t>
        </is>
      </c>
      <c r="J65" s="33" t="inlineStr">
        <is>
          <t>Med Service TT Luong T10.2024 - 247 DUONG LANG - Phan Kieu Trang</t>
        </is>
      </c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</row>
    <row r="66" ht="20.25" customHeight="1" s="1264">
      <c r="A66" s="34" t="n"/>
      <c r="B66" s="39" t="n"/>
      <c r="C66" s="33" t="n"/>
      <c r="D66" s="30" t="n"/>
      <c r="E66" s="41" t="n"/>
      <c r="F66" s="31" t="n"/>
      <c r="G66" s="1574">
        <f>SUM(G60:G65)</f>
        <v/>
      </c>
      <c r="H66" s="30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</row>
    <row r="67" ht="20.25" customHeight="1" s="1264">
      <c r="A67" s="34" t="inlineStr">
        <is>
          <t>247 Hàng Bông</t>
        </is>
      </c>
      <c r="B67" s="39" t="n"/>
      <c r="C67" s="33" t="n"/>
      <c r="D67" s="30" t="n"/>
      <c r="E67" s="41" t="n"/>
      <c r="F67" s="31" t="n"/>
      <c r="G67" s="42" t="n"/>
      <c r="H67" s="30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</row>
    <row r="68" ht="20.25" customHeight="1" s="1264">
      <c r="A68" s="34" t="n"/>
      <c r="B68" s="39" t="n">
        <v>1</v>
      </c>
      <c r="C68" s="33" t="inlineStr">
        <is>
          <t>Lê Thị Ngọc Ánh</t>
        </is>
      </c>
      <c r="D68" s="30" t="inlineStr">
        <is>
          <t>Le Thi Ngoc Anh</t>
        </is>
      </c>
      <c r="E68" s="41" t="inlineStr">
        <is>
          <t>28910000298076</t>
        </is>
      </c>
      <c r="F68" s="31" t="inlineStr">
        <is>
          <t>BIDV</t>
        </is>
      </c>
      <c r="G68" s="1573">
        <f>#REF!</f>
        <v/>
      </c>
      <c r="H68" s="30" t="inlineStr">
        <is>
          <t>Med Service TT Luong T10.2024 - 247 HANG BONG -</t>
        </is>
      </c>
      <c r="I68" s="1199" t="inlineStr">
        <is>
          <t>Le Thi Ngoc Anh</t>
        </is>
      </c>
      <c r="J68" s="33" t="inlineStr">
        <is>
          <t>Med Service TT Luong T10.2024 - 247 HANG BONG - Le Thi Ngoc Anh</t>
        </is>
      </c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</row>
    <row r="69" ht="20.25" customHeight="1" s="1264">
      <c r="A69" s="34" t="n"/>
      <c r="B69" s="39" t="n">
        <v>2</v>
      </c>
      <c r="C69" s="33" t="inlineStr">
        <is>
          <t>Đinh Thị Lan Anh</t>
        </is>
      </c>
      <c r="D69" s="30" t="inlineStr">
        <is>
          <t>Dinh Thi Lan Anh</t>
        </is>
      </c>
      <c r="E69" s="41" t="inlineStr">
        <is>
          <t>16010000495222</t>
        </is>
      </c>
      <c r="F69" s="31" t="inlineStr">
        <is>
          <t>BIDV</t>
        </is>
      </c>
      <c r="G69" s="1573">
        <f>#REF!</f>
        <v/>
      </c>
      <c r="H69" s="30" t="inlineStr">
        <is>
          <t>Med Service TT Luong T10.2024 - 247 HANG BONG -</t>
        </is>
      </c>
      <c r="I69" s="1199" t="inlineStr">
        <is>
          <t>Dinh Thi Lan Anh</t>
        </is>
      </c>
      <c r="J69" s="33" t="inlineStr">
        <is>
          <t>Med Service TT Luong T10.2024 - 247 HANG BONG - Dinh Thi Lan Anh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</row>
    <row r="70" ht="20.25" customHeight="1" s="1264">
      <c r="A70" s="34" t="n"/>
      <c r="B70" s="39" t="n">
        <v>3</v>
      </c>
      <c r="C70" s="33" t="inlineStr">
        <is>
          <t>Ngô Thị Tâm</t>
        </is>
      </c>
      <c r="D70" s="30" t="inlineStr">
        <is>
          <t>Ngo Thi Tam</t>
        </is>
      </c>
      <c r="E70" s="41" t="inlineStr">
        <is>
          <t>1030558333</t>
        </is>
      </c>
      <c r="F70" s="31" t="inlineStr">
        <is>
          <t>Vietcombank</t>
        </is>
      </c>
      <c r="G70" s="1573">
        <f>#REF!</f>
        <v/>
      </c>
      <c r="H70" s="30" t="inlineStr">
        <is>
          <t>Med Service TT Luong T10.2024 - 247 HANG BONG -</t>
        </is>
      </c>
      <c r="I70" s="1199" t="inlineStr">
        <is>
          <t>Ngo Thi Tam</t>
        </is>
      </c>
      <c r="J70" s="33" t="inlineStr">
        <is>
          <t>Med Service TT Luong T10.2024 - 247 HANG BONG - Ngo Thi Tam</t>
        </is>
      </c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  <c r="AB70" s="33" t="n"/>
    </row>
    <row r="71" ht="20.25" customHeight="1" s="1264">
      <c r="A71" s="34" t="n"/>
      <c r="B71" s="39" t="n">
        <v>4</v>
      </c>
      <c r="C71" s="33" t="inlineStr">
        <is>
          <t>Đào Thị Diễm</t>
        </is>
      </c>
      <c r="D71" s="30" t="inlineStr">
        <is>
          <t>Dao Thi Diem</t>
        </is>
      </c>
      <c r="E71" s="41" t="n"/>
      <c r="F71" s="31" t="n"/>
      <c r="G71" s="1573">
        <f>#REF!</f>
        <v/>
      </c>
      <c r="H71" s="30" t="inlineStr">
        <is>
          <t>Med Service TT Luong T10.2024 - 247 HANG BONG -</t>
        </is>
      </c>
      <c r="I71" s="1199" t="inlineStr">
        <is>
          <t>Dao Thi Diem</t>
        </is>
      </c>
      <c r="J71" s="33" t="inlineStr">
        <is>
          <t>Med Service TT Luong T10.2024 - 247 HANG BONG - Dao Thi Diem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33" t="n"/>
    </row>
    <row r="72" ht="20.25" customHeight="1" s="1264">
      <c r="A72" s="34" t="n"/>
      <c r="B72" s="39" t="n">
        <v>5</v>
      </c>
      <c r="C72" s="33" t="inlineStr">
        <is>
          <t>Nguyễn Ngọc Linh</t>
        </is>
      </c>
      <c r="D72" s="30" t="inlineStr">
        <is>
          <t>Nguyen Ngoc Linh</t>
        </is>
      </c>
      <c r="E72" s="41" t="inlineStr">
        <is>
          <t>1020411491</t>
        </is>
      </c>
      <c r="F72" s="31" t="inlineStr">
        <is>
          <t>Vietcombank</t>
        </is>
      </c>
      <c r="G72" s="1573">
        <f>#REF!</f>
        <v/>
      </c>
      <c r="H72" s="30" t="inlineStr">
        <is>
          <t>Med Service TT Luong T10.2024 - 247 HANG BONG -</t>
        </is>
      </c>
      <c r="I72" s="1199" t="inlineStr">
        <is>
          <t>Nguyen Ngoc Linh</t>
        </is>
      </c>
      <c r="J72" s="33" t="inlineStr">
        <is>
          <t>Med Service TT Luong T10.2024 - 247 HANG BONG - Nguyen Ngoc Linh</t>
        </is>
      </c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  <c r="AB72" s="33" t="n"/>
    </row>
    <row r="73" ht="20.25" customHeight="1" s="1264">
      <c r="A73" s="34" t="n"/>
      <c r="B73" s="39" t="n">
        <v>6</v>
      </c>
      <c r="C73" s="33" t="inlineStr">
        <is>
          <t>Nguyễn Thị Hoa</t>
        </is>
      </c>
      <c r="D73" s="30" t="inlineStr">
        <is>
          <t>Nguyen Thi Hoa</t>
        </is>
      </c>
      <c r="E73" s="41" t="inlineStr">
        <is>
          <t>0362671470</t>
        </is>
      </c>
      <c r="F73" s="31" t="inlineStr">
        <is>
          <t>MB bank</t>
        </is>
      </c>
      <c r="G73" s="1573">
        <f>#REF!</f>
        <v/>
      </c>
      <c r="H73" s="30" t="inlineStr">
        <is>
          <t>Med Service TT Luong T10.2024 - 247 HANG BONG -</t>
        </is>
      </c>
      <c r="I73" s="1199" t="inlineStr">
        <is>
          <t>Nguyen Thi Hoa</t>
        </is>
      </c>
      <c r="J73" s="33" t="inlineStr">
        <is>
          <t>Med Service TT Luong T10.2024 - 247 HANG BONG - Nguyen Thi Hoa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</row>
    <row r="74" ht="20.25" customHeight="1" s="1264">
      <c r="A74" s="34" t="n"/>
      <c r="B74" s="39" t="n">
        <v>7</v>
      </c>
      <c r="C74" s="33" t="inlineStr">
        <is>
          <t>Phan Kiều Trang</t>
        </is>
      </c>
      <c r="D74" s="30" t="inlineStr">
        <is>
          <t>Phan Kieu Trang</t>
        </is>
      </c>
      <c r="E74" s="41" t="inlineStr">
        <is>
          <t>8871948321</t>
        </is>
      </c>
      <c r="F74" s="31" t="inlineStr">
        <is>
          <t>BIDV</t>
        </is>
      </c>
      <c r="G74" s="1573">
        <f>#REF!</f>
        <v/>
      </c>
      <c r="H74" s="30" t="inlineStr">
        <is>
          <t>Med Service TT Luong T10.2024 - 247 HANG BONG -</t>
        </is>
      </c>
      <c r="I74" s="1199" t="inlineStr">
        <is>
          <t>Phan Kieu Trang</t>
        </is>
      </c>
      <c r="J74" s="33" t="inlineStr">
        <is>
          <t>Med Service TT Luong T10.2024 - 247 HANG BONG - Phan Kieu Trang</t>
        </is>
      </c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</row>
    <row r="75" ht="20.25" customHeight="1" s="1264">
      <c r="A75" s="34" t="n"/>
      <c r="B75" s="39" t="n"/>
      <c r="C75" s="33" t="n"/>
      <c r="D75" s="30" t="n"/>
      <c r="E75" s="41" t="n"/>
      <c r="F75" s="31" t="n"/>
      <c r="G75" s="1575">
        <f>SUM(G68:G74)</f>
        <v/>
      </c>
      <c r="H75" s="30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</row>
    <row r="76" ht="20.25" customHeight="1" s="1264">
      <c r="A76" s="34" t="inlineStr">
        <is>
          <t>882 Trương Định</t>
        </is>
      </c>
      <c r="B76" s="39" t="n"/>
      <c r="C76" s="33" t="n"/>
      <c r="D76" s="30" t="n"/>
      <c r="E76" s="41" t="n"/>
      <c r="F76" s="31" t="n"/>
      <c r="G76" s="1575" t="n"/>
      <c r="H76" s="30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</row>
    <row r="77" ht="20.25" customHeight="1" s="1264">
      <c r="A77" s="34" t="n"/>
      <c r="B77" s="39" t="n">
        <v>1</v>
      </c>
      <c r="C77" s="33" t="inlineStr">
        <is>
          <t>Đỗ Thục Chinh</t>
        </is>
      </c>
      <c r="D77" s="30" t="inlineStr">
        <is>
          <t>Do Thuc Chinh</t>
        </is>
      </c>
      <c r="E77" s="41" t="inlineStr">
        <is>
          <t>1042921909</t>
        </is>
      </c>
      <c r="F77" s="31" t="inlineStr">
        <is>
          <t>Vietcombank</t>
        </is>
      </c>
      <c r="G77" s="1573">
        <f>#REF!</f>
        <v/>
      </c>
      <c r="H77" s="30" t="inlineStr">
        <is>
          <t>Med Service TT Luong T10.2024 - 882 TRUONG DINH -</t>
        </is>
      </c>
      <c r="I77" s="33" t="inlineStr">
        <is>
          <t>Do Thuc Chinh</t>
        </is>
      </c>
      <c r="J77" s="33" t="inlineStr">
        <is>
          <t>Med Service TT Luong T10.2024 - 882 TRUONG DINH - Do Thuc Chinh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24" t="n"/>
      <c r="AB77" s="24" t="n"/>
    </row>
    <row r="78" ht="20.25" customHeight="1" s="1264">
      <c r="A78" s="34" t="n"/>
      <c r="B78" s="39" t="n">
        <v>2</v>
      </c>
      <c r="C78" s="33" t="inlineStr">
        <is>
          <t>Đỗ Mạnh Huy</t>
        </is>
      </c>
      <c r="D78" s="30" t="inlineStr">
        <is>
          <t>Do Manh Huy</t>
        </is>
      </c>
      <c r="E78" s="41" t="inlineStr">
        <is>
          <t>73101996187</t>
        </is>
      </c>
      <c r="F78" s="31" t="inlineStr">
        <is>
          <t>TP bank</t>
        </is>
      </c>
      <c r="G78" s="1573">
        <f>#REF!</f>
        <v/>
      </c>
      <c r="H78" s="30" t="inlineStr">
        <is>
          <t>Med Service TT Luong T10.2024 - 882 TRUONG DINH -</t>
        </is>
      </c>
      <c r="I78" s="33" t="inlineStr">
        <is>
          <t>Do Manh Huy</t>
        </is>
      </c>
      <c r="J78" s="33" t="inlineStr">
        <is>
          <t>Med Service TT Luong T10.2024 - 882 TRUONG DINH - Do Manh Huy</t>
        </is>
      </c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24" t="n"/>
      <c r="AB78" s="24" t="n"/>
    </row>
    <row r="79" ht="20.25" customHeight="1" s="1264">
      <c r="A79" s="34" t="n"/>
      <c r="B79" s="39" t="n">
        <v>3</v>
      </c>
      <c r="C79" s="33" t="inlineStr">
        <is>
          <t>Đinh Thị Nhung</t>
        </is>
      </c>
      <c r="D79" s="30" t="inlineStr">
        <is>
          <t>Dinh Thi Nhung</t>
        </is>
      </c>
      <c r="E79" s="41" t="inlineStr">
        <is>
          <t>0122100010597008</t>
        </is>
      </c>
      <c r="F79" s="31" t="inlineStr">
        <is>
          <t>Ocb Ngân hàng Phương Đông</t>
        </is>
      </c>
      <c r="G79" s="1573">
        <f>#REF!</f>
        <v/>
      </c>
      <c r="H79" s="30" t="inlineStr">
        <is>
          <t>Med Service TT Luong T10.2024 - 882 TRUONG DINH -</t>
        </is>
      </c>
      <c r="I79" s="33" t="inlineStr">
        <is>
          <t>Dinh Thi Nhung</t>
        </is>
      </c>
      <c r="J79" s="33" t="inlineStr">
        <is>
          <t>Med Service TT Luong T10.2024 - 882 TRUONG DINH - Dinh Thi Nhung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24" t="n"/>
      <c r="AB79" s="24" t="n"/>
    </row>
    <row r="80" ht="20.25" customHeight="1" s="1264">
      <c r="B80" s="39" t="n">
        <v>4</v>
      </c>
      <c r="C80" s="33" t="inlineStr">
        <is>
          <t>Vũ Thị Phương</t>
        </is>
      </c>
      <c r="D80" s="33" t="inlineStr">
        <is>
          <t>Vu Thi Phuong</t>
        </is>
      </c>
      <c r="E80" s="1200" t="inlineStr">
        <is>
          <t>0972549261</t>
        </is>
      </c>
      <c r="F80" s="41" t="inlineStr">
        <is>
          <t>MB Bank</t>
        </is>
      </c>
      <c r="G80" s="1573">
        <f>#REF!</f>
        <v/>
      </c>
      <c r="H80" s="30" t="inlineStr">
        <is>
          <t>Med Service TT Luong T10.2024 - 882 TRUONG DINH -</t>
        </is>
      </c>
      <c r="I80" s="33" t="inlineStr">
        <is>
          <t>Vu Thi Phuong</t>
        </is>
      </c>
      <c r="J80" s="33" t="inlineStr">
        <is>
          <t>Med Service TT Luong T10.2024 - 882 TRUONG DINH - Vu Thi Phuong</t>
        </is>
      </c>
    </row>
    <row r="81" ht="20.25" customHeight="1" s="1264">
      <c r="A81" s="34" t="n"/>
      <c r="B81" s="39" t="n">
        <v>5</v>
      </c>
      <c r="C81" s="33" t="inlineStr">
        <is>
          <t>Lê Duy Hiệu</t>
        </is>
      </c>
      <c r="D81" s="30" t="inlineStr">
        <is>
          <t>Le Duy Hieu</t>
        </is>
      </c>
      <c r="E81" s="41" t="inlineStr">
        <is>
          <t>37110001168020</t>
        </is>
      </c>
      <c r="F81" s="31" t="inlineStr">
        <is>
          <t>Bidv</t>
        </is>
      </c>
      <c r="G81" s="1573">
        <f>#REF!</f>
        <v/>
      </c>
      <c r="H81" s="30" t="inlineStr">
        <is>
          <t>Med Service TT Luong T10.2024 - 882 TRUONG DINH -</t>
        </is>
      </c>
      <c r="I81" s="1199" t="inlineStr">
        <is>
          <t>Le Duy Hieu</t>
        </is>
      </c>
      <c r="J81" s="33" t="inlineStr">
        <is>
          <t>Med Service TT Luong T10.2024 - 882 TRUONG DINH - Le Duy Hieu</t>
        </is>
      </c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33" t="n"/>
    </row>
    <row r="82" ht="20.25" customHeight="1" s="1264">
      <c r="A82" s="34" t="n"/>
      <c r="B82" s="39" t="n">
        <v>6</v>
      </c>
      <c r="C82" s="33" t="inlineStr">
        <is>
          <t>Hứa Thị Kim Thoa</t>
        </is>
      </c>
      <c r="D82" s="30" t="inlineStr">
        <is>
          <t>Hua Thi Kim Thoa</t>
        </is>
      </c>
      <c r="E82" s="41" t="inlineStr">
        <is>
          <t>30961328046</t>
        </is>
      </c>
      <c r="F82" s="31" t="inlineStr">
        <is>
          <t>TPbank</t>
        </is>
      </c>
      <c r="G82" s="1573">
        <f>#REF!</f>
        <v/>
      </c>
      <c r="H82" s="30" t="inlineStr">
        <is>
          <t>Med Service TT Luong T10.2024 - 882 TRUONG DINH -</t>
        </is>
      </c>
      <c r="I82" s="1199" t="inlineStr">
        <is>
          <t>Hua Thi Kim Thoa</t>
        </is>
      </c>
      <c r="J82" s="33" t="inlineStr">
        <is>
          <t>Med Service TT Luong T10.2024 - 882 TRUONG DINH - Hua Thi Kim Thoa</t>
        </is>
      </c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</row>
    <row r="83" ht="20.25" customHeight="1" s="1264">
      <c r="A83" s="34" t="n"/>
      <c r="B83" s="39" t="n">
        <v>7</v>
      </c>
      <c r="C83" s="33" t="inlineStr">
        <is>
          <t>Phan Kiều Trang</t>
        </is>
      </c>
      <c r="D83" s="30" t="inlineStr">
        <is>
          <t>Phan Kieu Trang</t>
        </is>
      </c>
      <c r="E83" s="41" t="inlineStr">
        <is>
          <t>8871948321</t>
        </is>
      </c>
      <c r="F83" s="31" t="inlineStr">
        <is>
          <t>BIDV</t>
        </is>
      </c>
      <c r="G83" s="1573">
        <f>#REF!</f>
        <v/>
      </c>
      <c r="H83" s="30" t="inlineStr">
        <is>
          <t>Med Service TT Luong T10.2024 - 882 TRUONG DINH -</t>
        </is>
      </c>
      <c r="I83" s="1199" t="inlineStr">
        <is>
          <t>Phan Kieu Trang</t>
        </is>
      </c>
      <c r="J83" s="33" t="inlineStr">
        <is>
          <t>Med Service TT Luong T10.2024 - 882 TRUONG DINH - Phan Kieu Trang</t>
        </is>
      </c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  <c r="AA83" s="33" t="n"/>
      <c r="AB83" s="33" t="n"/>
    </row>
    <row r="84" ht="15.75" customHeight="1" s="1264">
      <c r="A84" s="33" t="n"/>
      <c r="B84" s="39" t="n"/>
      <c r="C84" s="33" t="n"/>
      <c r="D84" s="33" t="n"/>
      <c r="E84" s="31" t="n"/>
      <c r="F84" s="31" t="n"/>
      <c r="G84" s="1575">
        <f>SUM(G77:G83)</f>
        <v/>
      </c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</row>
    <row r="85" ht="15.75" customHeight="1" s="1264">
      <c r="A85" s="33" t="n"/>
      <c r="B85" s="39" t="n"/>
      <c r="C85" s="33" t="n"/>
      <c r="D85" s="33" t="n"/>
      <c r="E85" s="31" t="n"/>
      <c r="F85" s="31" t="n"/>
      <c r="G85" s="34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</row>
    <row r="86" ht="15.75" customHeight="1" s="1264">
      <c r="A86" s="33" t="n"/>
      <c r="B86" s="39" t="n"/>
      <c r="C86" s="33" t="n"/>
      <c r="D86" s="33" t="n"/>
      <c r="E86" s="31" t="n"/>
      <c r="F86" s="31" t="n"/>
      <c r="G86" s="34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</row>
    <row r="87" ht="15.75" customHeight="1" s="1264">
      <c r="A87" s="33" t="n"/>
      <c r="B87" s="39" t="n"/>
      <c r="C87" s="33" t="n"/>
      <c r="D87" s="33" t="n"/>
      <c r="E87" s="31" t="n"/>
      <c r="F87" s="31" t="n"/>
      <c r="G87" s="34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</row>
    <row r="88" ht="15.75" customHeight="1" s="1264">
      <c r="A88" s="33" t="n"/>
      <c r="B88" s="39" t="n"/>
      <c r="C88" s="33" t="n"/>
      <c r="D88" s="33" t="n"/>
      <c r="E88" s="31" t="n"/>
      <c r="F88" s="31" t="n"/>
      <c r="G88" s="34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</row>
    <row r="89" ht="15.75" customHeight="1" s="1264">
      <c r="A89" s="33" t="n"/>
      <c r="B89" s="39" t="n"/>
      <c r="C89" s="33" t="n"/>
      <c r="D89" s="33" t="n"/>
      <c r="E89" s="31" t="n"/>
      <c r="F89" s="31" t="n"/>
      <c r="G89" s="34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</row>
    <row r="90" ht="15.75" customHeight="1" s="1264">
      <c r="A90" s="33" t="n"/>
      <c r="B90" s="39" t="n"/>
      <c r="C90" s="33" t="n"/>
      <c r="D90" s="33" t="n"/>
      <c r="E90" s="31" t="n"/>
      <c r="F90" s="31" t="n"/>
      <c r="G90" s="34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</row>
    <row r="91" ht="15.75" customHeight="1" s="1264">
      <c r="A91" s="33" t="n"/>
      <c r="B91" s="39" t="n"/>
      <c r="C91" s="33" t="n"/>
      <c r="D91" s="33" t="n"/>
      <c r="E91" s="31" t="n"/>
      <c r="F91" s="31" t="n"/>
      <c r="G91" s="34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</row>
    <row r="92" ht="15.75" customHeight="1" s="1264">
      <c r="A92" s="33" t="n"/>
      <c r="B92" s="39" t="n"/>
      <c r="C92" s="33" t="n"/>
      <c r="D92" s="33" t="n"/>
      <c r="E92" s="31" t="n"/>
      <c r="F92" s="31" t="n"/>
      <c r="G92" s="34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</row>
    <row r="93" ht="15.75" customHeight="1" s="1264">
      <c r="A93" s="33" t="n"/>
      <c r="B93" s="39" t="n"/>
      <c r="C93" s="33" t="n"/>
      <c r="D93" s="33" t="n"/>
      <c r="E93" s="31" t="n"/>
      <c r="F93" s="31" t="n"/>
      <c r="G93" s="34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</row>
    <row r="94" ht="15.75" customHeight="1" s="1264">
      <c r="A94" s="33" t="n"/>
      <c r="B94" s="39" t="n"/>
      <c r="C94" s="33" t="n"/>
      <c r="D94" s="33" t="n"/>
      <c r="E94" s="31" t="n"/>
      <c r="F94" s="31" t="n"/>
      <c r="G94" s="34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</row>
    <row r="95" ht="15.75" customHeight="1" s="1264">
      <c r="A95" s="33" t="n"/>
      <c r="B95" s="39" t="n"/>
      <c r="C95" s="33" t="n"/>
      <c r="D95" s="33" t="n"/>
      <c r="E95" s="31" t="n"/>
      <c r="F95" s="31" t="n"/>
      <c r="G95" s="34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</row>
    <row r="96" ht="15.75" customHeight="1" s="1264">
      <c r="A96" s="33" t="n"/>
      <c r="B96" s="39" t="n"/>
      <c r="C96" s="33" t="n"/>
      <c r="D96" s="33" t="n"/>
      <c r="E96" s="31" t="n"/>
      <c r="F96" s="31" t="n"/>
      <c r="G96" s="34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</row>
    <row r="97" ht="15.75" customHeight="1" s="1264">
      <c r="A97" s="33" t="n"/>
      <c r="B97" s="39" t="n"/>
      <c r="C97" s="33" t="n"/>
      <c r="D97" s="33" t="n"/>
      <c r="E97" s="31" t="n"/>
      <c r="F97" s="31" t="n"/>
      <c r="G97" s="34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</row>
    <row r="98" ht="15.75" customHeight="1" s="1264">
      <c r="A98" s="33" t="n"/>
      <c r="B98" s="39" t="n"/>
      <c r="C98" s="33" t="n"/>
      <c r="D98" s="33" t="n"/>
      <c r="E98" s="31" t="n"/>
      <c r="F98" s="31" t="n"/>
      <c r="G98" s="34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</row>
    <row r="99" ht="15.75" customHeight="1" s="1264">
      <c r="A99" s="33" t="n"/>
      <c r="B99" s="39" t="n"/>
      <c r="C99" s="33" t="n"/>
      <c r="D99" s="33" t="n"/>
      <c r="E99" s="31" t="n"/>
      <c r="F99" s="31" t="n"/>
      <c r="G99" s="34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</row>
    <row r="100" ht="15.75" customHeight="1" s="1264">
      <c r="A100" s="33" t="n"/>
      <c r="B100" s="39" t="n"/>
      <c r="C100" s="33" t="n"/>
      <c r="D100" s="33" t="n"/>
      <c r="E100" s="31" t="n"/>
      <c r="F100" s="31" t="n"/>
      <c r="G100" s="34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</row>
    <row r="101" ht="15.75" customHeight="1" s="1264">
      <c r="A101" s="33" t="n"/>
      <c r="B101" s="39" t="n"/>
      <c r="C101" s="33" t="n"/>
      <c r="D101" s="33" t="n"/>
      <c r="E101" s="31" t="n"/>
      <c r="F101" s="31" t="n"/>
      <c r="G101" s="34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</row>
    <row r="102" ht="15.75" customHeight="1" s="1264">
      <c r="A102" s="33" t="n"/>
      <c r="B102" s="39" t="n"/>
      <c r="C102" s="33" t="n"/>
      <c r="D102" s="33" t="n"/>
      <c r="E102" s="31" t="n"/>
      <c r="F102" s="31" t="n"/>
      <c r="G102" s="34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</row>
    <row r="103" ht="15.75" customHeight="1" s="1264">
      <c r="A103" s="33" t="n"/>
      <c r="B103" s="39" t="n"/>
      <c r="C103" s="33" t="n"/>
      <c r="D103" s="33" t="n"/>
      <c r="E103" s="31" t="n"/>
      <c r="F103" s="31" t="n"/>
      <c r="G103" s="34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</row>
    <row r="104" ht="15.75" customHeight="1" s="1264">
      <c r="A104" s="33" t="n"/>
      <c r="B104" s="39" t="n"/>
      <c r="C104" s="33" t="n"/>
      <c r="D104" s="33" t="n"/>
      <c r="E104" s="31" t="n"/>
      <c r="F104" s="31" t="n"/>
      <c r="G104" s="34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</row>
    <row r="105" ht="15.75" customHeight="1" s="1264">
      <c r="A105" s="33" t="n"/>
      <c r="B105" s="39" t="n"/>
      <c r="C105" s="33" t="n"/>
      <c r="D105" s="33" t="n"/>
      <c r="E105" s="31" t="n"/>
      <c r="F105" s="31" t="n"/>
      <c r="G105" s="34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</row>
    <row r="106" ht="15.75" customHeight="1" s="1264">
      <c r="A106" s="33" t="n"/>
      <c r="B106" s="39" t="n"/>
      <c r="C106" s="33" t="n"/>
      <c r="D106" s="33" t="n"/>
      <c r="E106" s="31" t="n"/>
      <c r="F106" s="31" t="n"/>
      <c r="G106" s="34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</row>
    <row r="107" ht="15.75" customHeight="1" s="1264">
      <c r="A107" s="33" t="n"/>
      <c r="B107" s="39" t="n"/>
      <c r="C107" s="33" t="n"/>
      <c r="D107" s="33" t="n"/>
      <c r="E107" s="31" t="n"/>
      <c r="F107" s="31" t="n"/>
      <c r="G107" s="34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</row>
    <row r="108" ht="15.75" customHeight="1" s="1264">
      <c r="A108" s="33" t="n"/>
      <c r="B108" s="39" t="n"/>
      <c r="C108" s="33" t="n"/>
      <c r="D108" s="33" t="n"/>
      <c r="E108" s="31" t="n"/>
      <c r="F108" s="31" t="n"/>
      <c r="G108" s="34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</row>
    <row r="109" ht="15.75" customHeight="1" s="1264">
      <c r="A109" s="33" t="n"/>
      <c r="B109" s="39" t="n"/>
      <c r="C109" s="33" t="n"/>
      <c r="D109" s="33" t="n"/>
      <c r="E109" s="31" t="n"/>
      <c r="F109" s="31" t="n"/>
      <c r="G109" s="34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</row>
    <row r="110" ht="15.75" customHeight="1" s="1264">
      <c r="A110" s="33" t="n"/>
      <c r="B110" s="39" t="n"/>
      <c r="C110" s="33" t="n"/>
      <c r="D110" s="33" t="n"/>
      <c r="E110" s="31" t="n"/>
      <c r="F110" s="31" t="n"/>
      <c r="G110" s="34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</row>
    <row r="111" ht="15.75" customHeight="1" s="1264">
      <c r="A111" s="33" t="n"/>
      <c r="B111" s="39" t="n"/>
      <c r="C111" s="33" t="n"/>
      <c r="D111" s="33" t="n"/>
      <c r="E111" s="31" t="n"/>
      <c r="F111" s="31" t="n"/>
      <c r="G111" s="34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</row>
    <row r="112" ht="15.75" customHeight="1" s="1264">
      <c r="A112" s="33" t="n"/>
      <c r="B112" s="39" t="n"/>
      <c r="C112" s="33" t="n"/>
      <c r="D112" s="33" t="n"/>
      <c r="E112" s="31" t="n"/>
      <c r="F112" s="31" t="n"/>
      <c r="G112" s="34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</row>
    <row r="113" ht="15.75" customHeight="1" s="1264">
      <c r="A113" s="33" t="n"/>
      <c r="B113" s="39" t="n"/>
      <c r="C113" s="33" t="n"/>
      <c r="D113" s="33" t="n"/>
      <c r="E113" s="31" t="n"/>
      <c r="F113" s="31" t="n"/>
      <c r="G113" s="34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</row>
    <row r="114" ht="15.75" customHeight="1" s="1264">
      <c r="A114" s="33" t="n"/>
      <c r="B114" s="39" t="n"/>
      <c r="C114" s="33" t="n"/>
      <c r="D114" s="33" t="n"/>
      <c r="E114" s="31" t="n"/>
      <c r="F114" s="31" t="n"/>
      <c r="G114" s="34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</row>
    <row r="115" ht="15.75" customHeight="1" s="1264">
      <c r="A115" s="33" t="n"/>
      <c r="B115" s="39" t="n"/>
      <c r="C115" s="33" t="n"/>
      <c r="D115" s="33" t="n"/>
      <c r="E115" s="31" t="n"/>
      <c r="F115" s="31" t="n"/>
      <c r="G115" s="34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</row>
    <row r="116" ht="15.75" customHeight="1" s="1264">
      <c r="A116" s="33" t="n"/>
      <c r="B116" s="39" t="n"/>
      <c r="C116" s="33" t="n"/>
      <c r="D116" s="33" t="n"/>
      <c r="E116" s="31" t="n"/>
      <c r="F116" s="31" t="n"/>
      <c r="G116" s="34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</row>
    <row r="117" ht="15.75" customHeight="1" s="1264">
      <c r="A117" s="33" t="n"/>
      <c r="B117" s="39" t="n"/>
      <c r="C117" s="33" t="n"/>
      <c r="D117" s="33" t="n"/>
      <c r="E117" s="31" t="n"/>
      <c r="F117" s="31" t="n"/>
      <c r="G117" s="34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</row>
    <row r="118" ht="15.75" customHeight="1" s="1264">
      <c r="A118" s="33" t="n"/>
      <c r="B118" s="39" t="n"/>
      <c r="C118" s="33" t="n"/>
      <c r="D118" s="33" t="n"/>
      <c r="E118" s="31" t="n"/>
      <c r="F118" s="31" t="n"/>
      <c r="G118" s="34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</row>
    <row r="119" ht="15.75" customHeight="1" s="1264">
      <c r="A119" s="33" t="n"/>
      <c r="B119" s="39" t="n"/>
      <c r="C119" s="33" t="n"/>
      <c r="D119" s="33" t="n"/>
      <c r="E119" s="31" t="n"/>
      <c r="F119" s="31" t="n"/>
      <c r="G119" s="34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</row>
    <row r="120" ht="15.75" customHeight="1" s="1264">
      <c r="A120" s="33" t="n"/>
      <c r="B120" s="39" t="n"/>
      <c r="C120" s="33" t="n"/>
      <c r="D120" s="33" t="n"/>
      <c r="E120" s="31" t="n"/>
      <c r="F120" s="31" t="n"/>
      <c r="G120" s="34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</row>
    <row r="121" ht="15.75" customHeight="1" s="1264">
      <c r="A121" s="33" t="n"/>
      <c r="B121" s="39" t="n"/>
      <c r="C121" s="33" t="n"/>
      <c r="D121" s="33" t="n"/>
      <c r="E121" s="31" t="n"/>
      <c r="F121" s="31" t="n"/>
      <c r="G121" s="34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</row>
    <row r="122" ht="15.75" customHeight="1" s="1264">
      <c r="A122" s="33" t="n"/>
      <c r="B122" s="39" t="n"/>
      <c r="C122" s="33" t="n"/>
      <c r="D122" s="33" t="n"/>
      <c r="E122" s="31" t="n"/>
      <c r="F122" s="31" t="n"/>
      <c r="G122" s="34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</row>
    <row r="123" ht="15.75" customHeight="1" s="1264">
      <c r="A123" s="33" t="n"/>
      <c r="B123" s="39" t="n"/>
      <c r="C123" s="33" t="n"/>
      <c r="D123" s="33" t="n"/>
      <c r="E123" s="31" t="n"/>
      <c r="F123" s="31" t="n"/>
      <c r="G123" s="34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</row>
    <row r="124" ht="15.75" customHeight="1" s="1264">
      <c r="A124" s="33" t="n"/>
      <c r="B124" s="39" t="n"/>
      <c r="C124" s="33" t="n"/>
      <c r="D124" s="33" t="n"/>
      <c r="E124" s="31" t="n"/>
      <c r="F124" s="31" t="n"/>
      <c r="G124" s="34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</row>
    <row r="125" ht="15.75" customHeight="1" s="1264">
      <c r="A125" s="33" t="n"/>
      <c r="B125" s="39" t="n"/>
      <c r="C125" s="33" t="n"/>
      <c r="D125" s="33" t="n"/>
      <c r="E125" s="31" t="n"/>
      <c r="F125" s="31" t="n"/>
      <c r="G125" s="34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</row>
    <row r="126" ht="15.75" customHeight="1" s="1264">
      <c r="A126" s="33" t="n"/>
      <c r="B126" s="39" t="n"/>
      <c r="C126" s="33" t="n"/>
      <c r="D126" s="33" t="n"/>
      <c r="E126" s="31" t="n"/>
      <c r="F126" s="31" t="n"/>
      <c r="G126" s="34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</row>
    <row r="127" ht="15.75" customHeight="1" s="1264">
      <c r="A127" s="33" t="n"/>
      <c r="B127" s="39" t="n"/>
      <c r="C127" s="33" t="n"/>
      <c r="D127" s="33" t="n"/>
      <c r="E127" s="31" t="n"/>
      <c r="F127" s="31" t="n"/>
      <c r="G127" s="34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</row>
    <row r="128" ht="15.75" customHeight="1" s="1264">
      <c r="A128" s="33" t="n"/>
      <c r="B128" s="39" t="n"/>
      <c r="C128" s="33" t="n"/>
      <c r="D128" s="33" t="n"/>
      <c r="E128" s="31" t="n"/>
      <c r="F128" s="31" t="n"/>
      <c r="G128" s="34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</row>
    <row r="129" ht="15.75" customHeight="1" s="1264">
      <c r="A129" s="33" t="n"/>
      <c r="B129" s="39" t="n"/>
      <c r="C129" s="33" t="n"/>
      <c r="D129" s="33" t="n"/>
      <c r="E129" s="31" t="n"/>
      <c r="F129" s="31" t="n"/>
      <c r="G129" s="34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</row>
    <row r="130" ht="15.75" customHeight="1" s="1264">
      <c r="A130" s="33" t="n"/>
      <c r="B130" s="39" t="n"/>
      <c r="C130" s="33" t="n"/>
      <c r="D130" s="33" t="n"/>
      <c r="E130" s="31" t="n"/>
      <c r="F130" s="31" t="n"/>
      <c r="G130" s="34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</row>
    <row r="131" ht="15.75" customHeight="1" s="1264">
      <c r="A131" s="33" t="n"/>
      <c r="B131" s="39" t="n"/>
      <c r="C131" s="33" t="n"/>
      <c r="D131" s="33" t="n"/>
      <c r="E131" s="31" t="n"/>
      <c r="F131" s="31" t="n"/>
      <c r="G131" s="34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</row>
    <row r="132" ht="15.75" customHeight="1" s="1264">
      <c r="A132" s="33" t="n"/>
      <c r="B132" s="39" t="n"/>
      <c r="C132" s="33" t="n"/>
      <c r="D132" s="33" t="n"/>
      <c r="E132" s="31" t="n"/>
      <c r="F132" s="31" t="n"/>
      <c r="G132" s="34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</row>
    <row r="133" ht="15.75" customHeight="1" s="1264">
      <c r="A133" s="33" t="n"/>
      <c r="B133" s="39" t="n"/>
      <c r="C133" s="33" t="n"/>
      <c r="D133" s="33" t="n"/>
      <c r="E133" s="31" t="n"/>
      <c r="F133" s="31" t="n"/>
      <c r="G133" s="34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</row>
    <row r="134" ht="15.75" customHeight="1" s="1264">
      <c r="A134" s="33" t="n"/>
      <c r="B134" s="39" t="n"/>
      <c r="C134" s="33" t="n"/>
      <c r="D134" s="33" t="n"/>
      <c r="E134" s="31" t="n"/>
      <c r="F134" s="31" t="n"/>
      <c r="G134" s="34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</row>
    <row r="135" ht="15.75" customHeight="1" s="1264">
      <c r="A135" s="33" t="n"/>
      <c r="B135" s="39" t="n"/>
      <c r="C135" s="33" t="n"/>
      <c r="D135" s="33" t="n"/>
      <c r="E135" s="31" t="n"/>
      <c r="F135" s="31" t="n"/>
      <c r="G135" s="34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</row>
    <row r="136" ht="15.75" customHeight="1" s="1264">
      <c r="A136" s="33" t="n"/>
      <c r="B136" s="39" t="n"/>
      <c r="C136" s="33" t="n"/>
      <c r="D136" s="33" t="n"/>
      <c r="E136" s="31" t="n"/>
      <c r="F136" s="31" t="n"/>
      <c r="G136" s="34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</row>
    <row r="137" ht="15.75" customHeight="1" s="1264">
      <c r="A137" s="33" t="n"/>
      <c r="B137" s="39" t="n"/>
      <c r="C137" s="33" t="n"/>
      <c r="D137" s="33" t="n"/>
      <c r="E137" s="31" t="n"/>
      <c r="F137" s="31" t="n"/>
      <c r="G137" s="34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</row>
    <row r="138" ht="15.75" customHeight="1" s="1264">
      <c r="A138" s="33" t="n"/>
      <c r="B138" s="39" t="n"/>
      <c r="C138" s="33" t="n"/>
      <c r="D138" s="33" t="n"/>
      <c r="E138" s="31" t="n"/>
      <c r="F138" s="31" t="n"/>
      <c r="G138" s="34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</row>
    <row r="139" ht="15.75" customHeight="1" s="1264">
      <c r="A139" s="33" t="n"/>
      <c r="B139" s="39" t="n"/>
      <c r="C139" s="33" t="n"/>
      <c r="D139" s="33" t="n"/>
      <c r="E139" s="31" t="n"/>
      <c r="F139" s="31" t="n"/>
      <c r="G139" s="34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</row>
    <row r="140" ht="15.75" customHeight="1" s="1264">
      <c r="A140" s="33" t="n"/>
      <c r="B140" s="39" t="n"/>
      <c r="C140" s="33" t="n"/>
      <c r="D140" s="33" t="n"/>
      <c r="E140" s="31" t="n"/>
      <c r="F140" s="31" t="n"/>
      <c r="G140" s="34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</row>
    <row r="141" ht="15.75" customHeight="1" s="1264">
      <c r="A141" s="33" t="n"/>
      <c r="B141" s="39" t="n"/>
      <c r="C141" s="33" t="n"/>
      <c r="D141" s="33" t="n"/>
      <c r="E141" s="31" t="n"/>
      <c r="F141" s="31" t="n"/>
      <c r="G141" s="34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</row>
    <row r="142" ht="15.75" customHeight="1" s="1264">
      <c r="A142" s="33" t="n"/>
      <c r="B142" s="39" t="n"/>
      <c r="C142" s="33" t="n"/>
      <c r="D142" s="33" t="n"/>
      <c r="E142" s="31" t="n"/>
      <c r="F142" s="31" t="n"/>
      <c r="G142" s="34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</row>
    <row r="143" ht="15.75" customHeight="1" s="1264">
      <c r="A143" s="33" t="n"/>
      <c r="B143" s="39" t="n"/>
      <c r="C143" s="33" t="n"/>
      <c r="D143" s="33" t="n"/>
      <c r="E143" s="31" t="n"/>
      <c r="F143" s="31" t="n"/>
      <c r="G143" s="34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</row>
    <row r="144" ht="15.75" customHeight="1" s="1264">
      <c r="A144" s="33" t="n"/>
      <c r="B144" s="39" t="n"/>
      <c r="C144" s="33" t="n"/>
      <c r="D144" s="33" t="n"/>
      <c r="E144" s="31" t="n"/>
      <c r="F144" s="31" t="n"/>
      <c r="G144" s="34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</row>
    <row r="145" ht="15.75" customHeight="1" s="1264">
      <c r="A145" s="33" t="n"/>
      <c r="B145" s="39" t="n"/>
      <c r="C145" s="33" t="n"/>
      <c r="D145" s="33" t="n"/>
      <c r="E145" s="31" t="n"/>
      <c r="F145" s="31" t="n"/>
      <c r="G145" s="34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</row>
    <row r="146" ht="15.75" customHeight="1" s="1264">
      <c r="A146" s="33" t="n"/>
      <c r="B146" s="39" t="n"/>
      <c r="C146" s="33" t="n"/>
      <c r="D146" s="33" t="n"/>
      <c r="E146" s="31" t="n"/>
      <c r="F146" s="31" t="n"/>
      <c r="G146" s="34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</row>
    <row r="147" ht="15.75" customHeight="1" s="1264">
      <c r="A147" s="33" t="n"/>
      <c r="B147" s="39" t="n"/>
      <c r="C147" s="33" t="n"/>
      <c r="D147" s="33" t="n"/>
      <c r="E147" s="31" t="n"/>
      <c r="F147" s="31" t="n"/>
      <c r="G147" s="34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</row>
    <row r="148" ht="15.75" customHeight="1" s="1264">
      <c r="A148" s="33" t="n"/>
      <c r="B148" s="39" t="n"/>
      <c r="C148" s="33" t="n"/>
      <c r="D148" s="33" t="n"/>
      <c r="E148" s="31" t="n"/>
      <c r="F148" s="31" t="n"/>
      <c r="G148" s="34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</row>
    <row r="149" ht="15.75" customHeight="1" s="1264">
      <c r="A149" s="33" t="n"/>
      <c r="B149" s="39" t="n"/>
      <c r="C149" s="33" t="n"/>
      <c r="D149" s="33" t="n"/>
      <c r="E149" s="31" t="n"/>
      <c r="F149" s="31" t="n"/>
      <c r="G149" s="34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</row>
    <row r="150" ht="15.75" customHeight="1" s="1264">
      <c r="A150" s="33" t="n"/>
      <c r="B150" s="39" t="n"/>
      <c r="C150" s="33" t="n"/>
      <c r="D150" s="33" t="n"/>
      <c r="E150" s="31" t="n"/>
      <c r="F150" s="31" t="n"/>
      <c r="G150" s="34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</row>
    <row r="151" ht="15.75" customHeight="1" s="1264">
      <c r="A151" s="33" t="n"/>
      <c r="B151" s="39" t="n"/>
      <c r="C151" s="33" t="n"/>
      <c r="D151" s="33" t="n"/>
      <c r="E151" s="31" t="n"/>
      <c r="F151" s="31" t="n"/>
      <c r="G151" s="34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</row>
    <row r="152" ht="15.75" customHeight="1" s="1264">
      <c r="A152" s="33" t="n"/>
      <c r="B152" s="39" t="n"/>
      <c r="C152" s="33" t="n"/>
      <c r="D152" s="33" t="n"/>
      <c r="E152" s="31" t="n"/>
      <c r="F152" s="31" t="n"/>
      <c r="G152" s="34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</row>
    <row r="153" ht="15.75" customHeight="1" s="1264">
      <c r="A153" s="33" t="n"/>
      <c r="B153" s="39" t="n"/>
      <c r="C153" s="33" t="n"/>
      <c r="D153" s="33" t="n"/>
      <c r="E153" s="31" t="n"/>
      <c r="F153" s="31" t="n"/>
      <c r="G153" s="34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</row>
    <row r="154" ht="15.75" customHeight="1" s="1264">
      <c r="A154" s="33" t="n"/>
      <c r="B154" s="39" t="n"/>
      <c r="C154" s="33" t="n"/>
      <c r="D154" s="33" t="n"/>
      <c r="E154" s="31" t="n"/>
      <c r="F154" s="31" t="n"/>
      <c r="G154" s="34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</row>
    <row r="155" ht="15.75" customHeight="1" s="1264">
      <c r="A155" s="33" t="n"/>
      <c r="B155" s="39" t="n"/>
      <c r="C155" s="33" t="n"/>
      <c r="D155" s="33" t="n"/>
      <c r="E155" s="31" t="n"/>
      <c r="F155" s="31" t="n"/>
      <c r="G155" s="34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</row>
    <row r="156" ht="15.75" customHeight="1" s="1264">
      <c r="A156" s="33" t="n"/>
      <c r="B156" s="39" t="n"/>
      <c r="C156" s="33" t="n"/>
      <c r="D156" s="33" t="n"/>
      <c r="E156" s="31" t="n"/>
      <c r="F156" s="31" t="n"/>
      <c r="G156" s="34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</row>
    <row r="157" ht="15.75" customHeight="1" s="1264">
      <c r="A157" s="33" t="n"/>
      <c r="B157" s="39" t="n"/>
      <c r="C157" s="33" t="n"/>
      <c r="D157" s="33" t="n"/>
      <c r="E157" s="31" t="n"/>
      <c r="F157" s="31" t="n"/>
      <c r="G157" s="34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</row>
    <row r="158" ht="15.75" customHeight="1" s="1264">
      <c r="A158" s="33" t="n"/>
      <c r="B158" s="39" t="n"/>
      <c r="C158" s="33" t="n"/>
      <c r="D158" s="33" t="n"/>
      <c r="E158" s="31" t="n"/>
      <c r="F158" s="31" t="n"/>
      <c r="G158" s="34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</row>
    <row r="159" ht="15.75" customHeight="1" s="1264">
      <c r="A159" s="33" t="n"/>
      <c r="B159" s="39" t="n"/>
      <c r="C159" s="33" t="n"/>
      <c r="D159" s="33" t="n"/>
      <c r="E159" s="31" t="n"/>
      <c r="F159" s="31" t="n"/>
      <c r="G159" s="34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</row>
    <row r="160" ht="15.75" customHeight="1" s="1264">
      <c r="A160" s="33" t="n"/>
      <c r="B160" s="39" t="n"/>
      <c r="C160" s="33" t="n"/>
      <c r="D160" s="33" t="n"/>
      <c r="E160" s="31" t="n"/>
      <c r="F160" s="31" t="n"/>
      <c r="G160" s="34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</row>
    <row r="161" ht="15.75" customHeight="1" s="1264">
      <c r="A161" s="33" t="n"/>
      <c r="B161" s="39" t="n"/>
      <c r="C161" s="33" t="n"/>
      <c r="D161" s="33" t="n"/>
      <c r="E161" s="31" t="n"/>
      <c r="F161" s="31" t="n"/>
      <c r="G161" s="34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</row>
    <row r="162" ht="15.75" customHeight="1" s="1264">
      <c r="A162" s="33" t="n"/>
      <c r="B162" s="39" t="n"/>
      <c r="C162" s="33" t="n"/>
      <c r="D162" s="33" t="n"/>
      <c r="E162" s="31" t="n"/>
      <c r="F162" s="31" t="n"/>
      <c r="G162" s="34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</row>
    <row r="163" ht="15.75" customHeight="1" s="1264">
      <c r="A163" s="33" t="n"/>
      <c r="B163" s="39" t="n"/>
      <c r="C163" s="33" t="n"/>
      <c r="D163" s="33" t="n"/>
      <c r="E163" s="31" t="n"/>
      <c r="F163" s="31" t="n"/>
      <c r="G163" s="34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</row>
    <row r="164" ht="15.75" customHeight="1" s="1264">
      <c r="A164" s="33" t="n"/>
      <c r="B164" s="39" t="n"/>
      <c r="C164" s="33" t="n"/>
      <c r="D164" s="33" t="n"/>
      <c r="E164" s="31" t="n"/>
      <c r="F164" s="31" t="n"/>
      <c r="G164" s="34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</row>
    <row r="165" ht="15.75" customHeight="1" s="1264">
      <c r="A165" s="33" t="n"/>
      <c r="B165" s="39" t="n"/>
      <c r="C165" s="33" t="n"/>
      <c r="D165" s="33" t="n"/>
      <c r="E165" s="31" t="n"/>
      <c r="F165" s="31" t="n"/>
      <c r="G165" s="34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</row>
    <row r="166" ht="15.75" customHeight="1" s="1264">
      <c r="A166" s="33" t="n"/>
      <c r="B166" s="39" t="n"/>
      <c r="C166" s="33" t="n"/>
      <c r="D166" s="33" t="n"/>
      <c r="E166" s="31" t="n"/>
      <c r="F166" s="31" t="n"/>
      <c r="G166" s="34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</row>
    <row r="167" ht="15.75" customHeight="1" s="1264">
      <c r="A167" s="33" t="n"/>
      <c r="B167" s="39" t="n"/>
      <c r="C167" s="33" t="n"/>
      <c r="D167" s="33" t="n"/>
      <c r="E167" s="31" t="n"/>
      <c r="F167" s="31" t="n"/>
      <c r="G167" s="34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</row>
    <row r="168" ht="15.75" customHeight="1" s="1264">
      <c r="A168" s="33" t="n"/>
      <c r="B168" s="39" t="n"/>
      <c r="C168" s="33" t="n"/>
      <c r="D168" s="33" t="n"/>
      <c r="E168" s="31" t="n"/>
      <c r="F168" s="31" t="n"/>
      <c r="G168" s="34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</row>
    <row r="169" ht="15.75" customHeight="1" s="1264">
      <c r="A169" s="33" t="n"/>
      <c r="B169" s="39" t="n"/>
      <c r="C169" s="33" t="n"/>
      <c r="D169" s="33" t="n"/>
      <c r="E169" s="31" t="n"/>
      <c r="F169" s="31" t="n"/>
      <c r="G169" s="34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</row>
    <row r="170" ht="15.75" customHeight="1" s="1264">
      <c r="A170" s="33" t="n"/>
      <c r="B170" s="39" t="n"/>
      <c r="C170" s="33" t="n"/>
      <c r="D170" s="33" t="n"/>
      <c r="E170" s="31" t="n"/>
      <c r="F170" s="31" t="n"/>
      <c r="G170" s="34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</row>
    <row r="171" ht="15.75" customHeight="1" s="1264">
      <c r="A171" s="33" t="n"/>
      <c r="B171" s="39" t="n"/>
      <c r="C171" s="33" t="n"/>
      <c r="D171" s="33" t="n"/>
      <c r="E171" s="31" t="n"/>
      <c r="F171" s="31" t="n"/>
      <c r="G171" s="34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</row>
    <row r="172" ht="15.75" customHeight="1" s="1264">
      <c r="A172" s="33" t="n"/>
      <c r="B172" s="39" t="n"/>
      <c r="C172" s="33" t="n"/>
      <c r="D172" s="33" t="n"/>
      <c r="E172" s="31" t="n"/>
      <c r="F172" s="31" t="n"/>
      <c r="G172" s="34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  <c r="Z172" s="33" t="n"/>
    </row>
    <row r="173" ht="15.75" customHeight="1" s="1264">
      <c r="A173" s="33" t="n"/>
      <c r="B173" s="39" t="n"/>
      <c r="C173" s="33" t="n"/>
      <c r="D173" s="33" t="n"/>
      <c r="E173" s="31" t="n"/>
      <c r="F173" s="31" t="n"/>
      <c r="G173" s="34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</row>
    <row r="174" ht="15.75" customHeight="1" s="1264">
      <c r="A174" s="33" t="n"/>
      <c r="B174" s="39" t="n"/>
      <c r="C174" s="33" t="n"/>
      <c r="D174" s="33" t="n"/>
      <c r="E174" s="31" t="n"/>
      <c r="F174" s="31" t="n"/>
      <c r="G174" s="34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  <c r="Z174" s="33" t="n"/>
    </row>
    <row r="175" ht="15.75" customHeight="1" s="1264">
      <c r="A175" s="33" t="n"/>
      <c r="B175" s="39" t="n"/>
      <c r="C175" s="33" t="n"/>
      <c r="D175" s="33" t="n"/>
      <c r="E175" s="31" t="n"/>
      <c r="F175" s="31" t="n"/>
      <c r="G175" s="34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  <c r="Z175" s="33" t="n"/>
    </row>
    <row r="176" ht="15.75" customHeight="1" s="1264">
      <c r="A176" s="33" t="n"/>
      <c r="B176" s="39" t="n"/>
      <c r="C176" s="33" t="n"/>
      <c r="D176" s="33" t="n"/>
      <c r="E176" s="31" t="n"/>
      <c r="F176" s="31" t="n"/>
      <c r="G176" s="34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  <c r="Z176" s="33" t="n"/>
    </row>
    <row r="177" ht="15.75" customHeight="1" s="1264">
      <c r="A177" s="33" t="n"/>
      <c r="B177" s="39" t="n"/>
      <c r="C177" s="33" t="n"/>
      <c r="D177" s="33" t="n"/>
      <c r="E177" s="31" t="n"/>
      <c r="F177" s="31" t="n"/>
      <c r="G177" s="34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  <c r="Z177" s="33" t="n"/>
    </row>
    <row r="178" ht="15.75" customHeight="1" s="1264">
      <c r="A178" s="33" t="n"/>
      <c r="B178" s="39" t="n"/>
      <c r="C178" s="33" t="n"/>
      <c r="D178" s="33" t="n"/>
      <c r="E178" s="31" t="n"/>
      <c r="F178" s="31" t="n"/>
      <c r="G178" s="34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  <c r="Z178" s="33" t="n"/>
    </row>
    <row r="179" ht="15.75" customHeight="1" s="1264">
      <c r="A179" s="33" t="n"/>
      <c r="B179" s="39" t="n"/>
      <c r="C179" s="33" t="n"/>
      <c r="D179" s="33" t="n"/>
      <c r="E179" s="31" t="n"/>
      <c r="F179" s="31" t="n"/>
      <c r="G179" s="34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  <c r="Z179" s="33" t="n"/>
    </row>
    <row r="180" ht="15.75" customHeight="1" s="1264">
      <c r="A180" s="33" t="n"/>
      <c r="B180" s="39" t="n"/>
      <c r="C180" s="33" t="n"/>
      <c r="D180" s="33" t="n"/>
      <c r="E180" s="31" t="n"/>
      <c r="F180" s="31" t="n"/>
      <c r="G180" s="34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  <c r="Z180" s="33" t="n"/>
    </row>
    <row r="181" ht="15.75" customHeight="1" s="1264">
      <c r="A181" s="33" t="n"/>
      <c r="B181" s="39" t="n"/>
      <c r="C181" s="33" t="n"/>
      <c r="D181" s="33" t="n"/>
      <c r="E181" s="31" t="n"/>
      <c r="F181" s="31" t="n"/>
      <c r="G181" s="34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  <c r="Z181" s="33" t="n"/>
    </row>
    <row r="182" ht="15.75" customHeight="1" s="1264">
      <c r="A182" s="33" t="n"/>
      <c r="B182" s="39" t="n"/>
      <c r="C182" s="33" t="n"/>
      <c r="D182" s="33" t="n"/>
      <c r="E182" s="31" t="n"/>
      <c r="F182" s="31" t="n"/>
      <c r="G182" s="34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  <c r="Z182" s="33" t="n"/>
    </row>
    <row r="183" ht="15.75" customHeight="1" s="1264">
      <c r="A183" s="33" t="n"/>
      <c r="B183" s="39" t="n"/>
      <c r="C183" s="33" t="n"/>
      <c r="D183" s="33" t="n"/>
      <c r="E183" s="31" t="n"/>
      <c r="F183" s="31" t="n"/>
      <c r="G183" s="34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  <c r="Z183" s="33" t="n"/>
    </row>
    <row r="184" ht="15.75" customHeight="1" s="1264">
      <c r="A184" s="33" t="n"/>
      <c r="B184" s="39" t="n"/>
      <c r="C184" s="33" t="n"/>
      <c r="D184" s="33" t="n"/>
      <c r="E184" s="31" t="n"/>
      <c r="F184" s="31" t="n"/>
      <c r="G184" s="34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  <c r="Z184" s="33" t="n"/>
    </row>
    <row r="185" ht="15.75" customHeight="1" s="1264">
      <c r="A185" s="33" t="n"/>
      <c r="B185" s="39" t="n"/>
      <c r="C185" s="33" t="n"/>
      <c r="D185" s="33" t="n"/>
      <c r="E185" s="31" t="n"/>
      <c r="F185" s="31" t="n"/>
      <c r="G185" s="34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  <c r="Z185" s="33" t="n"/>
    </row>
    <row r="186" ht="15.75" customHeight="1" s="1264">
      <c r="A186" s="33" t="n"/>
      <c r="B186" s="39" t="n"/>
      <c r="C186" s="33" t="n"/>
      <c r="D186" s="33" t="n"/>
      <c r="E186" s="31" t="n"/>
      <c r="F186" s="31" t="n"/>
      <c r="G186" s="34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  <c r="Z186" s="33" t="n"/>
    </row>
    <row r="187" ht="15.75" customHeight="1" s="1264">
      <c r="A187" s="33" t="n"/>
      <c r="B187" s="39" t="n"/>
      <c r="C187" s="33" t="n"/>
      <c r="D187" s="33" t="n"/>
      <c r="E187" s="31" t="n"/>
      <c r="F187" s="31" t="n"/>
      <c r="G187" s="34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  <c r="Z187" s="33" t="n"/>
    </row>
    <row r="188" ht="15.75" customHeight="1" s="1264">
      <c r="A188" s="33" t="n"/>
      <c r="B188" s="39" t="n"/>
      <c r="C188" s="33" t="n"/>
      <c r="D188" s="33" t="n"/>
      <c r="E188" s="31" t="n"/>
      <c r="F188" s="31" t="n"/>
      <c r="G188" s="34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  <c r="Z188" s="33" t="n"/>
    </row>
    <row r="189" ht="15.75" customHeight="1" s="1264">
      <c r="A189" s="33" t="n"/>
      <c r="B189" s="39" t="n"/>
      <c r="C189" s="33" t="n"/>
      <c r="D189" s="33" t="n"/>
      <c r="E189" s="31" t="n"/>
      <c r="F189" s="31" t="n"/>
      <c r="G189" s="34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  <c r="Z189" s="33" t="n"/>
    </row>
    <row r="190" ht="15.75" customHeight="1" s="1264">
      <c r="A190" s="33" t="n"/>
      <c r="B190" s="39" t="n"/>
      <c r="C190" s="33" t="n"/>
      <c r="D190" s="33" t="n"/>
      <c r="E190" s="31" t="n"/>
      <c r="F190" s="31" t="n"/>
      <c r="G190" s="34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  <c r="Z190" s="33" t="n"/>
    </row>
    <row r="191" ht="15.75" customHeight="1" s="1264">
      <c r="A191" s="33" t="n"/>
      <c r="B191" s="39" t="n"/>
      <c r="C191" s="33" t="n"/>
      <c r="D191" s="33" t="n"/>
      <c r="E191" s="31" t="n"/>
      <c r="F191" s="31" t="n"/>
      <c r="G191" s="34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  <c r="Z191" s="33" t="n"/>
    </row>
    <row r="192" ht="15.75" customHeight="1" s="1264">
      <c r="A192" s="33" t="n"/>
      <c r="B192" s="39" t="n"/>
      <c r="C192" s="33" t="n"/>
      <c r="D192" s="33" t="n"/>
      <c r="E192" s="31" t="n"/>
      <c r="F192" s="31" t="n"/>
      <c r="G192" s="34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  <c r="Z192" s="33" t="n"/>
    </row>
    <row r="193" ht="15.75" customHeight="1" s="1264">
      <c r="A193" s="33" t="n"/>
      <c r="B193" s="39" t="n"/>
      <c r="C193" s="33" t="n"/>
      <c r="D193" s="33" t="n"/>
      <c r="E193" s="31" t="n"/>
      <c r="F193" s="31" t="n"/>
      <c r="G193" s="34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  <c r="Z193" s="33" t="n"/>
    </row>
    <row r="194" ht="15.75" customHeight="1" s="1264">
      <c r="A194" s="33" t="n"/>
      <c r="B194" s="39" t="n"/>
      <c r="C194" s="33" t="n"/>
      <c r="D194" s="33" t="n"/>
      <c r="E194" s="31" t="n"/>
      <c r="F194" s="31" t="n"/>
      <c r="G194" s="34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  <c r="Z194" s="33" t="n"/>
    </row>
    <row r="195" ht="15.75" customHeight="1" s="1264">
      <c r="A195" s="33" t="n"/>
      <c r="B195" s="39" t="n"/>
      <c r="C195" s="33" t="n"/>
      <c r="D195" s="33" t="n"/>
      <c r="E195" s="31" t="n"/>
      <c r="F195" s="31" t="n"/>
      <c r="G195" s="34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  <c r="Z195" s="33" t="n"/>
    </row>
    <row r="196" ht="15.75" customHeight="1" s="1264">
      <c r="A196" s="33" t="n"/>
      <c r="B196" s="39" t="n"/>
      <c r="C196" s="33" t="n"/>
      <c r="D196" s="33" t="n"/>
      <c r="E196" s="31" t="n"/>
      <c r="F196" s="31" t="n"/>
      <c r="G196" s="34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  <c r="Z196" s="33" t="n"/>
    </row>
    <row r="197" ht="15.75" customHeight="1" s="1264">
      <c r="A197" s="33" t="n"/>
      <c r="B197" s="39" t="n"/>
      <c r="C197" s="33" t="n"/>
      <c r="D197" s="33" t="n"/>
      <c r="E197" s="31" t="n"/>
      <c r="F197" s="31" t="n"/>
      <c r="G197" s="34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  <c r="Z197" s="33" t="n"/>
    </row>
    <row r="198" ht="15.75" customHeight="1" s="1264">
      <c r="A198" s="33" t="n"/>
      <c r="B198" s="39" t="n"/>
      <c r="C198" s="33" t="n"/>
      <c r="D198" s="33" t="n"/>
      <c r="E198" s="31" t="n"/>
      <c r="F198" s="31" t="n"/>
      <c r="G198" s="34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  <c r="Z198" s="33" t="n"/>
    </row>
    <row r="199" ht="15.75" customHeight="1" s="1264">
      <c r="A199" s="33" t="n"/>
      <c r="B199" s="39" t="n"/>
      <c r="C199" s="33" t="n"/>
      <c r="D199" s="33" t="n"/>
      <c r="E199" s="31" t="n"/>
      <c r="F199" s="31" t="n"/>
      <c r="G199" s="34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  <c r="Z199" s="33" t="n"/>
    </row>
    <row r="200" ht="15.75" customHeight="1" s="1264">
      <c r="A200" s="33" t="n"/>
      <c r="B200" s="39" t="n"/>
      <c r="C200" s="33" t="n"/>
      <c r="D200" s="33" t="n"/>
      <c r="E200" s="31" t="n"/>
      <c r="F200" s="31" t="n"/>
      <c r="G200" s="34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  <c r="Z200" s="33" t="n"/>
    </row>
    <row r="201" ht="15.75" customHeight="1" s="1264">
      <c r="A201" s="33" t="n"/>
      <c r="B201" s="39" t="n"/>
      <c r="C201" s="33" t="n"/>
      <c r="D201" s="33" t="n"/>
      <c r="E201" s="31" t="n"/>
      <c r="F201" s="31" t="n"/>
      <c r="G201" s="34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  <c r="Z201" s="33" t="n"/>
    </row>
    <row r="202" ht="15.75" customHeight="1" s="1264">
      <c r="A202" s="33" t="n"/>
      <c r="B202" s="39" t="n"/>
      <c r="C202" s="33" t="n"/>
      <c r="D202" s="33" t="n"/>
      <c r="E202" s="31" t="n"/>
      <c r="F202" s="31" t="n"/>
      <c r="G202" s="34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</row>
    <row r="203" ht="15.75" customHeight="1" s="1264">
      <c r="A203" s="33" t="n"/>
      <c r="B203" s="39" t="n"/>
      <c r="C203" s="33" t="n"/>
      <c r="D203" s="33" t="n"/>
      <c r="E203" s="31" t="n"/>
      <c r="F203" s="31" t="n"/>
      <c r="G203" s="34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33" t="n"/>
    </row>
    <row r="204" ht="15.75" customHeight="1" s="1264">
      <c r="A204" s="33" t="n"/>
      <c r="B204" s="39" t="n"/>
      <c r="C204" s="33" t="n"/>
      <c r="D204" s="33" t="n"/>
      <c r="E204" s="31" t="n"/>
      <c r="F204" s="31" t="n"/>
      <c r="G204" s="34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  <c r="Z204" s="33" t="n"/>
    </row>
    <row r="205" ht="15.75" customHeight="1" s="1264">
      <c r="A205" s="33" t="n"/>
      <c r="B205" s="39" t="n"/>
      <c r="C205" s="33" t="n"/>
      <c r="D205" s="33" t="n"/>
      <c r="E205" s="31" t="n"/>
      <c r="F205" s="31" t="n"/>
      <c r="G205" s="34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</row>
    <row r="206" ht="15.75" customHeight="1" s="1264">
      <c r="A206" s="33" t="n"/>
      <c r="B206" s="39" t="n"/>
      <c r="C206" s="33" t="n"/>
      <c r="D206" s="33" t="n"/>
      <c r="E206" s="31" t="n"/>
      <c r="F206" s="31" t="n"/>
      <c r="G206" s="34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</row>
    <row r="207" ht="15.75" customHeight="1" s="1264">
      <c r="A207" s="33" t="n"/>
      <c r="B207" s="39" t="n"/>
      <c r="C207" s="33" t="n"/>
      <c r="D207" s="33" t="n"/>
      <c r="E207" s="31" t="n"/>
      <c r="F207" s="31" t="n"/>
      <c r="G207" s="34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  <c r="Z207" s="33" t="n"/>
    </row>
    <row r="208" ht="15.75" customHeight="1" s="1264">
      <c r="A208" s="33" t="n"/>
      <c r="B208" s="39" t="n"/>
      <c r="C208" s="33" t="n"/>
      <c r="D208" s="33" t="n"/>
      <c r="E208" s="31" t="n"/>
      <c r="F208" s="31" t="n"/>
      <c r="G208" s="34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</row>
    <row r="209" ht="15.75" customHeight="1" s="1264">
      <c r="A209" s="33" t="n"/>
      <c r="B209" s="39" t="n"/>
      <c r="C209" s="33" t="n"/>
      <c r="D209" s="33" t="n"/>
      <c r="E209" s="31" t="n"/>
      <c r="F209" s="31" t="n"/>
      <c r="G209" s="34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</row>
    <row r="210" ht="15.75" customHeight="1" s="1264">
      <c r="A210" s="33" t="n"/>
      <c r="B210" s="39" t="n"/>
      <c r="C210" s="33" t="n"/>
      <c r="D210" s="33" t="n"/>
      <c r="E210" s="31" t="n"/>
      <c r="F210" s="31" t="n"/>
      <c r="G210" s="34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</row>
    <row r="211" ht="15.75" customHeight="1" s="1264">
      <c r="A211" s="33" t="n"/>
      <c r="B211" s="39" t="n"/>
      <c r="C211" s="33" t="n"/>
      <c r="D211" s="33" t="n"/>
      <c r="E211" s="31" t="n"/>
      <c r="F211" s="31" t="n"/>
      <c r="G211" s="34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</row>
    <row r="212" ht="15.75" customHeight="1" s="1264">
      <c r="A212" s="33" t="n"/>
      <c r="B212" s="39" t="n"/>
      <c r="C212" s="33" t="n"/>
      <c r="D212" s="33" t="n"/>
      <c r="E212" s="31" t="n"/>
      <c r="F212" s="31" t="n"/>
      <c r="G212" s="34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  <c r="Z212" s="33" t="n"/>
    </row>
    <row r="213" ht="15.75" customHeight="1" s="1264">
      <c r="A213" s="33" t="n"/>
      <c r="B213" s="39" t="n"/>
      <c r="C213" s="33" t="n"/>
      <c r="D213" s="33" t="n"/>
      <c r="E213" s="31" t="n"/>
      <c r="F213" s="31" t="n"/>
      <c r="G213" s="34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  <c r="Z213" s="33" t="n"/>
    </row>
    <row r="214" ht="15.75" customHeight="1" s="1264">
      <c r="A214" s="33" t="n"/>
      <c r="B214" s="39" t="n"/>
      <c r="C214" s="33" t="n"/>
      <c r="D214" s="33" t="n"/>
      <c r="E214" s="31" t="n"/>
      <c r="F214" s="31" t="n"/>
      <c r="G214" s="34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  <c r="Z214" s="33" t="n"/>
    </row>
    <row r="215" ht="15.75" customHeight="1" s="1264">
      <c r="A215" s="33" t="n"/>
      <c r="B215" s="39" t="n"/>
      <c r="C215" s="33" t="n"/>
      <c r="D215" s="33" t="n"/>
      <c r="E215" s="31" t="n"/>
      <c r="F215" s="31" t="n"/>
      <c r="G215" s="34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  <c r="Z215" s="33" t="n"/>
    </row>
    <row r="216" ht="15.75" customHeight="1" s="1264">
      <c r="A216" s="33" t="n"/>
      <c r="B216" s="39" t="n"/>
      <c r="C216" s="33" t="n"/>
      <c r="D216" s="33" t="n"/>
      <c r="E216" s="31" t="n"/>
      <c r="F216" s="31" t="n"/>
      <c r="G216" s="34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  <c r="Z216" s="33" t="n"/>
    </row>
    <row r="217" ht="15.75" customHeight="1" s="1264">
      <c r="A217" s="33" t="n"/>
      <c r="B217" s="39" t="n"/>
      <c r="C217" s="33" t="n"/>
      <c r="D217" s="33" t="n"/>
      <c r="E217" s="31" t="n"/>
      <c r="F217" s="31" t="n"/>
      <c r="G217" s="34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</row>
    <row r="218" ht="15.75" customHeight="1" s="1264">
      <c r="A218" s="33" t="n"/>
      <c r="B218" s="39" t="n"/>
      <c r="C218" s="33" t="n"/>
      <c r="D218" s="33" t="n"/>
      <c r="E218" s="31" t="n"/>
      <c r="F218" s="31" t="n"/>
      <c r="G218" s="34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</row>
    <row r="219" ht="15.75" customHeight="1" s="1264">
      <c r="A219" s="33" t="n"/>
      <c r="B219" s="39" t="n"/>
      <c r="C219" s="33" t="n"/>
      <c r="D219" s="33" t="n"/>
      <c r="E219" s="31" t="n"/>
      <c r="F219" s="31" t="n"/>
      <c r="G219" s="34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  <c r="Z219" s="33" t="n"/>
    </row>
    <row r="220" ht="15.75" customHeight="1" s="1264">
      <c r="A220" s="33" t="n"/>
      <c r="B220" s="39" t="n"/>
      <c r="C220" s="33" t="n"/>
      <c r="D220" s="33" t="n"/>
      <c r="E220" s="31" t="n"/>
      <c r="F220" s="31" t="n"/>
      <c r="G220" s="34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  <c r="Z220" s="33" t="n"/>
    </row>
    <row r="221" ht="15.75" customHeight="1" s="1264">
      <c r="A221" s="33" t="n"/>
      <c r="B221" s="39" t="n"/>
      <c r="C221" s="33" t="n"/>
      <c r="D221" s="33" t="n"/>
      <c r="E221" s="31" t="n"/>
      <c r="F221" s="31" t="n"/>
      <c r="G221" s="34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  <c r="Z221" s="33" t="n"/>
    </row>
    <row r="222" ht="15.75" customHeight="1" s="1264">
      <c r="A222" s="33" t="n"/>
      <c r="B222" s="39" t="n"/>
      <c r="C222" s="33" t="n"/>
      <c r="D222" s="33" t="n"/>
      <c r="E222" s="31" t="n"/>
      <c r="F222" s="31" t="n"/>
      <c r="G222" s="34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  <c r="Z222" s="33" t="n"/>
    </row>
    <row r="223" ht="15.75" customHeight="1" s="1264">
      <c r="A223" s="33" t="n"/>
      <c r="B223" s="39" t="n"/>
      <c r="C223" s="33" t="n"/>
      <c r="D223" s="33" t="n"/>
      <c r="E223" s="31" t="n"/>
      <c r="F223" s="31" t="n"/>
      <c r="G223" s="34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</row>
    <row r="224" ht="15.75" customHeight="1" s="1264">
      <c r="A224" s="33" t="n"/>
      <c r="B224" s="39" t="n"/>
      <c r="C224" s="33" t="n"/>
      <c r="D224" s="33" t="n"/>
      <c r="E224" s="31" t="n"/>
      <c r="F224" s="31" t="n"/>
      <c r="G224" s="34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  <c r="Z224" s="33" t="n"/>
    </row>
    <row r="225" ht="15.75" customHeight="1" s="1264">
      <c r="A225" s="33" t="n"/>
      <c r="B225" s="39" t="n"/>
      <c r="C225" s="33" t="n"/>
      <c r="D225" s="33" t="n"/>
      <c r="E225" s="31" t="n"/>
      <c r="F225" s="31" t="n"/>
      <c r="G225" s="34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  <c r="Z225" s="33" t="n"/>
    </row>
    <row r="226" ht="15.75" customHeight="1" s="1264">
      <c r="A226" s="33" t="n"/>
      <c r="B226" s="39" t="n"/>
      <c r="C226" s="33" t="n"/>
      <c r="D226" s="33" t="n"/>
      <c r="E226" s="31" t="n"/>
      <c r="F226" s="31" t="n"/>
      <c r="G226" s="34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  <c r="Z226" s="33" t="n"/>
    </row>
    <row r="227" ht="15.75" customHeight="1" s="1264">
      <c r="A227" s="33" t="n"/>
      <c r="B227" s="39" t="n"/>
      <c r="C227" s="33" t="n"/>
      <c r="D227" s="33" t="n"/>
      <c r="E227" s="31" t="n"/>
      <c r="F227" s="31" t="n"/>
      <c r="G227" s="34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  <c r="Z227" s="33" t="n"/>
    </row>
    <row r="228" ht="15.75" customHeight="1" s="1264">
      <c r="A228" s="33" t="n"/>
      <c r="B228" s="39" t="n"/>
      <c r="C228" s="33" t="n"/>
      <c r="D228" s="33" t="n"/>
      <c r="E228" s="31" t="n"/>
      <c r="F228" s="31" t="n"/>
      <c r="G228" s="34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  <c r="Z228" s="33" t="n"/>
    </row>
    <row r="229" ht="15.75" customHeight="1" s="1264">
      <c r="A229" s="33" t="n"/>
      <c r="B229" s="39" t="n"/>
      <c r="C229" s="33" t="n"/>
      <c r="D229" s="33" t="n"/>
      <c r="E229" s="31" t="n"/>
      <c r="F229" s="31" t="n"/>
      <c r="G229" s="34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</row>
    <row r="230" ht="15.75" customHeight="1" s="1264">
      <c r="A230" s="33" t="n"/>
      <c r="B230" s="39" t="n"/>
      <c r="C230" s="33" t="n"/>
      <c r="D230" s="33" t="n"/>
      <c r="E230" s="31" t="n"/>
      <c r="F230" s="31" t="n"/>
      <c r="G230" s="34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  <c r="Z230" s="33" t="n"/>
    </row>
    <row r="231" ht="15.75" customHeight="1" s="1264">
      <c r="A231" s="33" t="n"/>
      <c r="B231" s="39" t="n"/>
      <c r="C231" s="33" t="n"/>
      <c r="D231" s="33" t="n"/>
      <c r="E231" s="31" t="n"/>
      <c r="F231" s="31" t="n"/>
      <c r="G231" s="34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</row>
    <row r="232" ht="15.75" customHeight="1" s="1264">
      <c r="A232" s="33" t="n"/>
      <c r="B232" s="39" t="n"/>
      <c r="C232" s="33" t="n"/>
      <c r="D232" s="33" t="n"/>
      <c r="E232" s="31" t="n"/>
      <c r="F232" s="31" t="n"/>
      <c r="G232" s="34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  <c r="Z232" s="33" t="n"/>
    </row>
    <row r="233" ht="15.75" customHeight="1" s="1264">
      <c r="A233" s="33" t="n"/>
      <c r="B233" s="39" t="n"/>
      <c r="C233" s="33" t="n"/>
      <c r="D233" s="33" t="n"/>
      <c r="E233" s="31" t="n"/>
      <c r="F233" s="31" t="n"/>
      <c r="G233" s="34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</row>
    <row r="234" ht="15.75" customHeight="1" s="1264">
      <c r="A234" s="33" t="n"/>
      <c r="B234" s="39" t="n"/>
      <c r="C234" s="33" t="n"/>
      <c r="D234" s="33" t="n"/>
      <c r="E234" s="31" t="n"/>
      <c r="F234" s="31" t="n"/>
      <c r="G234" s="34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  <c r="Z234" s="33" t="n"/>
    </row>
    <row r="235" ht="15.75" customHeight="1" s="1264">
      <c r="A235" s="33" t="n"/>
      <c r="B235" s="39" t="n"/>
      <c r="C235" s="33" t="n"/>
      <c r="D235" s="33" t="n"/>
      <c r="E235" s="31" t="n"/>
      <c r="F235" s="31" t="n"/>
      <c r="G235" s="34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  <c r="Z235" s="33" t="n"/>
    </row>
    <row r="236" ht="15.75" customHeight="1" s="1264">
      <c r="A236" s="33" t="n"/>
      <c r="B236" s="39" t="n"/>
      <c r="C236" s="33" t="n"/>
      <c r="D236" s="33" t="n"/>
      <c r="E236" s="31" t="n"/>
      <c r="F236" s="31" t="n"/>
      <c r="G236" s="34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  <c r="Z236" s="33" t="n"/>
    </row>
    <row r="237" ht="15.75" customHeight="1" s="1264">
      <c r="A237" s="33" t="n"/>
      <c r="B237" s="39" t="n"/>
      <c r="C237" s="33" t="n"/>
      <c r="D237" s="33" t="n"/>
      <c r="E237" s="31" t="n"/>
      <c r="F237" s="31" t="n"/>
      <c r="G237" s="34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  <c r="Z237" s="33" t="n"/>
    </row>
    <row r="238" ht="15.75" customHeight="1" s="1264">
      <c r="A238" s="33" t="n"/>
      <c r="B238" s="39" t="n"/>
      <c r="C238" s="33" t="n"/>
      <c r="D238" s="33" t="n"/>
      <c r="E238" s="31" t="n"/>
      <c r="F238" s="31" t="n"/>
      <c r="G238" s="34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  <c r="Z238" s="33" t="n"/>
    </row>
    <row r="239" ht="15.75" customHeight="1" s="1264">
      <c r="A239" s="33" t="n"/>
      <c r="B239" s="39" t="n"/>
      <c r="C239" s="33" t="n"/>
      <c r="D239" s="33" t="n"/>
      <c r="E239" s="31" t="n"/>
      <c r="F239" s="31" t="n"/>
      <c r="G239" s="34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  <c r="Z239" s="33" t="n"/>
    </row>
    <row r="240" ht="15.75" customHeight="1" s="1264">
      <c r="A240" s="33" t="n"/>
      <c r="B240" s="39" t="n"/>
      <c r="C240" s="33" t="n"/>
      <c r="D240" s="33" t="n"/>
      <c r="E240" s="31" t="n"/>
      <c r="F240" s="31" t="n"/>
      <c r="G240" s="34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  <c r="Z240" s="33" t="n"/>
    </row>
    <row r="241" ht="15.75" customHeight="1" s="1264">
      <c r="A241" s="33" t="n"/>
      <c r="B241" s="39" t="n"/>
      <c r="C241" s="33" t="n"/>
      <c r="D241" s="33" t="n"/>
      <c r="E241" s="31" t="n"/>
      <c r="F241" s="31" t="n"/>
      <c r="G241" s="34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</row>
    <row r="242" ht="15.75" customHeight="1" s="1264">
      <c r="A242" s="33" t="n"/>
      <c r="B242" s="39" t="n"/>
      <c r="C242" s="33" t="n"/>
      <c r="D242" s="33" t="n"/>
      <c r="E242" s="31" t="n"/>
      <c r="F242" s="31" t="n"/>
      <c r="G242" s="34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  <c r="Z242" s="33" t="n"/>
    </row>
    <row r="243" ht="15.75" customHeight="1" s="1264">
      <c r="A243" s="33" t="n"/>
      <c r="B243" s="39" t="n"/>
      <c r="C243" s="33" t="n"/>
      <c r="D243" s="33" t="n"/>
      <c r="E243" s="31" t="n"/>
      <c r="F243" s="31" t="n"/>
      <c r="G243" s="34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  <c r="Z243" s="33" t="n"/>
    </row>
    <row r="244" ht="15.75" customHeight="1" s="1264">
      <c r="A244" s="33" t="n"/>
      <c r="B244" s="39" t="n"/>
      <c r="C244" s="33" t="n"/>
      <c r="D244" s="33" t="n"/>
      <c r="E244" s="31" t="n"/>
      <c r="F244" s="31" t="n"/>
      <c r="G244" s="34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  <c r="Z244" s="33" t="n"/>
    </row>
    <row r="245" ht="15.75" customHeight="1" s="1264">
      <c r="A245" s="33" t="n"/>
      <c r="B245" s="39" t="n"/>
      <c r="C245" s="33" t="n"/>
      <c r="D245" s="33" t="n"/>
      <c r="E245" s="31" t="n"/>
      <c r="F245" s="31" t="n"/>
      <c r="G245" s="34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33" t="n"/>
    </row>
    <row r="246" ht="15.75" customHeight="1" s="1264">
      <c r="A246" s="33" t="n"/>
      <c r="B246" s="39" t="n"/>
      <c r="C246" s="33" t="n"/>
      <c r="D246" s="33" t="n"/>
      <c r="E246" s="31" t="n"/>
      <c r="F246" s="31" t="n"/>
      <c r="G246" s="34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  <c r="Z246" s="33" t="n"/>
    </row>
    <row r="247" ht="15.75" customHeight="1" s="1264">
      <c r="A247" s="33" t="n"/>
      <c r="B247" s="39" t="n"/>
      <c r="C247" s="33" t="n"/>
      <c r="D247" s="33" t="n"/>
      <c r="E247" s="31" t="n"/>
      <c r="F247" s="31" t="n"/>
      <c r="G247" s="34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  <c r="Z247" s="33" t="n"/>
    </row>
    <row r="248" ht="15.75" customHeight="1" s="1264">
      <c r="A248" s="33" t="n"/>
      <c r="B248" s="39" t="n"/>
      <c r="C248" s="33" t="n"/>
      <c r="D248" s="33" t="n"/>
      <c r="E248" s="38" t="n"/>
      <c r="F248" s="38" t="n"/>
      <c r="G248" s="34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  <c r="Z248" s="33" t="n"/>
    </row>
    <row r="249" ht="15.75" customHeight="1" s="1264">
      <c r="A249" s="33" t="n"/>
      <c r="B249" s="39" t="n"/>
      <c r="C249" s="33" t="n"/>
      <c r="D249" s="33" t="n"/>
      <c r="E249" s="38" t="n"/>
      <c r="F249" s="38" t="n"/>
      <c r="G249" s="34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33" t="n"/>
    </row>
    <row r="250" ht="15.75" customHeight="1" s="1264">
      <c r="A250" s="33" t="n"/>
      <c r="B250" s="39" t="n"/>
      <c r="C250" s="33" t="n"/>
      <c r="D250" s="33" t="n"/>
      <c r="E250" s="38" t="n"/>
      <c r="F250" s="38" t="n"/>
      <c r="G250" s="34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  <c r="Z250" s="33" t="n"/>
    </row>
    <row r="251" ht="15.75" customHeight="1" s="1264">
      <c r="A251" s="33" t="n"/>
      <c r="B251" s="39" t="n"/>
      <c r="C251" s="33" t="n"/>
      <c r="D251" s="33" t="n"/>
      <c r="E251" s="38" t="n"/>
      <c r="F251" s="38" t="n"/>
      <c r="G251" s="34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33" t="n"/>
    </row>
    <row r="252" ht="15.75" customHeight="1" s="1264">
      <c r="A252" s="33" t="n"/>
      <c r="B252" s="39" t="n"/>
      <c r="C252" s="33" t="n"/>
      <c r="D252" s="33" t="n"/>
      <c r="E252" s="38" t="n"/>
      <c r="F252" s="38" t="n"/>
      <c r="G252" s="34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  <c r="Z252" s="33" t="n"/>
    </row>
    <row r="253" ht="15.75" customHeight="1" s="1264">
      <c r="A253" s="33" t="n"/>
      <c r="B253" s="39" t="n"/>
      <c r="C253" s="33" t="n"/>
      <c r="D253" s="33" t="n"/>
      <c r="E253" s="38" t="n"/>
      <c r="F253" s="38" t="n"/>
      <c r="G253" s="34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  <c r="Z253" s="33" t="n"/>
    </row>
    <row r="254" ht="15.75" customHeight="1" s="1264">
      <c r="A254" s="33" t="n"/>
      <c r="B254" s="39" t="n"/>
      <c r="C254" s="33" t="n"/>
      <c r="D254" s="33" t="n"/>
      <c r="E254" s="38" t="n"/>
      <c r="F254" s="38" t="n"/>
      <c r="G254" s="34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  <c r="Z254" s="33" t="n"/>
    </row>
    <row r="255" ht="15.75" customHeight="1" s="1264">
      <c r="A255" s="33" t="n"/>
      <c r="B255" s="39" t="n"/>
      <c r="C255" s="33" t="n"/>
      <c r="D255" s="33" t="n"/>
      <c r="E255" s="38" t="n"/>
      <c r="F255" s="38" t="n"/>
      <c r="G255" s="34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  <c r="Z255" s="33" t="n"/>
    </row>
    <row r="256" ht="15.75" customHeight="1" s="1264">
      <c r="A256" s="33" t="n"/>
      <c r="B256" s="39" t="n"/>
      <c r="C256" s="33" t="n"/>
      <c r="D256" s="33" t="n"/>
      <c r="E256" s="38" t="n"/>
      <c r="F256" s="38" t="n"/>
      <c r="G256" s="34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  <c r="Y256" s="33" t="n"/>
      <c r="Z256" s="33" t="n"/>
    </row>
    <row r="257" ht="15.75" customHeight="1" s="1264">
      <c r="A257" s="33" t="n"/>
      <c r="B257" s="39" t="n"/>
      <c r="C257" s="33" t="n"/>
      <c r="D257" s="33" t="n"/>
      <c r="E257" s="38" t="n"/>
      <c r="F257" s="38" t="n"/>
      <c r="G257" s="34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  <c r="Z257" s="33" t="n"/>
    </row>
    <row r="258" ht="15.75" customHeight="1" s="1264">
      <c r="A258" s="33" t="n"/>
      <c r="B258" s="39" t="n"/>
      <c r="C258" s="33" t="n"/>
      <c r="D258" s="33" t="n"/>
      <c r="E258" s="38" t="n"/>
      <c r="F258" s="38" t="n"/>
      <c r="G258" s="34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  <c r="Y258" s="33" t="n"/>
      <c r="Z258" s="33" t="n"/>
    </row>
    <row r="259" ht="15.75" customHeight="1" s="1264">
      <c r="A259" s="33" t="n"/>
      <c r="B259" s="39" t="n"/>
      <c r="C259" s="33" t="n"/>
      <c r="D259" s="33" t="n"/>
      <c r="E259" s="38" t="n"/>
      <c r="F259" s="38" t="n"/>
      <c r="G259" s="34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  <c r="Y259" s="33" t="n"/>
      <c r="Z259" s="33" t="n"/>
    </row>
    <row r="260" ht="15.75" customHeight="1" s="1264">
      <c r="A260" s="33" t="n"/>
      <c r="B260" s="39" t="n"/>
      <c r="C260" s="33" t="n"/>
      <c r="D260" s="33" t="n"/>
      <c r="E260" s="38" t="n"/>
      <c r="F260" s="38" t="n"/>
      <c r="G260" s="34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  <c r="Y260" s="33" t="n"/>
      <c r="Z260" s="33" t="n"/>
    </row>
    <row r="261" ht="15.75" customHeight="1" s="1264">
      <c r="A261" s="33" t="n"/>
      <c r="B261" s="39" t="n"/>
      <c r="C261" s="33" t="n"/>
      <c r="D261" s="33" t="n"/>
      <c r="E261" s="38" t="n"/>
      <c r="F261" s="38" t="n"/>
      <c r="G261" s="34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  <c r="Y261" s="33" t="n"/>
      <c r="Z261" s="33" t="n"/>
    </row>
    <row r="262" ht="15.75" customHeight="1" s="1264">
      <c r="A262" s="33" t="n"/>
      <c r="B262" s="39" t="n"/>
      <c r="C262" s="33" t="n"/>
      <c r="D262" s="33" t="n"/>
      <c r="E262" s="38" t="n"/>
      <c r="F262" s="38" t="n"/>
      <c r="G262" s="34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  <c r="Y262" s="33" t="n"/>
      <c r="Z262" s="33" t="n"/>
    </row>
    <row r="263" ht="15.75" customHeight="1" s="1264">
      <c r="A263" s="33" t="n"/>
      <c r="B263" s="39" t="n"/>
      <c r="C263" s="33" t="n"/>
      <c r="D263" s="33" t="n"/>
      <c r="E263" s="38" t="n"/>
      <c r="F263" s="38" t="n"/>
      <c r="G263" s="34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  <c r="Y263" s="33" t="n"/>
      <c r="Z263" s="33" t="n"/>
    </row>
    <row r="264" ht="15.75" customHeight="1" s="1264">
      <c r="A264" s="33" t="n"/>
      <c r="B264" s="39" t="n"/>
      <c r="C264" s="33" t="n"/>
      <c r="D264" s="33" t="n"/>
      <c r="E264" s="38" t="n"/>
      <c r="F264" s="38" t="n"/>
      <c r="G264" s="34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  <c r="Y264" s="33" t="n"/>
      <c r="Z264" s="33" t="n"/>
    </row>
    <row r="265" ht="15.75" customHeight="1" s="1264">
      <c r="A265" s="33" t="n"/>
      <c r="B265" s="39" t="n"/>
      <c r="C265" s="33" t="n"/>
      <c r="D265" s="33" t="n"/>
      <c r="E265" s="38" t="n"/>
      <c r="F265" s="38" t="n"/>
      <c r="G265" s="34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  <c r="Y265" s="33" t="n"/>
      <c r="Z265" s="33" t="n"/>
    </row>
    <row r="266" ht="15.75" customHeight="1" s="1264">
      <c r="A266" s="33" t="n"/>
      <c r="B266" s="39" t="n"/>
      <c r="C266" s="33" t="n"/>
      <c r="D266" s="33" t="n"/>
      <c r="E266" s="38" t="n"/>
      <c r="F266" s="38" t="n"/>
      <c r="G266" s="34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  <c r="Y266" s="33" t="n"/>
      <c r="Z266" s="33" t="n"/>
    </row>
    <row r="267" ht="15.75" customHeight="1" s="1264">
      <c r="A267" s="33" t="n"/>
      <c r="B267" s="39" t="n"/>
      <c r="C267" s="33" t="n"/>
      <c r="D267" s="33" t="n"/>
      <c r="E267" s="38" t="n"/>
      <c r="F267" s="38" t="n"/>
      <c r="G267" s="34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  <c r="Y267" s="33" t="n"/>
      <c r="Z267" s="33" t="n"/>
    </row>
    <row r="268" ht="15.75" customHeight="1" s="1264">
      <c r="A268" s="33" t="n"/>
      <c r="B268" s="39" t="n"/>
      <c r="C268" s="33" t="n"/>
      <c r="D268" s="33" t="n"/>
      <c r="E268" s="38" t="n"/>
      <c r="F268" s="38" t="n"/>
      <c r="G268" s="34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  <c r="Y268" s="33" t="n"/>
      <c r="Z268" s="33" t="n"/>
    </row>
    <row r="269" ht="15.75" customHeight="1" s="1264">
      <c r="A269" s="33" t="n"/>
      <c r="B269" s="39" t="n"/>
      <c r="C269" s="33" t="n"/>
      <c r="D269" s="33" t="n"/>
      <c r="E269" s="38" t="n"/>
      <c r="F269" s="38" t="n"/>
      <c r="G269" s="34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  <c r="Y269" s="33" t="n"/>
      <c r="Z269" s="33" t="n"/>
    </row>
    <row r="270" ht="15.75" customHeight="1" s="1264">
      <c r="A270" s="33" t="n"/>
      <c r="B270" s="39" t="n"/>
      <c r="C270" s="33" t="n"/>
      <c r="D270" s="33" t="n"/>
      <c r="E270" s="38" t="n"/>
      <c r="F270" s="38" t="n"/>
      <c r="G270" s="34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  <c r="Y270" s="33" t="n"/>
      <c r="Z270" s="33" t="n"/>
    </row>
    <row r="271" ht="15.75" customHeight="1" s="1264">
      <c r="A271" s="33" t="n"/>
      <c r="B271" s="39" t="n"/>
      <c r="C271" s="33" t="n"/>
      <c r="D271" s="33" t="n"/>
      <c r="E271" s="38" t="n"/>
      <c r="F271" s="38" t="n"/>
      <c r="G271" s="34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  <c r="Y271" s="33" t="n"/>
      <c r="Z271" s="33" t="n"/>
    </row>
    <row r="272" ht="15.75" customHeight="1" s="1264">
      <c r="A272" s="33" t="n"/>
      <c r="B272" s="39" t="n"/>
      <c r="C272" s="33" t="n"/>
      <c r="D272" s="33" t="n"/>
      <c r="E272" s="38" t="n"/>
      <c r="F272" s="38" t="n"/>
      <c r="G272" s="34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  <c r="Y272" s="33" t="n"/>
      <c r="Z272" s="33" t="n"/>
    </row>
    <row r="273" ht="15.75" customHeight="1" s="1264">
      <c r="A273" s="33" t="n"/>
      <c r="B273" s="39" t="n"/>
      <c r="C273" s="33" t="n"/>
      <c r="D273" s="33" t="n"/>
      <c r="E273" s="38" t="n"/>
      <c r="F273" s="38" t="n"/>
      <c r="G273" s="34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  <c r="Y273" s="33" t="n"/>
      <c r="Z273" s="33" t="n"/>
    </row>
    <row r="274" ht="15.75" customHeight="1" s="1264">
      <c r="A274" s="33" t="n"/>
      <c r="B274" s="39" t="n"/>
      <c r="C274" s="33" t="n"/>
      <c r="D274" s="33" t="n"/>
      <c r="E274" s="38" t="n"/>
      <c r="F274" s="38" t="n"/>
      <c r="G274" s="34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  <c r="Y274" s="33" t="n"/>
      <c r="Z274" s="33" t="n"/>
    </row>
    <row r="275" ht="15.75" customHeight="1" s="1264">
      <c r="A275" s="33" t="n"/>
      <c r="B275" s="39" t="n"/>
      <c r="C275" s="33" t="n"/>
      <c r="D275" s="33" t="n"/>
      <c r="E275" s="38" t="n"/>
      <c r="F275" s="38" t="n"/>
      <c r="G275" s="34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  <c r="Y275" s="33" t="n"/>
      <c r="Z275" s="33" t="n"/>
    </row>
    <row r="276" ht="15.75" customHeight="1" s="1264">
      <c r="A276" s="33" t="n"/>
      <c r="B276" s="39" t="n"/>
      <c r="C276" s="33" t="n"/>
      <c r="D276" s="33" t="n"/>
      <c r="E276" s="38" t="n"/>
      <c r="F276" s="38" t="n"/>
      <c r="G276" s="34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  <c r="Y276" s="33" t="n"/>
      <c r="Z276" s="33" t="n"/>
    </row>
    <row r="277" ht="15.75" customHeight="1" s="1264">
      <c r="A277" s="33" t="n"/>
      <c r="B277" s="39" t="n"/>
      <c r="C277" s="33" t="n"/>
      <c r="D277" s="33" t="n"/>
      <c r="E277" s="38" t="n"/>
      <c r="F277" s="38" t="n"/>
      <c r="G277" s="34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  <c r="Y277" s="33" t="n"/>
      <c r="Z277" s="33" t="n"/>
    </row>
    <row r="278" ht="15.75" customHeight="1" s="1264">
      <c r="A278" s="33" t="n"/>
      <c r="B278" s="39" t="n"/>
      <c r="C278" s="33" t="n"/>
      <c r="D278" s="33" t="n"/>
      <c r="E278" s="38" t="n"/>
      <c r="F278" s="38" t="n"/>
      <c r="G278" s="34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  <c r="Y278" s="33" t="n"/>
      <c r="Z278" s="33" t="n"/>
    </row>
    <row r="279" ht="15.75" customHeight="1" s="1264">
      <c r="A279" s="33" t="n"/>
      <c r="B279" s="39" t="n"/>
      <c r="C279" s="33" t="n"/>
      <c r="D279" s="33" t="n"/>
      <c r="E279" s="38" t="n"/>
      <c r="F279" s="38" t="n"/>
      <c r="G279" s="34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  <c r="Y279" s="33" t="n"/>
      <c r="Z279" s="33" t="n"/>
    </row>
    <row r="280" ht="15.75" customHeight="1" s="1264">
      <c r="A280" s="33" t="n"/>
      <c r="B280" s="39" t="n"/>
      <c r="C280" s="33" t="n"/>
      <c r="D280" s="33" t="n"/>
      <c r="E280" s="38" t="n"/>
      <c r="F280" s="38" t="n"/>
      <c r="G280" s="34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  <c r="Y280" s="33" t="n"/>
      <c r="Z280" s="33" t="n"/>
    </row>
    <row r="281" ht="15.75" customHeight="1" s="1264">
      <c r="A281" s="33" t="n"/>
      <c r="B281" s="39" t="n"/>
      <c r="C281" s="33" t="n"/>
      <c r="D281" s="33" t="n"/>
      <c r="E281" s="38" t="n"/>
      <c r="F281" s="38" t="n"/>
      <c r="G281" s="34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  <c r="Y281" s="33" t="n"/>
      <c r="Z281" s="33" t="n"/>
    </row>
    <row r="282" ht="15.75" customHeight="1" s="1264">
      <c r="A282" s="33" t="n"/>
      <c r="B282" s="39" t="n"/>
      <c r="C282" s="33" t="n"/>
      <c r="D282" s="33" t="n"/>
      <c r="E282" s="38" t="n"/>
      <c r="F282" s="38" t="n"/>
      <c r="G282" s="34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  <c r="Y282" s="33" t="n"/>
      <c r="Z282" s="33" t="n"/>
    </row>
    <row r="283" ht="15.75" customHeight="1" s="1264">
      <c r="A283" s="33" t="n"/>
      <c r="B283" s="39" t="n"/>
      <c r="C283" s="33" t="n"/>
      <c r="D283" s="33" t="n"/>
      <c r="E283" s="38" t="n"/>
      <c r="F283" s="38" t="n"/>
      <c r="G283" s="34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  <c r="Y283" s="33" t="n"/>
      <c r="Z283" s="33" t="n"/>
    </row>
    <row r="284" ht="15.75" customHeight="1" s="1264">
      <c r="A284" s="33" t="n"/>
      <c r="B284" s="39" t="n"/>
      <c r="C284" s="33" t="n"/>
      <c r="D284" s="33" t="n"/>
      <c r="E284" s="38" t="n"/>
      <c r="F284" s="38" t="n"/>
      <c r="G284" s="34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  <c r="Y284" s="33" t="n"/>
      <c r="Z284" s="33" t="n"/>
    </row>
    <row r="285" ht="15.75" customHeight="1" s="1264"/>
    <row r="286" ht="15.75" customHeight="1" s="1264"/>
    <row r="287" ht="15.75" customHeight="1" s="1264"/>
    <row r="288" ht="15.75" customHeight="1" s="1264"/>
    <row r="289" ht="15.75" customHeight="1" s="1264"/>
    <row r="290" ht="15.75" customHeight="1" s="1264"/>
    <row r="291" ht="15.75" customHeight="1" s="1264"/>
    <row r="292" ht="15.75" customHeight="1" s="1264"/>
    <row r="293" ht="15.75" customHeight="1" s="1264"/>
    <row r="294" ht="15.75" customHeight="1" s="1264"/>
    <row r="295" ht="15.75" customHeight="1" s="1264"/>
    <row r="296" ht="15.75" customHeight="1" s="1264"/>
    <row r="297" ht="15.75" customHeight="1" s="1264"/>
    <row r="298" ht="15.75" customHeight="1" s="1264"/>
    <row r="299" ht="15.75" customHeight="1" s="1264"/>
    <row r="300" ht="15.75" customHeight="1" s="1264"/>
    <row r="301" ht="15.75" customHeight="1" s="1264"/>
    <row r="302" ht="15.75" customHeight="1" s="1264"/>
    <row r="303" ht="15.75" customHeight="1" s="1264"/>
    <row r="304" ht="15.75" customHeight="1" s="1264"/>
    <row r="305" ht="15.75" customHeight="1" s="1264"/>
    <row r="306" ht="15.75" customHeight="1" s="1264"/>
    <row r="307" ht="15.75" customHeight="1" s="1264"/>
    <row r="308" ht="15.75" customHeight="1" s="1264"/>
    <row r="309" ht="15.75" customHeight="1" s="1264"/>
    <row r="310" ht="15.75" customHeight="1" s="1264"/>
    <row r="311" ht="15.75" customHeight="1" s="1264"/>
    <row r="312" ht="15.75" customHeight="1" s="1264"/>
    <row r="313" ht="15.75" customHeight="1" s="1264"/>
    <row r="314" ht="15.75" customHeight="1" s="1264"/>
    <row r="315" ht="15.75" customHeight="1" s="1264"/>
    <row r="316" ht="15.75" customHeight="1" s="1264"/>
    <row r="317" ht="15.75" customHeight="1" s="1264"/>
    <row r="318" ht="15.75" customHeight="1" s="1264"/>
    <row r="319" ht="15.75" customHeight="1" s="1264"/>
    <row r="320" ht="15.75" customHeight="1" s="1264"/>
    <row r="321" ht="15.75" customHeight="1" s="1264"/>
    <row r="322" ht="15.75" customHeight="1" s="1264"/>
    <row r="323" ht="15.75" customHeight="1" s="1264"/>
    <row r="324" ht="15.75" customHeight="1" s="1264"/>
    <row r="325" ht="15.75" customHeight="1" s="1264"/>
    <row r="326" ht="15.75" customHeight="1" s="1264"/>
    <row r="327" ht="15.75" customHeight="1" s="1264"/>
    <row r="328" ht="15.75" customHeight="1" s="1264"/>
    <row r="329" ht="15.75" customHeight="1" s="1264"/>
    <row r="330" ht="15.75" customHeight="1" s="1264"/>
    <row r="331" ht="15.75" customHeight="1" s="1264"/>
    <row r="332" ht="15.75" customHeight="1" s="1264"/>
    <row r="333" ht="15.75" customHeight="1" s="1264"/>
    <row r="334" ht="15.75" customHeight="1" s="1264"/>
    <row r="335" ht="15.75" customHeight="1" s="1264"/>
    <row r="336" ht="15.75" customHeight="1" s="1264"/>
    <row r="337" ht="15.75" customHeight="1" s="1264"/>
    <row r="338" ht="15.75" customHeight="1" s="1264"/>
    <row r="339" ht="15.75" customHeight="1" s="1264"/>
    <row r="340" ht="15.75" customHeight="1" s="1264"/>
    <row r="341" ht="15.75" customHeight="1" s="1264"/>
    <row r="342" ht="15.75" customHeight="1" s="1264"/>
    <row r="343" ht="15.75" customHeight="1" s="1264"/>
    <row r="344" ht="15.75" customHeight="1" s="1264"/>
    <row r="345" ht="15.75" customHeight="1" s="1264"/>
    <row r="346" ht="15.75" customHeight="1" s="1264"/>
    <row r="347" ht="15.75" customHeight="1" s="1264"/>
    <row r="348" ht="15.75" customHeight="1" s="1264"/>
    <row r="349" ht="15.75" customHeight="1" s="1264"/>
    <row r="350" ht="15.75" customHeight="1" s="1264"/>
    <row r="351" ht="15.75" customHeight="1" s="1264"/>
    <row r="352" ht="15.75" customHeight="1" s="1264"/>
    <row r="353" ht="15.75" customHeight="1" s="1264"/>
    <row r="354" ht="15.75" customHeight="1" s="1264"/>
    <row r="355" ht="15.75" customHeight="1" s="1264"/>
    <row r="356" ht="15.75" customHeight="1" s="1264"/>
    <row r="357" ht="15.75" customHeight="1" s="1264"/>
    <row r="358" ht="15.75" customHeight="1" s="1264"/>
    <row r="359" ht="15.75" customHeight="1" s="1264"/>
    <row r="360" ht="15.75" customHeight="1" s="1264"/>
    <row r="361" ht="15.75" customHeight="1" s="1264"/>
    <row r="362" ht="15.75" customHeight="1" s="1264"/>
    <row r="363" ht="15.75" customHeight="1" s="1264"/>
    <row r="364" ht="15.75" customHeight="1" s="1264"/>
    <row r="365" ht="15.75" customHeight="1" s="1264"/>
    <row r="366" ht="15.75" customHeight="1" s="1264"/>
    <row r="367" ht="15.75" customHeight="1" s="1264"/>
    <row r="368" ht="15.75" customHeight="1" s="1264"/>
    <row r="369" ht="15.75" customHeight="1" s="1264"/>
    <row r="370" ht="15.75" customHeight="1" s="1264"/>
    <row r="371" ht="15.75" customHeight="1" s="1264"/>
    <row r="372" ht="15.75" customHeight="1" s="1264"/>
    <row r="373" ht="15.75" customHeight="1" s="1264"/>
    <row r="374" ht="15.75" customHeight="1" s="1264"/>
    <row r="375" ht="15.75" customHeight="1" s="1264"/>
    <row r="376" ht="15.75" customHeight="1" s="1264"/>
    <row r="377" ht="15.75" customHeight="1" s="1264"/>
    <row r="378" ht="15.75" customHeight="1" s="1264"/>
    <row r="379" ht="15.75" customHeight="1" s="1264"/>
    <row r="380" ht="15.75" customHeight="1" s="1264"/>
    <row r="381" ht="15.75" customHeight="1" s="1264"/>
    <row r="382" ht="15.75" customHeight="1" s="1264"/>
    <row r="383" ht="15.75" customHeight="1" s="1264"/>
    <row r="384" ht="15.75" customHeight="1" s="1264"/>
    <row r="385" ht="15.75" customHeight="1" s="1264"/>
    <row r="386" ht="15.75" customHeight="1" s="1264"/>
    <row r="387" ht="15.75" customHeight="1" s="1264"/>
    <row r="388" ht="15.75" customHeight="1" s="1264"/>
    <row r="389" ht="15.75" customHeight="1" s="1264"/>
    <row r="390" ht="15.75" customHeight="1" s="1264"/>
    <row r="391" ht="15.75" customHeight="1" s="1264"/>
    <row r="392" ht="15.75" customHeight="1" s="1264"/>
    <row r="393" ht="15.75" customHeight="1" s="1264"/>
    <row r="394" ht="15.75" customHeight="1" s="1264"/>
    <row r="395" ht="15.75" customHeight="1" s="1264"/>
    <row r="396" ht="15.75" customHeight="1" s="1264"/>
    <row r="397" ht="15.75" customHeight="1" s="1264"/>
    <row r="398" ht="15.75" customHeight="1" s="1264"/>
    <row r="399" ht="15.75" customHeight="1" s="1264"/>
    <row r="400" ht="15.75" customHeight="1" s="1264"/>
    <row r="401" ht="15.75" customHeight="1" s="1264"/>
    <row r="402" ht="15.75" customHeight="1" s="1264"/>
    <row r="403" ht="15.75" customHeight="1" s="1264"/>
    <row r="404" ht="15.75" customHeight="1" s="1264"/>
    <row r="405" ht="15.75" customHeight="1" s="1264"/>
    <row r="406" ht="15.75" customHeight="1" s="1264"/>
    <row r="407" ht="15.75" customHeight="1" s="1264"/>
    <row r="408" ht="15.75" customHeight="1" s="1264"/>
    <row r="409" ht="15.75" customHeight="1" s="1264"/>
    <row r="410" ht="15.75" customHeight="1" s="1264"/>
    <row r="411" ht="15.75" customHeight="1" s="1264"/>
    <row r="412" ht="15.75" customHeight="1" s="1264"/>
    <row r="413" ht="15.75" customHeight="1" s="1264"/>
    <row r="414" ht="15.75" customHeight="1" s="1264"/>
    <row r="415" ht="15.75" customHeight="1" s="1264"/>
    <row r="416" ht="15.75" customHeight="1" s="1264"/>
    <row r="417" ht="15.75" customHeight="1" s="1264"/>
    <row r="418" ht="15.75" customHeight="1" s="1264"/>
    <row r="419" ht="15.75" customHeight="1" s="1264"/>
    <row r="420" ht="15.75" customHeight="1" s="1264"/>
    <row r="421" ht="15.75" customHeight="1" s="1264"/>
    <row r="422" ht="15.75" customHeight="1" s="1264"/>
    <row r="423" ht="15.75" customHeight="1" s="1264"/>
    <row r="424" ht="15.75" customHeight="1" s="1264"/>
    <row r="425" ht="15.75" customHeight="1" s="1264"/>
    <row r="426" ht="15.75" customHeight="1" s="1264"/>
    <row r="427" ht="15.75" customHeight="1" s="1264"/>
    <row r="428" ht="15.75" customHeight="1" s="1264"/>
    <row r="429" ht="15.75" customHeight="1" s="1264"/>
    <row r="430" ht="15.75" customHeight="1" s="1264"/>
    <row r="431" ht="15.75" customHeight="1" s="1264"/>
    <row r="432" ht="15.75" customHeight="1" s="1264"/>
    <row r="433" ht="15.75" customHeight="1" s="1264"/>
    <row r="434" ht="15.75" customHeight="1" s="1264"/>
    <row r="435" ht="15.75" customHeight="1" s="1264"/>
    <row r="436" ht="15.75" customHeight="1" s="1264"/>
    <row r="437" ht="15.75" customHeight="1" s="1264"/>
    <row r="438" ht="15.75" customHeight="1" s="1264"/>
    <row r="439" ht="15.75" customHeight="1" s="1264"/>
    <row r="440" ht="15.75" customHeight="1" s="1264"/>
    <row r="441" ht="15.75" customHeight="1" s="1264"/>
    <row r="442" ht="15.75" customHeight="1" s="1264"/>
    <row r="443" ht="15.75" customHeight="1" s="1264"/>
    <row r="444" ht="15.75" customHeight="1" s="1264"/>
    <row r="445" ht="15.75" customHeight="1" s="1264"/>
    <row r="446" ht="15.75" customHeight="1" s="1264"/>
    <row r="447" ht="15.75" customHeight="1" s="1264"/>
    <row r="448" ht="15.75" customHeight="1" s="1264"/>
    <row r="449" ht="15.75" customHeight="1" s="1264"/>
    <row r="450" ht="15.75" customHeight="1" s="1264"/>
    <row r="451" ht="15.75" customHeight="1" s="1264"/>
    <row r="452" ht="15.75" customHeight="1" s="1264"/>
    <row r="453" ht="15.75" customHeight="1" s="1264"/>
    <row r="454" ht="15.75" customHeight="1" s="1264"/>
    <row r="455" ht="15.75" customHeight="1" s="1264"/>
    <row r="456" ht="15.75" customHeight="1" s="1264"/>
    <row r="457" ht="15.75" customHeight="1" s="1264"/>
    <row r="458" ht="15.75" customHeight="1" s="1264"/>
    <row r="459" ht="15.75" customHeight="1" s="1264"/>
    <row r="460" ht="15.75" customHeight="1" s="1264"/>
    <row r="461" ht="15.75" customHeight="1" s="1264"/>
    <row r="462" ht="15.75" customHeight="1" s="1264"/>
    <row r="463" ht="15.75" customHeight="1" s="1264"/>
    <row r="464" ht="15.75" customHeight="1" s="1264"/>
    <row r="465" ht="15.75" customHeight="1" s="1264"/>
    <row r="466" ht="15.75" customHeight="1" s="1264"/>
    <row r="467" ht="15.75" customHeight="1" s="1264"/>
    <row r="468" ht="15.75" customHeight="1" s="1264"/>
    <row r="469" ht="15.75" customHeight="1" s="1264"/>
    <row r="470" ht="15.75" customHeight="1" s="1264"/>
    <row r="471" ht="15.75" customHeight="1" s="1264"/>
    <row r="472" ht="15.75" customHeight="1" s="1264"/>
    <row r="473" ht="15.75" customHeight="1" s="1264"/>
    <row r="474" ht="15.75" customHeight="1" s="1264"/>
    <row r="475" ht="15.75" customHeight="1" s="1264"/>
    <row r="476" ht="15.75" customHeight="1" s="1264"/>
    <row r="477" ht="15.75" customHeight="1" s="1264"/>
    <row r="478" ht="15.75" customHeight="1" s="1264"/>
    <row r="479" ht="15.75" customHeight="1" s="1264"/>
    <row r="480" ht="15.75" customHeight="1" s="1264"/>
    <row r="481" ht="15.75" customHeight="1" s="1264"/>
    <row r="482" ht="15.75" customHeight="1" s="1264"/>
    <row r="483" ht="15.75" customHeight="1" s="1264"/>
    <row r="484" ht="15.75" customHeight="1" s="1264"/>
    <row r="485" ht="15.75" customHeight="1" s="1264"/>
    <row r="486" ht="15.75" customHeight="1" s="1264"/>
    <row r="487" ht="15.75" customHeight="1" s="1264"/>
    <row r="488" ht="15.75" customHeight="1" s="1264"/>
    <row r="489" ht="15.75" customHeight="1" s="1264"/>
    <row r="490" ht="15.75" customHeight="1" s="1264"/>
    <row r="491" ht="15.75" customHeight="1" s="1264"/>
    <row r="492" ht="15.75" customHeight="1" s="1264"/>
    <row r="493" ht="15.75" customHeight="1" s="1264"/>
    <row r="494" ht="15.75" customHeight="1" s="1264"/>
    <row r="495" ht="15.75" customHeight="1" s="1264"/>
    <row r="496" ht="15.75" customHeight="1" s="1264"/>
    <row r="497" ht="15.75" customHeight="1" s="1264"/>
    <row r="498" ht="15.75" customHeight="1" s="1264"/>
    <row r="499" ht="15.75" customHeight="1" s="1264"/>
    <row r="500" ht="15.75" customHeight="1" s="1264"/>
    <row r="501" ht="15.75" customHeight="1" s="1264"/>
    <row r="502" ht="15.75" customHeight="1" s="1264"/>
    <row r="503" ht="15.75" customHeight="1" s="1264"/>
    <row r="504" ht="15.75" customHeight="1" s="1264"/>
    <row r="505" ht="15.75" customHeight="1" s="1264"/>
    <row r="506" ht="15.75" customHeight="1" s="1264"/>
    <row r="507" ht="15.75" customHeight="1" s="1264"/>
    <row r="508" ht="15.75" customHeight="1" s="1264"/>
    <row r="509" ht="15.75" customHeight="1" s="1264"/>
    <row r="510" ht="15.75" customHeight="1" s="1264"/>
    <row r="511" ht="15.75" customHeight="1" s="1264"/>
    <row r="512" ht="15.75" customHeight="1" s="1264"/>
    <row r="513" ht="15.75" customHeight="1" s="1264"/>
    <row r="514" ht="15.75" customHeight="1" s="1264"/>
    <row r="515" ht="15.75" customHeight="1" s="1264"/>
    <row r="516" ht="15.75" customHeight="1" s="1264"/>
    <row r="517" ht="15.75" customHeight="1" s="1264"/>
    <row r="518" ht="15.75" customHeight="1" s="1264"/>
    <row r="519" ht="15.75" customHeight="1" s="1264"/>
    <row r="520" ht="15.75" customHeight="1" s="1264"/>
    <row r="521" ht="15.75" customHeight="1" s="1264"/>
    <row r="522" ht="15.75" customHeight="1" s="1264"/>
    <row r="523" ht="15.75" customHeight="1" s="1264"/>
    <row r="524" ht="15.75" customHeight="1" s="1264"/>
    <row r="525" ht="15.75" customHeight="1" s="1264"/>
    <row r="526" ht="15.75" customHeight="1" s="1264"/>
    <row r="527" ht="15.75" customHeight="1" s="1264"/>
    <row r="528" ht="15.75" customHeight="1" s="1264"/>
    <row r="529" ht="15.75" customHeight="1" s="1264"/>
    <row r="530" ht="15.75" customHeight="1" s="1264"/>
    <row r="531" ht="15.75" customHeight="1" s="1264"/>
    <row r="532" ht="15.75" customHeight="1" s="1264"/>
    <row r="533" ht="15.75" customHeight="1" s="1264"/>
    <row r="534" ht="15.75" customHeight="1" s="1264"/>
    <row r="535" ht="15.75" customHeight="1" s="1264"/>
    <row r="536" ht="15.75" customHeight="1" s="1264"/>
    <row r="537" ht="15.75" customHeight="1" s="1264"/>
    <row r="538" ht="15.75" customHeight="1" s="1264"/>
    <row r="539" ht="15.75" customHeight="1" s="1264"/>
    <row r="540" ht="15.75" customHeight="1" s="1264"/>
    <row r="541" ht="15.75" customHeight="1" s="1264"/>
    <row r="542" ht="15.75" customHeight="1" s="1264"/>
    <row r="543" ht="15.75" customHeight="1" s="1264"/>
    <row r="544" ht="15.75" customHeight="1" s="1264"/>
    <row r="545" ht="15.75" customHeight="1" s="1264"/>
    <row r="546" ht="15.75" customHeight="1" s="1264"/>
    <row r="547" ht="15.75" customHeight="1" s="1264"/>
    <row r="548" ht="15.75" customHeight="1" s="1264"/>
    <row r="549" ht="15.75" customHeight="1" s="1264"/>
    <row r="550" ht="15.75" customHeight="1" s="1264"/>
    <row r="551" ht="15.75" customHeight="1" s="1264"/>
    <row r="552" ht="15.75" customHeight="1" s="1264"/>
    <row r="553" ht="15.75" customHeight="1" s="1264"/>
    <row r="554" ht="15.75" customHeight="1" s="1264"/>
    <row r="555" ht="15.75" customHeight="1" s="1264"/>
    <row r="556" ht="15.75" customHeight="1" s="1264"/>
    <row r="557" ht="15.75" customHeight="1" s="1264"/>
    <row r="558" ht="15.75" customHeight="1" s="1264"/>
    <row r="559" ht="15.75" customHeight="1" s="1264"/>
    <row r="560" ht="15.75" customHeight="1" s="1264"/>
    <row r="561" ht="15.75" customHeight="1" s="1264"/>
    <row r="562" ht="15.75" customHeight="1" s="1264"/>
    <row r="563" ht="15.75" customHeight="1" s="1264"/>
    <row r="564" ht="15.75" customHeight="1" s="1264"/>
    <row r="565" ht="15.75" customHeight="1" s="1264"/>
    <row r="566" ht="15.75" customHeight="1" s="1264"/>
    <row r="567" ht="15.75" customHeight="1" s="1264"/>
    <row r="568" ht="15.75" customHeight="1" s="1264"/>
    <row r="569" ht="15.75" customHeight="1" s="1264"/>
    <row r="570" ht="15.75" customHeight="1" s="1264"/>
    <row r="571" ht="15.75" customHeight="1" s="1264"/>
    <row r="572" ht="15.75" customHeight="1" s="1264"/>
    <row r="573" ht="15.75" customHeight="1" s="1264"/>
    <row r="574" ht="15.75" customHeight="1" s="1264"/>
    <row r="575" ht="15.75" customHeight="1" s="1264"/>
    <row r="576" ht="15.75" customHeight="1" s="1264"/>
    <row r="577" ht="15.75" customHeight="1" s="1264"/>
    <row r="578" ht="15.75" customHeight="1" s="1264"/>
    <row r="579" ht="15.75" customHeight="1" s="1264"/>
    <row r="580" ht="15.75" customHeight="1" s="1264"/>
    <row r="581" ht="15.75" customHeight="1" s="1264"/>
    <row r="582" ht="15.75" customHeight="1" s="1264"/>
    <row r="583" ht="15.75" customHeight="1" s="1264"/>
    <row r="584" ht="15.75" customHeight="1" s="1264"/>
    <row r="585" ht="15.75" customHeight="1" s="1264"/>
    <row r="586" ht="15.75" customHeight="1" s="1264"/>
    <row r="587" ht="15.75" customHeight="1" s="1264"/>
    <row r="588" ht="15.75" customHeight="1" s="1264"/>
    <row r="589" ht="15.75" customHeight="1" s="1264"/>
    <row r="590" ht="15.75" customHeight="1" s="1264"/>
    <row r="591" ht="15.75" customHeight="1" s="1264"/>
    <row r="592" ht="15.75" customHeight="1" s="1264"/>
    <row r="593" ht="15.75" customHeight="1" s="1264"/>
    <row r="594" ht="15.75" customHeight="1" s="1264"/>
    <row r="595" ht="15.75" customHeight="1" s="1264"/>
    <row r="596" ht="15.75" customHeight="1" s="1264"/>
    <row r="597" ht="15.75" customHeight="1" s="1264"/>
    <row r="598" ht="15.75" customHeight="1" s="1264"/>
    <row r="599" ht="15.75" customHeight="1" s="1264"/>
    <row r="600" ht="15.75" customHeight="1" s="1264"/>
    <row r="601" ht="15.75" customHeight="1" s="1264"/>
    <row r="602" ht="15.75" customHeight="1" s="1264"/>
    <row r="603" ht="15.75" customHeight="1" s="1264"/>
    <row r="604" ht="15.75" customHeight="1" s="1264"/>
    <row r="605" ht="15.75" customHeight="1" s="1264"/>
    <row r="606" ht="15.75" customHeight="1" s="1264"/>
    <row r="607" ht="15.75" customHeight="1" s="1264"/>
    <row r="608" ht="15.75" customHeight="1" s="1264"/>
    <row r="609" ht="15.75" customHeight="1" s="1264"/>
    <row r="610" ht="15.75" customHeight="1" s="1264"/>
    <row r="611" ht="15.75" customHeight="1" s="1264"/>
    <row r="612" ht="15.75" customHeight="1" s="1264"/>
    <row r="613" ht="15.75" customHeight="1" s="1264"/>
    <row r="614" ht="15.75" customHeight="1" s="1264"/>
    <row r="615" ht="15.75" customHeight="1" s="1264"/>
    <row r="616" ht="15.75" customHeight="1" s="1264"/>
    <row r="617" ht="15.75" customHeight="1" s="1264"/>
    <row r="618" ht="15.75" customHeight="1" s="1264"/>
    <row r="619" ht="15.75" customHeight="1" s="1264"/>
    <row r="620" ht="15.75" customHeight="1" s="1264"/>
    <row r="621" ht="15.75" customHeight="1" s="1264"/>
    <row r="622" ht="15.75" customHeight="1" s="1264"/>
    <row r="623" ht="15.75" customHeight="1" s="1264"/>
    <row r="624" ht="15.75" customHeight="1" s="1264"/>
    <row r="625" ht="15.75" customHeight="1" s="1264"/>
    <row r="626" ht="15.75" customHeight="1" s="1264"/>
    <row r="627" ht="15.75" customHeight="1" s="1264"/>
    <row r="628" ht="15.75" customHeight="1" s="1264"/>
    <row r="629" ht="15.75" customHeight="1" s="1264"/>
    <row r="630" ht="15.75" customHeight="1" s="1264"/>
    <row r="631" ht="15.75" customHeight="1" s="1264"/>
    <row r="632" ht="15.75" customHeight="1" s="1264"/>
    <row r="633" ht="15.75" customHeight="1" s="1264"/>
    <row r="634" ht="15.75" customHeight="1" s="1264"/>
    <row r="635" ht="15.75" customHeight="1" s="1264"/>
    <row r="636" ht="15.75" customHeight="1" s="1264"/>
    <row r="637" ht="15.75" customHeight="1" s="1264"/>
    <row r="638" ht="15.75" customHeight="1" s="1264"/>
    <row r="639" ht="15.75" customHeight="1" s="1264"/>
    <row r="640" ht="15.75" customHeight="1" s="1264"/>
    <row r="641" ht="15.75" customHeight="1" s="1264"/>
    <row r="642" ht="15.75" customHeight="1" s="1264"/>
    <row r="643" ht="15.75" customHeight="1" s="1264"/>
    <row r="644" ht="15.75" customHeight="1" s="1264"/>
    <row r="645" ht="15.75" customHeight="1" s="1264"/>
    <row r="646" ht="15.75" customHeight="1" s="1264"/>
    <row r="647" ht="15.75" customHeight="1" s="1264"/>
    <row r="648" ht="15.75" customHeight="1" s="1264"/>
    <row r="649" ht="15.75" customHeight="1" s="1264"/>
    <row r="650" ht="15.75" customHeight="1" s="1264"/>
    <row r="651" ht="15.75" customHeight="1" s="1264"/>
    <row r="652" ht="15.75" customHeight="1" s="1264"/>
    <row r="653" ht="15.75" customHeight="1" s="1264"/>
    <row r="654" ht="15.75" customHeight="1" s="1264"/>
    <row r="655" ht="15.75" customHeight="1" s="1264"/>
    <row r="656" ht="15.75" customHeight="1" s="1264"/>
    <row r="657" ht="15.75" customHeight="1" s="1264"/>
    <row r="658" ht="15.75" customHeight="1" s="1264"/>
    <row r="659" ht="15.75" customHeight="1" s="1264"/>
    <row r="660" ht="15.75" customHeight="1" s="1264"/>
    <row r="661" ht="15.75" customHeight="1" s="1264"/>
    <row r="662" ht="15.75" customHeight="1" s="1264"/>
    <row r="663" ht="15.75" customHeight="1" s="1264"/>
    <row r="664" ht="15.75" customHeight="1" s="1264"/>
    <row r="665" ht="15.75" customHeight="1" s="1264"/>
    <row r="666" ht="15.75" customHeight="1" s="1264"/>
    <row r="667" ht="15.75" customHeight="1" s="1264"/>
    <row r="668" ht="15.75" customHeight="1" s="1264"/>
    <row r="669" ht="15.75" customHeight="1" s="1264"/>
    <row r="670" ht="15.75" customHeight="1" s="1264"/>
    <row r="671" ht="15.75" customHeight="1" s="1264"/>
    <row r="672" ht="15.75" customHeight="1" s="1264"/>
    <row r="673" ht="15.75" customHeight="1" s="1264"/>
    <row r="674" ht="15.75" customHeight="1" s="1264"/>
    <row r="675" ht="15.75" customHeight="1" s="1264"/>
    <row r="676" ht="15.75" customHeight="1" s="1264"/>
    <row r="677" ht="15.75" customHeight="1" s="1264"/>
    <row r="678" ht="15.75" customHeight="1" s="1264"/>
    <row r="679" ht="15.75" customHeight="1" s="1264"/>
    <row r="680" ht="15.75" customHeight="1" s="1264"/>
    <row r="681" ht="15.75" customHeight="1" s="1264"/>
    <row r="682" ht="15.75" customHeight="1" s="1264"/>
    <row r="683" ht="15.75" customHeight="1" s="1264"/>
    <row r="684" ht="15.75" customHeight="1" s="1264"/>
    <row r="685" ht="15.75" customHeight="1" s="1264"/>
    <row r="686" ht="15.75" customHeight="1" s="1264"/>
    <row r="687" ht="15.75" customHeight="1" s="1264"/>
    <row r="688" ht="15.75" customHeight="1" s="1264"/>
    <row r="689" ht="15.75" customHeight="1" s="1264"/>
    <row r="690" ht="15.75" customHeight="1" s="1264"/>
    <row r="691" ht="15.75" customHeight="1" s="1264"/>
    <row r="692" ht="15.75" customHeight="1" s="1264"/>
    <row r="693" ht="15.75" customHeight="1" s="1264"/>
    <row r="694" ht="15.75" customHeight="1" s="1264"/>
    <row r="695" ht="15.75" customHeight="1" s="1264"/>
    <row r="696" ht="15.75" customHeight="1" s="1264"/>
    <row r="697" ht="15.75" customHeight="1" s="1264"/>
    <row r="698" ht="15.75" customHeight="1" s="1264"/>
    <row r="699" ht="15.75" customHeight="1" s="1264"/>
    <row r="700" ht="15.75" customHeight="1" s="1264"/>
    <row r="701" ht="15.75" customHeight="1" s="1264"/>
    <row r="702" ht="15.75" customHeight="1" s="1264"/>
    <row r="703" ht="15.75" customHeight="1" s="1264"/>
    <row r="704" ht="15.75" customHeight="1" s="1264"/>
    <row r="705" ht="15.75" customHeight="1" s="1264"/>
    <row r="706" ht="15.75" customHeight="1" s="1264"/>
    <row r="707" ht="15.75" customHeight="1" s="1264"/>
    <row r="708" ht="15.75" customHeight="1" s="1264"/>
    <row r="709" ht="15.75" customHeight="1" s="1264"/>
    <row r="710" ht="15.75" customHeight="1" s="1264"/>
    <row r="711" ht="15.75" customHeight="1" s="1264"/>
    <row r="712" ht="15.75" customHeight="1" s="1264"/>
    <row r="713" ht="15.75" customHeight="1" s="1264"/>
    <row r="714" ht="15.75" customHeight="1" s="1264"/>
    <row r="715" ht="15.75" customHeight="1" s="1264"/>
    <row r="716" ht="15.75" customHeight="1" s="1264"/>
    <row r="717" ht="15.75" customHeight="1" s="1264"/>
    <row r="718" ht="15.75" customHeight="1" s="1264"/>
    <row r="719" ht="15.75" customHeight="1" s="1264"/>
    <row r="720" ht="15.75" customHeight="1" s="1264"/>
    <row r="721" ht="15.75" customHeight="1" s="1264"/>
    <row r="722" ht="15.75" customHeight="1" s="1264"/>
    <row r="723" ht="15.75" customHeight="1" s="1264"/>
    <row r="724" ht="15.75" customHeight="1" s="1264"/>
    <row r="725" ht="15.75" customHeight="1" s="1264"/>
    <row r="726" ht="15.75" customHeight="1" s="1264"/>
    <row r="727" ht="15.75" customHeight="1" s="1264"/>
    <row r="728" ht="15.75" customHeight="1" s="1264"/>
    <row r="729" ht="15.75" customHeight="1" s="1264"/>
    <row r="730" ht="15.75" customHeight="1" s="1264"/>
    <row r="731" ht="15.75" customHeight="1" s="1264"/>
    <row r="732" ht="15.75" customHeight="1" s="1264"/>
    <row r="733" ht="15.75" customHeight="1" s="1264"/>
    <row r="734" ht="15.75" customHeight="1" s="1264"/>
    <row r="735" ht="15.75" customHeight="1" s="1264"/>
    <row r="736" ht="15.75" customHeight="1" s="1264"/>
    <row r="737" ht="15.75" customHeight="1" s="1264"/>
    <row r="738" ht="15.75" customHeight="1" s="1264"/>
    <row r="739" ht="15.75" customHeight="1" s="1264"/>
    <row r="740" ht="15.75" customHeight="1" s="1264"/>
    <row r="741" ht="15.75" customHeight="1" s="1264"/>
    <row r="742" ht="15.75" customHeight="1" s="1264"/>
    <row r="743" ht="15.75" customHeight="1" s="1264"/>
    <row r="744" ht="15.75" customHeight="1" s="1264"/>
    <row r="745" ht="15.75" customHeight="1" s="1264"/>
    <row r="746" ht="15.75" customHeight="1" s="1264"/>
    <row r="747" ht="15.75" customHeight="1" s="1264"/>
    <row r="748" ht="15.75" customHeight="1" s="1264"/>
    <row r="749" ht="15.75" customHeight="1" s="1264"/>
    <row r="750" ht="15.75" customHeight="1" s="1264"/>
    <row r="751" ht="15.75" customHeight="1" s="1264"/>
    <row r="752" ht="15.75" customHeight="1" s="1264"/>
    <row r="753" ht="15.75" customHeight="1" s="1264"/>
    <row r="754" ht="15.75" customHeight="1" s="1264"/>
    <row r="755" ht="15.75" customHeight="1" s="1264"/>
    <row r="756" ht="15.75" customHeight="1" s="1264"/>
    <row r="757" ht="15.75" customHeight="1" s="1264"/>
    <row r="758" ht="15.75" customHeight="1" s="1264"/>
    <row r="759" ht="15.75" customHeight="1" s="1264"/>
    <row r="760" ht="15.75" customHeight="1" s="1264"/>
    <row r="761" ht="15.75" customHeight="1" s="1264"/>
    <row r="762" ht="15.75" customHeight="1" s="1264"/>
    <row r="763" ht="15.75" customHeight="1" s="1264"/>
    <row r="764" ht="15.75" customHeight="1" s="1264"/>
    <row r="765" ht="15.75" customHeight="1" s="1264"/>
    <row r="766" ht="15.75" customHeight="1" s="1264"/>
    <row r="767" ht="15.75" customHeight="1" s="1264"/>
    <row r="768" ht="15.75" customHeight="1" s="1264"/>
    <row r="769" ht="15.75" customHeight="1" s="1264"/>
    <row r="770" ht="15.75" customHeight="1" s="1264"/>
    <row r="771" ht="15.75" customHeight="1" s="1264"/>
    <row r="772" ht="15.75" customHeight="1" s="1264"/>
    <row r="773" ht="15.75" customHeight="1" s="1264"/>
    <row r="774" ht="15.75" customHeight="1" s="1264"/>
    <row r="775" ht="15.75" customHeight="1" s="1264"/>
    <row r="776" ht="15.75" customHeight="1" s="1264"/>
    <row r="777" ht="15.75" customHeight="1" s="1264"/>
    <row r="778" ht="15.75" customHeight="1" s="1264"/>
    <row r="779" ht="15.75" customHeight="1" s="1264"/>
    <row r="780" ht="15.75" customHeight="1" s="1264"/>
    <row r="781" ht="15.75" customHeight="1" s="1264"/>
    <row r="782" ht="15.75" customHeight="1" s="1264"/>
    <row r="783" ht="15.75" customHeight="1" s="1264"/>
    <row r="784" ht="15.75" customHeight="1" s="1264"/>
    <row r="785" ht="15.75" customHeight="1" s="1264"/>
    <row r="786" ht="15.75" customHeight="1" s="1264"/>
    <row r="787" ht="15.75" customHeight="1" s="1264"/>
    <row r="788" ht="15.75" customHeight="1" s="1264"/>
    <row r="789" ht="15.75" customHeight="1" s="1264"/>
    <row r="790" ht="15.75" customHeight="1" s="1264"/>
    <row r="791" ht="15.75" customHeight="1" s="1264"/>
    <row r="792" ht="15.75" customHeight="1" s="1264"/>
    <row r="793" ht="15.75" customHeight="1" s="1264"/>
    <row r="794" ht="15.75" customHeight="1" s="1264"/>
    <row r="795" ht="15.75" customHeight="1" s="1264"/>
    <row r="796" ht="15.75" customHeight="1" s="1264"/>
    <row r="797" ht="15.75" customHeight="1" s="1264"/>
    <row r="798" ht="15.75" customHeight="1" s="1264"/>
    <row r="799" ht="15.75" customHeight="1" s="1264"/>
    <row r="800" ht="15.75" customHeight="1" s="1264"/>
    <row r="801" ht="15.75" customHeight="1" s="1264"/>
    <row r="802" ht="15.75" customHeight="1" s="1264"/>
    <row r="803" ht="15.75" customHeight="1" s="1264"/>
    <row r="804" ht="15.75" customHeight="1" s="1264"/>
    <row r="805" ht="15.75" customHeight="1" s="1264"/>
    <row r="806" ht="15.75" customHeight="1" s="1264"/>
    <row r="807" ht="15.75" customHeight="1" s="1264"/>
    <row r="808" ht="15.75" customHeight="1" s="1264"/>
    <row r="809" ht="15.75" customHeight="1" s="1264"/>
    <row r="810" ht="15.75" customHeight="1" s="1264"/>
    <row r="811" ht="15.75" customHeight="1" s="1264"/>
    <row r="812" ht="15.75" customHeight="1" s="1264"/>
    <row r="813" ht="15.75" customHeight="1" s="1264"/>
    <row r="814" ht="15.75" customHeight="1" s="1264"/>
    <row r="815" ht="15.75" customHeight="1" s="1264"/>
    <row r="816" ht="15.75" customHeight="1" s="1264"/>
    <row r="817" ht="15.75" customHeight="1" s="1264"/>
    <row r="818" ht="15.75" customHeight="1" s="1264"/>
    <row r="819" ht="15.75" customHeight="1" s="1264"/>
    <row r="820" ht="15.75" customHeight="1" s="1264"/>
    <row r="821" ht="15.75" customHeight="1" s="1264"/>
    <row r="822" ht="15.75" customHeight="1" s="1264"/>
    <row r="823" ht="15.75" customHeight="1" s="1264"/>
    <row r="824" ht="15.75" customHeight="1" s="1264"/>
    <row r="825" ht="15.75" customHeight="1" s="1264"/>
    <row r="826" ht="15.75" customHeight="1" s="1264"/>
    <row r="827" ht="15.75" customHeight="1" s="1264"/>
    <row r="828" ht="15.75" customHeight="1" s="1264"/>
    <row r="829" ht="15.75" customHeight="1" s="1264"/>
    <row r="830" ht="15.75" customHeight="1" s="1264"/>
    <row r="831" ht="15.75" customHeight="1" s="1264"/>
    <row r="832" ht="15.75" customHeight="1" s="1264"/>
    <row r="833" ht="15.75" customHeight="1" s="1264"/>
    <row r="834" ht="15.75" customHeight="1" s="1264"/>
    <row r="835" ht="15.75" customHeight="1" s="1264"/>
    <row r="836" ht="15.75" customHeight="1" s="1264"/>
    <row r="837" ht="15.75" customHeight="1" s="1264"/>
    <row r="838" ht="15.75" customHeight="1" s="1264"/>
    <row r="839" ht="15.75" customHeight="1" s="1264"/>
    <row r="840" ht="15.75" customHeight="1" s="1264"/>
    <row r="841" ht="15.75" customHeight="1" s="1264"/>
    <row r="842" ht="15.75" customHeight="1" s="1264"/>
    <row r="843" ht="15.75" customHeight="1" s="1264"/>
    <row r="844" ht="15.75" customHeight="1" s="1264"/>
    <row r="845" ht="15.75" customHeight="1" s="1264"/>
    <row r="846" ht="15.75" customHeight="1" s="1264"/>
    <row r="847" ht="15.75" customHeight="1" s="1264"/>
    <row r="848" ht="15.75" customHeight="1" s="1264"/>
    <row r="849" ht="15.75" customHeight="1" s="1264"/>
    <row r="850" ht="15.75" customHeight="1" s="1264"/>
    <row r="851" ht="15.75" customHeight="1" s="1264"/>
    <row r="852" ht="15.75" customHeight="1" s="1264"/>
    <row r="853" ht="15.75" customHeight="1" s="1264"/>
    <row r="854" ht="15.75" customHeight="1" s="1264"/>
    <row r="855" ht="15.75" customHeight="1" s="1264"/>
    <row r="856" ht="15.75" customHeight="1" s="1264"/>
    <row r="857" ht="15.75" customHeight="1" s="1264"/>
    <row r="858" ht="15.75" customHeight="1" s="1264"/>
    <row r="859" ht="15.75" customHeight="1" s="1264"/>
    <row r="860" ht="15.75" customHeight="1" s="1264"/>
    <row r="861" ht="15.75" customHeight="1" s="1264"/>
    <row r="862" ht="15.75" customHeight="1" s="1264"/>
    <row r="863" ht="15.75" customHeight="1" s="1264"/>
    <row r="864" ht="15.75" customHeight="1" s="1264"/>
    <row r="865" ht="15.75" customHeight="1" s="1264"/>
    <row r="866" ht="15.75" customHeight="1" s="1264"/>
    <row r="867" ht="15.75" customHeight="1" s="1264"/>
    <row r="868" ht="15.75" customHeight="1" s="1264"/>
    <row r="869" ht="15.75" customHeight="1" s="1264"/>
    <row r="870" ht="15.75" customHeight="1" s="1264"/>
    <row r="871" ht="15.75" customHeight="1" s="1264"/>
    <row r="872" ht="15.75" customHeight="1" s="1264"/>
    <row r="873" ht="15.75" customHeight="1" s="1264"/>
    <row r="874" ht="15.75" customHeight="1" s="1264"/>
    <row r="875" ht="15.75" customHeight="1" s="1264"/>
    <row r="876" ht="15.75" customHeight="1" s="1264"/>
    <row r="877" ht="15.75" customHeight="1" s="1264"/>
    <row r="878" ht="15.75" customHeight="1" s="1264"/>
    <row r="879" ht="15.75" customHeight="1" s="1264"/>
    <row r="880" ht="15.75" customHeight="1" s="1264"/>
    <row r="881" ht="15.75" customHeight="1" s="1264"/>
    <row r="882" ht="15.75" customHeight="1" s="1264"/>
    <row r="883" ht="15.75" customHeight="1" s="1264"/>
    <row r="884" ht="15.75" customHeight="1" s="1264"/>
    <row r="885" ht="15.75" customHeight="1" s="1264"/>
    <row r="886" ht="15.75" customHeight="1" s="1264"/>
    <row r="887" ht="15.75" customHeight="1" s="1264"/>
    <row r="888" ht="15.75" customHeight="1" s="1264"/>
    <row r="889" ht="15.75" customHeight="1" s="1264"/>
    <row r="890" ht="15.75" customHeight="1" s="1264"/>
    <row r="891" ht="15.75" customHeight="1" s="1264"/>
    <row r="892" ht="15.75" customHeight="1" s="1264"/>
    <row r="893" ht="15.75" customHeight="1" s="1264"/>
    <row r="894" ht="15.75" customHeight="1" s="1264"/>
    <row r="895" ht="15.75" customHeight="1" s="1264"/>
    <row r="896" ht="15.75" customHeight="1" s="1264"/>
    <row r="897" ht="15.75" customHeight="1" s="1264"/>
    <row r="898" ht="15.75" customHeight="1" s="1264"/>
    <row r="899" ht="15.75" customHeight="1" s="1264"/>
    <row r="900" ht="15.75" customHeight="1" s="1264"/>
    <row r="901" ht="15.75" customHeight="1" s="1264"/>
    <row r="902" ht="15.75" customHeight="1" s="1264"/>
    <row r="903" ht="15.75" customHeight="1" s="1264"/>
    <row r="904" ht="15.75" customHeight="1" s="1264"/>
    <row r="905" ht="15.75" customHeight="1" s="1264"/>
    <row r="906" ht="15.75" customHeight="1" s="1264"/>
    <row r="907" ht="15.75" customHeight="1" s="1264"/>
    <row r="908" ht="15.75" customHeight="1" s="1264"/>
    <row r="909" ht="15.75" customHeight="1" s="1264"/>
    <row r="910" ht="15.75" customHeight="1" s="1264"/>
    <row r="911" ht="15.75" customHeight="1" s="1264"/>
    <row r="912" ht="15.75" customHeight="1" s="1264"/>
    <row r="913" ht="15.75" customHeight="1" s="1264"/>
    <row r="914" ht="15.75" customHeight="1" s="1264"/>
    <row r="915" ht="15.75" customHeight="1" s="1264"/>
    <row r="916" ht="15.75" customHeight="1" s="1264"/>
    <row r="917" ht="15.75" customHeight="1" s="1264"/>
    <row r="918" ht="15.75" customHeight="1" s="1264"/>
    <row r="919" ht="15.75" customHeight="1" s="1264"/>
    <row r="920" ht="15.75" customHeight="1" s="1264"/>
    <row r="921" ht="15.75" customHeight="1" s="1264"/>
    <row r="922" ht="15.75" customHeight="1" s="1264"/>
    <row r="923" ht="15.75" customHeight="1" s="1264"/>
    <row r="924" ht="15.75" customHeight="1" s="1264"/>
    <row r="925" ht="15.75" customHeight="1" s="1264"/>
    <row r="926" ht="15.75" customHeight="1" s="1264"/>
    <row r="927" ht="15.75" customHeight="1" s="1264"/>
    <row r="928" ht="15.75" customHeight="1" s="1264"/>
    <row r="929" ht="15.75" customHeight="1" s="1264"/>
    <row r="930" ht="15.75" customHeight="1" s="1264"/>
    <row r="931" ht="15.75" customHeight="1" s="1264"/>
    <row r="932" ht="15.75" customHeight="1" s="1264"/>
    <row r="933" ht="15.75" customHeight="1" s="1264"/>
    <row r="934" ht="15.75" customHeight="1" s="1264"/>
    <row r="935" ht="15.75" customHeight="1" s="1264"/>
    <row r="936" ht="15.75" customHeight="1" s="1264"/>
    <row r="937" ht="15.75" customHeight="1" s="1264"/>
    <row r="938" ht="15.75" customHeight="1" s="1264"/>
    <row r="939" ht="15.75" customHeight="1" s="1264"/>
    <row r="940" ht="15.75" customHeight="1" s="1264"/>
    <row r="941" ht="15.75" customHeight="1" s="1264"/>
    <row r="942" ht="15.75" customHeight="1" s="1264"/>
    <row r="943" ht="15.75" customHeight="1" s="1264"/>
    <row r="944" ht="15.75" customHeight="1" s="1264"/>
    <row r="945" ht="15.75" customHeight="1" s="1264"/>
    <row r="946" ht="15.75" customHeight="1" s="1264"/>
    <row r="947" ht="15.75" customHeight="1" s="1264"/>
    <row r="948" ht="15.75" customHeight="1" s="1264"/>
    <row r="949" ht="15.75" customHeight="1" s="1264"/>
    <row r="950" ht="15.75" customHeight="1" s="1264"/>
    <row r="951" ht="15.75" customHeight="1" s="1264"/>
    <row r="952" ht="15.75" customHeight="1" s="1264"/>
    <row r="953" ht="15.75" customHeight="1" s="1264"/>
    <row r="954" ht="15.75" customHeight="1" s="1264"/>
    <row r="955" ht="15.75" customHeight="1" s="1264"/>
    <row r="956" ht="15.75" customHeight="1" s="1264"/>
    <row r="957" ht="15.75" customHeight="1" s="1264"/>
    <row r="958" ht="15.75" customHeight="1" s="1264"/>
    <row r="959" ht="15.75" customHeight="1" s="1264"/>
    <row r="960" ht="15.75" customHeight="1" s="1264"/>
    <row r="961" ht="15.75" customHeight="1" s="1264"/>
    <row r="962" ht="15.75" customHeight="1" s="1264"/>
    <row r="963" ht="15.75" customHeight="1" s="1264"/>
    <row r="964" ht="15.75" customHeight="1" s="1264"/>
    <row r="965" ht="15.75" customHeight="1" s="1264"/>
    <row r="966" ht="15.75" customHeight="1" s="1264"/>
    <row r="967" ht="15.75" customHeight="1" s="1264"/>
    <row r="968" ht="15.75" customHeight="1" s="1264"/>
    <row r="969" ht="15.75" customHeight="1" s="1264"/>
    <row r="970" ht="15.75" customHeight="1" s="1264"/>
    <row r="971" ht="15.75" customHeight="1" s="1264"/>
    <row r="972" ht="15.75" customHeight="1" s="1264"/>
    <row r="973" ht="15.75" customHeight="1" s="1264"/>
    <row r="974" ht="15.75" customHeight="1" s="1264"/>
    <row r="975" ht="15.75" customHeight="1" s="1264"/>
    <row r="976" ht="15.75" customHeight="1" s="1264"/>
    <row r="977" ht="15.75" customHeight="1" s="1264"/>
    <row r="978" ht="15.75" customHeight="1" s="1264"/>
    <row r="979" ht="15.75" customHeight="1" s="1264"/>
    <row r="980" ht="15.75" customHeight="1" s="1264"/>
    <row r="981" ht="15.75" customHeight="1" s="1264"/>
    <row r="982" ht="15.75" customHeight="1" s="1264"/>
    <row r="983" ht="15.75" customHeight="1" s="1264"/>
    <row r="984" ht="15.75" customHeight="1" s="1264"/>
    <row r="985" ht="15.75" customHeight="1" s="1264"/>
    <row r="986" ht="15.75" customHeight="1" s="1264"/>
    <row r="987" ht="15.75" customHeight="1" s="1264"/>
    <row r="988" ht="15.75" customHeight="1" s="1264"/>
    <row r="989" ht="15.75" customHeight="1" s="1264"/>
    <row r="990" ht="15.75" customHeight="1" s="1264"/>
    <row r="991" ht="15.75" customHeight="1" s="1264"/>
    <row r="992" ht="15.75" customHeight="1" s="1264"/>
    <row r="993" ht="15.75" customHeight="1" s="1264"/>
    <row r="994" ht="15.75" customHeight="1" s="1264"/>
    <row r="995" ht="15.75" customHeight="1" s="1264"/>
    <row r="996" ht="15.75" customHeight="1" s="1264"/>
    <row r="997" ht="15.75" customHeight="1" s="1264"/>
    <row r="998" ht="15.75" customHeight="1" s="1264"/>
    <row r="999" ht="15.75" customHeight="1" s="1264"/>
    <row r="1000" ht="15.75" customHeight="1" s="1264"/>
  </sheetData>
  <conditionalFormatting sqref="A2:A10">
    <cfRule type="cellIs" priority="5" operator="equal" dxfId="8">
      <formula>"Med service"</formula>
    </cfRule>
  </conditionalFormatting>
  <conditionalFormatting sqref="A14:A15">
    <cfRule type="cellIs" priority="7" operator="equal" dxfId="8">
      <formula>"Med service"</formula>
    </cfRule>
  </conditionalFormatting>
  <conditionalFormatting sqref="A21:A26">
    <cfRule type="cellIs" priority="8" operator="equal" dxfId="8">
      <formula>"Med service"</formula>
    </cfRule>
  </conditionalFormatting>
  <conditionalFormatting sqref="A29:A34">
    <cfRule type="cellIs" priority="9" operator="equal" dxfId="8">
      <formula>"Med service"</formula>
    </cfRule>
  </conditionalFormatting>
  <conditionalFormatting sqref="A36:A42">
    <cfRule type="cellIs" priority="10" operator="equal" dxfId="8">
      <formula>"Med service"</formula>
    </cfRule>
  </conditionalFormatting>
  <conditionalFormatting sqref="A44:A56">
    <cfRule type="cellIs" priority="13" operator="equal" dxfId="8">
      <formula>"Med service"</formula>
    </cfRule>
  </conditionalFormatting>
  <conditionalFormatting sqref="A60:S65">
    <cfRule type="beginsWith" priority="22" operator="beginsWith" dxfId="1" text="Tech">
      <formula>LEFT(A60,LEN("Tech"))="Tech"</formula>
    </cfRule>
    <cfRule type="beginsWith" priority="23" operator="beginsWith" dxfId="0" text="0">
      <formula>LEFT(A60,LEN("0"))="0"</formula>
    </cfRule>
  </conditionalFormatting>
  <conditionalFormatting sqref="A68:S74">
    <cfRule type="beginsWith" priority="24" operator="beginsWith" dxfId="1" text="Tech">
      <formula>LEFT(A68,LEN("Tech"))="Tech"</formula>
    </cfRule>
    <cfRule type="beginsWith" priority="25" operator="beginsWith" dxfId="0" text="0">
      <formula>LEFT(A68,LEN("0"))="0"</formula>
    </cfRule>
  </conditionalFormatting>
  <conditionalFormatting sqref="C80:F80">
    <cfRule type="beginsWith" priority="2" operator="beginsWith" dxfId="1" text="Tech">
      <formula>LEFT(C80,LEN("Tech"))="Tech"</formula>
    </cfRule>
  </conditionalFormatting>
  <conditionalFormatting sqref="G2:G6">
    <cfRule type="cellIs" priority="1" operator="equal" dxfId="9">
      <formula>0</formula>
    </cfRule>
  </conditionalFormatting>
  <conditionalFormatting sqref="G3:G6">
    <cfRule type="cellIs" priority="15" operator="equal" dxfId="8">
      <formula>"Med service"</formula>
    </cfRule>
  </conditionalFormatting>
  <conditionalFormatting sqref="G77:G83">
    <cfRule type="beginsWith" priority="16" operator="beginsWith" dxfId="0" text="0">
      <formula>LEFT(G77,LEN("0"))="0"</formula>
    </cfRule>
  </conditionalFormatting>
  <conditionalFormatting sqref="G77:G84">
    <cfRule type="beginsWith" priority="17" operator="beginsWith" dxfId="1" text="Tech">
      <formula>LEFT(G77,LEN("Tech"))="Tech"</formula>
    </cfRule>
  </conditionalFormatting>
  <conditionalFormatting sqref="H30:H34">
    <cfRule type="beginsWith" priority="18" operator="beginsWith" dxfId="1" text="tech">
      <formula>LEFT(H30,LEN("tech"))="tech"</formula>
    </cfRule>
    <cfRule type="beginsWith" priority="19" operator="beginsWith" dxfId="0" text="0">
      <formula>LEFT(H30,LEN("0"))="0"</formula>
    </cfRule>
  </conditionalFormatting>
  <conditionalFormatting sqref="H80:J80">
    <cfRule type="beginsWith" priority="3" operator="beginsWith" dxfId="0" text="0">
      <formula>LEFT(H80,LEN("0"))="0"</formula>
    </cfRule>
    <cfRule type="beginsWith" priority="4" operator="beginsWith" dxfId="1" text="Tech">
      <formula>LEFT(H80,LEN("Tech"))="Tech"</formula>
    </cfRule>
  </conditionalFormatting>
  <conditionalFormatting sqref="K3:T6">
    <cfRule type="beginsWith" priority="20" operator="beginsWith" dxfId="1" text="tech">
      <formula>LEFT(K3,LEN("tech"))="tech"</formula>
    </cfRule>
    <cfRule type="beginsWith" priority="21" operator="beginsWith" dxfId="0" text="0">
      <formula>LEFT(K3,LEN("0"))="0"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tabColor rgb="FF2F5496"/>
    <outlinePr summaryBelow="1" summaryRight="1"/>
    <pageSetUpPr/>
  </sheetPr>
  <dimension ref="A2:AL23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23.33203125" customWidth="1" style="1264" min="1" max="2"/>
    <col width="11.33203125" customWidth="1" style="1264" min="3" max="4"/>
    <col width="9.6640625" customWidth="1" style="1264" min="5" max="6"/>
    <col width="11.33203125" customWidth="1" style="1264" min="7" max="20"/>
    <col width="16" customWidth="1" style="1264" min="21" max="21"/>
    <col hidden="1" width="16" customWidth="1" style="1264" min="22" max="22"/>
    <col width="8.6640625" customWidth="1" style="1264" min="23" max="38"/>
  </cols>
  <sheetData>
    <row r="2" ht="27" customHeight="1" s="1264">
      <c r="A2" s="1292" t="inlineStr">
        <is>
          <t>Lương thỏa thuận CTV Kho</t>
        </is>
      </c>
    </row>
    <row r="3" ht="30" customHeight="1" s="1264">
      <c r="A3" s="1576" t="inlineStr">
        <is>
          <t>Tên CTV</t>
        </is>
      </c>
      <c r="B3" s="1576" t="inlineStr">
        <is>
          <t>Cty</t>
        </is>
      </c>
      <c r="C3" s="1577" t="inlineStr">
        <is>
          <t>Lương thỏa thuận / sản phẩm</t>
        </is>
      </c>
      <c r="D3" s="1578" t="n"/>
      <c r="E3" s="1578" t="n"/>
      <c r="F3" s="1578" t="n"/>
      <c r="G3" s="1579" t="n"/>
      <c r="H3" s="1301" t="inlineStr">
        <is>
          <t>TPCN - Ver 1+2</t>
        </is>
      </c>
      <c r="I3" s="1580" t="n"/>
      <c r="J3" s="1581" t="n"/>
      <c r="K3" s="1301" t="inlineStr">
        <is>
          <t>Mỹ phẩm</t>
        </is>
      </c>
      <c r="L3" s="1580" t="n"/>
      <c r="M3" s="1580" t="n"/>
      <c r="N3" s="1581" t="n"/>
      <c r="O3" s="1301" t="inlineStr">
        <is>
          <t>Hoạt chất</t>
        </is>
      </c>
      <c r="P3" s="1580" t="n"/>
      <c r="Q3" s="1581" t="n"/>
      <c r="R3" s="1" t="inlineStr">
        <is>
          <t>Gắn mã Khuyến mãi</t>
        </is>
      </c>
      <c r="S3" s="2" t="inlineStr">
        <is>
          <t>Đổi hình sản phẩm</t>
        </is>
      </c>
      <c r="T3" s="1582" t="inlineStr">
        <is>
          <t>Phụ cấp</t>
        </is>
      </c>
      <c r="U3" s="1583" t="inlineStr">
        <is>
          <t>Lương NET</t>
        </is>
      </c>
      <c r="V3" s="1584" t="inlineStr">
        <is>
          <t>Lương Gross</t>
        </is>
      </c>
    </row>
    <row r="4" ht="23.25" customHeight="1" s="1264">
      <c r="A4" s="1585" t="n"/>
      <c r="B4" s="1585" t="n"/>
      <c r="C4" s="1586" t="n">
        <v>6000</v>
      </c>
      <c r="D4" s="1586" t="n">
        <v>4000</v>
      </c>
      <c r="E4" s="1586" t="n">
        <v>500</v>
      </c>
      <c r="F4" s="1586" t="n">
        <v>300</v>
      </c>
      <c r="G4" s="1586" t="n">
        <v>-2000</v>
      </c>
      <c r="H4" s="1587" t="n">
        <v>100</v>
      </c>
      <c r="I4" s="1587" t="n">
        <v>300</v>
      </c>
      <c r="J4" s="1587" t="n">
        <v>800</v>
      </c>
      <c r="K4" s="1587" t="n">
        <v>200</v>
      </c>
      <c r="L4" s="1587" t="n">
        <v>100</v>
      </c>
      <c r="M4" s="1587" t="n">
        <v>300</v>
      </c>
      <c r="N4" s="1587" t="n">
        <v>800</v>
      </c>
      <c r="O4" s="1587" t="n">
        <v>3000</v>
      </c>
      <c r="P4" s="1587" t="n">
        <v>30000</v>
      </c>
      <c r="Q4" s="1587" t="n">
        <v>10000</v>
      </c>
      <c r="R4" s="1587" t="n">
        <v>500</v>
      </c>
      <c r="S4" s="1587" t="n">
        <v>1500</v>
      </c>
      <c r="T4" s="1588" t="n"/>
      <c r="U4" s="1589" t="n"/>
      <c r="V4" s="1590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23.25" customHeight="1" s="1264">
      <c r="A5" s="6" t="inlineStr">
        <is>
          <t xml:space="preserve">Tổng </t>
        </is>
      </c>
      <c r="B5" s="7" t="inlineStr">
        <is>
          <t>Medigo Software</t>
        </is>
      </c>
      <c r="C5" s="8" t="n"/>
      <c r="D5" s="8" t="n"/>
      <c r="E5" s="8" t="n"/>
      <c r="F5" s="8" t="n"/>
      <c r="G5" s="8" t="n"/>
      <c r="H5" s="1591" t="n"/>
      <c r="I5" s="1591" t="n"/>
      <c r="J5" s="1591" t="n"/>
      <c r="K5" s="1591" t="n"/>
      <c r="L5" s="1591" t="n"/>
      <c r="M5" s="1591" t="n"/>
      <c r="N5" s="1591" t="n"/>
      <c r="O5" s="1591" t="n"/>
      <c r="P5" s="1591" t="n"/>
      <c r="Q5" s="1591" t="n"/>
      <c r="R5" s="1591" t="n"/>
      <c r="S5" s="1591" t="n"/>
      <c r="T5" s="1591">
        <f>SUBTOTAL(9,T6:T19)</f>
        <v/>
      </c>
      <c r="U5" s="1592">
        <f>SUBTOTAL(9,U6:U20)</f>
        <v/>
      </c>
      <c r="V5" s="1592">
        <f>SUBTOTAL(9,V6:V20)</f>
        <v/>
      </c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23.25" customHeight="1" s="1264">
      <c r="A6" s="11" t="inlineStr">
        <is>
          <t>Bùi Đức Lương</t>
        </is>
      </c>
      <c r="B6" s="7" t="inlineStr">
        <is>
          <t>Medigo Software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3">
        <f>C$4*$C6+D$4*$D6+E$4*$E6+F$4*$F6+G$4*$G6+H$4*$H6+I$4*$I6+J$4*$J6+K$4*$K6+L$4*$L6+M$4*$M6+N$4*$N6+O$4*$O6+P$4*$P6+Q$4*$Q6+R$4*$R6+S$4*$S6+T6</f>
        <v/>
      </c>
      <c r="V6" s="14">
        <f>+U6/0.9</f>
        <v/>
      </c>
    </row>
    <row r="7" ht="23.25" customHeight="1" s="1264">
      <c r="A7" s="11" t="inlineStr">
        <is>
          <t>Vũ Công Thành</t>
        </is>
      </c>
      <c r="B7" s="7" t="inlineStr">
        <is>
          <t>Medigo Software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3">
        <f>C$4*$C7+D$4*$D7+E$4*$E7+F$4*$F7+G$4*$G7+H$4*$H7+I$4*$I7+J$4*$J7+K$4*$K7+L$4*$L7+M$4*$M7+N$4*$N7+O$4*$O7+P$4*$P7+Q$4*$Q7+R$4*$R7+S$4*$S7+T7</f>
        <v/>
      </c>
      <c r="V7" s="14">
        <f>+U7/0.9</f>
        <v/>
      </c>
    </row>
    <row r="8" ht="23.25" customHeight="1" s="1264">
      <c r="A8" s="11" t="inlineStr">
        <is>
          <t>Mai Thanh Phương</t>
        </is>
      </c>
      <c r="B8" s="7" t="inlineStr">
        <is>
          <t>Medigo Software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3">
        <f>C$4*$C8+D$4*$D8+E$4*$E8+F$4*$F8+G$4*$G8+H$4*$H8+I$4*$I8+J$4*$J8+K$4*$K8+L$4*$L8+M$4*$M8+N$4*$N8+O$4*$O8+P$4*$P8+Q$4*$Q8+R$4*$R8+S$4*$S8+T8</f>
        <v/>
      </c>
      <c r="V8" s="14">
        <f>+U8/0.9</f>
        <v/>
      </c>
    </row>
    <row r="9" ht="23.25" customHeight="1" s="1264">
      <c r="A9" s="11" t="inlineStr">
        <is>
          <t>Huỳnh Thanh Thái</t>
        </is>
      </c>
      <c r="B9" s="7" t="inlineStr">
        <is>
          <t>Medigo Software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3">
        <f>C$4*$C9+D$4*$D9+E$4*$E9+F$4*$F9+G$4*$G9+H$4*$H9+I$4*$I9+J$4*$J9+K$4*$K9+L$4*$L9+M$4*$M9+N$4*$N9+O$4*$O9+P$4*$P9+Q$4*$Q9+R$4*$R9+S$4*$S9+T9</f>
        <v/>
      </c>
      <c r="V9" s="14">
        <f>+U9/0.9</f>
        <v/>
      </c>
    </row>
    <row r="10" ht="23.25" customHeight="1" s="1264">
      <c r="A10" s="11" t="inlineStr">
        <is>
          <t>Lê Ngọc Hoàng Trang</t>
        </is>
      </c>
      <c r="B10" s="7" t="inlineStr">
        <is>
          <t>Medigo Software</t>
        </is>
      </c>
      <c r="C10" s="12" t="n">
        <v>6</v>
      </c>
      <c r="D10" s="12" t="n">
        <v>17</v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3">
        <f>C$4*$C10+D$4*$D10+E$4*$E10+F$4*$F10+G$4*$G10+H$4*$H10+I$4*$I10+J$4*$J10+K$4*$K10+L$4*$L10+M$4*$M10+N$4*$N10+O$4*$O10+P$4*$P10+Q$4*$Q10+R$4*$R10+S$4*$S10+T10</f>
        <v/>
      </c>
      <c r="V10" s="14">
        <f>+U10/0.9</f>
        <v/>
      </c>
    </row>
    <row r="11" ht="23.25" customHeight="1" s="1264">
      <c r="A11" s="11" t="inlineStr">
        <is>
          <t>Nguyễn Thị Thanh Tâm</t>
        </is>
      </c>
      <c r="B11" s="7" t="inlineStr">
        <is>
          <t>Medigo Software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3">
        <f>C$4*$C11+D$4*$D11+E$4*$E11+F$4*$F11+G$4*$G11+H$4*$H11+I$4*$I11+J$4*$J11+K$4*$K11+L$4*$L11+M$4*$M11+N$4*$N11+O$4*$O11+P$4*$P11+Q$4*$Q11+R$4*$R11+S$4*$S11+T11</f>
        <v/>
      </c>
      <c r="V11" s="14">
        <f>+U11/0.9</f>
        <v/>
      </c>
    </row>
    <row r="12" ht="23.25" customHeight="1" s="1264">
      <c r="A12" s="11" t="inlineStr">
        <is>
          <t>Lê Trương Thảo Vy</t>
        </is>
      </c>
      <c r="B12" s="7" t="inlineStr">
        <is>
          <t>Medigo Software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3">
        <f>C$4*$C12+D$4*$D12+E$4*$E12+F$4*$F12+G$4*$G12+H$4*$H12+I$4*$I12+J$4*$J12+K$4*$K12+L$4*$L12+M$4*$M12+N$4*$N12+O$4*$O12+P$4*$P12+Q$4*$Q12+R$4*$R12+S$4*$S12+T12</f>
        <v/>
      </c>
      <c r="V12" s="14">
        <f>+U12/0.9</f>
        <v/>
      </c>
    </row>
    <row r="13" ht="23.25" customHeight="1" s="1264">
      <c r="A13" s="11" t="inlineStr">
        <is>
          <t>Nguyễn Thị Thanh Thuý</t>
        </is>
      </c>
      <c r="B13" s="7" t="inlineStr">
        <is>
          <t>Medigo Software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3">
        <f>C$4*$C13+D$4*$D13+E$4*$E13+F$4*$F13+G$4*$G13+H$4*$H13+I$4*$I13+J$4*$J13+K$4*$K13+L$4*$L13+M$4*$M13+N$4*$N13+O$4*$O13+P$4*$P13+Q$4*$Q13+R$4*$R13+S$4*$S13+T13</f>
        <v/>
      </c>
      <c r="V13" s="14">
        <f>+U13/0.9</f>
        <v/>
      </c>
    </row>
    <row r="14" ht="23.25" customHeight="1" s="1264">
      <c r="A14" s="11" t="inlineStr">
        <is>
          <t>Nguyễn Thị Quỳnh Như</t>
        </is>
      </c>
      <c r="B14" s="7" t="inlineStr">
        <is>
          <t>Medigo Software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3">
        <f>C$4*$C14+D$4*$D14+E$4*$E14+F$4*$F14+G$4*$G14+H$4*$H14+I$4*$I14+J$4*$J14+K$4*$K14+L$4*$L14+M$4*$M14+N$4*$N14+O$4*$O14+P$4*$P14+Q$4*$Q14+R$4*$R14+S$4*$S14+T14</f>
        <v/>
      </c>
      <c r="V14" s="14">
        <f>+U14/0.9</f>
        <v/>
      </c>
    </row>
    <row r="15" ht="23.25" customHeight="1" s="1264">
      <c r="A15" s="11" t="inlineStr">
        <is>
          <t>Trần Thiện Quyền</t>
        </is>
      </c>
      <c r="B15" s="7" t="inlineStr">
        <is>
          <t>Medigo Software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3">
        <f>C$4*$C15+D$4*$D15+E$4*$E15+F$4*$F15+G$4*$G15+H$4*$H15+I$4*$I15+J$4*$J15+K$4*$K15+L$4*$L15+M$4*$M15+N$4*$N15+O$4*$O15+P$4*$P15+Q$4*$Q15+R$4*$R15+S$4*$S15+T15</f>
        <v/>
      </c>
      <c r="V15" s="14">
        <f>+U15/0.9</f>
        <v/>
      </c>
    </row>
    <row r="16" ht="23.25" customHeight="1" s="1264">
      <c r="A16" s="11" t="n"/>
      <c r="B16" s="7" t="inlineStr">
        <is>
          <t>Medigo Software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3">
        <f>C$4*$C16+D$4*$D16+E$4*$E16+F$4*$F16+G$4*$G16+H$4*$H16+I$4*$I16+J$4*$J16+K$4*$K16+L$4*$L16+M$4*$M16+N$4*$N16+O$4*$O16+P$4*$P16+Q$4*$Q16+R$4*$R16+S$4*$S16+T16</f>
        <v/>
      </c>
      <c r="V16" s="14">
        <f>+U16/0.9</f>
        <v/>
      </c>
    </row>
    <row r="17" ht="23.25" customHeight="1" s="1264">
      <c r="A17" s="11" t="inlineStr">
        <is>
          <t>Nguyễn Lâm Ngọc Hiền</t>
        </is>
      </c>
      <c r="B17" s="7" t="inlineStr">
        <is>
          <t>Medigo Software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3">
        <f>C$4*$C17+D$4*$D17+E$4*$E17+F$4*$F17+G$4*$G17+H$4*$H17+I$4*$I17+J$4*$J17+K$4*$K17+L$4*$L17+M$4*$M17+N$4*$N17+O$4*$O17+P$4*$P17+Q$4*$Q17+R$4*$R17+S$4*$S17+T17</f>
        <v/>
      </c>
      <c r="V17" s="14">
        <f>+U17/0.9</f>
        <v/>
      </c>
    </row>
    <row r="18" ht="23.25" customHeight="1" s="1264">
      <c r="A18" s="15" t="inlineStr">
        <is>
          <t>Nguyễn Lê Linh Phụng</t>
        </is>
      </c>
      <c r="B18" s="7" t="inlineStr">
        <is>
          <t>Medigo Software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3">
        <f>C$4*$C18+D$4*$D18+E$4*$E18+F$4*$F18+G$4*$G18+H$4*$H18+I$4*$I18+J$4*$J18+K$4*$K18+L$4*$L18+M$4*$M18+N$4*$N18+O$4*$O18+P$4*$P18+Q$4*$Q18+R$4*$R18+S$4*$S18+T18</f>
        <v/>
      </c>
      <c r="V18" s="14">
        <f>+U18/0.9</f>
        <v/>
      </c>
    </row>
    <row r="19" ht="23.25" customHeight="1" s="1264">
      <c r="A19" s="15" t="inlineStr">
        <is>
          <t>Phan Thảo Hiền</t>
        </is>
      </c>
      <c r="B19" s="7" t="inlineStr">
        <is>
          <t>Medigo Software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3">
        <f>C$4*$C19+D$4*$D19+E$4*$E19+F$4*$F19+G$4*$G19+H$4*$H19+I$4*$I19+J$4*$J19+K$4*$K19+L$4*$L19+M$4*$M19+N$4*$N19+O$4*$O19+P$4*$P19+Q$4*$Q19+R$4*$R19+S$4*$S19+T19</f>
        <v/>
      </c>
      <c r="V19" s="14">
        <f>+U19/0.9</f>
        <v/>
      </c>
    </row>
    <row r="20" ht="23.25" customHeight="1" s="1264">
      <c r="A20" s="17" t="n"/>
      <c r="B20" s="7" t="inlineStr">
        <is>
          <t>Medigo Software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3">
        <f>C$4*$C20+D$4*$D20+E$4*$E20+F$4*$F20+G$4*$G20+H$4*$H20+I$4*$I20+J$4*$J20+K$4*$K20+L$4*$L20+M$4*$M20+N$4*$N20+O$4*$O20+P$4*$P20+Q$4*$Q20+R$4*$R20+S$4*$S20+T20</f>
        <v/>
      </c>
      <c r="V20" s="14">
        <f>+U20/0.9</f>
        <v/>
      </c>
    </row>
    <row r="21" ht="23.25" customHeight="1" s="1264">
      <c r="A21" s="19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2" t="n"/>
      <c r="V21" s="23" t="n"/>
    </row>
    <row r="22" ht="15.75" customHeight="1" s="1264"/>
    <row r="23" ht="15.75" customHeight="1" s="1264">
      <c r="A23" s="24" t="n">
        <v>1</v>
      </c>
      <c r="B23" s="24">
        <f>A23+1</f>
        <v/>
      </c>
      <c r="C23" s="24">
        <f>B23+1</f>
        <v/>
      </c>
      <c r="D23" s="24">
        <f>C23+1</f>
        <v/>
      </c>
      <c r="E23" s="24">
        <f>D23+1</f>
        <v/>
      </c>
      <c r="F23" s="24">
        <f>E23+1</f>
        <v/>
      </c>
      <c r="G23" s="24">
        <f>F23+1</f>
        <v/>
      </c>
      <c r="H23" s="24">
        <f>G23+1</f>
        <v/>
      </c>
      <c r="I23" s="24">
        <f>H23+1</f>
        <v/>
      </c>
      <c r="J23" s="24">
        <f>I23+1</f>
        <v/>
      </c>
      <c r="K23" s="24">
        <f>J23+1</f>
        <v/>
      </c>
      <c r="L23" s="24">
        <f>K23+1</f>
        <v/>
      </c>
      <c r="M23" s="24">
        <f>L23+1</f>
        <v/>
      </c>
      <c r="N23" s="24">
        <f>M23+1</f>
        <v/>
      </c>
      <c r="O23" s="24">
        <f>N23+1</f>
        <v/>
      </c>
      <c r="P23" s="24">
        <f>O23+1</f>
        <v/>
      </c>
      <c r="Q23" s="24">
        <f>P23+1</f>
        <v/>
      </c>
      <c r="R23" s="24">
        <f>Q23+1</f>
        <v/>
      </c>
      <c r="S23" s="24" t="n">
        <v>19</v>
      </c>
      <c r="T23" s="24" t="n">
        <v>20</v>
      </c>
      <c r="U23" s="24" t="n">
        <v>21</v>
      </c>
      <c r="V23" s="24">
        <f>U23+1</f>
        <v/>
      </c>
    </row>
    <row r="24" ht="15.75" customHeight="1" s="1264"/>
    <row r="25" ht="15.75" customHeight="1" s="1264"/>
    <row r="26" ht="15.75" customHeight="1" s="1264"/>
    <row r="27" ht="15.75" customHeight="1" s="1264"/>
    <row r="28" ht="15.75" customHeight="1" s="1264"/>
    <row r="29" ht="15.75" customHeight="1" s="1264"/>
    <row r="30" ht="15.75" customHeight="1" s="1264"/>
    <row r="31" ht="15.75" customHeight="1" s="1264"/>
    <row r="32" ht="15.75" customHeight="1" s="1264"/>
    <row r="33" ht="15.75" customHeight="1" s="1264"/>
    <row r="34" ht="15.75" customHeight="1" s="1264"/>
    <row r="35" ht="15.75" customHeight="1" s="1264"/>
    <row r="36" ht="15.75" customHeight="1" s="1264"/>
    <row r="37" ht="15.75" customHeight="1" s="1264"/>
    <row r="38" ht="15.75" customHeight="1" s="1264"/>
    <row r="39" ht="15.75" customHeight="1" s="1264"/>
    <row r="40" ht="15.75" customHeight="1" s="1264"/>
    <row r="41" ht="15.75" customHeight="1" s="1264"/>
    <row r="42" ht="15.75" customHeight="1" s="1264"/>
    <row r="43" ht="15.75" customHeight="1" s="1264"/>
    <row r="44" ht="15.75" customHeight="1" s="1264"/>
    <row r="45" ht="15.75" customHeight="1" s="1264"/>
    <row r="46" ht="15.75" customHeight="1" s="1264"/>
    <row r="47" ht="15.75" customHeight="1" s="1264"/>
    <row r="48" ht="15.75" customHeight="1" s="1264"/>
    <row r="49" ht="15.75" customHeight="1" s="1264"/>
    <row r="50" ht="15.75" customHeight="1" s="1264"/>
    <row r="51" ht="15.75" customHeight="1" s="1264"/>
    <row r="52" ht="15.75" customHeight="1" s="1264"/>
    <row r="53" ht="15.75" customHeight="1" s="1264"/>
    <row r="54" ht="15.75" customHeight="1" s="1264"/>
    <row r="55" ht="15.75" customHeight="1" s="1264"/>
    <row r="56" ht="15.75" customHeight="1" s="1264"/>
    <row r="57" ht="15.75" customHeight="1" s="1264"/>
    <row r="58" ht="15.75" customHeight="1" s="1264"/>
    <row r="59" ht="15.75" customHeight="1" s="1264"/>
    <row r="60" ht="15.75" customHeight="1" s="1264"/>
    <row r="61" ht="15.75" customHeight="1" s="1264"/>
    <row r="62" ht="15.75" customHeight="1" s="1264"/>
    <row r="63" ht="15.75" customHeight="1" s="1264"/>
    <row r="64" ht="15.75" customHeight="1" s="1264"/>
    <row r="65" ht="15.75" customHeight="1" s="1264"/>
    <row r="66" ht="15.75" customHeight="1" s="1264"/>
    <row r="67" ht="15.75" customHeight="1" s="1264"/>
    <row r="68" ht="15.75" customHeight="1" s="1264"/>
    <row r="69" ht="15.75" customHeight="1" s="1264"/>
    <row r="70" ht="15.75" customHeight="1" s="1264"/>
    <row r="71" ht="15.75" customHeight="1" s="1264"/>
    <row r="72" ht="15.75" customHeight="1" s="1264"/>
    <row r="73" ht="15.75" customHeight="1" s="1264"/>
    <row r="74" ht="15.75" customHeight="1" s="1264"/>
    <row r="75" ht="15.75" customHeight="1" s="1264"/>
    <row r="76" ht="15.75" customHeight="1" s="1264"/>
    <row r="77" ht="15.75" customHeight="1" s="1264"/>
    <row r="78" ht="15.75" customHeight="1" s="1264"/>
    <row r="79" ht="15.75" customHeight="1" s="1264"/>
    <row r="80" ht="15.75" customHeight="1" s="1264"/>
    <row r="81" ht="15.75" customHeight="1" s="1264"/>
    <row r="82" ht="15.75" customHeight="1" s="1264"/>
    <row r="83" ht="15.75" customHeight="1" s="1264"/>
    <row r="84" ht="15.75" customHeight="1" s="1264"/>
    <row r="85" ht="15.75" customHeight="1" s="1264"/>
    <row r="86" ht="15.75" customHeight="1" s="1264"/>
    <row r="87" ht="15.75" customHeight="1" s="1264"/>
    <row r="88" ht="15.75" customHeight="1" s="1264"/>
    <row r="89" ht="15.75" customHeight="1" s="1264"/>
    <row r="90" ht="15.75" customHeight="1" s="1264"/>
    <row r="91" ht="15.75" customHeight="1" s="1264"/>
    <row r="92" ht="15.75" customHeight="1" s="1264"/>
    <row r="93" ht="15.75" customHeight="1" s="1264"/>
    <row r="94" ht="15.75" customHeight="1" s="1264"/>
    <row r="95" ht="15.75" customHeight="1" s="1264"/>
    <row r="96" ht="15.75" customHeight="1" s="1264"/>
    <row r="97" ht="15.75" customHeight="1" s="1264"/>
    <row r="98" ht="15.75" customHeight="1" s="1264"/>
    <row r="99" ht="15.75" customHeight="1" s="1264"/>
    <row r="100" ht="15.75" customHeight="1" s="1264"/>
    <row r="101" ht="15.75" customHeight="1" s="1264"/>
    <row r="102" ht="15.75" customHeight="1" s="1264"/>
    <row r="103" ht="15.75" customHeight="1" s="1264"/>
    <row r="104" ht="15.75" customHeight="1" s="1264"/>
    <row r="105" ht="15.75" customHeight="1" s="1264"/>
    <row r="106" ht="15.75" customHeight="1" s="1264"/>
    <row r="107" ht="15.75" customHeight="1" s="1264"/>
    <row r="108" ht="15.75" customHeight="1" s="1264"/>
    <row r="109" ht="15.75" customHeight="1" s="1264"/>
    <row r="110" ht="15.75" customHeight="1" s="1264"/>
    <row r="111" ht="15.75" customHeight="1" s="1264"/>
    <row r="112" ht="15.75" customHeight="1" s="1264"/>
    <row r="113" ht="15.75" customHeight="1" s="1264"/>
    <row r="114" ht="15.75" customHeight="1" s="1264"/>
    <row r="115" ht="15.75" customHeight="1" s="1264"/>
    <row r="116" ht="15.75" customHeight="1" s="1264"/>
    <row r="117" ht="15.75" customHeight="1" s="1264"/>
    <row r="118" ht="15.75" customHeight="1" s="1264"/>
    <row r="119" ht="15.75" customHeight="1" s="1264"/>
    <row r="120" ht="15.75" customHeight="1" s="1264"/>
    <row r="121" ht="15.75" customHeight="1" s="1264"/>
    <row r="122" ht="15.75" customHeight="1" s="1264"/>
    <row r="123" ht="15.75" customHeight="1" s="1264"/>
    <row r="124" ht="15.75" customHeight="1" s="1264"/>
    <row r="125" ht="15.75" customHeight="1" s="1264"/>
    <row r="126" ht="15.75" customHeight="1" s="1264"/>
    <row r="127" ht="15.75" customHeight="1" s="1264"/>
    <row r="128" ht="15.75" customHeight="1" s="1264"/>
    <row r="129" ht="15.75" customHeight="1" s="1264"/>
    <row r="130" ht="15.75" customHeight="1" s="1264"/>
    <row r="131" ht="15.75" customHeight="1" s="1264"/>
    <row r="132" ht="15.75" customHeight="1" s="1264"/>
    <row r="133" ht="15.75" customHeight="1" s="1264"/>
    <row r="134" ht="15.75" customHeight="1" s="1264"/>
    <row r="135" ht="15.75" customHeight="1" s="1264"/>
    <row r="136" ht="15.75" customHeight="1" s="1264"/>
    <row r="137" ht="15.75" customHeight="1" s="1264"/>
    <row r="138" ht="15.75" customHeight="1" s="1264"/>
    <row r="139" ht="15.75" customHeight="1" s="1264"/>
    <row r="140" ht="15.75" customHeight="1" s="1264"/>
    <row r="141" ht="15.75" customHeight="1" s="1264"/>
    <row r="142" ht="15.75" customHeight="1" s="1264"/>
    <row r="143" ht="15.75" customHeight="1" s="1264"/>
    <row r="144" ht="15.75" customHeight="1" s="1264"/>
    <row r="145" ht="15.75" customHeight="1" s="1264"/>
    <row r="146" ht="15.75" customHeight="1" s="1264"/>
    <row r="147" ht="15.75" customHeight="1" s="1264"/>
    <row r="148" ht="15.75" customHeight="1" s="1264"/>
    <row r="149" ht="15.75" customHeight="1" s="1264"/>
    <row r="150" ht="15.75" customHeight="1" s="1264"/>
    <row r="151" ht="15.75" customHeight="1" s="1264"/>
    <row r="152" ht="15.75" customHeight="1" s="1264"/>
    <row r="153" ht="15.75" customHeight="1" s="1264"/>
    <row r="154" ht="15.75" customHeight="1" s="1264"/>
    <row r="155" ht="15.75" customHeight="1" s="1264"/>
    <row r="156" ht="15.75" customHeight="1" s="1264"/>
    <row r="157" ht="15.75" customHeight="1" s="1264"/>
    <row r="158" ht="15.75" customHeight="1" s="1264"/>
    <row r="159" ht="15.75" customHeight="1" s="1264"/>
    <row r="160" ht="15.75" customHeight="1" s="1264"/>
    <row r="161" ht="15.75" customHeight="1" s="1264"/>
    <row r="162" ht="15.75" customHeight="1" s="1264"/>
    <row r="163" ht="15.75" customHeight="1" s="1264"/>
    <row r="164" ht="15.75" customHeight="1" s="1264"/>
    <row r="165" ht="15.75" customHeight="1" s="1264"/>
    <row r="166" ht="15.75" customHeight="1" s="1264"/>
    <row r="167" ht="15.75" customHeight="1" s="1264"/>
    <row r="168" ht="15.75" customHeight="1" s="1264"/>
    <row r="169" ht="15.75" customHeight="1" s="1264"/>
    <row r="170" ht="15.75" customHeight="1" s="1264"/>
    <row r="171" ht="15.75" customHeight="1" s="1264"/>
    <row r="172" ht="15.75" customHeight="1" s="1264"/>
    <row r="173" ht="15.75" customHeight="1" s="1264"/>
    <row r="174" ht="15.75" customHeight="1" s="1264"/>
    <row r="175" ht="15.75" customHeight="1" s="1264"/>
    <row r="176" ht="15.75" customHeight="1" s="1264"/>
    <row r="177" ht="15.75" customHeight="1" s="1264"/>
    <row r="178" ht="15.75" customHeight="1" s="1264"/>
    <row r="179" ht="15.75" customHeight="1" s="1264"/>
    <row r="180" ht="15.75" customHeight="1" s="1264"/>
    <row r="181" ht="15.75" customHeight="1" s="1264"/>
    <row r="182" ht="15.75" customHeight="1" s="1264"/>
    <row r="183" ht="15.75" customHeight="1" s="1264"/>
    <row r="184" ht="15.75" customHeight="1" s="1264"/>
    <row r="185" ht="15.75" customHeight="1" s="1264"/>
    <row r="186" ht="15.75" customHeight="1" s="1264"/>
    <row r="187" ht="15.75" customHeight="1" s="1264"/>
    <row r="188" ht="15.75" customHeight="1" s="1264"/>
    <row r="189" ht="15.75" customHeight="1" s="1264"/>
    <row r="190" ht="15.75" customHeight="1" s="1264"/>
    <row r="191" ht="15.75" customHeight="1" s="1264"/>
    <row r="192" ht="15.75" customHeight="1" s="1264"/>
    <row r="193" ht="15.75" customHeight="1" s="1264"/>
    <row r="194" ht="15.75" customHeight="1" s="1264"/>
    <row r="195" ht="15.75" customHeight="1" s="1264"/>
    <row r="196" ht="15.75" customHeight="1" s="1264"/>
    <row r="197" ht="15.75" customHeight="1" s="1264"/>
    <row r="198" ht="15.75" customHeight="1" s="1264"/>
    <row r="199" ht="15.75" customHeight="1" s="1264"/>
    <row r="200" ht="15.75" customHeight="1" s="1264"/>
    <row r="201" ht="15.75" customHeight="1" s="1264"/>
    <row r="202" ht="15.75" customHeight="1" s="1264"/>
    <row r="203" ht="15.75" customHeight="1" s="1264"/>
    <row r="204" ht="15.75" customHeight="1" s="1264"/>
    <row r="205" ht="15.75" customHeight="1" s="1264"/>
    <row r="206" ht="15.75" customHeight="1" s="1264"/>
    <row r="207" ht="15.75" customHeight="1" s="1264"/>
    <row r="208" ht="15.75" customHeight="1" s="1264"/>
    <row r="209" ht="15.75" customHeight="1" s="1264"/>
    <row r="210" ht="15.75" customHeight="1" s="1264"/>
    <row r="211" ht="15.75" customHeight="1" s="1264"/>
    <row r="212" ht="15.75" customHeight="1" s="1264"/>
    <row r="213" ht="15.75" customHeight="1" s="1264"/>
    <row r="214" ht="15.75" customHeight="1" s="1264"/>
    <row r="215" ht="15.75" customHeight="1" s="1264"/>
    <row r="216" ht="15.75" customHeight="1" s="1264"/>
    <row r="217" ht="15.75" customHeight="1" s="1264"/>
    <row r="218" ht="15.75" customHeight="1" s="1264"/>
    <row r="219" ht="15.75" customHeight="1" s="1264"/>
    <row r="220" ht="15.75" customHeight="1" s="1264"/>
    <row r="221" ht="15.75" customHeight="1" s="1264"/>
    <row r="222" ht="15.75" customHeight="1" s="1264"/>
    <row r="223" ht="15.75" customHeight="1" s="1264"/>
    <row r="224" ht="15.75" customHeight="1" s="1264"/>
    <row r="225" ht="15.75" customHeight="1" s="1264"/>
    <row r="226" ht="15.75" customHeight="1" s="1264"/>
    <row r="227" ht="15.75" customHeight="1" s="1264"/>
    <row r="228" ht="15.75" customHeight="1" s="1264"/>
    <row r="229" ht="15.75" customHeight="1" s="1264"/>
    <row r="230" ht="15.75" customHeight="1" s="1264"/>
    <row r="231" ht="15.75" customHeight="1" s="1264"/>
    <row r="232" ht="15.75" customHeight="1" s="1264"/>
    <row r="233" ht="15.75" customHeight="1" s="1264"/>
    <row r="234" ht="15.75" customHeight="1" s="1264"/>
    <row r="235" ht="15.75" customHeight="1" s="1264"/>
    <row r="236" ht="15.75" customHeight="1" s="1264"/>
    <row r="237" ht="15.75" customHeight="1" s="1264"/>
    <row r="238" ht="15.75" customHeight="1" s="1264"/>
    <row r="239" ht="15.75" customHeight="1" s="1264"/>
    <row r="240" ht="15.75" customHeight="1" s="1264"/>
    <row r="241" ht="15.75" customHeight="1" s="1264"/>
    <row r="242" ht="15.75" customHeight="1" s="1264"/>
    <row r="243" ht="15.75" customHeight="1" s="1264"/>
    <row r="244" ht="15.75" customHeight="1" s="1264"/>
    <row r="245" ht="15.75" customHeight="1" s="1264"/>
    <row r="246" ht="15.75" customHeight="1" s="1264"/>
    <row r="247" ht="15.75" customHeight="1" s="1264"/>
    <row r="248" ht="15.75" customHeight="1" s="1264"/>
    <row r="249" ht="15.75" customHeight="1" s="1264"/>
    <row r="250" ht="15.75" customHeight="1" s="1264"/>
    <row r="251" ht="15.75" customHeight="1" s="1264"/>
    <row r="252" ht="15.75" customHeight="1" s="1264"/>
    <row r="253" ht="15.75" customHeight="1" s="1264"/>
    <row r="254" ht="15.75" customHeight="1" s="1264"/>
    <row r="255" ht="15.75" customHeight="1" s="1264"/>
    <row r="256" ht="15.75" customHeight="1" s="1264"/>
    <row r="257" ht="15.75" customHeight="1" s="1264"/>
    <row r="258" ht="15.75" customHeight="1" s="1264"/>
    <row r="259" ht="15.75" customHeight="1" s="1264"/>
    <row r="260" ht="15.75" customHeight="1" s="1264"/>
    <row r="261" ht="15.75" customHeight="1" s="1264"/>
    <row r="262" ht="15.75" customHeight="1" s="1264"/>
    <row r="263" ht="15.75" customHeight="1" s="1264"/>
    <row r="264" ht="15.75" customHeight="1" s="1264"/>
    <row r="265" ht="15.75" customHeight="1" s="1264"/>
    <row r="266" ht="15.75" customHeight="1" s="1264"/>
    <row r="267" ht="15.75" customHeight="1" s="1264"/>
    <row r="268" ht="15.75" customHeight="1" s="1264"/>
    <row r="269" ht="15.75" customHeight="1" s="1264"/>
    <row r="270" ht="15.75" customHeight="1" s="1264"/>
    <row r="271" ht="15.75" customHeight="1" s="1264"/>
    <row r="272" ht="15.75" customHeight="1" s="1264"/>
    <row r="273" ht="15.75" customHeight="1" s="1264"/>
    <row r="274" ht="15.75" customHeight="1" s="1264"/>
    <row r="275" ht="15.75" customHeight="1" s="1264"/>
    <row r="276" ht="15.75" customHeight="1" s="1264"/>
    <row r="277" ht="15.75" customHeight="1" s="1264"/>
    <row r="278" ht="15.75" customHeight="1" s="1264"/>
    <row r="279" ht="15.75" customHeight="1" s="1264"/>
    <row r="280" ht="15.75" customHeight="1" s="1264"/>
    <row r="281" ht="15.75" customHeight="1" s="1264"/>
    <row r="282" ht="15.75" customHeight="1" s="1264"/>
    <row r="283" ht="15.75" customHeight="1" s="1264"/>
    <row r="284" ht="15.75" customHeight="1" s="1264"/>
    <row r="285" ht="15.75" customHeight="1" s="1264"/>
    <row r="286" ht="15.75" customHeight="1" s="1264"/>
    <row r="287" ht="15.75" customHeight="1" s="1264"/>
    <row r="288" ht="15.75" customHeight="1" s="1264"/>
    <row r="289" ht="15.75" customHeight="1" s="1264"/>
    <row r="290" ht="15.75" customHeight="1" s="1264"/>
    <row r="291" ht="15.75" customHeight="1" s="1264"/>
    <row r="292" ht="15.75" customHeight="1" s="1264"/>
    <row r="293" ht="15.75" customHeight="1" s="1264"/>
    <row r="294" ht="15.75" customHeight="1" s="1264"/>
    <row r="295" ht="15.75" customHeight="1" s="1264"/>
    <row r="296" ht="15.75" customHeight="1" s="1264"/>
    <row r="297" ht="15.75" customHeight="1" s="1264"/>
    <row r="298" ht="15.75" customHeight="1" s="1264"/>
    <row r="299" ht="15.75" customHeight="1" s="1264"/>
    <row r="300" ht="15.75" customHeight="1" s="1264"/>
    <row r="301" ht="15.75" customHeight="1" s="1264"/>
    <row r="302" ht="15.75" customHeight="1" s="1264"/>
    <row r="303" ht="15.75" customHeight="1" s="1264"/>
    <row r="304" ht="15.75" customHeight="1" s="1264"/>
    <row r="305" ht="15.75" customHeight="1" s="1264"/>
    <row r="306" ht="15.75" customHeight="1" s="1264"/>
    <row r="307" ht="15.75" customHeight="1" s="1264"/>
    <row r="308" ht="15.75" customHeight="1" s="1264"/>
    <row r="309" ht="15.75" customHeight="1" s="1264"/>
    <row r="310" ht="15.75" customHeight="1" s="1264"/>
    <row r="311" ht="15.75" customHeight="1" s="1264"/>
    <row r="312" ht="15.75" customHeight="1" s="1264"/>
    <row r="313" ht="15.75" customHeight="1" s="1264"/>
    <row r="314" ht="15.75" customHeight="1" s="1264"/>
    <row r="315" ht="15.75" customHeight="1" s="1264"/>
    <row r="316" ht="15.75" customHeight="1" s="1264"/>
    <row r="317" ht="15.75" customHeight="1" s="1264"/>
    <row r="318" ht="15.75" customHeight="1" s="1264"/>
    <row r="319" ht="15.75" customHeight="1" s="1264"/>
    <row r="320" ht="15.75" customHeight="1" s="1264"/>
    <row r="321" ht="15.75" customHeight="1" s="1264"/>
    <row r="322" ht="15.75" customHeight="1" s="1264"/>
    <row r="323" ht="15.75" customHeight="1" s="1264"/>
    <row r="324" ht="15.75" customHeight="1" s="1264"/>
    <row r="325" ht="15.75" customHeight="1" s="1264"/>
    <row r="326" ht="15.75" customHeight="1" s="1264"/>
    <row r="327" ht="15.75" customHeight="1" s="1264"/>
    <row r="328" ht="15.75" customHeight="1" s="1264"/>
    <row r="329" ht="15.75" customHeight="1" s="1264"/>
    <row r="330" ht="15.75" customHeight="1" s="1264"/>
    <row r="331" ht="15.75" customHeight="1" s="1264"/>
    <row r="332" ht="15.75" customHeight="1" s="1264"/>
    <row r="333" ht="15.75" customHeight="1" s="1264"/>
    <row r="334" ht="15.75" customHeight="1" s="1264"/>
    <row r="335" ht="15.75" customHeight="1" s="1264"/>
    <row r="336" ht="15.75" customHeight="1" s="1264"/>
    <row r="337" ht="15.75" customHeight="1" s="1264"/>
    <row r="338" ht="15.75" customHeight="1" s="1264"/>
    <row r="339" ht="15.75" customHeight="1" s="1264"/>
    <row r="340" ht="15.75" customHeight="1" s="1264"/>
    <row r="341" ht="15.75" customHeight="1" s="1264"/>
    <row r="342" ht="15.75" customHeight="1" s="1264"/>
    <row r="343" ht="15.75" customHeight="1" s="1264"/>
    <row r="344" ht="15.75" customHeight="1" s="1264"/>
    <row r="345" ht="15.75" customHeight="1" s="1264"/>
    <row r="346" ht="15.75" customHeight="1" s="1264"/>
    <row r="347" ht="15.75" customHeight="1" s="1264"/>
    <row r="348" ht="15.75" customHeight="1" s="1264"/>
    <row r="349" ht="15.75" customHeight="1" s="1264"/>
    <row r="350" ht="15.75" customHeight="1" s="1264"/>
    <row r="351" ht="15.75" customHeight="1" s="1264"/>
    <row r="352" ht="15.75" customHeight="1" s="1264"/>
    <row r="353" ht="15.75" customHeight="1" s="1264"/>
    <row r="354" ht="15.75" customHeight="1" s="1264"/>
    <row r="355" ht="15.75" customHeight="1" s="1264"/>
    <row r="356" ht="15.75" customHeight="1" s="1264"/>
    <row r="357" ht="15.75" customHeight="1" s="1264"/>
    <row r="358" ht="15.75" customHeight="1" s="1264"/>
    <row r="359" ht="15.75" customHeight="1" s="1264"/>
    <row r="360" ht="15.75" customHeight="1" s="1264"/>
    <row r="361" ht="15.75" customHeight="1" s="1264"/>
    <row r="362" ht="15.75" customHeight="1" s="1264"/>
    <row r="363" ht="15.75" customHeight="1" s="1264"/>
    <row r="364" ht="15.75" customHeight="1" s="1264"/>
    <row r="365" ht="15.75" customHeight="1" s="1264"/>
    <row r="366" ht="15.75" customHeight="1" s="1264"/>
    <row r="367" ht="15.75" customHeight="1" s="1264"/>
    <row r="368" ht="15.75" customHeight="1" s="1264"/>
    <row r="369" ht="15.75" customHeight="1" s="1264"/>
    <row r="370" ht="15.75" customHeight="1" s="1264"/>
    <row r="371" ht="15.75" customHeight="1" s="1264"/>
    <row r="372" ht="15.75" customHeight="1" s="1264"/>
    <row r="373" ht="15.75" customHeight="1" s="1264"/>
    <row r="374" ht="15.75" customHeight="1" s="1264"/>
    <row r="375" ht="15.75" customHeight="1" s="1264"/>
    <row r="376" ht="15.75" customHeight="1" s="1264"/>
    <row r="377" ht="15.75" customHeight="1" s="1264"/>
    <row r="378" ht="15.75" customHeight="1" s="1264"/>
    <row r="379" ht="15.75" customHeight="1" s="1264"/>
    <row r="380" ht="15.75" customHeight="1" s="1264"/>
    <row r="381" ht="15.75" customHeight="1" s="1264"/>
    <row r="382" ht="15.75" customHeight="1" s="1264"/>
    <row r="383" ht="15.75" customHeight="1" s="1264"/>
    <row r="384" ht="15.75" customHeight="1" s="1264"/>
    <row r="385" ht="15.75" customHeight="1" s="1264"/>
    <row r="386" ht="15.75" customHeight="1" s="1264"/>
    <row r="387" ht="15.75" customHeight="1" s="1264"/>
    <row r="388" ht="15.75" customHeight="1" s="1264"/>
    <row r="389" ht="15.75" customHeight="1" s="1264"/>
    <row r="390" ht="15.75" customHeight="1" s="1264"/>
    <row r="391" ht="15.75" customHeight="1" s="1264"/>
    <row r="392" ht="15.75" customHeight="1" s="1264"/>
    <row r="393" ht="15.75" customHeight="1" s="1264"/>
    <row r="394" ht="15.75" customHeight="1" s="1264"/>
    <row r="395" ht="15.75" customHeight="1" s="1264"/>
    <row r="396" ht="15.75" customHeight="1" s="1264"/>
    <row r="397" ht="15.75" customHeight="1" s="1264"/>
    <row r="398" ht="15.75" customHeight="1" s="1264"/>
    <row r="399" ht="15.75" customHeight="1" s="1264"/>
    <row r="400" ht="15.75" customHeight="1" s="1264"/>
    <row r="401" ht="15.75" customHeight="1" s="1264"/>
    <row r="402" ht="15.75" customHeight="1" s="1264"/>
    <row r="403" ht="15.75" customHeight="1" s="1264"/>
    <row r="404" ht="15.75" customHeight="1" s="1264"/>
    <row r="405" ht="15.75" customHeight="1" s="1264"/>
    <row r="406" ht="15.75" customHeight="1" s="1264"/>
    <row r="407" ht="15.75" customHeight="1" s="1264"/>
    <row r="408" ht="15.75" customHeight="1" s="1264"/>
    <row r="409" ht="15.75" customHeight="1" s="1264"/>
    <row r="410" ht="15.75" customHeight="1" s="1264"/>
    <row r="411" ht="15.75" customHeight="1" s="1264"/>
    <row r="412" ht="15.75" customHeight="1" s="1264"/>
    <row r="413" ht="15.75" customHeight="1" s="1264"/>
    <row r="414" ht="15.75" customHeight="1" s="1264"/>
    <row r="415" ht="15.75" customHeight="1" s="1264"/>
    <row r="416" ht="15.75" customHeight="1" s="1264"/>
    <row r="417" ht="15.75" customHeight="1" s="1264"/>
    <row r="418" ht="15.75" customHeight="1" s="1264"/>
    <row r="419" ht="15.75" customHeight="1" s="1264"/>
    <row r="420" ht="15.75" customHeight="1" s="1264"/>
    <row r="421" ht="15.75" customHeight="1" s="1264"/>
    <row r="422" ht="15.75" customHeight="1" s="1264"/>
    <row r="423" ht="15.75" customHeight="1" s="1264"/>
    <row r="424" ht="15.75" customHeight="1" s="1264"/>
    <row r="425" ht="15.75" customHeight="1" s="1264"/>
    <row r="426" ht="15.75" customHeight="1" s="1264"/>
    <row r="427" ht="15.75" customHeight="1" s="1264"/>
    <row r="428" ht="15.75" customHeight="1" s="1264"/>
    <row r="429" ht="15.75" customHeight="1" s="1264"/>
    <row r="430" ht="15.75" customHeight="1" s="1264"/>
    <row r="431" ht="15.75" customHeight="1" s="1264"/>
    <row r="432" ht="15.75" customHeight="1" s="1264"/>
    <row r="433" ht="15.75" customHeight="1" s="1264"/>
    <row r="434" ht="15.75" customHeight="1" s="1264"/>
    <row r="435" ht="15.75" customHeight="1" s="1264"/>
    <row r="436" ht="15.75" customHeight="1" s="1264"/>
    <row r="437" ht="15.75" customHeight="1" s="1264"/>
    <row r="438" ht="15.75" customHeight="1" s="1264"/>
    <row r="439" ht="15.75" customHeight="1" s="1264"/>
    <row r="440" ht="15.75" customHeight="1" s="1264"/>
    <row r="441" ht="15.75" customHeight="1" s="1264"/>
    <row r="442" ht="15.75" customHeight="1" s="1264"/>
    <row r="443" ht="15.75" customHeight="1" s="1264"/>
    <row r="444" ht="15.75" customHeight="1" s="1264"/>
    <row r="445" ht="15.75" customHeight="1" s="1264"/>
    <row r="446" ht="15.75" customHeight="1" s="1264"/>
    <row r="447" ht="15.75" customHeight="1" s="1264"/>
    <row r="448" ht="15.75" customHeight="1" s="1264"/>
    <row r="449" ht="15.75" customHeight="1" s="1264"/>
    <row r="450" ht="15.75" customHeight="1" s="1264"/>
    <row r="451" ht="15.75" customHeight="1" s="1264"/>
    <row r="452" ht="15.75" customHeight="1" s="1264"/>
    <row r="453" ht="15.75" customHeight="1" s="1264"/>
    <row r="454" ht="15.75" customHeight="1" s="1264"/>
    <row r="455" ht="15.75" customHeight="1" s="1264"/>
    <row r="456" ht="15.75" customHeight="1" s="1264"/>
    <row r="457" ht="15.75" customHeight="1" s="1264"/>
    <row r="458" ht="15.75" customHeight="1" s="1264"/>
    <row r="459" ht="15.75" customHeight="1" s="1264"/>
    <row r="460" ht="15.75" customHeight="1" s="1264"/>
    <row r="461" ht="15.75" customHeight="1" s="1264"/>
    <row r="462" ht="15.75" customHeight="1" s="1264"/>
    <row r="463" ht="15.75" customHeight="1" s="1264"/>
    <row r="464" ht="15.75" customHeight="1" s="1264"/>
    <row r="465" ht="15.75" customHeight="1" s="1264"/>
    <row r="466" ht="15.75" customHeight="1" s="1264"/>
    <row r="467" ht="15.75" customHeight="1" s="1264"/>
    <row r="468" ht="15.75" customHeight="1" s="1264"/>
    <row r="469" ht="15.75" customHeight="1" s="1264"/>
    <row r="470" ht="15.75" customHeight="1" s="1264"/>
    <row r="471" ht="15.75" customHeight="1" s="1264"/>
    <row r="472" ht="15.75" customHeight="1" s="1264"/>
    <row r="473" ht="15.75" customHeight="1" s="1264"/>
    <row r="474" ht="15.75" customHeight="1" s="1264"/>
    <row r="475" ht="15.75" customHeight="1" s="1264"/>
    <row r="476" ht="15.75" customHeight="1" s="1264"/>
    <row r="477" ht="15.75" customHeight="1" s="1264"/>
    <row r="478" ht="15.75" customHeight="1" s="1264"/>
    <row r="479" ht="15.75" customHeight="1" s="1264"/>
    <row r="480" ht="15.75" customHeight="1" s="1264"/>
    <row r="481" ht="15.75" customHeight="1" s="1264"/>
    <row r="482" ht="15.75" customHeight="1" s="1264"/>
    <row r="483" ht="15.75" customHeight="1" s="1264"/>
    <row r="484" ht="15.75" customHeight="1" s="1264"/>
    <row r="485" ht="15.75" customHeight="1" s="1264"/>
    <row r="486" ht="15.75" customHeight="1" s="1264"/>
    <row r="487" ht="15.75" customHeight="1" s="1264"/>
    <row r="488" ht="15.75" customHeight="1" s="1264"/>
    <row r="489" ht="15.75" customHeight="1" s="1264"/>
    <row r="490" ht="15.75" customHeight="1" s="1264"/>
    <row r="491" ht="15.75" customHeight="1" s="1264"/>
    <row r="492" ht="15.75" customHeight="1" s="1264"/>
    <row r="493" ht="15.75" customHeight="1" s="1264"/>
    <row r="494" ht="15.75" customHeight="1" s="1264"/>
    <row r="495" ht="15.75" customHeight="1" s="1264"/>
    <row r="496" ht="15.75" customHeight="1" s="1264"/>
    <row r="497" ht="15.75" customHeight="1" s="1264"/>
    <row r="498" ht="15.75" customHeight="1" s="1264"/>
    <row r="499" ht="15.75" customHeight="1" s="1264"/>
    <row r="500" ht="15.75" customHeight="1" s="1264"/>
    <row r="501" ht="15.75" customHeight="1" s="1264"/>
    <row r="502" ht="15.75" customHeight="1" s="1264"/>
    <row r="503" ht="15.75" customHeight="1" s="1264"/>
    <row r="504" ht="15.75" customHeight="1" s="1264"/>
    <row r="505" ht="15.75" customHeight="1" s="1264"/>
    <row r="506" ht="15.75" customHeight="1" s="1264"/>
    <row r="507" ht="15.75" customHeight="1" s="1264"/>
    <row r="508" ht="15.75" customHeight="1" s="1264"/>
    <row r="509" ht="15.75" customHeight="1" s="1264"/>
    <row r="510" ht="15.75" customHeight="1" s="1264"/>
    <row r="511" ht="15.75" customHeight="1" s="1264"/>
    <row r="512" ht="15.75" customHeight="1" s="1264"/>
    <row r="513" ht="15.75" customHeight="1" s="1264"/>
    <row r="514" ht="15.75" customHeight="1" s="1264"/>
    <row r="515" ht="15.75" customHeight="1" s="1264"/>
    <row r="516" ht="15.75" customHeight="1" s="1264"/>
    <row r="517" ht="15.75" customHeight="1" s="1264"/>
    <row r="518" ht="15.75" customHeight="1" s="1264"/>
    <row r="519" ht="15.75" customHeight="1" s="1264"/>
    <row r="520" ht="15.75" customHeight="1" s="1264"/>
    <row r="521" ht="15.75" customHeight="1" s="1264"/>
    <row r="522" ht="15.75" customHeight="1" s="1264"/>
    <row r="523" ht="15.75" customHeight="1" s="1264"/>
    <row r="524" ht="15.75" customHeight="1" s="1264"/>
    <row r="525" ht="15.75" customHeight="1" s="1264"/>
    <row r="526" ht="15.75" customHeight="1" s="1264"/>
    <row r="527" ht="15.75" customHeight="1" s="1264"/>
    <row r="528" ht="15.75" customHeight="1" s="1264"/>
    <row r="529" ht="15.75" customHeight="1" s="1264"/>
    <row r="530" ht="15.75" customHeight="1" s="1264"/>
    <row r="531" ht="15.75" customHeight="1" s="1264"/>
    <row r="532" ht="15.75" customHeight="1" s="1264"/>
    <row r="533" ht="15.75" customHeight="1" s="1264"/>
    <row r="534" ht="15.75" customHeight="1" s="1264"/>
    <row r="535" ht="15.75" customHeight="1" s="1264"/>
    <row r="536" ht="15.75" customHeight="1" s="1264"/>
    <row r="537" ht="15.75" customHeight="1" s="1264"/>
    <row r="538" ht="15.75" customHeight="1" s="1264"/>
    <row r="539" ht="15.75" customHeight="1" s="1264"/>
    <row r="540" ht="15.75" customHeight="1" s="1264"/>
    <row r="541" ht="15.75" customHeight="1" s="1264"/>
    <row r="542" ht="15.75" customHeight="1" s="1264"/>
    <row r="543" ht="15.75" customHeight="1" s="1264"/>
    <row r="544" ht="15.75" customHeight="1" s="1264"/>
    <row r="545" ht="15.75" customHeight="1" s="1264"/>
    <row r="546" ht="15.75" customHeight="1" s="1264"/>
    <row r="547" ht="15.75" customHeight="1" s="1264"/>
    <row r="548" ht="15.75" customHeight="1" s="1264"/>
    <row r="549" ht="15.75" customHeight="1" s="1264"/>
    <row r="550" ht="15.75" customHeight="1" s="1264"/>
    <row r="551" ht="15.75" customHeight="1" s="1264"/>
    <row r="552" ht="15.75" customHeight="1" s="1264"/>
    <row r="553" ht="15.75" customHeight="1" s="1264"/>
    <row r="554" ht="15.75" customHeight="1" s="1264"/>
    <row r="555" ht="15.75" customHeight="1" s="1264"/>
    <row r="556" ht="15.75" customHeight="1" s="1264"/>
    <row r="557" ht="15.75" customHeight="1" s="1264"/>
    <row r="558" ht="15.75" customHeight="1" s="1264"/>
    <row r="559" ht="15.75" customHeight="1" s="1264"/>
    <row r="560" ht="15.75" customHeight="1" s="1264"/>
    <row r="561" ht="15.75" customHeight="1" s="1264"/>
    <row r="562" ht="15.75" customHeight="1" s="1264"/>
    <row r="563" ht="15.75" customHeight="1" s="1264"/>
    <row r="564" ht="15.75" customHeight="1" s="1264"/>
    <row r="565" ht="15.75" customHeight="1" s="1264"/>
    <row r="566" ht="15.75" customHeight="1" s="1264"/>
    <row r="567" ht="15.75" customHeight="1" s="1264"/>
    <row r="568" ht="15.75" customHeight="1" s="1264"/>
    <row r="569" ht="15.75" customHeight="1" s="1264"/>
    <row r="570" ht="15.75" customHeight="1" s="1264"/>
    <row r="571" ht="15.75" customHeight="1" s="1264"/>
    <row r="572" ht="15.75" customHeight="1" s="1264"/>
    <row r="573" ht="15.75" customHeight="1" s="1264"/>
    <row r="574" ht="15.75" customHeight="1" s="1264"/>
    <row r="575" ht="15.75" customHeight="1" s="1264"/>
    <row r="576" ht="15.75" customHeight="1" s="1264"/>
    <row r="577" ht="15.75" customHeight="1" s="1264"/>
    <row r="578" ht="15.75" customHeight="1" s="1264"/>
    <row r="579" ht="15.75" customHeight="1" s="1264"/>
    <row r="580" ht="15.75" customHeight="1" s="1264"/>
    <row r="581" ht="15.75" customHeight="1" s="1264"/>
    <row r="582" ht="15.75" customHeight="1" s="1264"/>
    <row r="583" ht="15.75" customHeight="1" s="1264"/>
    <row r="584" ht="15.75" customHeight="1" s="1264"/>
    <row r="585" ht="15.75" customHeight="1" s="1264"/>
    <row r="586" ht="15.75" customHeight="1" s="1264"/>
    <row r="587" ht="15.75" customHeight="1" s="1264"/>
    <row r="588" ht="15.75" customHeight="1" s="1264"/>
    <row r="589" ht="15.75" customHeight="1" s="1264"/>
    <row r="590" ht="15.75" customHeight="1" s="1264"/>
    <row r="591" ht="15.75" customHeight="1" s="1264"/>
    <row r="592" ht="15.75" customHeight="1" s="1264"/>
    <row r="593" ht="15.75" customHeight="1" s="1264"/>
    <row r="594" ht="15.75" customHeight="1" s="1264"/>
    <row r="595" ht="15.75" customHeight="1" s="1264"/>
    <row r="596" ht="15.75" customHeight="1" s="1264"/>
    <row r="597" ht="15.75" customHeight="1" s="1264"/>
    <row r="598" ht="15.75" customHeight="1" s="1264"/>
    <row r="599" ht="15.75" customHeight="1" s="1264"/>
    <row r="600" ht="15.75" customHeight="1" s="1264"/>
    <row r="601" ht="15.75" customHeight="1" s="1264"/>
    <row r="602" ht="15.75" customHeight="1" s="1264"/>
    <row r="603" ht="15.75" customHeight="1" s="1264"/>
    <row r="604" ht="15.75" customHeight="1" s="1264"/>
    <row r="605" ht="15.75" customHeight="1" s="1264"/>
    <row r="606" ht="15.75" customHeight="1" s="1264"/>
    <row r="607" ht="15.75" customHeight="1" s="1264"/>
    <row r="608" ht="15.75" customHeight="1" s="1264"/>
    <row r="609" ht="15.75" customHeight="1" s="1264"/>
    <row r="610" ht="15.75" customHeight="1" s="1264"/>
    <row r="611" ht="15.75" customHeight="1" s="1264"/>
    <row r="612" ht="15.75" customHeight="1" s="1264"/>
    <row r="613" ht="15.75" customHeight="1" s="1264"/>
    <row r="614" ht="15.75" customHeight="1" s="1264"/>
    <row r="615" ht="15.75" customHeight="1" s="1264"/>
    <row r="616" ht="15.75" customHeight="1" s="1264"/>
    <row r="617" ht="15.75" customHeight="1" s="1264"/>
    <row r="618" ht="15.75" customHeight="1" s="1264"/>
    <row r="619" ht="15.75" customHeight="1" s="1264"/>
    <row r="620" ht="15.75" customHeight="1" s="1264"/>
    <row r="621" ht="15.75" customHeight="1" s="1264"/>
    <row r="622" ht="15.75" customHeight="1" s="1264"/>
    <row r="623" ht="15.75" customHeight="1" s="1264"/>
    <row r="624" ht="15.75" customHeight="1" s="1264"/>
    <row r="625" ht="15.75" customHeight="1" s="1264"/>
    <row r="626" ht="15.75" customHeight="1" s="1264"/>
    <row r="627" ht="15.75" customHeight="1" s="1264"/>
    <row r="628" ht="15.75" customHeight="1" s="1264"/>
    <row r="629" ht="15.75" customHeight="1" s="1264"/>
    <row r="630" ht="15.75" customHeight="1" s="1264"/>
    <row r="631" ht="15.75" customHeight="1" s="1264"/>
    <row r="632" ht="15.75" customHeight="1" s="1264"/>
    <row r="633" ht="15.75" customHeight="1" s="1264"/>
    <row r="634" ht="15.75" customHeight="1" s="1264"/>
    <row r="635" ht="15.75" customHeight="1" s="1264"/>
    <row r="636" ht="15.75" customHeight="1" s="1264"/>
    <row r="637" ht="15.75" customHeight="1" s="1264"/>
    <row r="638" ht="15.75" customHeight="1" s="1264"/>
    <row r="639" ht="15.75" customHeight="1" s="1264"/>
    <row r="640" ht="15.75" customHeight="1" s="1264"/>
    <row r="641" ht="15.75" customHeight="1" s="1264"/>
    <row r="642" ht="15.75" customHeight="1" s="1264"/>
    <row r="643" ht="15.75" customHeight="1" s="1264"/>
    <row r="644" ht="15.75" customHeight="1" s="1264"/>
    <row r="645" ht="15.75" customHeight="1" s="1264"/>
    <row r="646" ht="15.75" customHeight="1" s="1264"/>
    <row r="647" ht="15.75" customHeight="1" s="1264"/>
    <row r="648" ht="15.75" customHeight="1" s="1264"/>
    <row r="649" ht="15.75" customHeight="1" s="1264"/>
    <row r="650" ht="15.75" customHeight="1" s="1264"/>
    <row r="651" ht="15.75" customHeight="1" s="1264"/>
    <row r="652" ht="15.75" customHeight="1" s="1264"/>
    <row r="653" ht="15.75" customHeight="1" s="1264"/>
    <row r="654" ht="15.75" customHeight="1" s="1264"/>
    <row r="655" ht="15.75" customHeight="1" s="1264"/>
    <row r="656" ht="15.75" customHeight="1" s="1264"/>
    <row r="657" ht="15.75" customHeight="1" s="1264"/>
    <row r="658" ht="15.75" customHeight="1" s="1264"/>
    <row r="659" ht="15.75" customHeight="1" s="1264"/>
    <row r="660" ht="15.75" customHeight="1" s="1264"/>
    <row r="661" ht="15.75" customHeight="1" s="1264"/>
    <row r="662" ht="15.75" customHeight="1" s="1264"/>
    <row r="663" ht="15.75" customHeight="1" s="1264"/>
    <row r="664" ht="15.75" customHeight="1" s="1264"/>
    <row r="665" ht="15.75" customHeight="1" s="1264"/>
    <row r="666" ht="15.75" customHeight="1" s="1264"/>
    <row r="667" ht="15.75" customHeight="1" s="1264"/>
    <row r="668" ht="15.75" customHeight="1" s="1264"/>
    <row r="669" ht="15.75" customHeight="1" s="1264"/>
    <row r="670" ht="15.75" customHeight="1" s="1264"/>
    <row r="671" ht="15.75" customHeight="1" s="1264"/>
    <row r="672" ht="15.75" customHeight="1" s="1264"/>
    <row r="673" ht="15.75" customHeight="1" s="1264"/>
    <row r="674" ht="15.75" customHeight="1" s="1264"/>
    <row r="675" ht="15.75" customHeight="1" s="1264"/>
    <row r="676" ht="15.75" customHeight="1" s="1264"/>
    <row r="677" ht="15.75" customHeight="1" s="1264"/>
    <row r="678" ht="15.75" customHeight="1" s="1264"/>
    <row r="679" ht="15.75" customHeight="1" s="1264"/>
    <row r="680" ht="15.75" customHeight="1" s="1264"/>
    <row r="681" ht="15.75" customHeight="1" s="1264"/>
    <row r="682" ht="15.75" customHeight="1" s="1264"/>
    <row r="683" ht="15.75" customHeight="1" s="1264"/>
    <row r="684" ht="15.75" customHeight="1" s="1264"/>
    <row r="685" ht="15.75" customHeight="1" s="1264"/>
    <row r="686" ht="15.75" customHeight="1" s="1264"/>
    <row r="687" ht="15.75" customHeight="1" s="1264"/>
    <row r="688" ht="15.75" customHeight="1" s="1264"/>
    <row r="689" ht="15.75" customHeight="1" s="1264"/>
    <row r="690" ht="15.75" customHeight="1" s="1264"/>
    <row r="691" ht="15.75" customHeight="1" s="1264"/>
    <row r="692" ht="15.75" customHeight="1" s="1264"/>
    <row r="693" ht="15.75" customHeight="1" s="1264"/>
    <row r="694" ht="15.75" customHeight="1" s="1264"/>
    <row r="695" ht="15.75" customHeight="1" s="1264"/>
    <row r="696" ht="15.75" customHeight="1" s="1264"/>
    <row r="697" ht="15.75" customHeight="1" s="1264"/>
    <row r="698" ht="15.75" customHeight="1" s="1264"/>
    <row r="699" ht="15.75" customHeight="1" s="1264"/>
    <row r="700" ht="15.75" customHeight="1" s="1264"/>
    <row r="701" ht="15.75" customHeight="1" s="1264"/>
    <row r="702" ht="15.75" customHeight="1" s="1264"/>
    <row r="703" ht="15.75" customHeight="1" s="1264"/>
    <row r="704" ht="15.75" customHeight="1" s="1264"/>
    <row r="705" ht="15.75" customHeight="1" s="1264"/>
    <row r="706" ht="15.75" customHeight="1" s="1264"/>
    <row r="707" ht="15.75" customHeight="1" s="1264"/>
    <row r="708" ht="15.75" customHeight="1" s="1264"/>
    <row r="709" ht="15.75" customHeight="1" s="1264"/>
    <row r="710" ht="15.75" customHeight="1" s="1264"/>
    <row r="711" ht="15.75" customHeight="1" s="1264"/>
    <row r="712" ht="15.75" customHeight="1" s="1264"/>
    <row r="713" ht="15.75" customHeight="1" s="1264"/>
    <row r="714" ht="15.75" customHeight="1" s="1264"/>
    <row r="715" ht="15.75" customHeight="1" s="1264"/>
    <row r="716" ht="15.75" customHeight="1" s="1264"/>
    <row r="717" ht="15.75" customHeight="1" s="1264"/>
    <row r="718" ht="15.75" customHeight="1" s="1264"/>
    <row r="719" ht="15.75" customHeight="1" s="1264"/>
    <row r="720" ht="15.75" customHeight="1" s="1264"/>
    <row r="721" ht="15.75" customHeight="1" s="1264"/>
    <row r="722" ht="15.75" customHeight="1" s="1264"/>
    <row r="723" ht="15.75" customHeight="1" s="1264"/>
    <row r="724" ht="15.75" customHeight="1" s="1264"/>
    <row r="725" ht="15.75" customHeight="1" s="1264"/>
    <row r="726" ht="15.75" customHeight="1" s="1264"/>
    <row r="727" ht="15.75" customHeight="1" s="1264"/>
    <row r="728" ht="15.75" customHeight="1" s="1264"/>
    <row r="729" ht="15.75" customHeight="1" s="1264"/>
    <row r="730" ht="15.75" customHeight="1" s="1264"/>
    <row r="731" ht="15.75" customHeight="1" s="1264"/>
    <row r="732" ht="15.75" customHeight="1" s="1264"/>
    <row r="733" ht="15.75" customHeight="1" s="1264"/>
    <row r="734" ht="15.75" customHeight="1" s="1264"/>
    <row r="735" ht="15.75" customHeight="1" s="1264"/>
    <row r="736" ht="15.75" customHeight="1" s="1264"/>
    <row r="737" ht="15.75" customHeight="1" s="1264"/>
    <row r="738" ht="15.75" customHeight="1" s="1264"/>
    <row r="739" ht="15.75" customHeight="1" s="1264"/>
    <row r="740" ht="15.75" customHeight="1" s="1264"/>
    <row r="741" ht="15.75" customHeight="1" s="1264"/>
    <row r="742" ht="15.75" customHeight="1" s="1264"/>
    <row r="743" ht="15.75" customHeight="1" s="1264"/>
    <row r="744" ht="15.75" customHeight="1" s="1264"/>
    <row r="745" ht="15.75" customHeight="1" s="1264"/>
    <row r="746" ht="15.75" customHeight="1" s="1264"/>
    <row r="747" ht="15.75" customHeight="1" s="1264"/>
    <row r="748" ht="15.75" customHeight="1" s="1264"/>
    <row r="749" ht="15.75" customHeight="1" s="1264"/>
    <row r="750" ht="15.75" customHeight="1" s="1264"/>
    <row r="751" ht="15.75" customHeight="1" s="1264"/>
    <row r="752" ht="15.75" customHeight="1" s="1264"/>
    <row r="753" ht="15.75" customHeight="1" s="1264"/>
    <row r="754" ht="15.75" customHeight="1" s="1264"/>
    <row r="755" ht="15.75" customHeight="1" s="1264"/>
    <row r="756" ht="15.75" customHeight="1" s="1264"/>
    <row r="757" ht="15.75" customHeight="1" s="1264"/>
    <row r="758" ht="15.75" customHeight="1" s="1264"/>
    <row r="759" ht="15.75" customHeight="1" s="1264"/>
    <row r="760" ht="15.75" customHeight="1" s="1264"/>
    <row r="761" ht="15.75" customHeight="1" s="1264"/>
    <row r="762" ht="15.75" customHeight="1" s="1264"/>
    <row r="763" ht="15.75" customHeight="1" s="1264"/>
    <row r="764" ht="15.75" customHeight="1" s="1264"/>
    <row r="765" ht="15.75" customHeight="1" s="1264"/>
    <row r="766" ht="15.75" customHeight="1" s="1264"/>
    <row r="767" ht="15.75" customHeight="1" s="1264"/>
    <row r="768" ht="15.75" customHeight="1" s="1264"/>
    <row r="769" ht="15.75" customHeight="1" s="1264"/>
    <row r="770" ht="15.75" customHeight="1" s="1264"/>
    <row r="771" ht="15.75" customHeight="1" s="1264"/>
    <row r="772" ht="15.75" customHeight="1" s="1264"/>
    <row r="773" ht="15.75" customHeight="1" s="1264"/>
    <row r="774" ht="15.75" customHeight="1" s="1264"/>
    <row r="775" ht="15.75" customHeight="1" s="1264"/>
    <row r="776" ht="15.75" customHeight="1" s="1264"/>
    <row r="777" ht="15.75" customHeight="1" s="1264"/>
    <row r="778" ht="15.75" customHeight="1" s="1264"/>
    <row r="779" ht="15.75" customHeight="1" s="1264"/>
    <row r="780" ht="15.75" customHeight="1" s="1264"/>
    <row r="781" ht="15.75" customHeight="1" s="1264"/>
    <row r="782" ht="15.75" customHeight="1" s="1264"/>
    <row r="783" ht="15.75" customHeight="1" s="1264"/>
    <row r="784" ht="15.75" customHeight="1" s="1264"/>
    <row r="785" ht="15.75" customHeight="1" s="1264"/>
    <row r="786" ht="15.75" customHeight="1" s="1264"/>
    <row r="787" ht="15.75" customHeight="1" s="1264"/>
    <row r="788" ht="15.75" customHeight="1" s="1264"/>
    <row r="789" ht="15.75" customHeight="1" s="1264"/>
    <row r="790" ht="15.75" customHeight="1" s="1264"/>
    <row r="791" ht="15.75" customHeight="1" s="1264"/>
    <row r="792" ht="15.75" customHeight="1" s="1264"/>
    <row r="793" ht="15.75" customHeight="1" s="1264"/>
    <row r="794" ht="15.75" customHeight="1" s="1264"/>
    <row r="795" ht="15.75" customHeight="1" s="1264"/>
    <row r="796" ht="15.75" customHeight="1" s="1264"/>
    <row r="797" ht="15.75" customHeight="1" s="1264"/>
    <row r="798" ht="15.75" customHeight="1" s="1264"/>
    <row r="799" ht="15.75" customHeight="1" s="1264"/>
    <row r="800" ht="15.75" customHeight="1" s="1264"/>
    <row r="801" ht="15.75" customHeight="1" s="1264"/>
    <row r="802" ht="15.75" customHeight="1" s="1264"/>
    <row r="803" ht="15.75" customHeight="1" s="1264"/>
    <row r="804" ht="15.75" customHeight="1" s="1264"/>
    <row r="805" ht="15.75" customHeight="1" s="1264"/>
    <row r="806" ht="15.75" customHeight="1" s="1264"/>
    <row r="807" ht="15.75" customHeight="1" s="1264"/>
    <row r="808" ht="15.75" customHeight="1" s="1264"/>
    <row r="809" ht="15.75" customHeight="1" s="1264"/>
    <row r="810" ht="15.75" customHeight="1" s="1264"/>
    <row r="811" ht="15.75" customHeight="1" s="1264"/>
    <row r="812" ht="15.75" customHeight="1" s="1264"/>
    <row r="813" ht="15.75" customHeight="1" s="1264"/>
    <row r="814" ht="15.75" customHeight="1" s="1264"/>
    <row r="815" ht="15.75" customHeight="1" s="1264"/>
    <row r="816" ht="15.75" customHeight="1" s="1264"/>
    <row r="817" ht="15.75" customHeight="1" s="1264"/>
    <row r="818" ht="15.75" customHeight="1" s="1264"/>
    <row r="819" ht="15.75" customHeight="1" s="1264"/>
    <row r="820" ht="15.75" customHeight="1" s="1264"/>
    <row r="821" ht="15.75" customHeight="1" s="1264"/>
    <row r="822" ht="15.75" customHeight="1" s="1264"/>
    <row r="823" ht="15.75" customHeight="1" s="1264"/>
    <row r="824" ht="15.75" customHeight="1" s="1264"/>
    <row r="825" ht="15.75" customHeight="1" s="1264"/>
    <row r="826" ht="15.75" customHeight="1" s="1264"/>
    <row r="827" ht="15.75" customHeight="1" s="1264"/>
    <row r="828" ht="15.75" customHeight="1" s="1264"/>
    <row r="829" ht="15.75" customHeight="1" s="1264"/>
    <row r="830" ht="15.75" customHeight="1" s="1264"/>
    <row r="831" ht="15.75" customHeight="1" s="1264"/>
    <row r="832" ht="15.75" customHeight="1" s="1264"/>
    <row r="833" ht="15.75" customHeight="1" s="1264"/>
    <row r="834" ht="15.75" customHeight="1" s="1264"/>
    <row r="835" ht="15.75" customHeight="1" s="1264"/>
    <row r="836" ht="15.75" customHeight="1" s="1264"/>
    <row r="837" ht="15.75" customHeight="1" s="1264"/>
    <row r="838" ht="15.75" customHeight="1" s="1264"/>
    <row r="839" ht="15.75" customHeight="1" s="1264"/>
    <row r="840" ht="15.75" customHeight="1" s="1264"/>
    <row r="841" ht="15.75" customHeight="1" s="1264"/>
    <row r="842" ht="15.75" customHeight="1" s="1264"/>
    <row r="843" ht="15.75" customHeight="1" s="1264"/>
    <row r="844" ht="15.75" customHeight="1" s="1264"/>
    <row r="845" ht="15.75" customHeight="1" s="1264"/>
    <row r="846" ht="15.75" customHeight="1" s="1264"/>
    <row r="847" ht="15.75" customHeight="1" s="1264"/>
    <row r="848" ht="15.75" customHeight="1" s="1264"/>
    <row r="849" ht="15.75" customHeight="1" s="1264"/>
    <row r="850" ht="15.75" customHeight="1" s="1264"/>
    <row r="851" ht="15.75" customHeight="1" s="1264"/>
    <row r="852" ht="15.75" customHeight="1" s="1264"/>
    <row r="853" ht="15.75" customHeight="1" s="1264"/>
    <row r="854" ht="15.75" customHeight="1" s="1264"/>
    <row r="855" ht="15.75" customHeight="1" s="1264"/>
    <row r="856" ht="15.75" customHeight="1" s="1264"/>
    <row r="857" ht="15.75" customHeight="1" s="1264"/>
    <row r="858" ht="15.75" customHeight="1" s="1264"/>
    <row r="859" ht="15.75" customHeight="1" s="1264"/>
    <row r="860" ht="15.75" customHeight="1" s="1264"/>
    <row r="861" ht="15.75" customHeight="1" s="1264"/>
    <row r="862" ht="15.75" customHeight="1" s="1264"/>
    <row r="863" ht="15.75" customHeight="1" s="1264"/>
    <row r="864" ht="15.75" customHeight="1" s="1264"/>
    <row r="865" ht="15.75" customHeight="1" s="1264"/>
    <row r="866" ht="15.75" customHeight="1" s="1264"/>
    <row r="867" ht="15.75" customHeight="1" s="1264"/>
    <row r="868" ht="15.75" customHeight="1" s="1264"/>
    <row r="869" ht="15.75" customHeight="1" s="1264"/>
    <row r="870" ht="15.75" customHeight="1" s="1264"/>
    <row r="871" ht="15.75" customHeight="1" s="1264"/>
    <row r="872" ht="15.75" customHeight="1" s="1264"/>
    <row r="873" ht="15.75" customHeight="1" s="1264"/>
    <row r="874" ht="15.75" customHeight="1" s="1264"/>
    <row r="875" ht="15.75" customHeight="1" s="1264"/>
    <row r="876" ht="15.75" customHeight="1" s="1264"/>
    <row r="877" ht="15.75" customHeight="1" s="1264"/>
    <row r="878" ht="15.75" customHeight="1" s="1264"/>
    <row r="879" ht="15.75" customHeight="1" s="1264"/>
    <row r="880" ht="15.75" customHeight="1" s="1264"/>
    <row r="881" ht="15.75" customHeight="1" s="1264"/>
    <row r="882" ht="15.75" customHeight="1" s="1264"/>
    <row r="883" ht="15.75" customHeight="1" s="1264"/>
    <row r="884" ht="15.75" customHeight="1" s="1264"/>
    <row r="885" ht="15.75" customHeight="1" s="1264"/>
    <row r="886" ht="15.75" customHeight="1" s="1264"/>
    <row r="887" ht="15.75" customHeight="1" s="1264"/>
    <row r="888" ht="15.75" customHeight="1" s="1264"/>
    <row r="889" ht="15.75" customHeight="1" s="1264"/>
    <row r="890" ht="15.75" customHeight="1" s="1264"/>
    <row r="891" ht="15.75" customHeight="1" s="1264"/>
    <row r="892" ht="15.75" customHeight="1" s="1264"/>
    <row r="893" ht="15.75" customHeight="1" s="1264"/>
    <row r="894" ht="15.75" customHeight="1" s="1264"/>
    <row r="895" ht="15.75" customHeight="1" s="1264"/>
    <row r="896" ht="15.75" customHeight="1" s="1264"/>
    <row r="897" ht="15.75" customHeight="1" s="1264"/>
    <row r="898" ht="15.75" customHeight="1" s="1264"/>
    <row r="899" ht="15.75" customHeight="1" s="1264"/>
    <row r="900" ht="15.75" customHeight="1" s="1264"/>
    <row r="901" ht="15.75" customHeight="1" s="1264"/>
    <row r="902" ht="15.75" customHeight="1" s="1264"/>
    <row r="903" ht="15.75" customHeight="1" s="1264"/>
    <row r="904" ht="15.75" customHeight="1" s="1264"/>
    <row r="905" ht="15.75" customHeight="1" s="1264"/>
    <row r="906" ht="15.75" customHeight="1" s="1264"/>
    <row r="907" ht="15.75" customHeight="1" s="1264"/>
    <row r="908" ht="15.75" customHeight="1" s="1264"/>
    <row r="909" ht="15.75" customHeight="1" s="1264"/>
    <row r="910" ht="15.75" customHeight="1" s="1264"/>
    <row r="911" ht="15.75" customHeight="1" s="1264"/>
    <row r="912" ht="15.75" customHeight="1" s="1264"/>
    <row r="913" ht="15.75" customHeight="1" s="1264"/>
    <row r="914" ht="15.75" customHeight="1" s="1264"/>
    <row r="915" ht="15.75" customHeight="1" s="1264"/>
    <row r="916" ht="15.75" customHeight="1" s="1264"/>
    <row r="917" ht="15.75" customHeight="1" s="1264"/>
    <row r="918" ht="15.75" customHeight="1" s="1264"/>
    <row r="919" ht="15.75" customHeight="1" s="1264"/>
    <row r="920" ht="15.75" customHeight="1" s="1264"/>
    <row r="921" ht="15.75" customHeight="1" s="1264"/>
    <row r="922" ht="15.75" customHeight="1" s="1264"/>
    <row r="923" ht="15.75" customHeight="1" s="1264"/>
    <row r="924" ht="15.75" customHeight="1" s="1264"/>
    <row r="925" ht="15.75" customHeight="1" s="1264"/>
    <row r="926" ht="15.75" customHeight="1" s="1264"/>
    <row r="927" ht="15.75" customHeight="1" s="1264"/>
    <row r="928" ht="15.75" customHeight="1" s="1264"/>
    <row r="929" ht="15.75" customHeight="1" s="1264"/>
    <row r="930" ht="15.75" customHeight="1" s="1264"/>
    <row r="931" ht="15.75" customHeight="1" s="1264"/>
    <row r="932" ht="15.75" customHeight="1" s="1264"/>
    <row r="933" ht="15.75" customHeight="1" s="1264"/>
    <row r="934" ht="15.75" customHeight="1" s="1264"/>
    <row r="935" ht="15.75" customHeight="1" s="1264"/>
    <row r="936" ht="15.75" customHeight="1" s="1264"/>
    <row r="937" ht="15.75" customHeight="1" s="1264"/>
    <row r="938" ht="15.75" customHeight="1" s="1264"/>
    <row r="939" ht="15.75" customHeight="1" s="1264"/>
    <row r="940" ht="15.75" customHeight="1" s="1264"/>
    <row r="941" ht="15.75" customHeight="1" s="1264"/>
    <row r="942" ht="15.75" customHeight="1" s="1264"/>
    <row r="943" ht="15.75" customHeight="1" s="1264"/>
    <row r="944" ht="15.75" customHeight="1" s="1264"/>
    <row r="945" ht="15.75" customHeight="1" s="1264"/>
    <row r="946" ht="15.75" customHeight="1" s="1264"/>
    <row r="947" ht="15.75" customHeight="1" s="1264"/>
    <row r="948" ht="15.75" customHeight="1" s="1264"/>
    <row r="949" ht="15.75" customHeight="1" s="1264"/>
    <row r="950" ht="15.75" customHeight="1" s="1264"/>
    <row r="951" ht="15.75" customHeight="1" s="1264"/>
    <row r="952" ht="15.75" customHeight="1" s="1264"/>
    <row r="953" ht="15.75" customHeight="1" s="1264"/>
    <row r="954" ht="15.75" customHeight="1" s="1264"/>
    <row r="955" ht="15.75" customHeight="1" s="1264"/>
    <row r="956" ht="15.75" customHeight="1" s="1264"/>
    <row r="957" ht="15.75" customHeight="1" s="1264"/>
    <row r="958" ht="15.75" customHeight="1" s="1264"/>
    <row r="959" ht="15.75" customHeight="1" s="1264"/>
    <row r="960" ht="15.75" customHeight="1" s="1264"/>
    <row r="961" ht="15.75" customHeight="1" s="1264"/>
    <row r="962" ht="15.75" customHeight="1" s="1264"/>
    <row r="963" ht="15.75" customHeight="1" s="1264"/>
    <row r="964" ht="15.75" customHeight="1" s="1264"/>
    <row r="965" ht="15.75" customHeight="1" s="1264"/>
    <row r="966" ht="15.75" customHeight="1" s="1264"/>
    <row r="967" ht="15.75" customHeight="1" s="1264"/>
    <row r="968" ht="15.75" customHeight="1" s="1264"/>
    <row r="969" ht="15.75" customHeight="1" s="1264"/>
    <row r="970" ht="15.75" customHeight="1" s="1264"/>
    <row r="971" ht="15.75" customHeight="1" s="1264"/>
    <row r="972" ht="15.75" customHeight="1" s="1264"/>
    <row r="973" ht="15.75" customHeight="1" s="1264"/>
    <row r="974" ht="15.75" customHeight="1" s="1264"/>
    <row r="975" ht="15.75" customHeight="1" s="1264"/>
    <row r="976" ht="15.75" customHeight="1" s="1264"/>
    <row r="977" ht="15.75" customHeight="1" s="1264"/>
    <row r="978" ht="15.75" customHeight="1" s="1264"/>
    <row r="979" ht="15.75" customHeight="1" s="1264"/>
    <row r="980" ht="15.75" customHeight="1" s="1264"/>
    <row r="981" ht="15.75" customHeight="1" s="1264"/>
    <row r="982" ht="15.75" customHeight="1" s="1264"/>
    <row r="983" ht="15.75" customHeight="1" s="1264"/>
    <row r="984" ht="15.75" customHeight="1" s="1264"/>
    <row r="985" ht="15.75" customHeight="1" s="1264"/>
    <row r="986" ht="15.75" customHeight="1" s="1264"/>
    <row r="987" ht="15.75" customHeight="1" s="1264"/>
    <row r="988" ht="15.75" customHeight="1" s="1264"/>
    <row r="989" ht="15.75" customHeight="1" s="1264"/>
    <row r="990" ht="15.75" customHeight="1" s="1264"/>
    <row r="991" ht="15.75" customHeight="1" s="1264"/>
    <row r="992" ht="15.75" customHeight="1" s="1264"/>
    <row r="993" ht="15.75" customHeight="1" s="1264"/>
    <row r="994" ht="15.75" customHeight="1" s="1264"/>
    <row r="995" ht="15.75" customHeight="1" s="1264"/>
    <row r="996" ht="15.75" customHeight="1" s="1264"/>
    <row r="997" ht="15.75" customHeight="1" s="1264"/>
    <row r="998" ht="15.75" customHeight="1" s="1264"/>
    <row r="999" ht="15.75" customHeight="1" s="1264"/>
    <row r="1000" ht="15.75" customHeight="1" s="1264"/>
  </sheetData>
  <mergeCells count="10">
    <mergeCell ref="A2:V2"/>
    <mergeCell ref="K3:N3"/>
    <mergeCell ref="A3:A4"/>
    <mergeCell ref="B3:B4"/>
    <mergeCell ref="V3:V4"/>
    <mergeCell ref="T3:T4"/>
    <mergeCell ref="U3:U4"/>
    <mergeCell ref="H3:J3"/>
    <mergeCell ref="O3:Q3"/>
    <mergeCell ref="C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2022-12-28T09:36:00Z</dcterms:created>
  <dcterms:modified xsi:type="dcterms:W3CDTF">2026-09-08T04:55:06Z</dcterms:modified>
  <cp:lastModifiedBy>Hoàng Nguyễn</cp:lastModifiedBy>
  <cp:lastPrinted>2026-08-31T11:15:00Z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7E3E634FCE3A47E0B417AB75615A35DA_12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